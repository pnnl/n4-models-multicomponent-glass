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r666\boron-coordinaton\data_package\Analytical_Models\"/>
    </mc:Choice>
  </mc:AlternateContent>
  <xr:revisionPtr revIDLastSave="0" documentId="13_ncr:1_{7B0DE6D7-D475-4EBD-904F-8D95591CC9E2}" xr6:coauthVersionLast="47" xr6:coauthVersionMax="47" xr10:uidLastSave="{00000000-0000-0000-0000-000000000000}"/>
  <bookViews>
    <workbookView xWindow="22932" yWindow="-108" windowWidth="23256" windowHeight="13896" xr2:uid="{B450F0B3-5347-4204-87CF-0ACA8ACF8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1" l="1"/>
  <c r="J3" i="1"/>
  <c r="K2" i="1"/>
  <c r="K4" i="1" s="1"/>
  <c r="K6" i="1" s="1"/>
  <c r="J2" i="1"/>
  <c r="J5" i="1" s="1"/>
  <c r="B31" i="1"/>
  <c r="J4" i="1" l="1"/>
  <c r="K7" i="1" l="1"/>
  <c r="J6" i="1"/>
  <c r="J7" i="1" s="1"/>
</calcChain>
</file>

<file path=xl/sharedStrings.xml><?xml version="1.0" encoding="utf-8"?>
<sst xmlns="http://schemas.openxmlformats.org/spreadsheetml/2006/main" count="114" uniqueCount="67">
  <si>
    <t>CaO</t>
  </si>
  <si>
    <t>MgO</t>
  </si>
  <si>
    <t>ZnO</t>
  </si>
  <si>
    <t>BaO</t>
  </si>
  <si>
    <t>PbO</t>
  </si>
  <si>
    <t>SrO</t>
  </si>
  <si>
    <t>K'' coef</t>
  </si>
  <si>
    <t>R'' coef</t>
  </si>
  <si>
    <t>Thresholds</t>
  </si>
  <si>
    <t>Rmax slope</t>
  </si>
  <si>
    <t>Modified DS model (borosilicate)</t>
  </si>
  <si>
    <t>Modified Bernstein model (borosilicate)</t>
  </si>
  <si>
    <t>a</t>
  </si>
  <si>
    <t>b</t>
  </si>
  <si>
    <t>c</t>
  </si>
  <si>
    <t>mol%</t>
  </si>
  <si>
    <r>
      <t>B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</si>
  <si>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r>
      <t>Al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</si>
  <si>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r>
      <t>P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5</t>
    </r>
  </si>
  <si>
    <r>
      <t>Fe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</si>
  <si>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r>
      <t>TiO</t>
    </r>
    <r>
      <rPr>
        <vertAlign val="subscript"/>
        <sz val="14"/>
        <color theme="1"/>
        <rFont val="Times New Roman"/>
        <family val="1"/>
      </rPr>
      <t>2</t>
    </r>
  </si>
  <si>
    <r>
      <t>ZrO</t>
    </r>
    <r>
      <rPr>
        <vertAlign val="subscript"/>
        <sz val="14"/>
        <color theme="1"/>
        <rFont val="Times New Roman"/>
        <family val="1"/>
      </rPr>
      <t>2</t>
    </r>
  </si>
  <si>
    <r>
      <t>HfO</t>
    </r>
    <r>
      <rPr>
        <vertAlign val="subscript"/>
        <sz val="14"/>
        <color theme="1"/>
        <rFont val="Times New Roman"/>
        <family val="1"/>
      </rPr>
      <t>2</t>
    </r>
  </si>
  <si>
    <r>
      <t>Li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</si>
  <si>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K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</si>
  <si>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Cs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</si>
  <si>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Rb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</si>
  <si>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Bi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</si>
  <si>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t>Comp.</t>
  </si>
  <si>
    <t>K''</t>
  </si>
  <si>
    <t>R''</t>
  </si>
  <si>
    <t>SUM</t>
  </si>
  <si>
    <t>-</t>
  </si>
  <si>
    <r>
      <t>R</t>
    </r>
    <r>
      <rPr>
        <vertAlign val="subscript"/>
        <sz val="14"/>
        <color theme="1"/>
        <rFont val="Times New Roman"/>
        <family val="1"/>
      </rPr>
      <t>max</t>
    </r>
  </si>
  <si>
    <r>
      <t>R</t>
    </r>
    <r>
      <rPr>
        <vertAlign val="subscript"/>
        <sz val="14"/>
        <color theme="1"/>
        <rFont val="Times New Roman"/>
        <family val="1"/>
      </rPr>
      <t>D</t>
    </r>
  </si>
  <si>
    <r>
      <t>N</t>
    </r>
    <r>
      <rPr>
        <vertAlign val="subscript"/>
        <sz val="14"/>
        <color theme="1"/>
        <rFont val="Times New Roman"/>
        <family val="1"/>
      </rPr>
      <t>4</t>
    </r>
  </si>
  <si>
    <r>
      <t>La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</si>
  <si>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r>
      <t>Y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</si>
  <si>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r>
      <t>SiO</t>
    </r>
    <r>
      <rPr>
        <vertAlign val="subscript"/>
        <sz val="14"/>
        <color theme="1"/>
        <rFont val="Times New Roman"/>
        <family val="1"/>
      </rPr>
      <t>2</t>
    </r>
  </si>
  <si>
    <r>
      <t>Na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</si>
  <si>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t>Li2O</t>
  </si>
  <si>
    <t>K2O</t>
  </si>
  <si>
    <t>Cs2O</t>
  </si>
  <si>
    <t>Rb2O</t>
  </si>
  <si>
    <t>CoO</t>
  </si>
  <si>
    <t>La2O3</t>
  </si>
  <si>
    <t>Y2O3</t>
  </si>
  <si>
    <t>Bi2O3</t>
  </si>
  <si>
    <t>B2O3</t>
  </si>
  <si>
    <t>Al2O3</t>
  </si>
  <si>
    <t>P2O5</t>
  </si>
  <si>
    <t>Fe2O3</t>
  </si>
  <si>
    <t>TiO2</t>
  </si>
  <si>
    <t>ZrO2</t>
  </si>
  <si>
    <t>HfO2</t>
  </si>
  <si>
    <t>Cr2O3</t>
  </si>
  <si>
    <t>TeO2</t>
  </si>
  <si>
    <t>SnO2</t>
  </si>
  <si>
    <t>Sb2O3</t>
  </si>
  <si>
    <t>SO3</t>
  </si>
  <si>
    <t>UO3</t>
  </si>
  <si>
    <t>Rmax cons</t>
  </si>
  <si>
    <t>Berstein equation</t>
  </si>
  <si>
    <t>d cons</t>
  </si>
  <si>
    <t>d slope / e</t>
  </si>
  <si>
    <t>RD1 const</t>
  </si>
  <si>
    <t>RD1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</si>
</sst>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1926-5DCB-47A4-9655-BEA6435FEB58}">
  <dimension ref="A1:K39"/>
  <sheetViews>
    <sheetView tabSelected="1" zoomScale="85" zoomScaleNormal="85" workbookViewId="0">
      <selection activeCell="H39" sqref="H39"/>
    </sheetView>
  </sheetViews>
  <sheetFormatPr defaultRowHeight="18.75" x14ac:dyDescent="0.25"/>
  <cols>
    <col min="1" max="2" width="17" style="2" customWidth="1"/>
    <col min="3" max="3" width="3.5703125" style="4" customWidth="1"/>
    <col min="4" max="4" width="16.85546875" style="2" customWidth="1"/>
    <col min="5" max="5" width="24.42578125" style="2" customWidth="1"/>
    <col min="6" max="6" width="23.5703125" style="2" customWidth="1"/>
    <col min="7" max="7" width="23.140625" style="2" customWidth="1"/>
    <col min="8" max="8" width="3.7109375" style="4" customWidth="1"/>
    <col min="9" max="9" width="9.140625" style="2"/>
    <col min="10" max="11" width="28.140625" style="2" customWidth="1"/>
    <col min="12" max="12" width="9.28515625" style="2" customWidth="1"/>
    <col min="13" max="16384" width="9.140625" style="2"/>
  </cols>
  <sheetData>
    <row r="1" spans="1:11" s="1" customFormat="1" ht="43.5" customHeight="1" x14ac:dyDescent="0.25">
      <c r="A1" s="7" t="s">
        <v>28</v>
      </c>
      <c r="B1" s="9" t="s">
        <v>15</v>
      </c>
      <c r="C1" s="3"/>
      <c r="D1" s="7"/>
      <c r="E1" s="8" t="s">
        <v>10</v>
      </c>
      <c r="F1" s="8"/>
      <c r="G1" s="9" t="s">
        <v>11</v>
      </c>
      <c r="H1" s="3"/>
      <c r="I1" s="7"/>
      <c r="J1" s="8" t="s">
        <v>10</v>
      </c>
      <c r="K1" s="9" t="s">
        <v>11</v>
      </c>
    </row>
    <row r="2" spans="1:11" ht="20.25" x14ac:dyDescent="0.25">
      <c r="A2" s="10" t="s">
        <v>38</v>
      </c>
      <c r="B2" s="14">
        <v>41.5</v>
      </c>
      <c r="D2" s="10" t="s">
        <v>6</v>
      </c>
      <c r="E2" s="5"/>
      <c r="F2" s="5" t="s">
        <v>6</v>
      </c>
      <c r="G2" s="14"/>
      <c r="I2" s="10" t="s">
        <v>29</v>
      </c>
      <c r="J2" s="6">
        <f>$B$2/SUMPRODUCT($B$3:$B$15,E3:E15)</f>
        <v>6.4641744548286608</v>
      </c>
      <c r="K2" s="11">
        <f>$B$2/SUMPRODUCT($B$3:$B$15,G3:G15)</f>
        <v>5.7638888888888893</v>
      </c>
    </row>
    <row r="3" spans="1:11" ht="20.25" x14ac:dyDescent="0.25">
      <c r="A3" s="10" t="s">
        <v>16</v>
      </c>
      <c r="B3" s="14">
        <v>4.5999999999999996</v>
      </c>
      <c r="D3" s="10" t="s">
        <v>48</v>
      </c>
      <c r="E3" s="5">
        <v>1</v>
      </c>
      <c r="F3" s="5" t="s">
        <v>48</v>
      </c>
      <c r="G3" s="14">
        <v>1</v>
      </c>
      <c r="I3" s="10" t="s">
        <v>30</v>
      </c>
      <c r="J3" s="6">
        <f>($B$16+SUMPRODUCT($B$17:$B$30,E17:E30))/SUMPRODUCT($B$3:$B$15,E3:E15)</f>
        <v>5.9112149532710285</v>
      </c>
      <c r="K3" s="11">
        <f>($B$16+SUMPRODUCT($B$17:$B$30,G17:G30))/SUMPRODUCT($B$3:$B$15,G3:G15)</f>
        <v>5.2708333333333339</v>
      </c>
    </row>
    <row r="4" spans="1:11" ht="20.25" x14ac:dyDescent="0.25">
      <c r="A4" s="10" t="s">
        <v>17</v>
      </c>
      <c r="B4" s="14">
        <v>0</v>
      </c>
      <c r="D4" s="10" t="s">
        <v>49</v>
      </c>
      <c r="E4" s="5">
        <v>4</v>
      </c>
      <c r="F4" s="5" t="s">
        <v>49</v>
      </c>
      <c r="G4" s="14">
        <v>4</v>
      </c>
      <c r="I4" s="10" t="s">
        <v>33</v>
      </c>
      <c r="J4" s="6">
        <f>E33*J2+E32</f>
        <v>0.71281931464174453</v>
      </c>
      <c r="K4" s="11">
        <f>G33*K2+G32</f>
        <v>0.77583333333333337</v>
      </c>
    </row>
    <row r="5" spans="1:11" ht="20.25" x14ac:dyDescent="0.25">
      <c r="A5" s="10" t="s">
        <v>18</v>
      </c>
      <c r="B5" s="14">
        <v>2.6</v>
      </c>
      <c r="D5" s="10" t="s">
        <v>50</v>
      </c>
      <c r="E5" s="5">
        <v>0.7</v>
      </c>
      <c r="F5" s="5" t="s">
        <v>50</v>
      </c>
      <c r="G5" s="14">
        <v>1</v>
      </c>
      <c r="I5" s="10" t="s">
        <v>34</v>
      </c>
      <c r="J5" s="6">
        <f>E35*J2+E34</f>
        <v>3.3410155763239877</v>
      </c>
      <c r="K5" s="11" t="s">
        <v>32</v>
      </c>
    </row>
    <row r="6" spans="1:11" ht="20.25" x14ac:dyDescent="0.25">
      <c r="A6" s="10" t="s">
        <v>19</v>
      </c>
      <c r="B6" s="14">
        <v>0</v>
      </c>
      <c r="D6" s="10" t="s">
        <v>51</v>
      </c>
      <c r="E6" s="5">
        <v>0</v>
      </c>
      <c r="F6" s="5" t="s">
        <v>51</v>
      </c>
      <c r="G6" s="14">
        <v>0</v>
      </c>
      <c r="I6" s="10"/>
      <c r="J6" s="6">
        <f>IF(J3&lt;=J4,J3,IF(J3&lt;=J5,J4,J4-(J3-J5)*(8+J2)/(12*(2+J2))))</f>
        <v>0.34680791398031929</v>
      </c>
      <c r="K6" s="11">
        <f>IF(K3&lt;K4,K3,G35*(G36+K3)*(G37-K3/(G38+G39*K2))^5)</f>
        <v>0.31896380136662705</v>
      </c>
    </row>
    <row r="7" spans="1:11" ht="21" thickBot="1" x14ac:dyDescent="0.3">
      <c r="A7" s="10" t="s">
        <v>20</v>
      </c>
      <c r="B7" s="14">
        <v>0</v>
      </c>
      <c r="D7" s="10" t="s">
        <v>52</v>
      </c>
      <c r="E7" s="5">
        <v>0</v>
      </c>
      <c r="F7" s="5" t="s">
        <v>52</v>
      </c>
      <c r="G7" s="14">
        <v>0</v>
      </c>
      <c r="I7" s="21" t="s">
        <v>35</v>
      </c>
      <c r="J7" s="22">
        <f>IF(J6&lt;1,IF(J6&gt;0,J6,0),1)</f>
        <v>0.34680791398031929</v>
      </c>
      <c r="K7" s="23">
        <f>IF(K6&lt;1,IF(K6&gt;0,K6,0),1)</f>
        <v>0.31896380136662705</v>
      </c>
    </row>
    <row r="8" spans="1:11" ht="20.25" x14ac:dyDescent="0.25">
      <c r="A8" s="10" t="s">
        <v>21</v>
      </c>
      <c r="B8" s="14">
        <v>0</v>
      </c>
      <c r="D8" s="10" t="s">
        <v>53</v>
      </c>
      <c r="E8" s="5">
        <v>3</v>
      </c>
      <c r="F8" s="5" t="s">
        <v>53</v>
      </c>
      <c r="G8" s="14">
        <v>2</v>
      </c>
    </row>
    <row r="9" spans="1:11" ht="20.25" x14ac:dyDescent="0.25">
      <c r="A9" s="10" t="s">
        <v>22</v>
      </c>
      <c r="B9" s="14">
        <v>0</v>
      </c>
      <c r="D9" s="10" t="s">
        <v>54</v>
      </c>
      <c r="E9" s="5">
        <v>0</v>
      </c>
      <c r="F9" s="5" t="s">
        <v>54</v>
      </c>
      <c r="G9" s="14">
        <v>0</v>
      </c>
      <c r="K9" s="24"/>
    </row>
    <row r="10" spans="1:11" x14ac:dyDescent="0.25">
      <c r="A10" s="10" t="s">
        <v>55</v>
      </c>
      <c r="B10" s="14">
        <v>0</v>
      </c>
      <c r="D10" s="10" t="s">
        <v>55</v>
      </c>
      <c r="E10" s="5">
        <v>1</v>
      </c>
      <c r="F10" s="5" t="s">
        <v>55</v>
      </c>
      <c r="G10" s="14">
        <v>0</v>
      </c>
    </row>
    <row r="11" spans="1:11" x14ac:dyDescent="0.25">
      <c r="A11" s="10" t="s">
        <v>56</v>
      </c>
      <c r="B11" s="14">
        <v>0</v>
      </c>
      <c r="D11" s="10" t="s">
        <v>56</v>
      </c>
      <c r="E11" s="5">
        <v>0</v>
      </c>
      <c r="F11" s="5" t="s">
        <v>56</v>
      </c>
      <c r="G11" s="14">
        <v>0</v>
      </c>
    </row>
    <row r="12" spans="1:11" x14ac:dyDescent="0.25">
      <c r="A12" s="10" t="s">
        <v>57</v>
      </c>
      <c r="B12" s="14">
        <v>0</v>
      </c>
      <c r="D12" s="10" t="s">
        <v>57</v>
      </c>
      <c r="E12" s="5">
        <v>0</v>
      </c>
      <c r="F12" s="5" t="s">
        <v>57</v>
      </c>
      <c r="G12" s="14">
        <v>0</v>
      </c>
    </row>
    <row r="13" spans="1:11" x14ac:dyDescent="0.25">
      <c r="A13" s="10" t="s">
        <v>58</v>
      </c>
      <c r="B13" s="14">
        <v>0</v>
      </c>
      <c r="D13" s="10" t="s">
        <v>58</v>
      </c>
      <c r="E13" s="5">
        <v>1</v>
      </c>
      <c r="F13" s="5" t="s">
        <v>58</v>
      </c>
      <c r="G13" s="14">
        <v>0</v>
      </c>
    </row>
    <row r="14" spans="1:11" x14ac:dyDescent="0.25">
      <c r="A14" s="10" t="s">
        <v>59</v>
      </c>
      <c r="B14" s="14">
        <v>0</v>
      </c>
      <c r="D14" s="10" t="s">
        <v>59</v>
      </c>
      <c r="E14" s="5">
        <v>0</v>
      </c>
      <c r="F14" s="5" t="s">
        <v>59</v>
      </c>
      <c r="G14" s="14">
        <v>0</v>
      </c>
    </row>
    <row r="15" spans="1:11" x14ac:dyDescent="0.25">
      <c r="A15" s="10" t="s">
        <v>60</v>
      </c>
      <c r="B15" s="14">
        <v>0</v>
      </c>
      <c r="D15" s="10" t="s">
        <v>60</v>
      </c>
      <c r="E15" s="5">
        <v>1</v>
      </c>
      <c r="F15" s="5" t="s">
        <v>60</v>
      </c>
      <c r="G15" s="14">
        <v>0.2</v>
      </c>
    </row>
    <row r="16" spans="1:11" ht="20.25" x14ac:dyDescent="0.25">
      <c r="A16" s="10" t="s">
        <v>39</v>
      </c>
      <c r="B16" s="14">
        <v>24.6</v>
      </c>
      <c r="D16" s="10" t="s">
        <v>7</v>
      </c>
      <c r="E16" s="5"/>
      <c r="F16" s="5" t="s">
        <v>7</v>
      </c>
      <c r="G16" s="14"/>
    </row>
    <row r="17" spans="1:7" ht="20.25" x14ac:dyDescent="0.25">
      <c r="A17" s="10" t="s">
        <v>23</v>
      </c>
      <c r="B17" s="14">
        <v>0</v>
      </c>
      <c r="D17" s="10" t="s">
        <v>40</v>
      </c>
      <c r="E17" s="5">
        <v>1</v>
      </c>
      <c r="F17" s="5" t="s">
        <v>40</v>
      </c>
      <c r="G17" s="14">
        <v>1</v>
      </c>
    </row>
    <row r="18" spans="1:7" ht="20.25" x14ac:dyDescent="0.25">
      <c r="A18" s="10" t="s">
        <v>24</v>
      </c>
      <c r="B18" s="14">
        <v>0</v>
      </c>
      <c r="D18" s="10" t="s">
        <v>41</v>
      </c>
      <c r="E18" s="5">
        <v>1</v>
      </c>
      <c r="F18" s="5" t="s">
        <v>41</v>
      </c>
      <c r="G18" s="14">
        <v>1</v>
      </c>
    </row>
    <row r="19" spans="1:7" ht="20.25" x14ac:dyDescent="0.25">
      <c r="A19" s="10" t="s">
        <v>25</v>
      </c>
      <c r="B19" s="14">
        <v>0</v>
      </c>
      <c r="D19" s="10" t="s">
        <v>42</v>
      </c>
      <c r="E19" s="5">
        <v>1</v>
      </c>
      <c r="F19" s="5" t="s">
        <v>42</v>
      </c>
      <c r="G19" s="14">
        <v>1</v>
      </c>
    </row>
    <row r="20" spans="1:7" ht="20.25" x14ac:dyDescent="0.25">
      <c r="A20" s="10" t="s">
        <v>26</v>
      </c>
      <c r="B20" s="14">
        <v>0</v>
      </c>
      <c r="D20" s="10" t="s">
        <v>43</v>
      </c>
      <c r="E20" s="5">
        <v>1</v>
      </c>
      <c r="F20" s="5" t="s">
        <v>43</v>
      </c>
      <c r="G20" s="14">
        <v>1</v>
      </c>
    </row>
    <row r="21" spans="1:7" x14ac:dyDescent="0.25">
      <c r="A21" s="10" t="s">
        <v>0</v>
      </c>
      <c r="B21" s="14">
        <v>26.7</v>
      </c>
      <c r="D21" s="10" t="s">
        <v>0</v>
      </c>
      <c r="E21" s="5">
        <v>0.5</v>
      </c>
      <c r="F21" s="5" t="s">
        <v>0</v>
      </c>
      <c r="G21" s="14">
        <v>0.5</v>
      </c>
    </row>
    <row r="22" spans="1:7" x14ac:dyDescent="0.25">
      <c r="A22" s="10" t="s">
        <v>1</v>
      </c>
      <c r="B22" s="14">
        <v>0</v>
      </c>
      <c r="D22" s="10" t="s">
        <v>1</v>
      </c>
      <c r="E22" s="5">
        <v>0.5</v>
      </c>
      <c r="F22" s="5" t="s">
        <v>1</v>
      </c>
      <c r="G22" s="14">
        <v>0.5</v>
      </c>
    </row>
    <row r="23" spans="1:7" x14ac:dyDescent="0.25">
      <c r="A23" s="10" t="s">
        <v>5</v>
      </c>
      <c r="B23" s="14">
        <v>0</v>
      </c>
      <c r="D23" s="10" t="s">
        <v>5</v>
      </c>
      <c r="E23" s="5">
        <v>0.5</v>
      </c>
      <c r="F23" s="5" t="s">
        <v>5</v>
      </c>
      <c r="G23" s="14">
        <v>0.5</v>
      </c>
    </row>
    <row r="24" spans="1:7" x14ac:dyDescent="0.25">
      <c r="A24" s="10" t="s">
        <v>3</v>
      </c>
      <c r="B24" s="14">
        <v>0</v>
      </c>
      <c r="D24" s="10" t="s">
        <v>3</v>
      </c>
      <c r="E24" s="5">
        <v>0.5</v>
      </c>
      <c r="F24" s="5" t="s">
        <v>3</v>
      </c>
      <c r="G24" s="14">
        <v>0.5</v>
      </c>
    </row>
    <row r="25" spans="1:7" x14ac:dyDescent="0.25">
      <c r="A25" s="10" t="s">
        <v>2</v>
      </c>
      <c r="B25" s="14">
        <v>0</v>
      </c>
      <c r="D25" s="10" t="s">
        <v>2</v>
      </c>
      <c r="E25" s="5">
        <v>0.5</v>
      </c>
      <c r="F25" s="5" t="s">
        <v>2</v>
      </c>
      <c r="G25" s="14">
        <v>0.5</v>
      </c>
    </row>
    <row r="26" spans="1:7" x14ac:dyDescent="0.25">
      <c r="A26" s="10" t="s">
        <v>4</v>
      </c>
      <c r="B26" s="14">
        <v>0</v>
      </c>
      <c r="D26" s="10" t="s">
        <v>4</v>
      </c>
      <c r="E26" s="5">
        <v>0.5</v>
      </c>
      <c r="F26" s="5" t="s">
        <v>4</v>
      </c>
      <c r="G26" s="14">
        <v>0.5</v>
      </c>
    </row>
    <row r="27" spans="1:7" x14ac:dyDescent="0.25">
      <c r="A27" s="10" t="s">
        <v>44</v>
      </c>
      <c r="B27" s="14">
        <v>0</v>
      </c>
      <c r="D27" s="10" t="s">
        <v>44</v>
      </c>
      <c r="E27" s="13">
        <v>0.5</v>
      </c>
      <c r="F27" s="5" t="s">
        <v>44</v>
      </c>
      <c r="G27" s="18">
        <v>0.5</v>
      </c>
    </row>
    <row r="28" spans="1:7" ht="20.25" x14ac:dyDescent="0.25">
      <c r="A28" s="10" t="s">
        <v>36</v>
      </c>
      <c r="B28" s="14">
        <v>0</v>
      </c>
      <c r="D28" s="10" t="s">
        <v>45</v>
      </c>
      <c r="E28" s="13">
        <v>0.33333333333333331</v>
      </c>
      <c r="F28" s="5" t="s">
        <v>45</v>
      </c>
      <c r="G28" s="18">
        <v>0.33333333333333331</v>
      </c>
    </row>
    <row r="29" spans="1:7" ht="20.25" x14ac:dyDescent="0.25">
      <c r="A29" s="10" t="s">
        <v>37</v>
      </c>
      <c r="B29" s="14">
        <v>0</v>
      </c>
      <c r="D29" s="10" t="s">
        <v>46</v>
      </c>
      <c r="E29" s="13">
        <v>0.33333333333333331</v>
      </c>
      <c r="F29" s="5" t="s">
        <v>46</v>
      </c>
      <c r="G29" s="18">
        <v>0.33333333333333331</v>
      </c>
    </row>
    <row r="30" spans="1:7" ht="21" thickBot="1" x14ac:dyDescent="0.3">
      <c r="A30" s="12" t="s">
        <v>27</v>
      </c>
      <c r="B30" s="15">
        <v>0</v>
      </c>
      <c r="D30" s="10" t="s">
        <v>47</v>
      </c>
      <c r="E30" s="13">
        <v>0.33333333333333331</v>
      </c>
      <c r="F30" s="5" t="s">
        <v>47</v>
      </c>
      <c r="G30" s="18">
        <v>0.33333333333333331</v>
      </c>
    </row>
    <row r="31" spans="1:7" ht="19.5" thickBot="1" x14ac:dyDescent="0.3">
      <c r="A31" s="16" t="s">
        <v>31</v>
      </c>
      <c r="B31" s="17">
        <f>SUM(B2:B30)</f>
        <v>100.00000000000001</v>
      </c>
      <c r="D31" s="10" t="s">
        <v>8</v>
      </c>
      <c r="E31" s="5"/>
      <c r="F31" s="5" t="s">
        <v>8</v>
      </c>
      <c r="G31" s="14"/>
    </row>
    <row r="32" spans="1:7" x14ac:dyDescent="0.25">
      <c r="D32" s="10" t="s">
        <v>61</v>
      </c>
      <c r="E32" s="6">
        <v>0.59</v>
      </c>
      <c r="F32" s="5" t="s">
        <v>61</v>
      </c>
      <c r="G32" s="18">
        <v>0.43</v>
      </c>
    </row>
    <row r="33" spans="4:7" x14ac:dyDescent="0.25">
      <c r="D33" s="10" t="s">
        <v>9</v>
      </c>
      <c r="E33" s="6">
        <v>1.9E-2</v>
      </c>
      <c r="F33" s="5" t="s">
        <v>9</v>
      </c>
      <c r="G33" s="18">
        <v>0.06</v>
      </c>
    </row>
    <row r="34" spans="4:7" x14ac:dyDescent="0.25">
      <c r="D34" s="10" t="s">
        <v>65</v>
      </c>
      <c r="E34" s="6">
        <v>9.6000000000000002E-2</v>
      </c>
      <c r="F34" s="5" t="s">
        <v>62</v>
      </c>
      <c r="G34" s="18"/>
    </row>
    <row r="35" spans="4:7" x14ac:dyDescent="0.25">
      <c r="D35" s="10" t="s">
        <v>66</v>
      </c>
      <c r="E35" s="6">
        <v>0.502</v>
      </c>
      <c r="F35" s="5" t="s">
        <v>12</v>
      </c>
      <c r="G35" s="18">
        <v>0.24</v>
      </c>
    </row>
    <row r="36" spans="4:7" x14ac:dyDescent="0.25">
      <c r="D36" s="10"/>
      <c r="E36" s="5"/>
      <c r="F36" s="5" t="s">
        <v>13</v>
      </c>
      <c r="G36" s="18">
        <v>0.26</v>
      </c>
    </row>
    <row r="37" spans="4:7" x14ac:dyDescent="0.25">
      <c r="D37" s="10"/>
      <c r="E37" s="5"/>
      <c r="F37" s="5" t="s">
        <v>14</v>
      </c>
      <c r="G37" s="18">
        <v>1.31</v>
      </c>
    </row>
    <row r="38" spans="4:7" x14ac:dyDescent="0.25">
      <c r="D38" s="10"/>
      <c r="E38" s="5"/>
      <c r="F38" s="5" t="s">
        <v>63</v>
      </c>
      <c r="G38" s="18">
        <v>3.68</v>
      </c>
    </row>
    <row r="39" spans="4:7" ht="19.5" thickBot="1" x14ac:dyDescent="0.3">
      <c r="D39" s="12"/>
      <c r="E39" s="19"/>
      <c r="F39" s="19" t="s">
        <v>64</v>
      </c>
      <c r="G39" s="2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Xiaonan</dc:creator>
  <cp:lastModifiedBy>Curry, Chloe E</cp:lastModifiedBy>
  <dcterms:created xsi:type="dcterms:W3CDTF">2021-03-26T16:41:00Z</dcterms:created>
  <dcterms:modified xsi:type="dcterms:W3CDTF">2026-01-28T17:06:50Z</dcterms:modified>
</cp:coreProperties>
</file>