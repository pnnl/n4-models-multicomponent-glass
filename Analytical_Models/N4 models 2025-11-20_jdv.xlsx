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r666\boron-coordinaton\data_package\Analytical_Models\"/>
    </mc:Choice>
  </mc:AlternateContent>
  <xr:revisionPtr revIDLastSave="0" documentId="13_ncr:1_{4886E5D5-95B2-412E-ABCB-849B5958FCC5}" xr6:coauthVersionLast="47" xr6:coauthVersionMax="47" xr10:uidLastSave="{00000000-0000-0000-0000-000000000000}"/>
  <bookViews>
    <workbookView xWindow="22932" yWindow="-108" windowWidth="23256" windowHeight="13896" xr2:uid="{6B0C4C38-7F0F-43DD-93B9-0E59D05C3319}"/>
  </bookViews>
  <sheets>
    <sheet name="DS model" sheetId="23" r:id="rId1"/>
    <sheet name="Bernstein model" sheetId="26" r:id="rId2"/>
  </sheets>
  <definedNames>
    <definedName name="solver_adj" localSheetId="1" hidden="1">'Bernstein model'!$BQ$32:$BQ$33,'Bernstein model'!$BQ$35:$BQ$39</definedName>
    <definedName name="solver_adj" localSheetId="0" hidden="1">'DS model'!$BR$32:$BR$35</definedName>
    <definedName name="solver_cvg" localSheetId="1" hidden="1">0.0001</definedName>
    <definedName name="solver_cvg" localSheetId="0" hidden="1">0.0001</definedName>
    <definedName name="solver_drv" localSheetId="1" hidden="1">2</definedName>
    <definedName name="solver_drv" localSheetId="0" hidden="1">2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1</definedName>
    <definedName name="solver_msl" localSheetId="0" hidden="1">1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'Bernstein model'!$BQ$41</definedName>
    <definedName name="solver_opt" localSheetId="0" hidden="1">'DS model'!$BR$39</definedName>
    <definedName name="solver_pre" localSheetId="1" hidden="1">0.00000001</definedName>
    <definedName name="solver_pre" localSheetId="0" hidden="1">0.000001</definedName>
    <definedName name="solver_rbv" localSheetId="1" hidden="1">2</definedName>
    <definedName name="solver_rbv" localSheetId="0" hidden="1">2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1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R42" i="26" l="1"/>
  <c r="BF791" i="26"/>
  <c r="BG791" i="26"/>
  <c r="BI791" i="26" s="1"/>
  <c r="BH791" i="26"/>
  <c r="BJ791" i="26"/>
  <c r="BN791" i="26"/>
  <c r="BF792" i="26"/>
  <c r="BG792" i="26"/>
  <c r="BI792" i="26" s="1"/>
  <c r="BH792" i="26"/>
  <c r="BJ792" i="26" s="1"/>
  <c r="BN792" i="26"/>
  <c r="BF793" i="26"/>
  <c r="BG793" i="26"/>
  <c r="BI793" i="26" s="1"/>
  <c r="BH793" i="26"/>
  <c r="BJ793" i="26" s="1"/>
  <c r="BN793" i="26"/>
  <c r="BF794" i="26"/>
  <c r="BG794" i="26"/>
  <c r="BH794" i="26"/>
  <c r="BI794" i="26"/>
  <c r="BJ794" i="26"/>
  <c r="BK794" i="26"/>
  <c r="BL794" i="26" s="1"/>
  <c r="BM794" i="26" s="1"/>
  <c r="BN794" i="26"/>
  <c r="BF795" i="26"/>
  <c r="BG795" i="26"/>
  <c r="BI795" i="26" s="1"/>
  <c r="BK795" i="26" s="1"/>
  <c r="BL795" i="26" s="1"/>
  <c r="BM795" i="26" s="1"/>
  <c r="BH795" i="26"/>
  <c r="BJ795" i="26"/>
  <c r="BN795" i="26"/>
  <c r="AQ791" i="26"/>
  <c r="AR791" i="26"/>
  <c r="AS791" i="26"/>
  <c r="AT791" i="26"/>
  <c r="AU791" i="26"/>
  <c r="AV791" i="26"/>
  <c r="AQ792" i="26"/>
  <c r="AR792" i="26"/>
  <c r="AS792" i="26"/>
  <c r="AT792" i="26"/>
  <c r="AU792" i="26"/>
  <c r="AV792" i="26"/>
  <c r="AQ793" i="26"/>
  <c r="AR793" i="26"/>
  <c r="AS793" i="26"/>
  <c r="AT793" i="26"/>
  <c r="AU793" i="26"/>
  <c r="AV793" i="26"/>
  <c r="AQ794" i="26"/>
  <c r="AR794" i="26"/>
  <c r="AS794" i="26"/>
  <c r="AT794" i="26"/>
  <c r="AU794" i="26"/>
  <c r="AV794" i="26"/>
  <c r="AQ795" i="26"/>
  <c r="AR795" i="26"/>
  <c r="AS795" i="26"/>
  <c r="AT795" i="26"/>
  <c r="AU795" i="26"/>
  <c r="AV795" i="26"/>
  <c r="BM790" i="23"/>
  <c r="BH789" i="23"/>
  <c r="BI789" i="23"/>
  <c r="BJ789" i="23"/>
  <c r="BK789" i="23"/>
  <c r="BL789" i="23" s="1"/>
  <c r="BM789" i="23" s="1"/>
  <c r="BH790" i="23"/>
  <c r="BJ790" i="23" s="1"/>
  <c r="BI790" i="23"/>
  <c r="BL790" i="23" s="1"/>
  <c r="BH791" i="23"/>
  <c r="BJ791" i="23" s="1"/>
  <c r="BI791" i="23"/>
  <c r="BH792" i="23"/>
  <c r="BI792" i="23"/>
  <c r="BJ792" i="23"/>
  <c r="BK792" i="23"/>
  <c r="BH793" i="23"/>
  <c r="BI793" i="23"/>
  <c r="BJ793" i="23"/>
  <c r="BK793" i="23"/>
  <c r="BG789" i="23"/>
  <c r="BG790" i="23"/>
  <c r="BG791" i="23"/>
  <c r="BG792" i="23"/>
  <c r="BG793" i="23"/>
  <c r="BF789" i="23"/>
  <c r="BF790" i="23"/>
  <c r="BF791" i="23"/>
  <c r="BF792" i="23"/>
  <c r="BF793" i="23"/>
  <c r="AV788" i="23"/>
  <c r="AV789" i="23"/>
  <c r="AV790" i="23"/>
  <c r="AV791" i="23"/>
  <c r="AV792" i="23"/>
  <c r="AV793" i="23"/>
  <c r="AU788" i="23"/>
  <c r="AU789" i="23"/>
  <c r="AU790" i="23"/>
  <c r="AU791" i="23"/>
  <c r="AU792" i="23"/>
  <c r="AU793" i="23"/>
  <c r="AT788" i="23"/>
  <c r="AT789" i="23"/>
  <c r="AT790" i="23"/>
  <c r="AT791" i="23"/>
  <c r="AT792" i="23"/>
  <c r="AT793" i="23"/>
  <c r="AS788" i="23"/>
  <c r="AS789" i="23"/>
  <c r="AS790" i="23"/>
  <c r="AS791" i="23"/>
  <c r="AS792" i="23"/>
  <c r="AS793" i="23"/>
  <c r="AR788" i="23"/>
  <c r="AR789" i="23"/>
  <c r="AR790" i="23"/>
  <c r="AR791" i="23"/>
  <c r="AR792" i="23"/>
  <c r="AR793" i="23"/>
  <c r="AQ789" i="23"/>
  <c r="AQ790" i="23"/>
  <c r="AQ791" i="23"/>
  <c r="AQ792" i="23"/>
  <c r="AQ793" i="23"/>
  <c r="BQ15" i="26"/>
  <c r="BF363" i="26" s="1"/>
  <c r="BH363" i="26" s="1"/>
  <c r="BJ363" i="26" s="1"/>
  <c r="BQ28" i="26"/>
  <c r="BQ29" i="26"/>
  <c r="BQ30" i="26"/>
  <c r="BQ26" i="26"/>
  <c r="BQ27" i="26"/>
  <c r="BQ23" i="26"/>
  <c r="BQ24" i="26"/>
  <c r="BQ25" i="26"/>
  <c r="BQ18" i="26"/>
  <c r="BQ19" i="26"/>
  <c r="BQ20" i="26"/>
  <c r="BQ21" i="26"/>
  <c r="BQ22" i="26"/>
  <c r="BQ17" i="26"/>
  <c r="AU2" i="26"/>
  <c r="AT2" i="26"/>
  <c r="AR2" i="26"/>
  <c r="H789" i="26"/>
  <c r="I789" i="26"/>
  <c r="J789" i="26"/>
  <c r="K789" i="26"/>
  <c r="L789" i="26"/>
  <c r="M789" i="26"/>
  <c r="N789" i="26"/>
  <c r="O789" i="26"/>
  <c r="P789" i="26"/>
  <c r="Q789" i="26"/>
  <c r="R789" i="26"/>
  <c r="S789" i="26"/>
  <c r="T789" i="26"/>
  <c r="U789" i="26"/>
  <c r="V789" i="26"/>
  <c r="W789" i="26"/>
  <c r="X789" i="26"/>
  <c r="Y789" i="26"/>
  <c r="Z789" i="26"/>
  <c r="AA789" i="26"/>
  <c r="AB789" i="26"/>
  <c r="AC789" i="26"/>
  <c r="AD789" i="26"/>
  <c r="AE789" i="26"/>
  <c r="AF789" i="26"/>
  <c r="AG789" i="26"/>
  <c r="AH789" i="26"/>
  <c r="AI789" i="26"/>
  <c r="G789" i="26"/>
  <c r="BH797" i="26"/>
  <c r="AV797" i="26"/>
  <c r="AU797" i="26"/>
  <c r="AT797" i="26"/>
  <c r="AS797" i="26"/>
  <c r="AR797" i="26"/>
  <c r="AQ797" i="26"/>
  <c r="AV787" i="26"/>
  <c r="AU787" i="26"/>
  <c r="AT787" i="26"/>
  <c r="AS787" i="26"/>
  <c r="AR787" i="26"/>
  <c r="AQ787" i="26"/>
  <c r="AV786" i="26"/>
  <c r="AU786" i="26"/>
  <c r="AT786" i="26"/>
  <c r="AS786" i="26"/>
  <c r="AR786" i="26"/>
  <c r="AQ786" i="26"/>
  <c r="AV785" i="26"/>
  <c r="AU785" i="26"/>
  <c r="AT785" i="26"/>
  <c r="AS785" i="26"/>
  <c r="AR785" i="26"/>
  <c r="AQ785" i="26"/>
  <c r="AV784" i="26"/>
  <c r="AU784" i="26"/>
  <c r="AT784" i="26"/>
  <c r="AS784" i="26"/>
  <c r="AR784" i="26"/>
  <c r="AQ784" i="26"/>
  <c r="AV783" i="26"/>
  <c r="AU783" i="26"/>
  <c r="AT783" i="26"/>
  <c r="AS783" i="26"/>
  <c r="AR783" i="26"/>
  <c r="AQ783" i="26"/>
  <c r="AV782" i="26"/>
  <c r="AU782" i="26"/>
  <c r="AT782" i="26"/>
  <c r="AS782" i="26"/>
  <c r="AR782" i="26"/>
  <c r="AQ782" i="26"/>
  <c r="AV781" i="26"/>
  <c r="AU781" i="26"/>
  <c r="AT781" i="26"/>
  <c r="AS781" i="26"/>
  <c r="AR781" i="26"/>
  <c r="AQ781" i="26"/>
  <c r="BF780" i="26"/>
  <c r="BH780" i="26" s="1"/>
  <c r="BJ780" i="26" s="1"/>
  <c r="AV780" i="26"/>
  <c r="AU780" i="26"/>
  <c r="AT780" i="26"/>
  <c r="AS780" i="26"/>
  <c r="AR780" i="26"/>
  <c r="AQ780" i="26"/>
  <c r="AV779" i="26"/>
  <c r="AU779" i="26"/>
  <c r="AT779" i="26"/>
  <c r="AS779" i="26"/>
  <c r="AR779" i="26"/>
  <c r="AQ779" i="26"/>
  <c r="BF778" i="26"/>
  <c r="BH778" i="26" s="1"/>
  <c r="BJ778" i="26" s="1"/>
  <c r="AV778" i="26"/>
  <c r="AU778" i="26"/>
  <c r="AT778" i="26"/>
  <c r="AS778" i="26"/>
  <c r="AR778" i="26"/>
  <c r="AQ778" i="26"/>
  <c r="AV777" i="26"/>
  <c r="AU777" i="26"/>
  <c r="AT777" i="26"/>
  <c r="AS777" i="26"/>
  <c r="AR777" i="26"/>
  <c r="AQ777" i="26"/>
  <c r="AV776" i="26"/>
  <c r="AU776" i="26"/>
  <c r="AT776" i="26"/>
  <c r="AS776" i="26"/>
  <c r="AR776" i="26"/>
  <c r="AQ776" i="26"/>
  <c r="AV775" i="26"/>
  <c r="AU775" i="26"/>
  <c r="AT775" i="26"/>
  <c r="AS775" i="26"/>
  <c r="AR775" i="26"/>
  <c r="AQ775" i="26"/>
  <c r="AV774" i="26"/>
  <c r="AU774" i="26"/>
  <c r="AT774" i="26"/>
  <c r="AS774" i="26"/>
  <c r="AR774" i="26"/>
  <c r="AQ774" i="26"/>
  <c r="AV773" i="26"/>
  <c r="AU773" i="26"/>
  <c r="AT773" i="26"/>
  <c r="AS773" i="26"/>
  <c r="AR773" i="26"/>
  <c r="AQ773" i="26"/>
  <c r="AV772" i="26"/>
  <c r="AU772" i="26"/>
  <c r="AT772" i="26"/>
  <c r="AS772" i="26"/>
  <c r="AR772" i="26"/>
  <c r="AQ772" i="26"/>
  <c r="AV771" i="26"/>
  <c r="AU771" i="26"/>
  <c r="AT771" i="26"/>
  <c r="AS771" i="26"/>
  <c r="AR771" i="26"/>
  <c r="AQ771" i="26"/>
  <c r="AV770" i="26"/>
  <c r="AU770" i="26"/>
  <c r="AT770" i="26"/>
  <c r="AS770" i="26"/>
  <c r="AR770" i="26"/>
  <c r="AQ770" i="26"/>
  <c r="AV769" i="26"/>
  <c r="AU769" i="26"/>
  <c r="AT769" i="26"/>
  <c r="AS769" i="26"/>
  <c r="AR769" i="26"/>
  <c r="AQ769" i="26"/>
  <c r="AV768" i="26"/>
  <c r="AU768" i="26"/>
  <c r="AT768" i="26"/>
  <c r="AS768" i="26"/>
  <c r="AR768" i="26"/>
  <c r="AQ768" i="26"/>
  <c r="AV767" i="26"/>
  <c r="AU767" i="26"/>
  <c r="AT767" i="26"/>
  <c r="AS767" i="26"/>
  <c r="AR767" i="26"/>
  <c r="AQ767" i="26"/>
  <c r="AV766" i="26"/>
  <c r="AU766" i="26"/>
  <c r="AT766" i="26"/>
  <c r="AS766" i="26"/>
  <c r="AR766" i="26"/>
  <c r="AQ766" i="26"/>
  <c r="AV765" i="26"/>
  <c r="AU765" i="26"/>
  <c r="AT765" i="26"/>
  <c r="AS765" i="26"/>
  <c r="AR765" i="26"/>
  <c r="AQ765" i="26"/>
  <c r="AV764" i="26"/>
  <c r="AU764" i="26"/>
  <c r="AT764" i="26"/>
  <c r="AS764" i="26"/>
  <c r="AR764" i="26"/>
  <c r="AQ764" i="26"/>
  <c r="AV763" i="26"/>
  <c r="AU763" i="26"/>
  <c r="AT763" i="26"/>
  <c r="AS763" i="26"/>
  <c r="AR763" i="26"/>
  <c r="AQ763" i="26"/>
  <c r="AV762" i="26"/>
  <c r="AU762" i="26"/>
  <c r="AT762" i="26"/>
  <c r="AS762" i="26"/>
  <c r="AR762" i="26"/>
  <c r="AQ762" i="26"/>
  <c r="AV761" i="26"/>
  <c r="AU761" i="26"/>
  <c r="AT761" i="26"/>
  <c r="AS761" i="26"/>
  <c r="AR761" i="26"/>
  <c r="AQ761" i="26"/>
  <c r="AV760" i="26"/>
  <c r="AU760" i="26"/>
  <c r="AT760" i="26"/>
  <c r="AS760" i="26"/>
  <c r="AR760" i="26"/>
  <c r="AQ760" i="26"/>
  <c r="AV759" i="26"/>
  <c r="AU759" i="26"/>
  <c r="AT759" i="26"/>
  <c r="AS759" i="26"/>
  <c r="AR759" i="26"/>
  <c r="AQ759" i="26"/>
  <c r="AV758" i="26"/>
  <c r="AU758" i="26"/>
  <c r="AT758" i="26"/>
  <c r="AS758" i="26"/>
  <c r="AR758" i="26"/>
  <c r="AQ758" i="26"/>
  <c r="AV757" i="26"/>
  <c r="AU757" i="26"/>
  <c r="AT757" i="26"/>
  <c r="AS757" i="26"/>
  <c r="AR757" i="26"/>
  <c r="AQ757" i="26"/>
  <c r="AV756" i="26"/>
  <c r="AU756" i="26"/>
  <c r="AT756" i="26"/>
  <c r="AS756" i="26"/>
  <c r="AR756" i="26"/>
  <c r="AQ756" i="26"/>
  <c r="AV755" i="26"/>
  <c r="AU755" i="26"/>
  <c r="AT755" i="26"/>
  <c r="AS755" i="26"/>
  <c r="AR755" i="26"/>
  <c r="AQ755" i="26"/>
  <c r="AV754" i="26"/>
  <c r="AU754" i="26"/>
  <c r="AT754" i="26"/>
  <c r="AS754" i="26"/>
  <c r="AR754" i="26"/>
  <c r="AQ754" i="26"/>
  <c r="AV753" i="26"/>
  <c r="AU753" i="26"/>
  <c r="AT753" i="26"/>
  <c r="AS753" i="26"/>
  <c r="AR753" i="26"/>
  <c r="AQ753" i="26"/>
  <c r="AV752" i="26"/>
  <c r="AU752" i="26"/>
  <c r="AT752" i="26"/>
  <c r="AS752" i="26"/>
  <c r="AR752" i="26"/>
  <c r="AQ752" i="26"/>
  <c r="AV751" i="26"/>
  <c r="AU751" i="26"/>
  <c r="AT751" i="26"/>
  <c r="AS751" i="26"/>
  <c r="AR751" i="26"/>
  <c r="AQ751" i="26"/>
  <c r="AV750" i="26"/>
  <c r="AU750" i="26"/>
  <c r="AT750" i="26"/>
  <c r="AS750" i="26"/>
  <c r="AR750" i="26"/>
  <c r="AQ750" i="26"/>
  <c r="AV749" i="26"/>
  <c r="AU749" i="26"/>
  <c r="AT749" i="26"/>
  <c r="AS749" i="26"/>
  <c r="AR749" i="26"/>
  <c r="AQ749" i="26"/>
  <c r="AV748" i="26"/>
  <c r="AU748" i="26"/>
  <c r="AT748" i="26"/>
  <c r="AS748" i="26"/>
  <c r="AR748" i="26"/>
  <c r="AQ748" i="26"/>
  <c r="AV747" i="26"/>
  <c r="AU747" i="26"/>
  <c r="AT747" i="26"/>
  <c r="AS747" i="26"/>
  <c r="AR747" i="26"/>
  <c r="AQ747" i="26"/>
  <c r="AV746" i="26"/>
  <c r="AU746" i="26"/>
  <c r="AT746" i="26"/>
  <c r="AS746" i="26"/>
  <c r="AR746" i="26"/>
  <c r="AQ746" i="26"/>
  <c r="AV745" i="26"/>
  <c r="AU745" i="26"/>
  <c r="AT745" i="26"/>
  <c r="AS745" i="26"/>
  <c r="AR745" i="26"/>
  <c r="AQ745" i="26"/>
  <c r="AV744" i="26"/>
  <c r="AU744" i="26"/>
  <c r="AT744" i="26"/>
  <c r="AS744" i="26"/>
  <c r="AR744" i="26"/>
  <c r="AQ744" i="26"/>
  <c r="AV743" i="26"/>
  <c r="AU743" i="26"/>
  <c r="AT743" i="26"/>
  <c r="AS743" i="26"/>
  <c r="AR743" i="26"/>
  <c r="AQ743" i="26"/>
  <c r="AV742" i="26"/>
  <c r="AU742" i="26"/>
  <c r="AT742" i="26"/>
  <c r="AS742" i="26"/>
  <c r="AR742" i="26"/>
  <c r="AQ742" i="26"/>
  <c r="AV741" i="26"/>
  <c r="AU741" i="26"/>
  <c r="AT741" i="26"/>
  <c r="AS741" i="26"/>
  <c r="AR741" i="26"/>
  <c r="AQ741" i="26"/>
  <c r="AV740" i="26"/>
  <c r="AU740" i="26"/>
  <c r="AT740" i="26"/>
  <c r="AS740" i="26"/>
  <c r="AR740" i="26"/>
  <c r="AQ740" i="26"/>
  <c r="AV739" i="26"/>
  <c r="AU739" i="26"/>
  <c r="AT739" i="26"/>
  <c r="AS739" i="26"/>
  <c r="AR739" i="26"/>
  <c r="AQ739" i="26"/>
  <c r="AV738" i="26"/>
  <c r="AU738" i="26"/>
  <c r="AT738" i="26"/>
  <c r="AS738" i="26"/>
  <c r="AR738" i="26"/>
  <c r="AQ738" i="26"/>
  <c r="AV737" i="26"/>
  <c r="AU737" i="26"/>
  <c r="AT737" i="26"/>
  <c r="AS737" i="26"/>
  <c r="AR737" i="26"/>
  <c r="AQ737" i="26"/>
  <c r="AV736" i="26"/>
  <c r="AU736" i="26"/>
  <c r="AT736" i="26"/>
  <c r="AS736" i="26"/>
  <c r="AR736" i="26"/>
  <c r="AQ736" i="26"/>
  <c r="AV735" i="26"/>
  <c r="AU735" i="26"/>
  <c r="AT735" i="26"/>
  <c r="AS735" i="26"/>
  <c r="AR735" i="26"/>
  <c r="AQ735" i="26"/>
  <c r="AV734" i="26"/>
  <c r="AU734" i="26"/>
  <c r="AT734" i="26"/>
  <c r="AS734" i="26"/>
  <c r="AR734" i="26"/>
  <c r="AQ734" i="26"/>
  <c r="AV733" i="26"/>
  <c r="AU733" i="26"/>
  <c r="AT733" i="26"/>
  <c r="AS733" i="26"/>
  <c r="AR733" i="26"/>
  <c r="AQ733" i="26"/>
  <c r="AV732" i="26"/>
  <c r="AU732" i="26"/>
  <c r="AT732" i="26"/>
  <c r="AS732" i="26"/>
  <c r="AR732" i="26"/>
  <c r="AQ732" i="26"/>
  <c r="AV731" i="26"/>
  <c r="AU731" i="26"/>
  <c r="AT731" i="26"/>
  <c r="AS731" i="26"/>
  <c r="AR731" i="26"/>
  <c r="AQ731" i="26"/>
  <c r="AV730" i="26"/>
  <c r="AU730" i="26"/>
  <c r="AT730" i="26"/>
  <c r="AS730" i="26"/>
  <c r="AR730" i="26"/>
  <c r="AQ730" i="26"/>
  <c r="AV729" i="26"/>
  <c r="AU729" i="26"/>
  <c r="AT729" i="26"/>
  <c r="AS729" i="26"/>
  <c r="AR729" i="26"/>
  <c r="AQ729" i="26"/>
  <c r="AV728" i="26"/>
  <c r="AU728" i="26"/>
  <c r="AT728" i="26"/>
  <c r="AS728" i="26"/>
  <c r="AR728" i="26"/>
  <c r="AQ728" i="26"/>
  <c r="AV727" i="26"/>
  <c r="AU727" i="26"/>
  <c r="AT727" i="26"/>
  <c r="AS727" i="26"/>
  <c r="AR727" i="26"/>
  <c r="AQ727" i="26"/>
  <c r="AV726" i="26"/>
  <c r="AU726" i="26"/>
  <c r="AT726" i="26"/>
  <c r="AS726" i="26"/>
  <c r="AR726" i="26"/>
  <c r="AQ726" i="26"/>
  <c r="AV725" i="26"/>
  <c r="AU725" i="26"/>
  <c r="AT725" i="26"/>
  <c r="AS725" i="26"/>
  <c r="AR725" i="26"/>
  <c r="AQ725" i="26"/>
  <c r="AV724" i="26"/>
  <c r="AU724" i="26"/>
  <c r="AT724" i="26"/>
  <c r="AS724" i="26"/>
  <c r="AR724" i="26"/>
  <c r="AQ724" i="26"/>
  <c r="BF723" i="26"/>
  <c r="BH723" i="26" s="1"/>
  <c r="BJ723" i="26" s="1"/>
  <c r="AV723" i="26"/>
  <c r="AU723" i="26"/>
  <c r="AT723" i="26"/>
  <c r="AS723" i="26"/>
  <c r="AR723" i="26"/>
  <c r="AQ723" i="26"/>
  <c r="AV722" i="26"/>
  <c r="AU722" i="26"/>
  <c r="AT722" i="26"/>
  <c r="AS722" i="26"/>
  <c r="AR722" i="26"/>
  <c r="AQ722" i="26"/>
  <c r="AV721" i="26"/>
  <c r="AU721" i="26"/>
  <c r="AT721" i="26"/>
  <c r="AS721" i="26"/>
  <c r="AR721" i="26"/>
  <c r="AQ721" i="26"/>
  <c r="AV720" i="26"/>
  <c r="AU720" i="26"/>
  <c r="AT720" i="26"/>
  <c r="AS720" i="26"/>
  <c r="AR720" i="26"/>
  <c r="AQ720" i="26"/>
  <c r="AV719" i="26"/>
  <c r="AU719" i="26"/>
  <c r="AT719" i="26"/>
  <c r="AS719" i="26"/>
  <c r="AR719" i="26"/>
  <c r="AQ719" i="26"/>
  <c r="AV718" i="26"/>
  <c r="AU718" i="26"/>
  <c r="AT718" i="26"/>
  <c r="AS718" i="26"/>
  <c r="AR718" i="26"/>
  <c r="AQ718" i="26"/>
  <c r="AV717" i="26"/>
  <c r="AU717" i="26"/>
  <c r="AT717" i="26"/>
  <c r="AS717" i="26"/>
  <c r="AR717" i="26"/>
  <c r="AQ717" i="26"/>
  <c r="AV716" i="26"/>
  <c r="AU716" i="26"/>
  <c r="AT716" i="26"/>
  <c r="AS716" i="26"/>
  <c r="AR716" i="26"/>
  <c r="AQ716" i="26"/>
  <c r="AV715" i="26"/>
  <c r="AU715" i="26"/>
  <c r="AT715" i="26"/>
  <c r="AS715" i="26"/>
  <c r="AR715" i="26"/>
  <c r="AQ715" i="26"/>
  <c r="AV714" i="26"/>
  <c r="AU714" i="26"/>
  <c r="AT714" i="26"/>
  <c r="AS714" i="26"/>
  <c r="AR714" i="26"/>
  <c r="AQ714" i="26"/>
  <c r="AV713" i="26"/>
  <c r="AU713" i="26"/>
  <c r="AT713" i="26"/>
  <c r="AS713" i="26"/>
  <c r="AR713" i="26"/>
  <c r="AQ713" i="26"/>
  <c r="AV712" i="26"/>
  <c r="AU712" i="26"/>
  <c r="AT712" i="26"/>
  <c r="AS712" i="26"/>
  <c r="AR712" i="26"/>
  <c r="AQ712" i="26"/>
  <c r="AV711" i="26"/>
  <c r="AU711" i="26"/>
  <c r="AT711" i="26"/>
  <c r="AS711" i="26"/>
  <c r="AR711" i="26"/>
  <c r="AQ711" i="26"/>
  <c r="AV710" i="26"/>
  <c r="AU710" i="26"/>
  <c r="AT710" i="26"/>
  <c r="AS710" i="26"/>
  <c r="AR710" i="26"/>
  <c r="AQ710" i="26"/>
  <c r="AV709" i="26"/>
  <c r="AU709" i="26"/>
  <c r="AT709" i="26"/>
  <c r="AS709" i="26"/>
  <c r="AR709" i="26"/>
  <c r="AQ709" i="26"/>
  <c r="AV708" i="26"/>
  <c r="AU708" i="26"/>
  <c r="AT708" i="26"/>
  <c r="AS708" i="26"/>
  <c r="AR708" i="26"/>
  <c r="AQ708" i="26"/>
  <c r="AV707" i="26"/>
  <c r="AU707" i="26"/>
  <c r="AT707" i="26"/>
  <c r="AS707" i="26"/>
  <c r="AR707" i="26"/>
  <c r="AQ707" i="26"/>
  <c r="AV706" i="26"/>
  <c r="AU706" i="26"/>
  <c r="AT706" i="26"/>
  <c r="AS706" i="26"/>
  <c r="AR706" i="26"/>
  <c r="AQ706" i="26"/>
  <c r="AV705" i="26"/>
  <c r="AU705" i="26"/>
  <c r="AT705" i="26"/>
  <c r="AS705" i="26"/>
  <c r="AR705" i="26"/>
  <c r="AQ705" i="26"/>
  <c r="AV704" i="26"/>
  <c r="AU704" i="26"/>
  <c r="AT704" i="26"/>
  <c r="AS704" i="26"/>
  <c r="AR704" i="26"/>
  <c r="AQ704" i="26"/>
  <c r="AV703" i="26"/>
  <c r="AU703" i="26"/>
  <c r="AT703" i="26"/>
  <c r="AS703" i="26"/>
  <c r="AR703" i="26"/>
  <c r="AQ703" i="26"/>
  <c r="AV702" i="26"/>
  <c r="AU702" i="26"/>
  <c r="AT702" i="26"/>
  <c r="AS702" i="26"/>
  <c r="AR702" i="26"/>
  <c r="AQ702" i="26"/>
  <c r="AV701" i="26"/>
  <c r="AU701" i="26"/>
  <c r="AT701" i="26"/>
  <c r="AS701" i="26"/>
  <c r="AR701" i="26"/>
  <c r="AQ701" i="26"/>
  <c r="AV802" i="26"/>
  <c r="AU802" i="26"/>
  <c r="AT802" i="26"/>
  <c r="AS802" i="26"/>
  <c r="AR802" i="26"/>
  <c r="AQ802" i="26"/>
  <c r="AV801" i="26"/>
  <c r="AU801" i="26"/>
  <c r="AT801" i="26"/>
  <c r="AS801" i="26"/>
  <c r="AR801" i="26"/>
  <c r="AQ801" i="26"/>
  <c r="AV800" i="26"/>
  <c r="AU800" i="26"/>
  <c r="AT800" i="26"/>
  <c r="AS800" i="26"/>
  <c r="AR800" i="26"/>
  <c r="AQ800" i="26"/>
  <c r="AV799" i="26"/>
  <c r="AU799" i="26"/>
  <c r="AT799" i="26"/>
  <c r="AS799" i="26"/>
  <c r="AR799" i="26"/>
  <c r="AQ799" i="26"/>
  <c r="AV798" i="26"/>
  <c r="AU798" i="26"/>
  <c r="AT798" i="26"/>
  <c r="AS798" i="26"/>
  <c r="AR798" i="26"/>
  <c r="AQ798" i="26"/>
  <c r="AV700" i="26"/>
  <c r="AU700" i="26"/>
  <c r="AT700" i="26"/>
  <c r="AS700" i="26"/>
  <c r="AR700" i="26"/>
  <c r="AQ700" i="26"/>
  <c r="AV699" i="26"/>
  <c r="AU699" i="26"/>
  <c r="AT699" i="26"/>
  <c r="AS699" i="26"/>
  <c r="AR699" i="26"/>
  <c r="AQ699" i="26"/>
  <c r="AV698" i="26"/>
  <c r="AU698" i="26"/>
  <c r="AT698" i="26"/>
  <c r="AS698" i="26"/>
  <c r="AR698" i="26"/>
  <c r="AQ698" i="26"/>
  <c r="AV697" i="26"/>
  <c r="AU697" i="26"/>
  <c r="AT697" i="26"/>
  <c r="AS697" i="26"/>
  <c r="AR697" i="26"/>
  <c r="AQ697" i="26"/>
  <c r="AV696" i="26"/>
  <c r="AU696" i="26"/>
  <c r="AT696" i="26"/>
  <c r="AS696" i="26"/>
  <c r="AR696" i="26"/>
  <c r="AQ696" i="26"/>
  <c r="AV695" i="26"/>
  <c r="AU695" i="26"/>
  <c r="AT695" i="26"/>
  <c r="AS695" i="26"/>
  <c r="AR695" i="26"/>
  <c r="AQ695" i="26"/>
  <c r="AV694" i="26"/>
  <c r="AU694" i="26"/>
  <c r="AT694" i="26"/>
  <c r="AS694" i="26"/>
  <c r="AR694" i="26"/>
  <c r="AQ694" i="26"/>
  <c r="AV693" i="26"/>
  <c r="AU693" i="26"/>
  <c r="AT693" i="26"/>
  <c r="AS693" i="26"/>
  <c r="AR693" i="26"/>
  <c r="AQ693" i="26"/>
  <c r="AV692" i="26"/>
  <c r="AU692" i="26"/>
  <c r="AT692" i="26"/>
  <c r="AS692" i="26"/>
  <c r="AR692" i="26"/>
  <c r="AQ692" i="26"/>
  <c r="AV691" i="26"/>
  <c r="AU691" i="26"/>
  <c r="AT691" i="26"/>
  <c r="AS691" i="26"/>
  <c r="AR691" i="26"/>
  <c r="AQ691" i="26"/>
  <c r="AV690" i="26"/>
  <c r="AU690" i="26"/>
  <c r="AT690" i="26"/>
  <c r="AS690" i="26"/>
  <c r="AR690" i="26"/>
  <c r="AQ690" i="26"/>
  <c r="AV689" i="26"/>
  <c r="AU689" i="26"/>
  <c r="AT689" i="26"/>
  <c r="AS689" i="26"/>
  <c r="AR689" i="26"/>
  <c r="AQ689" i="26"/>
  <c r="AV688" i="26"/>
  <c r="AU688" i="26"/>
  <c r="AT688" i="26"/>
  <c r="AS688" i="26"/>
  <c r="AR688" i="26"/>
  <c r="AQ688" i="26"/>
  <c r="AV687" i="26"/>
  <c r="AU687" i="26"/>
  <c r="AT687" i="26"/>
  <c r="AS687" i="26"/>
  <c r="AR687" i="26"/>
  <c r="AQ687" i="26"/>
  <c r="AV686" i="26"/>
  <c r="AU686" i="26"/>
  <c r="AT686" i="26"/>
  <c r="AS686" i="26"/>
  <c r="AR686" i="26"/>
  <c r="AQ686" i="26"/>
  <c r="AV685" i="26"/>
  <c r="AU685" i="26"/>
  <c r="AT685" i="26"/>
  <c r="AS685" i="26"/>
  <c r="AR685" i="26"/>
  <c r="AQ685" i="26"/>
  <c r="AV684" i="26"/>
  <c r="AU684" i="26"/>
  <c r="AT684" i="26"/>
  <c r="AS684" i="26"/>
  <c r="AR684" i="26"/>
  <c r="AQ684" i="26"/>
  <c r="AV683" i="26"/>
  <c r="AU683" i="26"/>
  <c r="AT683" i="26"/>
  <c r="AS683" i="26"/>
  <c r="AR683" i="26"/>
  <c r="AQ683" i="26"/>
  <c r="AV682" i="26"/>
  <c r="AU682" i="26"/>
  <c r="AT682" i="26"/>
  <c r="AS682" i="26"/>
  <c r="AR682" i="26"/>
  <c r="AQ682" i="26"/>
  <c r="BF681" i="26"/>
  <c r="BH681" i="26" s="1"/>
  <c r="BJ681" i="26" s="1"/>
  <c r="AV681" i="26"/>
  <c r="AU681" i="26"/>
  <c r="AT681" i="26"/>
  <c r="AS681" i="26"/>
  <c r="AR681" i="26"/>
  <c r="AQ681" i="26"/>
  <c r="AV680" i="26"/>
  <c r="AU680" i="26"/>
  <c r="AT680" i="26"/>
  <c r="AS680" i="26"/>
  <c r="AR680" i="26"/>
  <c r="AQ680" i="26"/>
  <c r="AV679" i="26"/>
  <c r="AU679" i="26"/>
  <c r="AT679" i="26"/>
  <c r="AS679" i="26"/>
  <c r="AR679" i="26"/>
  <c r="AQ679" i="26"/>
  <c r="AV678" i="26"/>
  <c r="AU678" i="26"/>
  <c r="AT678" i="26"/>
  <c r="AS678" i="26"/>
  <c r="AR678" i="26"/>
  <c r="AQ678" i="26"/>
  <c r="AV677" i="26"/>
  <c r="AU677" i="26"/>
  <c r="AT677" i="26"/>
  <c r="AS677" i="26"/>
  <c r="AR677" i="26"/>
  <c r="AQ677" i="26"/>
  <c r="AV676" i="26"/>
  <c r="AU676" i="26"/>
  <c r="AT676" i="26"/>
  <c r="AS676" i="26"/>
  <c r="AR676" i="26"/>
  <c r="AQ676" i="26"/>
  <c r="AV675" i="26"/>
  <c r="AU675" i="26"/>
  <c r="AT675" i="26"/>
  <c r="AS675" i="26"/>
  <c r="AR675" i="26"/>
  <c r="AQ675" i="26"/>
  <c r="AV674" i="26"/>
  <c r="AU674" i="26"/>
  <c r="AT674" i="26"/>
  <c r="AS674" i="26"/>
  <c r="AR674" i="26"/>
  <c r="AQ674" i="26"/>
  <c r="AV673" i="26"/>
  <c r="AU673" i="26"/>
  <c r="AT673" i="26"/>
  <c r="AS673" i="26"/>
  <c r="AR673" i="26"/>
  <c r="AQ673" i="26"/>
  <c r="AV672" i="26"/>
  <c r="AU672" i="26"/>
  <c r="AT672" i="26"/>
  <c r="AS672" i="26"/>
  <c r="AR672" i="26"/>
  <c r="AQ672" i="26"/>
  <c r="AV671" i="26"/>
  <c r="AU671" i="26"/>
  <c r="AT671" i="26"/>
  <c r="AS671" i="26"/>
  <c r="AR671" i="26"/>
  <c r="AQ671" i="26"/>
  <c r="AV670" i="26"/>
  <c r="AU670" i="26"/>
  <c r="AT670" i="26"/>
  <c r="AS670" i="26"/>
  <c r="AR670" i="26"/>
  <c r="AQ670" i="26"/>
  <c r="AV669" i="26"/>
  <c r="AU669" i="26"/>
  <c r="AT669" i="26"/>
  <c r="AS669" i="26"/>
  <c r="AR669" i="26"/>
  <c r="AQ669" i="26"/>
  <c r="AV668" i="26"/>
  <c r="AU668" i="26"/>
  <c r="AT668" i="26"/>
  <c r="AS668" i="26"/>
  <c r="AR668" i="26"/>
  <c r="AQ668" i="26"/>
  <c r="AV667" i="26"/>
  <c r="AU667" i="26"/>
  <c r="AT667" i="26"/>
  <c r="AS667" i="26"/>
  <c r="AR667" i="26"/>
  <c r="AQ667" i="26"/>
  <c r="AV666" i="26"/>
  <c r="AU666" i="26"/>
  <c r="AT666" i="26"/>
  <c r="AS666" i="26"/>
  <c r="AR666" i="26"/>
  <c r="AQ666" i="26"/>
  <c r="AV665" i="26"/>
  <c r="AU665" i="26"/>
  <c r="AT665" i="26"/>
  <c r="AS665" i="26"/>
  <c r="AR665" i="26"/>
  <c r="AQ665" i="26"/>
  <c r="AV664" i="26"/>
  <c r="AU664" i="26"/>
  <c r="AT664" i="26"/>
  <c r="AS664" i="26"/>
  <c r="AR664" i="26"/>
  <c r="AQ664" i="26"/>
  <c r="AV663" i="26"/>
  <c r="AU663" i="26"/>
  <c r="AT663" i="26"/>
  <c r="AS663" i="26"/>
  <c r="AR663" i="26"/>
  <c r="AQ663" i="26"/>
  <c r="AV662" i="26"/>
  <c r="AU662" i="26"/>
  <c r="AT662" i="26"/>
  <c r="AS662" i="26"/>
  <c r="AR662" i="26"/>
  <c r="AQ662" i="26"/>
  <c r="AV661" i="26"/>
  <c r="AU661" i="26"/>
  <c r="AT661" i="26"/>
  <c r="AS661" i="26"/>
  <c r="AR661" i="26"/>
  <c r="AQ661" i="26"/>
  <c r="AV660" i="26"/>
  <c r="AU660" i="26"/>
  <c r="AT660" i="26"/>
  <c r="AS660" i="26"/>
  <c r="AR660" i="26"/>
  <c r="AQ660" i="26"/>
  <c r="AV659" i="26"/>
  <c r="AU659" i="26"/>
  <c r="AT659" i="26"/>
  <c r="AS659" i="26"/>
  <c r="AR659" i="26"/>
  <c r="AQ659" i="26"/>
  <c r="AV658" i="26"/>
  <c r="AU658" i="26"/>
  <c r="AT658" i="26"/>
  <c r="AS658" i="26"/>
  <c r="AR658" i="26"/>
  <c r="AQ658" i="26"/>
  <c r="AV657" i="26"/>
  <c r="AU657" i="26"/>
  <c r="AT657" i="26"/>
  <c r="AS657" i="26"/>
  <c r="AR657" i="26"/>
  <c r="AQ657" i="26"/>
  <c r="AV656" i="26"/>
  <c r="AU656" i="26"/>
  <c r="AT656" i="26"/>
  <c r="AS656" i="26"/>
  <c r="AR656" i="26"/>
  <c r="AQ656" i="26"/>
  <c r="AV655" i="26"/>
  <c r="AU655" i="26"/>
  <c r="AT655" i="26"/>
  <c r="AS655" i="26"/>
  <c r="AR655" i="26"/>
  <c r="AQ655" i="26"/>
  <c r="AV654" i="26"/>
  <c r="AU654" i="26"/>
  <c r="AT654" i="26"/>
  <c r="AS654" i="26"/>
  <c r="AR654" i="26"/>
  <c r="AQ654" i="26"/>
  <c r="AV653" i="26"/>
  <c r="AU653" i="26"/>
  <c r="AT653" i="26"/>
  <c r="AS653" i="26"/>
  <c r="AR653" i="26"/>
  <c r="AQ653" i="26"/>
  <c r="AV652" i="26"/>
  <c r="AU652" i="26"/>
  <c r="AT652" i="26"/>
  <c r="AS652" i="26"/>
  <c r="AR652" i="26"/>
  <c r="AQ652" i="26"/>
  <c r="AV651" i="26"/>
  <c r="AU651" i="26"/>
  <c r="AT651" i="26"/>
  <c r="AS651" i="26"/>
  <c r="AR651" i="26"/>
  <c r="AQ651" i="26"/>
  <c r="AV650" i="26"/>
  <c r="AU650" i="26"/>
  <c r="AT650" i="26"/>
  <c r="AS650" i="26"/>
  <c r="AR650" i="26"/>
  <c r="AQ650" i="26"/>
  <c r="AV649" i="26"/>
  <c r="AU649" i="26"/>
  <c r="AT649" i="26"/>
  <c r="AS649" i="26"/>
  <c r="AR649" i="26"/>
  <c r="AQ649" i="26"/>
  <c r="AV648" i="26"/>
  <c r="AU648" i="26"/>
  <c r="AT648" i="26"/>
  <c r="AS648" i="26"/>
  <c r="AR648" i="26"/>
  <c r="AQ648" i="26"/>
  <c r="AV647" i="26"/>
  <c r="AU647" i="26"/>
  <c r="AT647" i="26"/>
  <c r="AS647" i="26"/>
  <c r="AR647" i="26"/>
  <c r="AQ647" i="26"/>
  <c r="AV646" i="26"/>
  <c r="AU646" i="26"/>
  <c r="AT646" i="26"/>
  <c r="AS646" i="26"/>
  <c r="AR646" i="26"/>
  <c r="AQ646" i="26"/>
  <c r="AV645" i="26"/>
  <c r="AU645" i="26"/>
  <c r="AT645" i="26"/>
  <c r="AS645" i="26"/>
  <c r="AR645" i="26"/>
  <c r="AQ645" i="26"/>
  <c r="AV644" i="26"/>
  <c r="AU644" i="26"/>
  <c r="AT644" i="26"/>
  <c r="AS644" i="26"/>
  <c r="AR644" i="26"/>
  <c r="AQ644" i="26"/>
  <c r="AV643" i="26"/>
  <c r="AU643" i="26"/>
  <c r="AT643" i="26"/>
  <c r="AS643" i="26"/>
  <c r="AR643" i="26"/>
  <c r="AQ643" i="26"/>
  <c r="AV642" i="26"/>
  <c r="AU642" i="26"/>
  <c r="AT642" i="26"/>
  <c r="AS642" i="26"/>
  <c r="AR642" i="26"/>
  <c r="AQ642" i="26"/>
  <c r="AV641" i="26"/>
  <c r="AU641" i="26"/>
  <c r="AT641" i="26"/>
  <c r="AS641" i="26"/>
  <c r="AR641" i="26"/>
  <c r="AQ641" i="26"/>
  <c r="AV640" i="26"/>
  <c r="AU640" i="26"/>
  <c r="AT640" i="26"/>
  <c r="AS640" i="26"/>
  <c r="AR640" i="26"/>
  <c r="AQ640" i="26"/>
  <c r="AV814" i="26"/>
  <c r="AU814" i="26"/>
  <c r="AT814" i="26"/>
  <c r="AS814" i="26"/>
  <c r="AR814" i="26"/>
  <c r="AQ814" i="26"/>
  <c r="AV813" i="26"/>
  <c r="AU813" i="26"/>
  <c r="AT813" i="26"/>
  <c r="AS813" i="26"/>
  <c r="AR813" i="26"/>
  <c r="AQ813" i="26"/>
  <c r="AV812" i="26"/>
  <c r="AU812" i="26"/>
  <c r="AT812" i="26"/>
  <c r="AS812" i="26"/>
  <c r="AR812" i="26"/>
  <c r="AQ812" i="26"/>
  <c r="AV811" i="26"/>
  <c r="AU811" i="26"/>
  <c r="AT811" i="26"/>
  <c r="AS811" i="26"/>
  <c r="AR811" i="26"/>
  <c r="AQ811" i="26"/>
  <c r="AV810" i="26"/>
  <c r="AU810" i="26"/>
  <c r="AT810" i="26"/>
  <c r="AS810" i="26"/>
  <c r="AR810" i="26"/>
  <c r="AQ810" i="26"/>
  <c r="AV809" i="26"/>
  <c r="AU809" i="26"/>
  <c r="AT809" i="26"/>
  <c r="AS809" i="26"/>
  <c r="AR809" i="26"/>
  <c r="AQ809" i="26"/>
  <c r="AV808" i="26"/>
  <c r="AU808" i="26"/>
  <c r="AT808" i="26"/>
  <c r="AS808" i="26"/>
  <c r="AR808" i="26"/>
  <c r="AQ808" i="26"/>
  <c r="AV807" i="26"/>
  <c r="AU807" i="26"/>
  <c r="AT807" i="26"/>
  <c r="AS807" i="26"/>
  <c r="AR807" i="26"/>
  <c r="AQ807" i="26"/>
  <c r="AV806" i="26"/>
  <c r="AU806" i="26"/>
  <c r="AT806" i="26"/>
  <c r="AS806" i="26"/>
  <c r="AR806" i="26"/>
  <c r="AQ806" i="26"/>
  <c r="AV805" i="26"/>
  <c r="AU805" i="26"/>
  <c r="AT805" i="26"/>
  <c r="AS805" i="26"/>
  <c r="AR805" i="26"/>
  <c r="AQ805" i="26"/>
  <c r="AV804" i="26"/>
  <c r="AU804" i="26"/>
  <c r="AT804" i="26"/>
  <c r="AS804" i="26"/>
  <c r="AR804" i="26"/>
  <c r="AQ804" i="26"/>
  <c r="AV803" i="26"/>
  <c r="AU803" i="26"/>
  <c r="AT803" i="26"/>
  <c r="AS803" i="26"/>
  <c r="AR803" i="26"/>
  <c r="AQ803" i="26"/>
  <c r="AV825" i="26"/>
  <c r="AU825" i="26"/>
  <c r="AT825" i="26"/>
  <c r="AS825" i="26"/>
  <c r="AR825" i="26"/>
  <c r="AQ825" i="26"/>
  <c r="F825" i="26"/>
  <c r="E825" i="26"/>
  <c r="AV824" i="26"/>
  <c r="AU824" i="26"/>
  <c r="AT824" i="26"/>
  <c r="AS824" i="26"/>
  <c r="AR824" i="26"/>
  <c r="AQ824" i="26"/>
  <c r="F824" i="26"/>
  <c r="E824" i="26"/>
  <c r="AV823" i="26"/>
  <c r="AU823" i="26"/>
  <c r="AT823" i="26"/>
  <c r="AS823" i="26"/>
  <c r="AR823" i="26"/>
  <c r="AQ823" i="26"/>
  <c r="F823" i="26"/>
  <c r="E823" i="26"/>
  <c r="AV822" i="26"/>
  <c r="AU822" i="26"/>
  <c r="AT822" i="26"/>
  <c r="AS822" i="26"/>
  <c r="AR822" i="26"/>
  <c r="AQ822" i="26"/>
  <c r="F822" i="26"/>
  <c r="E822" i="26"/>
  <c r="AV821" i="26"/>
  <c r="AU821" i="26"/>
  <c r="AT821" i="26"/>
  <c r="AS821" i="26"/>
  <c r="AR821" i="26"/>
  <c r="AQ821" i="26"/>
  <c r="AV820" i="26"/>
  <c r="AU820" i="26"/>
  <c r="AT820" i="26"/>
  <c r="AS820" i="26"/>
  <c r="AR820" i="26"/>
  <c r="AQ820" i="26"/>
  <c r="AV819" i="26"/>
  <c r="AU819" i="26"/>
  <c r="AT819" i="26"/>
  <c r="AS819" i="26"/>
  <c r="AR819" i="26"/>
  <c r="AQ819" i="26"/>
  <c r="F819" i="26"/>
  <c r="E819" i="26"/>
  <c r="AV818" i="26"/>
  <c r="AU818" i="26"/>
  <c r="AT818" i="26"/>
  <c r="AS818" i="26"/>
  <c r="AR818" i="26"/>
  <c r="AQ818" i="26"/>
  <c r="F818" i="26"/>
  <c r="E818" i="26"/>
  <c r="AV817" i="26"/>
  <c r="AU817" i="26"/>
  <c r="AT817" i="26"/>
  <c r="AS817" i="26"/>
  <c r="AR817" i="26"/>
  <c r="AQ817" i="26"/>
  <c r="F817" i="26"/>
  <c r="E817" i="26"/>
  <c r="AV816" i="26"/>
  <c r="AU816" i="26"/>
  <c r="AT816" i="26"/>
  <c r="AS816" i="26"/>
  <c r="AR816" i="26"/>
  <c r="AQ816" i="26"/>
  <c r="F816" i="26"/>
  <c r="E816" i="26"/>
  <c r="AV815" i="26"/>
  <c r="AU815" i="26"/>
  <c r="AT815" i="26"/>
  <c r="AS815" i="26"/>
  <c r="AR815" i="26"/>
  <c r="AQ815" i="26"/>
  <c r="F815" i="26"/>
  <c r="E815" i="26"/>
  <c r="AV639" i="26"/>
  <c r="AU639" i="26"/>
  <c r="AT639" i="26"/>
  <c r="AS639" i="26"/>
  <c r="AR639" i="26"/>
  <c r="AQ639" i="26"/>
  <c r="AV638" i="26"/>
  <c r="AU638" i="26"/>
  <c r="AT638" i="26"/>
  <c r="AS638" i="26"/>
  <c r="AR638" i="26"/>
  <c r="AQ638" i="26"/>
  <c r="F638" i="26"/>
  <c r="E638" i="26"/>
  <c r="AV637" i="26"/>
  <c r="AU637" i="26"/>
  <c r="AT637" i="26"/>
  <c r="AS637" i="26"/>
  <c r="AR637" i="26"/>
  <c r="AQ637" i="26"/>
  <c r="F637" i="26"/>
  <c r="E637" i="26"/>
  <c r="AV636" i="26"/>
  <c r="AU636" i="26"/>
  <c r="AT636" i="26"/>
  <c r="AS636" i="26"/>
  <c r="AR636" i="26"/>
  <c r="AQ636" i="26"/>
  <c r="AV635" i="26"/>
  <c r="AU635" i="26"/>
  <c r="AT635" i="26"/>
  <c r="AS635" i="26"/>
  <c r="AR635" i="26"/>
  <c r="AQ635" i="26"/>
  <c r="F635" i="26"/>
  <c r="E635" i="26"/>
  <c r="AV634" i="26"/>
  <c r="AU634" i="26"/>
  <c r="AT634" i="26"/>
  <c r="AS634" i="26"/>
  <c r="AR634" i="26"/>
  <c r="AQ634" i="26"/>
  <c r="F634" i="26"/>
  <c r="E634" i="26"/>
  <c r="AV633" i="26"/>
  <c r="AU633" i="26"/>
  <c r="AT633" i="26"/>
  <c r="AS633" i="26"/>
  <c r="AR633" i="26"/>
  <c r="AQ633" i="26"/>
  <c r="AV632" i="26"/>
  <c r="AU632" i="26"/>
  <c r="AT632" i="26"/>
  <c r="AS632" i="26"/>
  <c r="AR632" i="26"/>
  <c r="AQ632" i="26"/>
  <c r="F632" i="26"/>
  <c r="E632" i="26"/>
  <c r="AV631" i="26"/>
  <c r="AU631" i="26"/>
  <c r="AT631" i="26"/>
  <c r="AS631" i="26"/>
  <c r="AR631" i="26"/>
  <c r="AQ631" i="26"/>
  <c r="F631" i="26"/>
  <c r="E631" i="26"/>
  <c r="AV630" i="26"/>
  <c r="AU630" i="26"/>
  <c r="AT630" i="26"/>
  <c r="AS630" i="26"/>
  <c r="AR630" i="26"/>
  <c r="AQ630" i="26"/>
  <c r="F630" i="26"/>
  <c r="E630" i="26"/>
  <c r="AV629" i="26"/>
  <c r="AU629" i="26"/>
  <c r="AT629" i="26"/>
  <c r="AS629" i="26"/>
  <c r="AR629" i="26"/>
  <c r="AQ629" i="26"/>
  <c r="F629" i="26"/>
  <c r="E629" i="26"/>
  <c r="AV628" i="26"/>
  <c r="AU628" i="26"/>
  <c r="AT628" i="26"/>
  <c r="AS628" i="26"/>
  <c r="AR628" i="26"/>
  <c r="AQ628" i="26"/>
  <c r="F628" i="26"/>
  <c r="E628" i="26"/>
  <c r="AV627" i="26"/>
  <c r="AU627" i="26"/>
  <c r="AT627" i="26"/>
  <c r="AS627" i="26"/>
  <c r="AR627" i="26"/>
  <c r="AQ627" i="26"/>
  <c r="F627" i="26"/>
  <c r="E627" i="26"/>
  <c r="AV626" i="26"/>
  <c r="AU626" i="26"/>
  <c r="AT626" i="26"/>
  <c r="AS626" i="26"/>
  <c r="AR626" i="26"/>
  <c r="AQ626" i="26"/>
  <c r="F626" i="26"/>
  <c r="E626" i="26"/>
  <c r="AV625" i="26"/>
  <c r="AU625" i="26"/>
  <c r="AT625" i="26"/>
  <c r="AS625" i="26"/>
  <c r="AR625" i="26"/>
  <c r="AQ625" i="26"/>
  <c r="F625" i="26"/>
  <c r="E625" i="26"/>
  <c r="AV624" i="26"/>
  <c r="AU624" i="26"/>
  <c r="AT624" i="26"/>
  <c r="AS624" i="26"/>
  <c r="AR624" i="26"/>
  <c r="AQ624" i="26"/>
  <c r="F624" i="26"/>
  <c r="E624" i="26"/>
  <c r="AV623" i="26"/>
  <c r="AU623" i="26"/>
  <c r="AT623" i="26"/>
  <c r="AS623" i="26"/>
  <c r="AR623" i="26"/>
  <c r="AQ623" i="26"/>
  <c r="F623" i="26"/>
  <c r="E623" i="26"/>
  <c r="AV622" i="26"/>
  <c r="AU622" i="26"/>
  <c r="AT622" i="26"/>
  <c r="AS622" i="26"/>
  <c r="AR622" i="26"/>
  <c r="AQ622" i="26"/>
  <c r="F622" i="26"/>
  <c r="E622" i="26"/>
  <c r="AV621" i="26"/>
  <c r="AU621" i="26"/>
  <c r="AT621" i="26"/>
  <c r="AS621" i="26"/>
  <c r="AR621" i="26"/>
  <c r="AQ621" i="26"/>
  <c r="F621" i="26"/>
  <c r="E621" i="26"/>
  <c r="AV620" i="26"/>
  <c r="AU620" i="26"/>
  <c r="AT620" i="26"/>
  <c r="AS620" i="26"/>
  <c r="AR620" i="26"/>
  <c r="AQ620" i="26"/>
  <c r="F620" i="26"/>
  <c r="E620" i="26"/>
  <c r="AV619" i="26"/>
  <c r="AU619" i="26"/>
  <c r="AT619" i="26"/>
  <c r="AS619" i="26"/>
  <c r="AR619" i="26"/>
  <c r="AQ619" i="26"/>
  <c r="F619" i="26"/>
  <c r="E619" i="26"/>
  <c r="AV618" i="26"/>
  <c r="AU618" i="26"/>
  <c r="AT618" i="26"/>
  <c r="AS618" i="26"/>
  <c r="AR618" i="26"/>
  <c r="AQ618" i="26"/>
  <c r="F618" i="26"/>
  <c r="E618" i="26"/>
  <c r="AV617" i="26"/>
  <c r="AU617" i="26"/>
  <c r="AT617" i="26"/>
  <c r="AS617" i="26"/>
  <c r="AR617" i="26"/>
  <c r="AQ617" i="26"/>
  <c r="F617" i="26"/>
  <c r="E617" i="26"/>
  <c r="AV616" i="26"/>
  <c r="AU616" i="26"/>
  <c r="AT616" i="26"/>
  <c r="AS616" i="26"/>
  <c r="AR616" i="26"/>
  <c r="AQ616" i="26"/>
  <c r="F616" i="26"/>
  <c r="E616" i="26"/>
  <c r="AV615" i="26"/>
  <c r="AU615" i="26"/>
  <c r="AT615" i="26"/>
  <c r="AS615" i="26"/>
  <c r="AR615" i="26"/>
  <c r="AQ615" i="26"/>
  <c r="F615" i="26"/>
  <c r="E615" i="26"/>
  <c r="AV614" i="26"/>
  <c r="AU614" i="26"/>
  <c r="AT614" i="26"/>
  <c r="AS614" i="26"/>
  <c r="AR614" i="26"/>
  <c r="AQ614" i="26"/>
  <c r="F614" i="26"/>
  <c r="E614" i="26"/>
  <c r="AV613" i="26"/>
  <c r="AU613" i="26"/>
  <c r="AT613" i="26"/>
  <c r="AS613" i="26"/>
  <c r="AR613" i="26"/>
  <c r="AQ613" i="26"/>
  <c r="AV612" i="26"/>
  <c r="AU612" i="26"/>
  <c r="AT612" i="26"/>
  <c r="AS612" i="26"/>
  <c r="AR612" i="26"/>
  <c r="AQ612" i="26"/>
  <c r="F612" i="26"/>
  <c r="E612" i="26"/>
  <c r="BF611" i="26"/>
  <c r="BH611" i="26" s="1"/>
  <c r="BJ611" i="26" s="1"/>
  <c r="AV611" i="26"/>
  <c r="AU611" i="26"/>
  <c r="AT611" i="26"/>
  <c r="AS611" i="26"/>
  <c r="AR611" i="26"/>
  <c r="AQ611" i="26"/>
  <c r="F611" i="26"/>
  <c r="E611" i="26"/>
  <c r="AV610" i="26"/>
  <c r="AU610" i="26"/>
  <c r="AT610" i="26"/>
  <c r="AS610" i="26"/>
  <c r="AR610" i="26"/>
  <c r="AQ610" i="26"/>
  <c r="AV609" i="26"/>
  <c r="AU609" i="26"/>
  <c r="AT609" i="26"/>
  <c r="AS609" i="26"/>
  <c r="AR609" i="26"/>
  <c r="AQ609" i="26"/>
  <c r="F609" i="26"/>
  <c r="E609" i="26"/>
  <c r="AV608" i="26"/>
  <c r="AU608" i="26"/>
  <c r="AT608" i="26"/>
  <c r="AS608" i="26"/>
  <c r="AR608" i="26"/>
  <c r="AQ608" i="26"/>
  <c r="F608" i="26"/>
  <c r="E608" i="26"/>
  <c r="AV607" i="26"/>
  <c r="AU607" i="26"/>
  <c r="AT607" i="26"/>
  <c r="AS607" i="26"/>
  <c r="AR607" i="26"/>
  <c r="AQ607" i="26"/>
  <c r="F607" i="26"/>
  <c r="E607" i="26"/>
  <c r="AV606" i="26"/>
  <c r="AU606" i="26"/>
  <c r="AT606" i="26"/>
  <c r="AS606" i="26"/>
  <c r="AR606" i="26"/>
  <c r="AQ606" i="26"/>
  <c r="F606" i="26"/>
  <c r="E606" i="26"/>
  <c r="AV605" i="26"/>
  <c r="AU605" i="26"/>
  <c r="AT605" i="26"/>
  <c r="AS605" i="26"/>
  <c r="AR605" i="26"/>
  <c r="AQ605" i="26"/>
  <c r="F605" i="26"/>
  <c r="E605" i="26"/>
  <c r="AV604" i="26"/>
  <c r="AU604" i="26"/>
  <c r="AT604" i="26"/>
  <c r="AS604" i="26"/>
  <c r="AR604" i="26"/>
  <c r="AQ604" i="26"/>
  <c r="F604" i="26"/>
  <c r="E604" i="26"/>
  <c r="AV603" i="26"/>
  <c r="AU603" i="26"/>
  <c r="AT603" i="26"/>
  <c r="AS603" i="26"/>
  <c r="AR603" i="26"/>
  <c r="AQ603" i="26"/>
  <c r="F603" i="26"/>
  <c r="E603" i="26"/>
  <c r="AV602" i="26"/>
  <c r="AU602" i="26"/>
  <c r="AT602" i="26"/>
  <c r="AS602" i="26"/>
  <c r="AR602" i="26"/>
  <c r="AQ602" i="26"/>
  <c r="F602" i="26"/>
  <c r="E602" i="26"/>
  <c r="AV601" i="26"/>
  <c r="AU601" i="26"/>
  <c r="AT601" i="26"/>
  <c r="AS601" i="26"/>
  <c r="AR601" i="26"/>
  <c r="AQ601" i="26"/>
  <c r="F601" i="26"/>
  <c r="E601" i="26"/>
  <c r="AV600" i="26"/>
  <c r="AU600" i="26"/>
  <c r="AT600" i="26"/>
  <c r="AS600" i="26"/>
  <c r="AR600" i="26"/>
  <c r="AQ600" i="26"/>
  <c r="F600" i="26"/>
  <c r="E600" i="26"/>
  <c r="AV599" i="26"/>
  <c r="AU599" i="26"/>
  <c r="AT599" i="26"/>
  <c r="AS599" i="26"/>
  <c r="AR599" i="26"/>
  <c r="AQ599" i="26"/>
  <c r="F599" i="26"/>
  <c r="E599" i="26"/>
  <c r="AV598" i="26"/>
  <c r="AU598" i="26"/>
  <c r="AT598" i="26"/>
  <c r="AS598" i="26"/>
  <c r="AR598" i="26"/>
  <c r="AQ598" i="26"/>
  <c r="F598" i="26"/>
  <c r="E598" i="26"/>
  <c r="AV597" i="26"/>
  <c r="AU597" i="26"/>
  <c r="AT597" i="26"/>
  <c r="AS597" i="26"/>
  <c r="AR597" i="26"/>
  <c r="AQ597" i="26"/>
  <c r="F597" i="26"/>
  <c r="E597" i="26"/>
  <c r="AV596" i="26"/>
  <c r="AU596" i="26"/>
  <c r="AT596" i="26"/>
  <c r="AS596" i="26"/>
  <c r="AR596" i="26"/>
  <c r="AQ596" i="26"/>
  <c r="F596" i="26"/>
  <c r="E596" i="26"/>
  <c r="BF595" i="26"/>
  <c r="BH595" i="26" s="1"/>
  <c r="BJ595" i="26" s="1"/>
  <c r="AV595" i="26"/>
  <c r="AU595" i="26"/>
  <c r="AT595" i="26"/>
  <c r="AS595" i="26"/>
  <c r="AR595" i="26"/>
  <c r="AQ595" i="26"/>
  <c r="AV594" i="26"/>
  <c r="AU594" i="26"/>
  <c r="AT594" i="26"/>
  <c r="AS594" i="26"/>
  <c r="AR594" i="26"/>
  <c r="AQ594" i="26"/>
  <c r="F594" i="26"/>
  <c r="E594" i="26"/>
  <c r="AV593" i="26"/>
  <c r="AU593" i="26"/>
  <c r="AT593" i="26"/>
  <c r="AS593" i="26"/>
  <c r="AR593" i="26"/>
  <c r="AQ593" i="26"/>
  <c r="F593" i="26"/>
  <c r="E593" i="26"/>
  <c r="BF592" i="26"/>
  <c r="BH592" i="26" s="1"/>
  <c r="BJ592" i="26" s="1"/>
  <c r="AV592" i="26"/>
  <c r="AU592" i="26"/>
  <c r="AT592" i="26"/>
  <c r="AS592" i="26"/>
  <c r="AR592" i="26"/>
  <c r="AQ592" i="26"/>
  <c r="F592" i="26"/>
  <c r="E592" i="26"/>
  <c r="AV591" i="26"/>
  <c r="AU591" i="26"/>
  <c r="AT591" i="26"/>
  <c r="AS591" i="26"/>
  <c r="AR591" i="26"/>
  <c r="AQ591" i="26"/>
  <c r="F591" i="26"/>
  <c r="E591" i="26"/>
  <c r="AV590" i="26"/>
  <c r="AU590" i="26"/>
  <c r="AT590" i="26"/>
  <c r="AS590" i="26"/>
  <c r="AR590" i="26"/>
  <c r="AQ590" i="26"/>
  <c r="F590" i="26"/>
  <c r="E590" i="26"/>
  <c r="AV589" i="26"/>
  <c r="AU589" i="26"/>
  <c r="AT589" i="26"/>
  <c r="AS589" i="26"/>
  <c r="AR589" i="26"/>
  <c r="AQ589" i="26"/>
  <c r="F589" i="26"/>
  <c r="E589" i="26"/>
  <c r="AV588" i="26"/>
  <c r="AU588" i="26"/>
  <c r="AT588" i="26"/>
  <c r="AS588" i="26"/>
  <c r="AR588" i="26"/>
  <c r="AQ588" i="26"/>
  <c r="F588" i="26"/>
  <c r="E588" i="26"/>
  <c r="AV587" i="26"/>
  <c r="AU587" i="26"/>
  <c r="AT587" i="26"/>
  <c r="AS587" i="26"/>
  <c r="AR587" i="26"/>
  <c r="AQ587" i="26"/>
  <c r="F587" i="26"/>
  <c r="E587" i="26"/>
  <c r="AV586" i="26"/>
  <c r="AU586" i="26"/>
  <c r="AT586" i="26"/>
  <c r="AS586" i="26"/>
  <c r="AR586" i="26"/>
  <c r="AQ586" i="26"/>
  <c r="F586" i="26"/>
  <c r="E586" i="26"/>
  <c r="AV585" i="26"/>
  <c r="AU585" i="26"/>
  <c r="AT585" i="26"/>
  <c r="AS585" i="26"/>
  <c r="AR585" i="26"/>
  <c r="AQ585" i="26"/>
  <c r="F585" i="26"/>
  <c r="E585" i="26"/>
  <c r="AV584" i="26"/>
  <c r="AU584" i="26"/>
  <c r="AT584" i="26"/>
  <c r="AS584" i="26"/>
  <c r="AR584" i="26"/>
  <c r="AQ584" i="26"/>
  <c r="F584" i="26"/>
  <c r="E584" i="26"/>
  <c r="AV583" i="26"/>
  <c r="AU583" i="26"/>
  <c r="AT583" i="26"/>
  <c r="AS583" i="26"/>
  <c r="AR583" i="26"/>
  <c r="AQ583" i="26"/>
  <c r="F583" i="26"/>
  <c r="E583" i="26"/>
  <c r="AV582" i="26"/>
  <c r="AU582" i="26"/>
  <c r="AT582" i="26"/>
  <c r="AS582" i="26"/>
  <c r="AR582" i="26"/>
  <c r="AQ582" i="26"/>
  <c r="F582" i="26"/>
  <c r="E582" i="26"/>
  <c r="AV581" i="26"/>
  <c r="AU581" i="26"/>
  <c r="AT581" i="26"/>
  <c r="AS581" i="26"/>
  <c r="AR581" i="26"/>
  <c r="AQ581" i="26"/>
  <c r="F581" i="26"/>
  <c r="E581" i="26"/>
  <c r="AV580" i="26"/>
  <c r="AU580" i="26"/>
  <c r="AT580" i="26"/>
  <c r="AS580" i="26"/>
  <c r="AR580" i="26"/>
  <c r="AQ580" i="26"/>
  <c r="F580" i="26"/>
  <c r="E580" i="26"/>
  <c r="AV579" i="26"/>
  <c r="AU579" i="26"/>
  <c r="AT579" i="26"/>
  <c r="AS579" i="26"/>
  <c r="AR579" i="26"/>
  <c r="AQ579" i="26"/>
  <c r="F579" i="26"/>
  <c r="E579" i="26"/>
  <c r="AV578" i="26"/>
  <c r="AU578" i="26"/>
  <c r="AT578" i="26"/>
  <c r="AS578" i="26"/>
  <c r="AR578" i="26"/>
  <c r="AQ578" i="26"/>
  <c r="F578" i="26"/>
  <c r="E578" i="26"/>
  <c r="BF577" i="26"/>
  <c r="BH577" i="26" s="1"/>
  <c r="BJ577" i="26" s="1"/>
  <c r="AV577" i="26"/>
  <c r="AU577" i="26"/>
  <c r="AT577" i="26"/>
  <c r="AS577" i="26"/>
  <c r="AR577" i="26"/>
  <c r="AQ577" i="26"/>
  <c r="F577" i="26"/>
  <c r="E577" i="26"/>
  <c r="AV576" i="26"/>
  <c r="AU576" i="26"/>
  <c r="AT576" i="26"/>
  <c r="AS576" i="26"/>
  <c r="AR576" i="26"/>
  <c r="AQ576" i="26"/>
  <c r="F576" i="26"/>
  <c r="E576" i="26"/>
  <c r="AV575" i="26"/>
  <c r="AU575" i="26"/>
  <c r="AT575" i="26"/>
  <c r="AS575" i="26"/>
  <c r="AR575" i="26"/>
  <c r="AQ575" i="26"/>
  <c r="F575" i="26"/>
  <c r="E575" i="26"/>
  <c r="AV574" i="26"/>
  <c r="AU574" i="26"/>
  <c r="AT574" i="26"/>
  <c r="AS574" i="26"/>
  <c r="AR574" i="26"/>
  <c r="AQ574" i="26"/>
  <c r="F574" i="26"/>
  <c r="E574" i="26"/>
  <c r="AV573" i="26"/>
  <c r="AU573" i="26"/>
  <c r="AT573" i="26"/>
  <c r="AS573" i="26"/>
  <c r="AR573" i="26"/>
  <c r="AQ573" i="26"/>
  <c r="F573" i="26"/>
  <c r="E573" i="26"/>
  <c r="AV572" i="26"/>
  <c r="AU572" i="26"/>
  <c r="AT572" i="26"/>
  <c r="AS572" i="26"/>
  <c r="AR572" i="26"/>
  <c r="AQ572" i="26"/>
  <c r="F572" i="26"/>
  <c r="E572" i="26"/>
  <c r="AV571" i="26"/>
  <c r="AU571" i="26"/>
  <c r="AT571" i="26"/>
  <c r="AS571" i="26"/>
  <c r="AR571" i="26"/>
  <c r="AQ571" i="26"/>
  <c r="AV570" i="26"/>
  <c r="AU570" i="26"/>
  <c r="AT570" i="26"/>
  <c r="AS570" i="26"/>
  <c r="AR570" i="26"/>
  <c r="AQ570" i="26"/>
  <c r="F570" i="26"/>
  <c r="E570" i="26"/>
  <c r="AV569" i="26"/>
  <c r="AU569" i="26"/>
  <c r="AT569" i="26"/>
  <c r="AS569" i="26"/>
  <c r="AR569" i="26"/>
  <c r="AQ569" i="26"/>
  <c r="F569" i="26"/>
  <c r="E569" i="26"/>
  <c r="AV568" i="26"/>
  <c r="AU568" i="26"/>
  <c r="AT568" i="26"/>
  <c r="AS568" i="26"/>
  <c r="AR568" i="26"/>
  <c r="AQ568" i="26"/>
  <c r="F568" i="26"/>
  <c r="E568" i="26"/>
  <c r="AV567" i="26"/>
  <c r="AU567" i="26"/>
  <c r="AT567" i="26"/>
  <c r="AS567" i="26"/>
  <c r="AR567" i="26"/>
  <c r="AQ567" i="26"/>
  <c r="F567" i="26"/>
  <c r="E567" i="26"/>
  <c r="AV566" i="26"/>
  <c r="AU566" i="26"/>
  <c r="AT566" i="26"/>
  <c r="AS566" i="26"/>
  <c r="AR566" i="26"/>
  <c r="AQ566" i="26"/>
  <c r="F566" i="26"/>
  <c r="E566" i="26"/>
  <c r="AV565" i="26"/>
  <c r="AU565" i="26"/>
  <c r="AT565" i="26"/>
  <c r="AS565" i="26"/>
  <c r="AR565" i="26"/>
  <c r="AQ565" i="26"/>
  <c r="F565" i="26"/>
  <c r="E565" i="26"/>
  <c r="AV564" i="26"/>
  <c r="AU564" i="26"/>
  <c r="AT564" i="26"/>
  <c r="AS564" i="26"/>
  <c r="AR564" i="26"/>
  <c r="AQ564" i="26"/>
  <c r="F564" i="26"/>
  <c r="E564" i="26"/>
  <c r="AV563" i="26"/>
  <c r="AU563" i="26"/>
  <c r="AT563" i="26"/>
  <c r="AS563" i="26"/>
  <c r="AR563" i="26"/>
  <c r="AQ563" i="26"/>
  <c r="F563" i="26"/>
  <c r="E563" i="26"/>
  <c r="AV562" i="26"/>
  <c r="AU562" i="26"/>
  <c r="AT562" i="26"/>
  <c r="AS562" i="26"/>
  <c r="AR562" i="26"/>
  <c r="AQ562" i="26"/>
  <c r="F562" i="26"/>
  <c r="E562" i="26"/>
  <c r="AV561" i="26"/>
  <c r="AU561" i="26"/>
  <c r="AT561" i="26"/>
  <c r="AS561" i="26"/>
  <c r="AR561" i="26"/>
  <c r="AQ561" i="26"/>
  <c r="F561" i="26"/>
  <c r="E561" i="26"/>
  <c r="AV560" i="26"/>
  <c r="AU560" i="26"/>
  <c r="AT560" i="26"/>
  <c r="AS560" i="26"/>
  <c r="AR560" i="26"/>
  <c r="AQ560" i="26"/>
  <c r="F560" i="26"/>
  <c r="E560" i="26"/>
  <c r="AV559" i="26"/>
  <c r="AU559" i="26"/>
  <c r="AT559" i="26"/>
  <c r="AS559" i="26"/>
  <c r="AR559" i="26"/>
  <c r="AQ559" i="26"/>
  <c r="F559" i="26"/>
  <c r="E559" i="26"/>
  <c r="AV558" i="26"/>
  <c r="AU558" i="26"/>
  <c r="AT558" i="26"/>
  <c r="AS558" i="26"/>
  <c r="AR558" i="26"/>
  <c r="AQ558" i="26"/>
  <c r="F558" i="26"/>
  <c r="E558" i="26"/>
  <c r="AV557" i="26"/>
  <c r="AU557" i="26"/>
  <c r="AT557" i="26"/>
  <c r="AS557" i="26"/>
  <c r="AR557" i="26"/>
  <c r="AQ557" i="26"/>
  <c r="F557" i="26"/>
  <c r="E557" i="26"/>
  <c r="AV556" i="26"/>
  <c r="AU556" i="26"/>
  <c r="AT556" i="26"/>
  <c r="AS556" i="26"/>
  <c r="AR556" i="26"/>
  <c r="AQ556" i="26"/>
  <c r="F556" i="26"/>
  <c r="E556" i="26"/>
  <c r="AV555" i="26"/>
  <c r="AU555" i="26"/>
  <c r="AT555" i="26"/>
  <c r="AS555" i="26"/>
  <c r="AR555" i="26"/>
  <c r="AQ555" i="26"/>
  <c r="F555" i="26"/>
  <c r="E555" i="26"/>
  <c r="AV554" i="26"/>
  <c r="AU554" i="26"/>
  <c r="AT554" i="26"/>
  <c r="AS554" i="26"/>
  <c r="AR554" i="26"/>
  <c r="AQ554" i="26"/>
  <c r="F554" i="26"/>
  <c r="E554" i="26"/>
  <c r="AV553" i="26"/>
  <c r="AU553" i="26"/>
  <c r="AT553" i="26"/>
  <c r="AS553" i="26"/>
  <c r="AR553" i="26"/>
  <c r="AQ553" i="26"/>
  <c r="F553" i="26"/>
  <c r="E553" i="26"/>
  <c r="AV552" i="26"/>
  <c r="AU552" i="26"/>
  <c r="AT552" i="26"/>
  <c r="AS552" i="26"/>
  <c r="AR552" i="26"/>
  <c r="AQ552" i="26"/>
  <c r="F552" i="26"/>
  <c r="E552" i="26"/>
  <c r="AV551" i="26"/>
  <c r="AU551" i="26"/>
  <c r="AT551" i="26"/>
  <c r="AS551" i="26"/>
  <c r="AR551" i="26"/>
  <c r="AQ551" i="26"/>
  <c r="F551" i="26"/>
  <c r="E551" i="26"/>
  <c r="AV550" i="26"/>
  <c r="AU550" i="26"/>
  <c r="AT550" i="26"/>
  <c r="AS550" i="26"/>
  <c r="AR550" i="26"/>
  <c r="AQ550" i="26"/>
  <c r="F550" i="26"/>
  <c r="E550" i="26"/>
  <c r="AV549" i="26"/>
  <c r="AU549" i="26"/>
  <c r="AT549" i="26"/>
  <c r="AS549" i="26"/>
  <c r="AR549" i="26"/>
  <c r="AQ549" i="26"/>
  <c r="F549" i="26"/>
  <c r="E549" i="26"/>
  <c r="AV548" i="26"/>
  <c r="AU548" i="26"/>
  <c r="AT548" i="26"/>
  <c r="AS548" i="26"/>
  <c r="AR548" i="26"/>
  <c r="AQ548" i="26"/>
  <c r="F548" i="26"/>
  <c r="E548" i="26"/>
  <c r="AV547" i="26"/>
  <c r="AU547" i="26"/>
  <c r="AT547" i="26"/>
  <c r="AS547" i="26"/>
  <c r="AR547" i="26"/>
  <c r="AQ547" i="26"/>
  <c r="F547" i="26"/>
  <c r="E547" i="26"/>
  <c r="AV834" i="26"/>
  <c r="AU834" i="26"/>
  <c r="AT834" i="26"/>
  <c r="AS834" i="26"/>
  <c r="AR834" i="26"/>
  <c r="AQ834" i="26"/>
  <c r="F834" i="26"/>
  <c r="E834" i="26"/>
  <c r="AV833" i="26"/>
  <c r="AU833" i="26"/>
  <c r="AT833" i="26"/>
  <c r="AS833" i="26"/>
  <c r="AR833" i="26"/>
  <c r="AQ833" i="26"/>
  <c r="F833" i="26"/>
  <c r="E833" i="26"/>
  <c r="AV832" i="26"/>
  <c r="AU832" i="26"/>
  <c r="AT832" i="26"/>
  <c r="AS832" i="26"/>
  <c r="AR832" i="26"/>
  <c r="AQ832" i="26"/>
  <c r="F832" i="26"/>
  <c r="E832" i="26"/>
  <c r="AV831" i="26"/>
  <c r="AU831" i="26"/>
  <c r="AT831" i="26"/>
  <c r="AS831" i="26"/>
  <c r="AR831" i="26"/>
  <c r="AQ831" i="26"/>
  <c r="F831" i="26"/>
  <c r="E831" i="26"/>
  <c r="AV830" i="26"/>
  <c r="AU830" i="26"/>
  <c r="AT830" i="26"/>
  <c r="AS830" i="26"/>
  <c r="AR830" i="26"/>
  <c r="AQ830" i="26"/>
  <c r="F830" i="26"/>
  <c r="E830" i="26"/>
  <c r="AV829" i="26"/>
  <c r="AU829" i="26"/>
  <c r="AT829" i="26"/>
  <c r="AS829" i="26"/>
  <c r="AR829" i="26"/>
  <c r="AQ829" i="26"/>
  <c r="F829" i="26"/>
  <c r="E829" i="26"/>
  <c r="AV828" i="26"/>
  <c r="AU828" i="26"/>
  <c r="AT828" i="26"/>
  <c r="AS828" i="26"/>
  <c r="AR828" i="26"/>
  <c r="AQ828" i="26"/>
  <c r="F828" i="26"/>
  <c r="E828" i="26"/>
  <c r="AV827" i="26"/>
  <c r="AU827" i="26"/>
  <c r="AT827" i="26"/>
  <c r="AS827" i="26"/>
  <c r="AR827" i="26"/>
  <c r="AQ827" i="26"/>
  <c r="F827" i="26"/>
  <c r="E827" i="26"/>
  <c r="AV826" i="26"/>
  <c r="AU826" i="26"/>
  <c r="AT826" i="26"/>
  <c r="AS826" i="26"/>
  <c r="AR826" i="26"/>
  <c r="AQ826" i="26"/>
  <c r="F826" i="26"/>
  <c r="E826" i="26"/>
  <c r="AV546" i="26"/>
  <c r="AU546" i="26"/>
  <c r="AT546" i="26"/>
  <c r="AS546" i="26"/>
  <c r="AR546" i="26"/>
  <c r="AQ546" i="26"/>
  <c r="F546" i="26"/>
  <c r="E546" i="26"/>
  <c r="AV545" i="26"/>
  <c r="AU545" i="26"/>
  <c r="AT545" i="26"/>
  <c r="AS545" i="26"/>
  <c r="AR545" i="26"/>
  <c r="AQ545" i="26"/>
  <c r="F545" i="26"/>
  <c r="E545" i="26"/>
  <c r="AV544" i="26"/>
  <c r="AU544" i="26"/>
  <c r="AT544" i="26"/>
  <c r="AS544" i="26"/>
  <c r="AR544" i="26"/>
  <c r="AQ544" i="26"/>
  <c r="F544" i="26"/>
  <c r="E544" i="26"/>
  <c r="AV543" i="26"/>
  <c r="AU543" i="26"/>
  <c r="AT543" i="26"/>
  <c r="AS543" i="26"/>
  <c r="AR543" i="26"/>
  <c r="AQ543" i="26"/>
  <c r="F543" i="26"/>
  <c r="E543" i="26"/>
  <c r="AV542" i="26"/>
  <c r="AU542" i="26"/>
  <c r="AT542" i="26"/>
  <c r="AS542" i="26"/>
  <c r="AR542" i="26"/>
  <c r="AQ542" i="26"/>
  <c r="F542" i="26"/>
  <c r="E542" i="26"/>
  <c r="AV541" i="26"/>
  <c r="AU541" i="26"/>
  <c r="AT541" i="26"/>
  <c r="AS541" i="26"/>
  <c r="AR541" i="26"/>
  <c r="AQ541" i="26"/>
  <c r="F541" i="26"/>
  <c r="E541" i="26"/>
  <c r="AV540" i="26"/>
  <c r="AU540" i="26"/>
  <c r="AT540" i="26"/>
  <c r="AS540" i="26"/>
  <c r="AR540" i="26"/>
  <c r="AQ540" i="26"/>
  <c r="F540" i="26"/>
  <c r="E540" i="26"/>
  <c r="AV539" i="26"/>
  <c r="AU539" i="26"/>
  <c r="AT539" i="26"/>
  <c r="AS539" i="26"/>
  <c r="AR539" i="26"/>
  <c r="AQ539" i="26"/>
  <c r="F539" i="26"/>
  <c r="E539" i="26"/>
  <c r="AV538" i="26"/>
  <c r="AU538" i="26"/>
  <c r="AT538" i="26"/>
  <c r="AS538" i="26"/>
  <c r="AR538" i="26"/>
  <c r="AQ538" i="26"/>
  <c r="F538" i="26"/>
  <c r="E538" i="26"/>
  <c r="AV537" i="26"/>
  <c r="AU537" i="26"/>
  <c r="AT537" i="26"/>
  <c r="AS537" i="26"/>
  <c r="AR537" i="26"/>
  <c r="AQ537" i="26"/>
  <c r="F537" i="26"/>
  <c r="E537" i="26"/>
  <c r="BF536" i="26"/>
  <c r="BH536" i="26" s="1"/>
  <c r="BJ536" i="26" s="1"/>
  <c r="AV536" i="26"/>
  <c r="AU536" i="26"/>
  <c r="AT536" i="26"/>
  <c r="AS536" i="26"/>
  <c r="AR536" i="26"/>
  <c r="AQ536" i="26"/>
  <c r="F536" i="26"/>
  <c r="E536" i="26"/>
  <c r="AV535" i="26"/>
  <c r="AU535" i="26"/>
  <c r="AT535" i="26"/>
  <c r="AS535" i="26"/>
  <c r="AR535" i="26"/>
  <c r="AQ535" i="26"/>
  <c r="F535" i="26"/>
  <c r="E535" i="26"/>
  <c r="AV534" i="26"/>
  <c r="AU534" i="26"/>
  <c r="AT534" i="26"/>
  <c r="AS534" i="26"/>
  <c r="AR534" i="26"/>
  <c r="AQ534" i="26"/>
  <c r="F534" i="26"/>
  <c r="E534" i="26"/>
  <c r="AV533" i="26"/>
  <c r="AU533" i="26"/>
  <c r="AT533" i="26"/>
  <c r="AS533" i="26"/>
  <c r="AR533" i="26"/>
  <c r="AQ533" i="26"/>
  <c r="F533" i="26"/>
  <c r="E533" i="26"/>
  <c r="AV532" i="26"/>
  <c r="AU532" i="26"/>
  <c r="AT532" i="26"/>
  <c r="AS532" i="26"/>
  <c r="AR532" i="26"/>
  <c r="AQ532" i="26"/>
  <c r="F532" i="26"/>
  <c r="E532" i="26"/>
  <c r="AV531" i="26"/>
  <c r="AU531" i="26"/>
  <c r="AT531" i="26"/>
  <c r="AS531" i="26"/>
  <c r="AR531" i="26"/>
  <c r="AQ531" i="26"/>
  <c r="F531" i="26"/>
  <c r="E531" i="26"/>
  <c r="AV530" i="26"/>
  <c r="AU530" i="26"/>
  <c r="AT530" i="26"/>
  <c r="AS530" i="26"/>
  <c r="AR530" i="26"/>
  <c r="AQ530" i="26"/>
  <c r="F530" i="26"/>
  <c r="E530" i="26"/>
  <c r="BF529" i="26"/>
  <c r="BH529" i="26" s="1"/>
  <c r="BJ529" i="26" s="1"/>
  <c r="AV529" i="26"/>
  <c r="AU529" i="26"/>
  <c r="AT529" i="26"/>
  <c r="AS529" i="26"/>
  <c r="AR529" i="26"/>
  <c r="AQ529" i="26"/>
  <c r="F529" i="26"/>
  <c r="E529" i="26"/>
  <c r="AV528" i="26"/>
  <c r="AU528" i="26"/>
  <c r="AT528" i="26"/>
  <c r="AS528" i="26"/>
  <c r="AR528" i="26"/>
  <c r="AQ528" i="26"/>
  <c r="F528" i="26"/>
  <c r="E528" i="26"/>
  <c r="AV527" i="26"/>
  <c r="AU527" i="26"/>
  <c r="AT527" i="26"/>
  <c r="AS527" i="26"/>
  <c r="AR527" i="26"/>
  <c r="AQ527" i="26"/>
  <c r="F527" i="26"/>
  <c r="E527" i="26"/>
  <c r="AV526" i="26"/>
  <c r="AU526" i="26"/>
  <c r="AT526" i="26"/>
  <c r="AS526" i="26"/>
  <c r="AR526" i="26"/>
  <c r="AQ526" i="26"/>
  <c r="F526" i="26"/>
  <c r="E526" i="26"/>
  <c r="AV525" i="26"/>
  <c r="AU525" i="26"/>
  <c r="AT525" i="26"/>
  <c r="AS525" i="26"/>
  <c r="AR525" i="26"/>
  <c r="AQ525" i="26"/>
  <c r="F525" i="26"/>
  <c r="E525" i="26"/>
  <c r="AV524" i="26"/>
  <c r="AU524" i="26"/>
  <c r="AT524" i="26"/>
  <c r="AS524" i="26"/>
  <c r="AR524" i="26"/>
  <c r="AQ524" i="26"/>
  <c r="F524" i="26"/>
  <c r="E524" i="26"/>
  <c r="AV523" i="26"/>
  <c r="AU523" i="26"/>
  <c r="AT523" i="26"/>
  <c r="AS523" i="26"/>
  <c r="AR523" i="26"/>
  <c r="AQ523" i="26"/>
  <c r="F523" i="26"/>
  <c r="E523" i="26"/>
  <c r="AV522" i="26"/>
  <c r="AU522" i="26"/>
  <c r="AT522" i="26"/>
  <c r="AS522" i="26"/>
  <c r="AR522" i="26"/>
  <c r="AQ522" i="26"/>
  <c r="F522" i="26"/>
  <c r="E522" i="26"/>
  <c r="AV521" i="26"/>
  <c r="AU521" i="26"/>
  <c r="AT521" i="26"/>
  <c r="AS521" i="26"/>
  <c r="AR521" i="26"/>
  <c r="AQ521" i="26"/>
  <c r="F521" i="26"/>
  <c r="E521" i="26"/>
  <c r="AV520" i="26"/>
  <c r="AU520" i="26"/>
  <c r="AT520" i="26"/>
  <c r="AS520" i="26"/>
  <c r="AR520" i="26"/>
  <c r="AQ520" i="26"/>
  <c r="F520" i="26"/>
  <c r="E520" i="26"/>
  <c r="AV519" i="26"/>
  <c r="AU519" i="26"/>
  <c r="AT519" i="26"/>
  <c r="AS519" i="26"/>
  <c r="AR519" i="26"/>
  <c r="AQ519" i="26"/>
  <c r="F519" i="26"/>
  <c r="E519" i="26"/>
  <c r="AV518" i="26"/>
  <c r="AU518" i="26"/>
  <c r="AT518" i="26"/>
  <c r="AS518" i="26"/>
  <c r="AR518" i="26"/>
  <c r="AQ518" i="26"/>
  <c r="F518" i="26"/>
  <c r="E518" i="26"/>
  <c r="AV517" i="26"/>
  <c r="AU517" i="26"/>
  <c r="AT517" i="26"/>
  <c r="AS517" i="26"/>
  <c r="AR517" i="26"/>
  <c r="AQ517" i="26"/>
  <c r="F517" i="26"/>
  <c r="E517" i="26"/>
  <c r="AV516" i="26"/>
  <c r="AU516" i="26"/>
  <c r="AT516" i="26"/>
  <c r="AS516" i="26"/>
  <c r="AR516" i="26"/>
  <c r="AQ516" i="26"/>
  <c r="F516" i="26"/>
  <c r="E516" i="26"/>
  <c r="AV515" i="26"/>
  <c r="AU515" i="26"/>
  <c r="AT515" i="26"/>
  <c r="AS515" i="26"/>
  <c r="AR515" i="26"/>
  <c r="AQ515" i="26"/>
  <c r="F515" i="26"/>
  <c r="E515" i="26"/>
  <c r="AV514" i="26"/>
  <c r="AU514" i="26"/>
  <c r="AT514" i="26"/>
  <c r="AS514" i="26"/>
  <c r="AR514" i="26"/>
  <c r="AQ514" i="26"/>
  <c r="F514" i="26"/>
  <c r="E514" i="26"/>
  <c r="AV513" i="26"/>
  <c r="AU513" i="26"/>
  <c r="AT513" i="26"/>
  <c r="AS513" i="26"/>
  <c r="AR513" i="26"/>
  <c r="AQ513" i="26"/>
  <c r="F513" i="26"/>
  <c r="E513" i="26"/>
  <c r="AV512" i="26"/>
  <c r="AU512" i="26"/>
  <c r="AT512" i="26"/>
  <c r="AS512" i="26"/>
  <c r="AR512" i="26"/>
  <c r="AQ512" i="26"/>
  <c r="F512" i="26"/>
  <c r="E512" i="26"/>
  <c r="AV511" i="26"/>
  <c r="AU511" i="26"/>
  <c r="AT511" i="26"/>
  <c r="AS511" i="26"/>
  <c r="AR511" i="26"/>
  <c r="AQ511" i="26"/>
  <c r="F511" i="26"/>
  <c r="E511" i="26"/>
  <c r="AV510" i="26"/>
  <c r="AU510" i="26"/>
  <c r="AT510" i="26"/>
  <c r="AS510" i="26"/>
  <c r="AR510" i="26"/>
  <c r="AQ510" i="26"/>
  <c r="F510" i="26"/>
  <c r="E510" i="26"/>
  <c r="AV509" i="26"/>
  <c r="AU509" i="26"/>
  <c r="AT509" i="26"/>
  <c r="AS509" i="26"/>
  <c r="AR509" i="26"/>
  <c r="AQ509" i="26"/>
  <c r="F509" i="26"/>
  <c r="E509" i="26"/>
  <c r="AV508" i="26"/>
  <c r="AU508" i="26"/>
  <c r="AT508" i="26"/>
  <c r="AS508" i="26"/>
  <c r="AR508" i="26"/>
  <c r="AQ508" i="26"/>
  <c r="F508" i="26"/>
  <c r="E508" i="26"/>
  <c r="AV507" i="26"/>
  <c r="AU507" i="26"/>
  <c r="AT507" i="26"/>
  <c r="AS507" i="26"/>
  <c r="AR507" i="26"/>
  <c r="AQ507" i="26"/>
  <c r="F507" i="26"/>
  <c r="E507" i="26"/>
  <c r="AV506" i="26"/>
  <c r="AU506" i="26"/>
  <c r="AT506" i="26"/>
  <c r="AS506" i="26"/>
  <c r="AR506" i="26"/>
  <c r="AQ506" i="26"/>
  <c r="F506" i="26"/>
  <c r="E506" i="26"/>
  <c r="AV505" i="26"/>
  <c r="AU505" i="26"/>
  <c r="AT505" i="26"/>
  <c r="AS505" i="26"/>
  <c r="AR505" i="26"/>
  <c r="AQ505" i="26"/>
  <c r="F505" i="26"/>
  <c r="E505" i="26"/>
  <c r="AV504" i="26"/>
  <c r="AU504" i="26"/>
  <c r="AT504" i="26"/>
  <c r="AS504" i="26"/>
  <c r="AR504" i="26"/>
  <c r="AQ504" i="26"/>
  <c r="F504" i="26"/>
  <c r="E504" i="26"/>
  <c r="AV503" i="26"/>
  <c r="AU503" i="26"/>
  <c r="AT503" i="26"/>
  <c r="AS503" i="26"/>
  <c r="AR503" i="26"/>
  <c r="AQ503" i="26"/>
  <c r="F503" i="26"/>
  <c r="E503" i="26"/>
  <c r="AV502" i="26"/>
  <c r="AU502" i="26"/>
  <c r="AT502" i="26"/>
  <c r="AS502" i="26"/>
  <c r="AR502" i="26"/>
  <c r="AQ502" i="26"/>
  <c r="F502" i="26"/>
  <c r="E502" i="26"/>
  <c r="BF501" i="26"/>
  <c r="BH501" i="26" s="1"/>
  <c r="BJ501" i="26" s="1"/>
  <c r="AV501" i="26"/>
  <c r="AU501" i="26"/>
  <c r="AT501" i="26"/>
  <c r="AS501" i="26"/>
  <c r="AR501" i="26"/>
  <c r="AQ501" i="26"/>
  <c r="F501" i="26"/>
  <c r="E501" i="26"/>
  <c r="AV500" i="26"/>
  <c r="AU500" i="26"/>
  <c r="AT500" i="26"/>
  <c r="AS500" i="26"/>
  <c r="AR500" i="26"/>
  <c r="AQ500" i="26"/>
  <c r="F500" i="26"/>
  <c r="E500" i="26"/>
  <c r="AV499" i="26"/>
  <c r="AU499" i="26"/>
  <c r="AT499" i="26"/>
  <c r="AS499" i="26"/>
  <c r="AR499" i="26"/>
  <c r="AQ499" i="26"/>
  <c r="F499" i="26"/>
  <c r="E499" i="26"/>
  <c r="AV498" i="26"/>
  <c r="AU498" i="26"/>
  <c r="AT498" i="26"/>
  <c r="AS498" i="26"/>
  <c r="AR498" i="26"/>
  <c r="AQ498" i="26"/>
  <c r="F498" i="26"/>
  <c r="E498" i="26"/>
  <c r="AV497" i="26"/>
  <c r="AU497" i="26"/>
  <c r="AT497" i="26"/>
  <c r="AS497" i="26"/>
  <c r="AR497" i="26"/>
  <c r="AQ497" i="26"/>
  <c r="F497" i="26"/>
  <c r="E497" i="26"/>
  <c r="AV496" i="26"/>
  <c r="AU496" i="26"/>
  <c r="AT496" i="26"/>
  <c r="AS496" i="26"/>
  <c r="AR496" i="26"/>
  <c r="AQ496" i="26"/>
  <c r="F496" i="26"/>
  <c r="E496" i="26"/>
  <c r="AV495" i="26"/>
  <c r="AU495" i="26"/>
  <c r="AT495" i="26"/>
  <c r="AS495" i="26"/>
  <c r="AR495" i="26"/>
  <c r="AQ495" i="26"/>
  <c r="F495" i="26"/>
  <c r="E495" i="26"/>
  <c r="AV494" i="26"/>
  <c r="AU494" i="26"/>
  <c r="AT494" i="26"/>
  <c r="AS494" i="26"/>
  <c r="AR494" i="26"/>
  <c r="AQ494" i="26"/>
  <c r="F494" i="26"/>
  <c r="E494" i="26"/>
  <c r="AV493" i="26"/>
  <c r="AU493" i="26"/>
  <c r="AT493" i="26"/>
  <c r="AS493" i="26"/>
  <c r="AR493" i="26"/>
  <c r="AQ493" i="26"/>
  <c r="F493" i="26"/>
  <c r="E493" i="26"/>
  <c r="AV492" i="26"/>
  <c r="AU492" i="26"/>
  <c r="AT492" i="26"/>
  <c r="AS492" i="26"/>
  <c r="AR492" i="26"/>
  <c r="AQ492" i="26"/>
  <c r="F492" i="26"/>
  <c r="E492" i="26"/>
  <c r="AV491" i="26"/>
  <c r="AU491" i="26"/>
  <c r="AT491" i="26"/>
  <c r="AS491" i="26"/>
  <c r="AR491" i="26"/>
  <c r="AQ491" i="26"/>
  <c r="F491" i="26"/>
  <c r="E491" i="26"/>
  <c r="AV490" i="26"/>
  <c r="AU490" i="26"/>
  <c r="AT490" i="26"/>
  <c r="AS490" i="26"/>
  <c r="AR490" i="26"/>
  <c r="AQ490" i="26"/>
  <c r="F490" i="26"/>
  <c r="E490" i="26"/>
  <c r="AV489" i="26"/>
  <c r="AU489" i="26"/>
  <c r="AT489" i="26"/>
  <c r="AS489" i="26"/>
  <c r="AR489" i="26"/>
  <c r="AQ489" i="26"/>
  <c r="F489" i="26"/>
  <c r="E489" i="26"/>
  <c r="AV488" i="26"/>
  <c r="AU488" i="26"/>
  <c r="AT488" i="26"/>
  <c r="AS488" i="26"/>
  <c r="AR488" i="26"/>
  <c r="AQ488" i="26"/>
  <c r="F488" i="26"/>
  <c r="E488" i="26"/>
  <c r="AV487" i="26"/>
  <c r="AU487" i="26"/>
  <c r="AT487" i="26"/>
  <c r="AS487" i="26"/>
  <c r="AR487" i="26"/>
  <c r="AQ487" i="26"/>
  <c r="F487" i="26"/>
  <c r="E487" i="26"/>
  <c r="AV486" i="26"/>
  <c r="AU486" i="26"/>
  <c r="AT486" i="26"/>
  <c r="AS486" i="26"/>
  <c r="AR486" i="26"/>
  <c r="AQ486" i="26"/>
  <c r="F486" i="26"/>
  <c r="E486" i="26"/>
  <c r="BF485" i="26"/>
  <c r="BH485" i="26" s="1"/>
  <c r="BJ485" i="26" s="1"/>
  <c r="AV485" i="26"/>
  <c r="AU485" i="26"/>
  <c r="AT485" i="26"/>
  <c r="AS485" i="26"/>
  <c r="AR485" i="26"/>
  <c r="AQ485" i="26"/>
  <c r="F485" i="26"/>
  <c r="E485" i="26"/>
  <c r="AV484" i="26"/>
  <c r="AU484" i="26"/>
  <c r="AT484" i="26"/>
  <c r="AS484" i="26"/>
  <c r="AR484" i="26"/>
  <c r="AQ484" i="26"/>
  <c r="F484" i="26"/>
  <c r="E484" i="26"/>
  <c r="AV483" i="26"/>
  <c r="AU483" i="26"/>
  <c r="AT483" i="26"/>
  <c r="AS483" i="26"/>
  <c r="AR483" i="26"/>
  <c r="AQ483" i="26"/>
  <c r="F483" i="26"/>
  <c r="E483" i="26"/>
  <c r="BF482" i="26"/>
  <c r="BH482" i="26" s="1"/>
  <c r="BJ482" i="26" s="1"/>
  <c r="AV482" i="26"/>
  <c r="AU482" i="26"/>
  <c r="AT482" i="26"/>
  <c r="AS482" i="26"/>
  <c r="AR482" i="26"/>
  <c r="AQ482" i="26"/>
  <c r="F482" i="26"/>
  <c r="E482" i="26"/>
  <c r="AV481" i="26"/>
  <c r="AU481" i="26"/>
  <c r="AT481" i="26"/>
  <c r="AS481" i="26"/>
  <c r="AR481" i="26"/>
  <c r="AQ481" i="26"/>
  <c r="F481" i="26"/>
  <c r="E481" i="26"/>
  <c r="AV480" i="26"/>
  <c r="AU480" i="26"/>
  <c r="AT480" i="26"/>
  <c r="AS480" i="26"/>
  <c r="AR480" i="26"/>
  <c r="AQ480" i="26"/>
  <c r="F480" i="26"/>
  <c r="E480" i="26"/>
  <c r="AV479" i="26"/>
  <c r="AU479" i="26"/>
  <c r="AT479" i="26"/>
  <c r="AS479" i="26"/>
  <c r="AR479" i="26"/>
  <c r="AQ479" i="26"/>
  <c r="F479" i="26"/>
  <c r="E479" i="26"/>
  <c r="AV478" i="26"/>
  <c r="AU478" i="26"/>
  <c r="AT478" i="26"/>
  <c r="AS478" i="26"/>
  <c r="AR478" i="26"/>
  <c r="AQ478" i="26"/>
  <c r="F478" i="26"/>
  <c r="E478" i="26"/>
  <c r="AV477" i="26"/>
  <c r="AU477" i="26"/>
  <c r="AT477" i="26"/>
  <c r="AS477" i="26"/>
  <c r="AR477" i="26"/>
  <c r="AQ477" i="26"/>
  <c r="F477" i="26"/>
  <c r="E477" i="26"/>
  <c r="AV476" i="26"/>
  <c r="AU476" i="26"/>
  <c r="AT476" i="26"/>
  <c r="AS476" i="26"/>
  <c r="AR476" i="26"/>
  <c r="AQ476" i="26"/>
  <c r="F476" i="26"/>
  <c r="E476" i="26"/>
  <c r="AV475" i="26"/>
  <c r="AU475" i="26"/>
  <c r="AT475" i="26"/>
  <c r="AS475" i="26"/>
  <c r="AR475" i="26"/>
  <c r="AQ475" i="26"/>
  <c r="F475" i="26"/>
  <c r="E475" i="26"/>
  <c r="AV474" i="26"/>
  <c r="AU474" i="26"/>
  <c r="AT474" i="26"/>
  <c r="AS474" i="26"/>
  <c r="AR474" i="26"/>
  <c r="AQ474" i="26"/>
  <c r="F474" i="26"/>
  <c r="E474" i="26"/>
  <c r="AV473" i="26"/>
  <c r="AU473" i="26"/>
  <c r="AT473" i="26"/>
  <c r="AS473" i="26"/>
  <c r="AR473" i="26"/>
  <c r="AQ473" i="26"/>
  <c r="F473" i="26"/>
  <c r="E473" i="26"/>
  <c r="AV472" i="26"/>
  <c r="AU472" i="26"/>
  <c r="AT472" i="26"/>
  <c r="AS472" i="26"/>
  <c r="AR472" i="26"/>
  <c r="AQ472" i="26"/>
  <c r="F472" i="26"/>
  <c r="E472" i="26"/>
  <c r="AV471" i="26"/>
  <c r="AU471" i="26"/>
  <c r="AT471" i="26"/>
  <c r="AS471" i="26"/>
  <c r="AR471" i="26"/>
  <c r="AQ471" i="26"/>
  <c r="F471" i="26"/>
  <c r="E471" i="26"/>
  <c r="AV470" i="26"/>
  <c r="AU470" i="26"/>
  <c r="AT470" i="26"/>
  <c r="AS470" i="26"/>
  <c r="AR470" i="26"/>
  <c r="AQ470" i="26"/>
  <c r="F470" i="26"/>
  <c r="E470" i="26"/>
  <c r="AV469" i="26"/>
  <c r="AU469" i="26"/>
  <c r="AT469" i="26"/>
  <c r="AS469" i="26"/>
  <c r="AR469" i="26"/>
  <c r="AQ469" i="26"/>
  <c r="F469" i="26"/>
  <c r="E469" i="26"/>
  <c r="AV468" i="26"/>
  <c r="AU468" i="26"/>
  <c r="AT468" i="26"/>
  <c r="AS468" i="26"/>
  <c r="AR468" i="26"/>
  <c r="AQ468" i="26"/>
  <c r="F468" i="26"/>
  <c r="E468" i="26"/>
  <c r="AV467" i="26"/>
  <c r="AU467" i="26"/>
  <c r="AT467" i="26"/>
  <c r="AS467" i="26"/>
  <c r="AR467" i="26"/>
  <c r="AQ467" i="26"/>
  <c r="F467" i="26"/>
  <c r="E467" i="26"/>
  <c r="AV466" i="26"/>
  <c r="AU466" i="26"/>
  <c r="AT466" i="26"/>
  <c r="AS466" i="26"/>
  <c r="AR466" i="26"/>
  <c r="AQ466" i="26"/>
  <c r="F466" i="26"/>
  <c r="E466" i="26"/>
  <c r="BF465" i="26"/>
  <c r="BH465" i="26" s="1"/>
  <c r="BJ465" i="26" s="1"/>
  <c r="AV465" i="26"/>
  <c r="AU465" i="26"/>
  <c r="AT465" i="26"/>
  <c r="AS465" i="26"/>
  <c r="AR465" i="26"/>
  <c r="AQ465" i="26"/>
  <c r="F465" i="26"/>
  <c r="E465" i="26"/>
  <c r="AV464" i="26"/>
  <c r="AU464" i="26"/>
  <c r="AT464" i="26"/>
  <c r="AS464" i="26"/>
  <c r="AR464" i="26"/>
  <c r="AQ464" i="26"/>
  <c r="F464" i="26"/>
  <c r="E464" i="26"/>
  <c r="AV463" i="26"/>
  <c r="AU463" i="26"/>
  <c r="AT463" i="26"/>
  <c r="AS463" i="26"/>
  <c r="AR463" i="26"/>
  <c r="AQ463" i="26"/>
  <c r="F463" i="26"/>
  <c r="E463" i="26"/>
  <c r="AV462" i="26"/>
  <c r="AU462" i="26"/>
  <c r="AT462" i="26"/>
  <c r="AS462" i="26"/>
  <c r="AR462" i="26"/>
  <c r="AQ462" i="26"/>
  <c r="F462" i="26"/>
  <c r="E462" i="26"/>
  <c r="AV461" i="26"/>
  <c r="AU461" i="26"/>
  <c r="AT461" i="26"/>
  <c r="AS461" i="26"/>
  <c r="AR461" i="26"/>
  <c r="AQ461" i="26"/>
  <c r="F461" i="26"/>
  <c r="E461" i="26"/>
  <c r="AV460" i="26"/>
  <c r="AU460" i="26"/>
  <c r="AT460" i="26"/>
  <c r="AS460" i="26"/>
  <c r="AR460" i="26"/>
  <c r="AQ460" i="26"/>
  <c r="F460" i="26"/>
  <c r="E460" i="26"/>
  <c r="AV459" i="26"/>
  <c r="AU459" i="26"/>
  <c r="AT459" i="26"/>
  <c r="AS459" i="26"/>
  <c r="AR459" i="26"/>
  <c r="AQ459" i="26"/>
  <c r="F459" i="26"/>
  <c r="E459" i="26"/>
  <c r="AV458" i="26"/>
  <c r="AU458" i="26"/>
  <c r="AT458" i="26"/>
  <c r="AS458" i="26"/>
  <c r="AR458" i="26"/>
  <c r="AQ458" i="26"/>
  <c r="F458" i="26"/>
  <c r="E458" i="26"/>
  <c r="AV457" i="26"/>
  <c r="AU457" i="26"/>
  <c r="AT457" i="26"/>
  <c r="AS457" i="26"/>
  <c r="AR457" i="26"/>
  <c r="AQ457" i="26"/>
  <c r="F457" i="26"/>
  <c r="E457" i="26"/>
  <c r="AV456" i="26"/>
  <c r="AU456" i="26"/>
  <c r="AT456" i="26"/>
  <c r="AS456" i="26"/>
  <c r="AR456" i="26"/>
  <c r="AQ456" i="26"/>
  <c r="F456" i="26"/>
  <c r="E456" i="26"/>
  <c r="AV455" i="26"/>
  <c r="AU455" i="26"/>
  <c r="AT455" i="26"/>
  <c r="AS455" i="26"/>
  <c r="AR455" i="26"/>
  <c r="AQ455" i="26"/>
  <c r="F455" i="26"/>
  <c r="E455" i="26"/>
  <c r="AV454" i="26"/>
  <c r="AU454" i="26"/>
  <c r="AT454" i="26"/>
  <c r="AS454" i="26"/>
  <c r="AR454" i="26"/>
  <c r="AQ454" i="26"/>
  <c r="F454" i="26"/>
  <c r="E454" i="26"/>
  <c r="AV453" i="26"/>
  <c r="AU453" i="26"/>
  <c r="AT453" i="26"/>
  <c r="AS453" i="26"/>
  <c r="AR453" i="26"/>
  <c r="AQ453" i="26"/>
  <c r="F453" i="26"/>
  <c r="E453" i="26"/>
  <c r="AV452" i="26"/>
  <c r="AU452" i="26"/>
  <c r="AT452" i="26"/>
  <c r="AS452" i="26"/>
  <c r="AR452" i="26"/>
  <c r="AQ452" i="26"/>
  <c r="F452" i="26"/>
  <c r="E452" i="26"/>
  <c r="AV451" i="26"/>
  <c r="AU451" i="26"/>
  <c r="AT451" i="26"/>
  <c r="AS451" i="26"/>
  <c r="AR451" i="26"/>
  <c r="AQ451" i="26"/>
  <c r="F451" i="26"/>
  <c r="E451" i="26"/>
  <c r="AV450" i="26"/>
  <c r="AU450" i="26"/>
  <c r="AT450" i="26"/>
  <c r="AS450" i="26"/>
  <c r="AR450" i="26"/>
  <c r="AQ450" i="26"/>
  <c r="F450" i="26"/>
  <c r="E450" i="26"/>
  <c r="AV449" i="26"/>
  <c r="AU449" i="26"/>
  <c r="AT449" i="26"/>
  <c r="AS449" i="26"/>
  <c r="AR449" i="26"/>
  <c r="AQ449" i="26"/>
  <c r="F449" i="26"/>
  <c r="E449" i="26"/>
  <c r="AV448" i="26"/>
  <c r="AU448" i="26"/>
  <c r="AT448" i="26"/>
  <c r="AS448" i="26"/>
  <c r="AR448" i="26"/>
  <c r="AQ448" i="26"/>
  <c r="F448" i="26"/>
  <c r="E448" i="26"/>
  <c r="AV447" i="26"/>
  <c r="AU447" i="26"/>
  <c r="AT447" i="26"/>
  <c r="AS447" i="26"/>
  <c r="AR447" i="26"/>
  <c r="AQ447" i="26"/>
  <c r="F447" i="26"/>
  <c r="E447" i="26"/>
  <c r="BF446" i="26"/>
  <c r="BH446" i="26" s="1"/>
  <c r="BJ446" i="26" s="1"/>
  <c r="AV446" i="26"/>
  <c r="AU446" i="26"/>
  <c r="AT446" i="26"/>
  <c r="AS446" i="26"/>
  <c r="AR446" i="26"/>
  <c r="AQ446" i="26"/>
  <c r="F446" i="26"/>
  <c r="E446" i="26"/>
  <c r="AV445" i="26"/>
  <c r="AU445" i="26"/>
  <c r="AT445" i="26"/>
  <c r="AS445" i="26"/>
  <c r="AR445" i="26"/>
  <c r="AQ445" i="26"/>
  <c r="F445" i="26"/>
  <c r="E445" i="26"/>
  <c r="AV444" i="26"/>
  <c r="AU444" i="26"/>
  <c r="AT444" i="26"/>
  <c r="AS444" i="26"/>
  <c r="AR444" i="26"/>
  <c r="AQ444" i="26"/>
  <c r="F444" i="26"/>
  <c r="E444" i="26"/>
  <c r="AV443" i="26"/>
  <c r="AU443" i="26"/>
  <c r="AT443" i="26"/>
  <c r="AS443" i="26"/>
  <c r="AR443" i="26"/>
  <c r="AQ443" i="26"/>
  <c r="F443" i="26"/>
  <c r="E443" i="26"/>
  <c r="AV442" i="26"/>
  <c r="AU442" i="26"/>
  <c r="AT442" i="26"/>
  <c r="AS442" i="26"/>
  <c r="AR442" i="26"/>
  <c r="AQ442" i="26"/>
  <c r="AV441" i="26"/>
  <c r="AU441" i="26"/>
  <c r="AT441" i="26"/>
  <c r="AS441" i="26"/>
  <c r="AR441" i="26"/>
  <c r="AQ441" i="26"/>
  <c r="F441" i="26"/>
  <c r="E441" i="26"/>
  <c r="AV440" i="26"/>
  <c r="AU440" i="26"/>
  <c r="AT440" i="26"/>
  <c r="AS440" i="26"/>
  <c r="AR440" i="26"/>
  <c r="AQ440" i="26"/>
  <c r="F440" i="26"/>
  <c r="E440" i="26"/>
  <c r="AV439" i="26"/>
  <c r="AU439" i="26"/>
  <c r="AT439" i="26"/>
  <c r="AS439" i="26"/>
  <c r="AR439" i="26"/>
  <c r="AQ439" i="26"/>
  <c r="F439" i="26"/>
  <c r="E439" i="26"/>
  <c r="AV438" i="26"/>
  <c r="AU438" i="26"/>
  <c r="AT438" i="26"/>
  <c r="AS438" i="26"/>
  <c r="AR438" i="26"/>
  <c r="AQ438" i="26"/>
  <c r="F438" i="26"/>
  <c r="E438" i="26"/>
  <c r="AV437" i="26"/>
  <c r="AU437" i="26"/>
  <c r="AT437" i="26"/>
  <c r="AS437" i="26"/>
  <c r="AR437" i="26"/>
  <c r="AQ437" i="26"/>
  <c r="F437" i="26"/>
  <c r="E437" i="26"/>
  <c r="AV436" i="26"/>
  <c r="AU436" i="26"/>
  <c r="AT436" i="26"/>
  <c r="AS436" i="26"/>
  <c r="AR436" i="26"/>
  <c r="AQ436" i="26"/>
  <c r="F436" i="26"/>
  <c r="E436" i="26"/>
  <c r="AV435" i="26"/>
  <c r="AU435" i="26"/>
  <c r="AT435" i="26"/>
  <c r="AS435" i="26"/>
  <c r="AR435" i="26"/>
  <c r="AQ435" i="26"/>
  <c r="F435" i="26"/>
  <c r="E435" i="26"/>
  <c r="AV434" i="26"/>
  <c r="AU434" i="26"/>
  <c r="AT434" i="26"/>
  <c r="AS434" i="26"/>
  <c r="AR434" i="26"/>
  <c r="AQ434" i="26"/>
  <c r="F434" i="26"/>
  <c r="E434" i="26"/>
  <c r="AV433" i="26"/>
  <c r="AU433" i="26"/>
  <c r="AT433" i="26"/>
  <c r="AS433" i="26"/>
  <c r="AR433" i="26"/>
  <c r="AQ433" i="26"/>
  <c r="F433" i="26"/>
  <c r="E433" i="26"/>
  <c r="AV432" i="26"/>
  <c r="AU432" i="26"/>
  <c r="AT432" i="26"/>
  <c r="AS432" i="26"/>
  <c r="AR432" i="26"/>
  <c r="AQ432" i="26"/>
  <c r="F432" i="26"/>
  <c r="E432" i="26"/>
  <c r="AV431" i="26"/>
  <c r="AU431" i="26"/>
  <c r="AT431" i="26"/>
  <c r="AS431" i="26"/>
  <c r="AR431" i="26"/>
  <c r="AQ431" i="26"/>
  <c r="F431" i="26"/>
  <c r="E431" i="26"/>
  <c r="AV430" i="26"/>
  <c r="AU430" i="26"/>
  <c r="AT430" i="26"/>
  <c r="AS430" i="26"/>
  <c r="AR430" i="26"/>
  <c r="AQ430" i="26"/>
  <c r="F430" i="26"/>
  <c r="E430" i="26"/>
  <c r="AV429" i="26"/>
  <c r="AU429" i="26"/>
  <c r="AT429" i="26"/>
  <c r="AS429" i="26"/>
  <c r="AR429" i="26"/>
  <c r="AQ429" i="26"/>
  <c r="F429" i="26"/>
  <c r="E429" i="26"/>
  <c r="AV428" i="26"/>
  <c r="AU428" i="26"/>
  <c r="AT428" i="26"/>
  <c r="AS428" i="26"/>
  <c r="AR428" i="26"/>
  <c r="AQ428" i="26"/>
  <c r="F428" i="26"/>
  <c r="E428" i="26"/>
  <c r="AV427" i="26"/>
  <c r="AU427" i="26"/>
  <c r="AT427" i="26"/>
  <c r="AS427" i="26"/>
  <c r="AR427" i="26"/>
  <c r="AQ427" i="26"/>
  <c r="F427" i="26"/>
  <c r="E427" i="26"/>
  <c r="AV426" i="26"/>
  <c r="AU426" i="26"/>
  <c r="AT426" i="26"/>
  <c r="AS426" i="26"/>
  <c r="AR426" i="26"/>
  <c r="AQ426" i="26"/>
  <c r="F426" i="26"/>
  <c r="E426" i="26"/>
  <c r="AV425" i="26"/>
  <c r="AU425" i="26"/>
  <c r="AT425" i="26"/>
  <c r="AS425" i="26"/>
  <c r="AR425" i="26"/>
  <c r="AQ425" i="26"/>
  <c r="F425" i="26"/>
  <c r="E425" i="26"/>
  <c r="AV424" i="26"/>
  <c r="AU424" i="26"/>
  <c r="AT424" i="26"/>
  <c r="AS424" i="26"/>
  <c r="AR424" i="26"/>
  <c r="AQ424" i="26"/>
  <c r="F424" i="26"/>
  <c r="E424" i="26"/>
  <c r="AV423" i="26"/>
  <c r="AU423" i="26"/>
  <c r="AT423" i="26"/>
  <c r="AS423" i="26"/>
  <c r="AR423" i="26"/>
  <c r="AQ423" i="26"/>
  <c r="F423" i="26"/>
  <c r="E423" i="26"/>
  <c r="AV422" i="26"/>
  <c r="AU422" i="26"/>
  <c r="AT422" i="26"/>
  <c r="AS422" i="26"/>
  <c r="AR422" i="26"/>
  <c r="AQ422" i="26"/>
  <c r="F422" i="26"/>
  <c r="E422" i="26"/>
  <c r="AV421" i="26"/>
  <c r="AU421" i="26"/>
  <c r="AT421" i="26"/>
  <c r="AS421" i="26"/>
  <c r="AR421" i="26"/>
  <c r="AQ421" i="26"/>
  <c r="F421" i="26"/>
  <c r="E421" i="26"/>
  <c r="AV420" i="26"/>
  <c r="AU420" i="26"/>
  <c r="AT420" i="26"/>
  <c r="AS420" i="26"/>
  <c r="AR420" i="26"/>
  <c r="AQ420" i="26"/>
  <c r="F420" i="26"/>
  <c r="E420" i="26"/>
  <c r="AV419" i="26"/>
  <c r="AU419" i="26"/>
  <c r="AT419" i="26"/>
  <c r="AS419" i="26"/>
  <c r="AR419" i="26"/>
  <c r="AQ419" i="26"/>
  <c r="F419" i="26"/>
  <c r="E419" i="26"/>
  <c r="AV418" i="26"/>
  <c r="AU418" i="26"/>
  <c r="AT418" i="26"/>
  <c r="AS418" i="26"/>
  <c r="AR418" i="26"/>
  <c r="AQ418" i="26"/>
  <c r="F418" i="26"/>
  <c r="E418" i="26"/>
  <c r="AV417" i="26"/>
  <c r="AU417" i="26"/>
  <c r="AT417" i="26"/>
  <c r="AS417" i="26"/>
  <c r="AR417" i="26"/>
  <c r="AQ417" i="26"/>
  <c r="F417" i="26"/>
  <c r="E417" i="26"/>
  <c r="AV416" i="26"/>
  <c r="AU416" i="26"/>
  <c r="AT416" i="26"/>
  <c r="AS416" i="26"/>
  <c r="AR416" i="26"/>
  <c r="AQ416" i="26"/>
  <c r="F416" i="26"/>
  <c r="E416" i="26"/>
  <c r="AV415" i="26"/>
  <c r="AU415" i="26"/>
  <c r="AT415" i="26"/>
  <c r="AS415" i="26"/>
  <c r="AR415" i="26"/>
  <c r="AQ415" i="26"/>
  <c r="F415" i="26"/>
  <c r="E415" i="26"/>
  <c r="AV414" i="26"/>
  <c r="AU414" i="26"/>
  <c r="AT414" i="26"/>
  <c r="AS414" i="26"/>
  <c r="AR414" i="26"/>
  <c r="AQ414" i="26"/>
  <c r="F414" i="26"/>
  <c r="E414" i="26"/>
  <c r="AV413" i="26"/>
  <c r="AU413" i="26"/>
  <c r="AT413" i="26"/>
  <c r="AS413" i="26"/>
  <c r="AR413" i="26"/>
  <c r="AQ413" i="26"/>
  <c r="F413" i="26"/>
  <c r="E413" i="26"/>
  <c r="AV412" i="26"/>
  <c r="AU412" i="26"/>
  <c r="AT412" i="26"/>
  <c r="AS412" i="26"/>
  <c r="AR412" i="26"/>
  <c r="AQ412" i="26"/>
  <c r="F412" i="26"/>
  <c r="E412" i="26"/>
  <c r="AV411" i="26"/>
  <c r="AU411" i="26"/>
  <c r="AT411" i="26"/>
  <c r="AS411" i="26"/>
  <c r="AR411" i="26"/>
  <c r="AQ411" i="26"/>
  <c r="F411" i="26"/>
  <c r="E411" i="26"/>
  <c r="AV410" i="26"/>
  <c r="AU410" i="26"/>
  <c r="AT410" i="26"/>
  <c r="AS410" i="26"/>
  <c r="AR410" i="26"/>
  <c r="AQ410" i="26"/>
  <c r="F410" i="26"/>
  <c r="E410" i="26"/>
  <c r="AV409" i="26"/>
  <c r="AU409" i="26"/>
  <c r="AT409" i="26"/>
  <c r="AS409" i="26"/>
  <c r="AR409" i="26"/>
  <c r="AQ409" i="26"/>
  <c r="F409" i="26"/>
  <c r="E409" i="26"/>
  <c r="AV408" i="26"/>
  <c r="AU408" i="26"/>
  <c r="AT408" i="26"/>
  <c r="AS408" i="26"/>
  <c r="AR408" i="26"/>
  <c r="AQ408" i="26"/>
  <c r="F408" i="26"/>
  <c r="E408" i="26"/>
  <c r="AV407" i="26"/>
  <c r="AU407" i="26"/>
  <c r="AT407" i="26"/>
  <c r="AS407" i="26"/>
  <c r="AR407" i="26"/>
  <c r="AQ407" i="26"/>
  <c r="F407" i="26"/>
  <c r="E407" i="26"/>
  <c r="AV406" i="26"/>
  <c r="AU406" i="26"/>
  <c r="AT406" i="26"/>
  <c r="AS406" i="26"/>
  <c r="AR406" i="26"/>
  <c r="AQ406" i="26"/>
  <c r="F406" i="26"/>
  <c r="E406" i="26"/>
  <c r="AV405" i="26"/>
  <c r="AU405" i="26"/>
  <c r="AT405" i="26"/>
  <c r="AS405" i="26"/>
  <c r="AR405" i="26"/>
  <c r="AQ405" i="26"/>
  <c r="F405" i="26"/>
  <c r="E405" i="26"/>
  <c r="BF404" i="26"/>
  <c r="BH404" i="26" s="1"/>
  <c r="BJ404" i="26" s="1"/>
  <c r="AV404" i="26"/>
  <c r="AU404" i="26"/>
  <c r="AT404" i="26"/>
  <c r="AS404" i="26"/>
  <c r="AR404" i="26"/>
  <c r="AQ404" i="26"/>
  <c r="F404" i="26"/>
  <c r="E404" i="26"/>
  <c r="AV403" i="26"/>
  <c r="AU403" i="26"/>
  <c r="AT403" i="26"/>
  <c r="AS403" i="26"/>
  <c r="AR403" i="26"/>
  <c r="AQ403" i="26"/>
  <c r="F403" i="26"/>
  <c r="E403" i="26"/>
  <c r="AV402" i="26"/>
  <c r="AU402" i="26"/>
  <c r="AT402" i="26"/>
  <c r="AS402" i="26"/>
  <c r="AR402" i="26"/>
  <c r="AQ402" i="26"/>
  <c r="F402" i="26"/>
  <c r="E402" i="26"/>
  <c r="AV401" i="26"/>
  <c r="AU401" i="26"/>
  <c r="AT401" i="26"/>
  <c r="AS401" i="26"/>
  <c r="AR401" i="26"/>
  <c r="AQ401" i="26"/>
  <c r="F401" i="26"/>
  <c r="E401" i="26"/>
  <c r="BF400" i="26"/>
  <c r="BH400" i="26" s="1"/>
  <c r="BJ400" i="26" s="1"/>
  <c r="AV400" i="26"/>
  <c r="AU400" i="26"/>
  <c r="AT400" i="26"/>
  <c r="AS400" i="26"/>
  <c r="AR400" i="26"/>
  <c r="AQ400" i="26"/>
  <c r="F400" i="26"/>
  <c r="E400" i="26"/>
  <c r="AV399" i="26"/>
  <c r="AU399" i="26"/>
  <c r="AT399" i="26"/>
  <c r="AS399" i="26"/>
  <c r="AR399" i="26"/>
  <c r="AQ399" i="26"/>
  <c r="F399" i="26"/>
  <c r="E399" i="26"/>
  <c r="AV398" i="26"/>
  <c r="AU398" i="26"/>
  <c r="AT398" i="26"/>
  <c r="AS398" i="26"/>
  <c r="AR398" i="26"/>
  <c r="AQ398" i="26"/>
  <c r="F398" i="26"/>
  <c r="E398" i="26"/>
  <c r="AV397" i="26"/>
  <c r="AU397" i="26"/>
  <c r="AT397" i="26"/>
  <c r="AS397" i="26"/>
  <c r="AR397" i="26"/>
  <c r="AQ397" i="26"/>
  <c r="F397" i="26"/>
  <c r="E397" i="26"/>
  <c r="AV396" i="26"/>
  <c r="AU396" i="26"/>
  <c r="AT396" i="26"/>
  <c r="AS396" i="26"/>
  <c r="AR396" i="26"/>
  <c r="AQ396" i="26"/>
  <c r="F396" i="26"/>
  <c r="E396" i="26"/>
  <c r="AV395" i="26"/>
  <c r="AU395" i="26"/>
  <c r="AT395" i="26"/>
  <c r="AS395" i="26"/>
  <c r="AR395" i="26"/>
  <c r="AQ395" i="26"/>
  <c r="F395" i="26"/>
  <c r="E395" i="26"/>
  <c r="AV394" i="26"/>
  <c r="AU394" i="26"/>
  <c r="AT394" i="26"/>
  <c r="AS394" i="26"/>
  <c r="AR394" i="26"/>
  <c r="AQ394" i="26"/>
  <c r="F394" i="26"/>
  <c r="E394" i="26"/>
  <c r="AV393" i="26"/>
  <c r="AU393" i="26"/>
  <c r="AT393" i="26"/>
  <c r="AS393" i="26"/>
  <c r="AR393" i="26"/>
  <c r="AQ393" i="26"/>
  <c r="F393" i="26"/>
  <c r="E393" i="26"/>
  <c r="AV392" i="26"/>
  <c r="AU392" i="26"/>
  <c r="AT392" i="26"/>
  <c r="AS392" i="26"/>
  <c r="AR392" i="26"/>
  <c r="AQ392" i="26"/>
  <c r="F392" i="26"/>
  <c r="E392" i="26"/>
  <c r="AV391" i="26"/>
  <c r="AU391" i="26"/>
  <c r="AT391" i="26"/>
  <c r="AS391" i="26"/>
  <c r="AR391" i="26"/>
  <c r="AQ391" i="26"/>
  <c r="F391" i="26"/>
  <c r="E391" i="26"/>
  <c r="AV390" i="26"/>
  <c r="AU390" i="26"/>
  <c r="AT390" i="26"/>
  <c r="AS390" i="26"/>
  <c r="AR390" i="26"/>
  <c r="AQ390" i="26"/>
  <c r="F390" i="26"/>
  <c r="E390" i="26"/>
  <c r="AV389" i="26"/>
  <c r="AU389" i="26"/>
  <c r="AT389" i="26"/>
  <c r="AS389" i="26"/>
  <c r="AR389" i="26"/>
  <c r="AQ389" i="26"/>
  <c r="F389" i="26"/>
  <c r="E389" i="26"/>
  <c r="AV388" i="26"/>
  <c r="AU388" i="26"/>
  <c r="AT388" i="26"/>
  <c r="AS388" i="26"/>
  <c r="AR388" i="26"/>
  <c r="AQ388" i="26"/>
  <c r="F388" i="26"/>
  <c r="E388" i="26"/>
  <c r="AV387" i="26"/>
  <c r="AU387" i="26"/>
  <c r="AT387" i="26"/>
  <c r="AS387" i="26"/>
  <c r="AR387" i="26"/>
  <c r="AQ387" i="26"/>
  <c r="F387" i="26"/>
  <c r="E387" i="26"/>
  <c r="AV386" i="26"/>
  <c r="AU386" i="26"/>
  <c r="AT386" i="26"/>
  <c r="AS386" i="26"/>
  <c r="AR386" i="26"/>
  <c r="AQ386" i="26"/>
  <c r="F386" i="26"/>
  <c r="E386" i="26"/>
  <c r="AV385" i="26"/>
  <c r="AU385" i="26"/>
  <c r="AT385" i="26"/>
  <c r="AS385" i="26"/>
  <c r="AR385" i="26"/>
  <c r="AQ385" i="26"/>
  <c r="F385" i="26"/>
  <c r="E385" i="26"/>
  <c r="AV384" i="26"/>
  <c r="AU384" i="26"/>
  <c r="AT384" i="26"/>
  <c r="AS384" i="26"/>
  <c r="AR384" i="26"/>
  <c r="AQ384" i="26"/>
  <c r="F384" i="26"/>
  <c r="E384" i="26"/>
  <c r="AV383" i="26"/>
  <c r="AU383" i="26"/>
  <c r="AT383" i="26"/>
  <c r="AS383" i="26"/>
  <c r="AR383" i="26"/>
  <c r="AQ383" i="26"/>
  <c r="F383" i="26"/>
  <c r="E383" i="26"/>
  <c r="AV382" i="26"/>
  <c r="AU382" i="26"/>
  <c r="AT382" i="26"/>
  <c r="AS382" i="26"/>
  <c r="AR382" i="26"/>
  <c r="AQ382" i="26"/>
  <c r="F382" i="26"/>
  <c r="E382" i="26"/>
  <c r="AV381" i="26"/>
  <c r="AU381" i="26"/>
  <c r="AT381" i="26"/>
  <c r="AS381" i="26"/>
  <c r="AR381" i="26"/>
  <c r="AQ381" i="26"/>
  <c r="F381" i="26"/>
  <c r="E381" i="26"/>
  <c r="AV380" i="26"/>
  <c r="AU380" i="26"/>
  <c r="AT380" i="26"/>
  <c r="AS380" i="26"/>
  <c r="AR380" i="26"/>
  <c r="AQ380" i="26"/>
  <c r="F380" i="26"/>
  <c r="E380" i="26"/>
  <c r="AV379" i="26"/>
  <c r="AU379" i="26"/>
  <c r="AT379" i="26"/>
  <c r="AS379" i="26"/>
  <c r="AR379" i="26"/>
  <c r="AQ379" i="26"/>
  <c r="F379" i="26"/>
  <c r="E379" i="26"/>
  <c r="AV378" i="26"/>
  <c r="AU378" i="26"/>
  <c r="AT378" i="26"/>
  <c r="AS378" i="26"/>
  <c r="AR378" i="26"/>
  <c r="AQ378" i="26"/>
  <c r="F378" i="26"/>
  <c r="E378" i="26"/>
  <c r="AV377" i="26"/>
  <c r="AU377" i="26"/>
  <c r="AT377" i="26"/>
  <c r="AS377" i="26"/>
  <c r="AR377" i="26"/>
  <c r="AQ377" i="26"/>
  <c r="F377" i="26"/>
  <c r="E377" i="26"/>
  <c r="AV376" i="26"/>
  <c r="AU376" i="26"/>
  <c r="AT376" i="26"/>
  <c r="AS376" i="26"/>
  <c r="AR376" i="26"/>
  <c r="AQ376" i="26"/>
  <c r="F376" i="26"/>
  <c r="E376" i="26"/>
  <c r="AV375" i="26"/>
  <c r="AU375" i="26"/>
  <c r="AT375" i="26"/>
  <c r="AS375" i="26"/>
  <c r="AR375" i="26"/>
  <c r="AQ375" i="26"/>
  <c r="F375" i="26"/>
  <c r="E375" i="26"/>
  <c r="AV374" i="26"/>
  <c r="AU374" i="26"/>
  <c r="AT374" i="26"/>
  <c r="AS374" i="26"/>
  <c r="AR374" i="26"/>
  <c r="AQ374" i="26"/>
  <c r="F374" i="26"/>
  <c r="E374" i="26"/>
  <c r="AV373" i="26"/>
  <c r="AU373" i="26"/>
  <c r="AT373" i="26"/>
  <c r="AS373" i="26"/>
  <c r="AR373" i="26"/>
  <c r="AQ373" i="26"/>
  <c r="F373" i="26"/>
  <c r="E373" i="26"/>
  <c r="AV372" i="26"/>
  <c r="AU372" i="26"/>
  <c r="AT372" i="26"/>
  <c r="AS372" i="26"/>
  <c r="AR372" i="26"/>
  <c r="AQ372" i="26"/>
  <c r="F372" i="26"/>
  <c r="E372" i="26"/>
  <c r="AV371" i="26"/>
  <c r="AU371" i="26"/>
  <c r="AT371" i="26"/>
  <c r="AS371" i="26"/>
  <c r="AR371" i="26"/>
  <c r="AQ371" i="26"/>
  <c r="F371" i="26"/>
  <c r="E371" i="26"/>
  <c r="AV370" i="26"/>
  <c r="AU370" i="26"/>
  <c r="AT370" i="26"/>
  <c r="AS370" i="26"/>
  <c r="AR370" i="26"/>
  <c r="AQ370" i="26"/>
  <c r="F370" i="26"/>
  <c r="E370" i="26"/>
  <c r="AV369" i="26"/>
  <c r="AU369" i="26"/>
  <c r="AT369" i="26"/>
  <c r="AS369" i="26"/>
  <c r="AR369" i="26"/>
  <c r="AQ369" i="26"/>
  <c r="F369" i="26"/>
  <c r="E369" i="26"/>
  <c r="AV368" i="26"/>
  <c r="AU368" i="26"/>
  <c r="AT368" i="26"/>
  <c r="AS368" i="26"/>
  <c r="AR368" i="26"/>
  <c r="AQ368" i="26"/>
  <c r="F368" i="26"/>
  <c r="E368" i="26"/>
  <c r="AV367" i="26"/>
  <c r="AU367" i="26"/>
  <c r="AT367" i="26"/>
  <c r="AS367" i="26"/>
  <c r="AR367" i="26"/>
  <c r="AQ367" i="26"/>
  <c r="F367" i="26"/>
  <c r="E367" i="26"/>
  <c r="AV366" i="26"/>
  <c r="AU366" i="26"/>
  <c r="AT366" i="26"/>
  <c r="AS366" i="26"/>
  <c r="AR366" i="26"/>
  <c r="AQ366" i="26"/>
  <c r="F366" i="26"/>
  <c r="E366" i="26"/>
  <c r="AV365" i="26"/>
  <c r="AU365" i="26"/>
  <c r="AT365" i="26"/>
  <c r="AS365" i="26"/>
  <c r="AR365" i="26"/>
  <c r="AQ365" i="26"/>
  <c r="F365" i="26"/>
  <c r="E365" i="26"/>
  <c r="AV364" i="26"/>
  <c r="AU364" i="26"/>
  <c r="AT364" i="26"/>
  <c r="AS364" i="26"/>
  <c r="AR364" i="26"/>
  <c r="AQ364" i="26"/>
  <c r="F364" i="26"/>
  <c r="E364" i="26"/>
  <c r="AV363" i="26"/>
  <c r="AU363" i="26"/>
  <c r="AT363" i="26"/>
  <c r="AS363" i="26"/>
  <c r="AR363" i="26"/>
  <c r="AQ363" i="26"/>
  <c r="F363" i="26"/>
  <c r="E363" i="26"/>
  <c r="AV362" i="26"/>
  <c r="AU362" i="26"/>
  <c r="AT362" i="26"/>
  <c r="AS362" i="26"/>
  <c r="AR362" i="26"/>
  <c r="AQ362" i="26"/>
  <c r="F362" i="26"/>
  <c r="E362" i="26"/>
  <c r="AV361" i="26"/>
  <c r="AU361" i="26"/>
  <c r="AT361" i="26"/>
  <c r="AS361" i="26"/>
  <c r="AR361" i="26"/>
  <c r="AQ361" i="26"/>
  <c r="F361" i="26"/>
  <c r="E361" i="26"/>
  <c r="AV360" i="26"/>
  <c r="AU360" i="26"/>
  <c r="AT360" i="26"/>
  <c r="AS360" i="26"/>
  <c r="AR360" i="26"/>
  <c r="AQ360" i="26"/>
  <c r="F360" i="26"/>
  <c r="E360" i="26"/>
  <c r="AV359" i="26"/>
  <c r="AU359" i="26"/>
  <c r="AT359" i="26"/>
  <c r="AS359" i="26"/>
  <c r="AR359" i="26"/>
  <c r="AQ359" i="26"/>
  <c r="F359" i="26"/>
  <c r="E359" i="26"/>
  <c r="AV358" i="26"/>
  <c r="AU358" i="26"/>
  <c r="AT358" i="26"/>
  <c r="AS358" i="26"/>
  <c r="AR358" i="26"/>
  <c r="AQ358" i="26"/>
  <c r="F358" i="26"/>
  <c r="E358" i="26"/>
  <c r="AV357" i="26"/>
  <c r="AU357" i="26"/>
  <c r="AT357" i="26"/>
  <c r="AS357" i="26"/>
  <c r="AR357" i="26"/>
  <c r="AQ357" i="26"/>
  <c r="F357" i="26"/>
  <c r="E357" i="26"/>
  <c r="AV356" i="26"/>
  <c r="AU356" i="26"/>
  <c r="AT356" i="26"/>
  <c r="AS356" i="26"/>
  <c r="AR356" i="26"/>
  <c r="AQ356" i="26"/>
  <c r="F356" i="26"/>
  <c r="E356" i="26"/>
  <c r="AV355" i="26"/>
  <c r="AU355" i="26"/>
  <c r="AT355" i="26"/>
  <c r="AS355" i="26"/>
  <c r="AR355" i="26"/>
  <c r="AQ355" i="26"/>
  <c r="F355" i="26"/>
  <c r="E355" i="26"/>
  <c r="AV354" i="26"/>
  <c r="AU354" i="26"/>
  <c r="AT354" i="26"/>
  <c r="AS354" i="26"/>
  <c r="AR354" i="26"/>
  <c r="AQ354" i="26"/>
  <c r="F354" i="26"/>
  <c r="E354" i="26"/>
  <c r="AV353" i="26"/>
  <c r="AU353" i="26"/>
  <c r="AT353" i="26"/>
  <c r="AS353" i="26"/>
  <c r="AR353" i="26"/>
  <c r="AQ353" i="26"/>
  <c r="F353" i="26"/>
  <c r="E353" i="26"/>
  <c r="AV352" i="26"/>
  <c r="AU352" i="26"/>
  <c r="AT352" i="26"/>
  <c r="AS352" i="26"/>
  <c r="AR352" i="26"/>
  <c r="AQ352" i="26"/>
  <c r="F352" i="26"/>
  <c r="E352" i="26"/>
  <c r="AV351" i="26"/>
  <c r="AU351" i="26"/>
  <c r="AT351" i="26"/>
  <c r="AS351" i="26"/>
  <c r="AR351" i="26"/>
  <c r="AQ351" i="26"/>
  <c r="F351" i="26"/>
  <c r="E351" i="26"/>
  <c r="AV350" i="26"/>
  <c r="AU350" i="26"/>
  <c r="AT350" i="26"/>
  <c r="AS350" i="26"/>
  <c r="AR350" i="26"/>
  <c r="AQ350" i="26"/>
  <c r="F350" i="26"/>
  <c r="E350" i="26"/>
  <c r="AV349" i="26"/>
  <c r="AU349" i="26"/>
  <c r="AT349" i="26"/>
  <c r="AS349" i="26"/>
  <c r="AR349" i="26"/>
  <c r="AQ349" i="26"/>
  <c r="F349" i="26"/>
  <c r="E349" i="26"/>
  <c r="AV348" i="26"/>
  <c r="AU348" i="26"/>
  <c r="AT348" i="26"/>
  <c r="AS348" i="26"/>
  <c r="AR348" i="26"/>
  <c r="AQ348" i="26"/>
  <c r="F348" i="26"/>
  <c r="E348" i="26"/>
  <c r="AV347" i="26"/>
  <c r="AU347" i="26"/>
  <c r="AT347" i="26"/>
  <c r="AS347" i="26"/>
  <c r="AR347" i="26"/>
  <c r="AQ347" i="26"/>
  <c r="F347" i="26"/>
  <c r="E347" i="26"/>
  <c r="AV346" i="26"/>
  <c r="AU346" i="26"/>
  <c r="AT346" i="26"/>
  <c r="AS346" i="26"/>
  <c r="AR346" i="26"/>
  <c r="AQ346" i="26"/>
  <c r="F346" i="26"/>
  <c r="E346" i="26"/>
  <c r="AV345" i="26"/>
  <c r="AU345" i="26"/>
  <c r="AT345" i="26"/>
  <c r="AS345" i="26"/>
  <c r="AR345" i="26"/>
  <c r="AQ345" i="26"/>
  <c r="F345" i="26"/>
  <c r="E345" i="26"/>
  <c r="BF344" i="26"/>
  <c r="BH344" i="26" s="1"/>
  <c r="BJ344" i="26" s="1"/>
  <c r="AV344" i="26"/>
  <c r="AU344" i="26"/>
  <c r="AT344" i="26"/>
  <c r="AS344" i="26"/>
  <c r="AR344" i="26"/>
  <c r="AQ344" i="26"/>
  <c r="F344" i="26"/>
  <c r="E344" i="26"/>
  <c r="AV343" i="26"/>
  <c r="AU343" i="26"/>
  <c r="AT343" i="26"/>
  <c r="AS343" i="26"/>
  <c r="AR343" i="26"/>
  <c r="AQ343" i="26"/>
  <c r="F343" i="26"/>
  <c r="E343" i="26"/>
  <c r="AV342" i="26"/>
  <c r="AU342" i="26"/>
  <c r="AT342" i="26"/>
  <c r="AS342" i="26"/>
  <c r="AR342" i="26"/>
  <c r="AQ342" i="26"/>
  <c r="F342" i="26"/>
  <c r="E342" i="26"/>
  <c r="AV341" i="26"/>
  <c r="AU341" i="26"/>
  <c r="AT341" i="26"/>
  <c r="AS341" i="26"/>
  <c r="AR341" i="26"/>
  <c r="AQ341" i="26"/>
  <c r="F341" i="26"/>
  <c r="E341" i="26"/>
  <c r="AV340" i="26"/>
  <c r="AU340" i="26"/>
  <c r="AT340" i="26"/>
  <c r="AS340" i="26"/>
  <c r="AR340" i="26"/>
  <c r="AQ340" i="26"/>
  <c r="F340" i="26"/>
  <c r="E340" i="26"/>
  <c r="AV339" i="26"/>
  <c r="AU339" i="26"/>
  <c r="AT339" i="26"/>
  <c r="AS339" i="26"/>
  <c r="AR339" i="26"/>
  <c r="AQ339" i="26"/>
  <c r="F339" i="26"/>
  <c r="E339" i="26"/>
  <c r="AV338" i="26"/>
  <c r="AU338" i="26"/>
  <c r="AT338" i="26"/>
  <c r="AS338" i="26"/>
  <c r="AR338" i="26"/>
  <c r="AQ338" i="26"/>
  <c r="F338" i="26"/>
  <c r="E338" i="26"/>
  <c r="AV337" i="26"/>
  <c r="AU337" i="26"/>
  <c r="AT337" i="26"/>
  <c r="AS337" i="26"/>
  <c r="AR337" i="26"/>
  <c r="AQ337" i="26"/>
  <c r="F337" i="26"/>
  <c r="E337" i="26"/>
  <c r="AV336" i="26"/>
  <c r="AU336" i="26"/>
  <c r="AT336" i="26"/>
  <c r="AS336" i="26"/>
  <c r="AR336" i="26"/>
  <c r="AQ336" i="26"/>
  <c r="F336" i="26"/>
  <c r="E336" i="26"/>
  <c r="AV335" i="26"/>
  <c r="AU335" i="26"/>
  <c r="AT335" i="26"/>
  <c r="AS335" i="26"/>
  <c r="AR335" i="26"/>
  <c r="AQ335" i="26"/>
  <c r="F335" i="26"/>
  <c r="E335" i="26"/>
  <c r="AV334" i="26"/>
  <c r="AU334" i="26"/>
  <c r="AT334" i="26"/>
  <c r="AS334" i="26"/>
  <c r="AR334" i="26"/>
  <c r="AQ334" i="26"/>
  <c r="F334" i="26"/>
  <c r="E334" i="26"/>
  <c r="AV333" i="26"/>
  <c r="AU333" i="26"/>
  <c r="AT333" i="26"/>
  <c r="AS333" i="26"/>
  <c r="AR333" i="26"/>
  <c r="AQ333" i="26"/>
  <c r="F333" i="26"/>
  <c r="E333" i="26"/>
  <c r="AV332" i="26"/>
  <c r="AU332" i="26"/>
  <c r="AT332" i="26"/>
  <c r="AS332" i="26"/>
  <c r="AR332" i="26"/>
  <c r="AQ332" i="26"/>
  <c r="F332" i="26"/>
  <c r="E332" i="26"/>
  <c r="AV331" i="26"/>
  <c r="AU331" i="26"/>
  <c r="AT331" i="26"/>
  <c r="AS331" i="26"/>
  <c r="AR331" i="26"/>
  <c r="AQ331" i="26"/>
  <c r="F331" i="26"/>
  <c r="E331" i="26"/>
  <c r="AV330" i="26"/>
  <c r="AU330" i="26"/>
  <c r="AT330" i="26"/>
  <c r="AS330" i="26"/>
  <c r="AR330" i="26"/>
  <c r="AQ330" i="26"/>
  <c r="F330" i="26"/>
  <c r="E330" i="26"/>
  <c r="AV329" i="26"/>
  <c r="AU329" i="26"/>
  <c r="AT329" i="26"/>
  <c r="AS329" i="26"/>
  <c r="AR329" i="26"/>
  <c r="AQ329" i="26"/>
  <c r="F329" i="26"/>
  <c r="E329" i="26"/>
  <c r="AV328" i="26"/>
  <c r="AU328" i="26"/>
  <c r="AT328" i="26"/>
  <c r="AS328" i="26"/>
  <c r="AR328" i="26"/>
  <c r="AQ328" i="26"/>
  <c r="F328" i="26"/>
  <c r="E328" i="26"/>
  <c r="AV327" i="26"/>
  <c r="AU327" i="26"/>
  <c r="AT327" i="26"/>
  <c r="AS327" i="26"/>
  <c r="AR327" i="26"/>
  <c r="AQ327" i="26"/>
  <c r="F327" i="26"/>
  <c r="E327" i="26"/>
  <c r="AV326" i="26"/>
  <c r="AU326" i="26"/>
  <c r="AT326" i="26"/>
  <c r="AS326" i="26"/>
  <c r="AR326" i="26"/>
  <c r="AQ326" i="26"/>
  <c r="F326" i="26"/>
  <c r="E326" i="26"/>
  <c r="AV325" i="26"/>
  <c r="AU325" i="26"/>
  <c r="AT325" i="26"/>
  <c r="AS325" i="26"/>
  <c r="AR325" i="26"/>
  <c r="AQ325" i="26"/>
  <c r="F325" i="26"/>
  <c r="E325" i="26"/>
  <c r="AV324" i="26"/>
  <c r="AU324" i="26"/>
  <c r="AT324" i="26"/>
  <c r="AS324" i="26"/>
  <c r="AR324" i="26"/>
  <c r="AQ324" i="26"/>
  <c r="F324" i="26"/>
  <c r="E324" i="26"/>
  <c r="AV323" i="26"/>
  <c r="AU323" i="26"/>
  <c r="AT323" i="26"/>
  <c r="AS323" i="26"/>
  <c r="AR323" i="26"/>
  <c r="AQ323" i="26"/>
  <c r="F323" i="26"/>
  <c r="E323" i="26"/>
  <c r="AV322" i="26"/>
  <c r="AU322" i="26"/>
  <c r="AT322" i="26"/>
  <c r="AS322" i="26"/>
  <c r="AR322" i="26"/>
  <c r="AQ322" i="26"/>
  <c r="F322" i="26"/>
  <c r="E322" i="26"/>
  <c r="AV321" i="26"/>
  <c r="AU321" i="26"/>
  <c r="AT321" i="26"/>
  <c r="AS321" i="26"/>
  <c r="AR321" i="26"/>
  <c r="AQ321" i="26"/>
  <c r="F321" i="26"/>
  <c r="E321" i="26"/>
  <c r="AV320" i="26"/>
  <c r="AU320" i="26"/>
  <c r="AT320" i="26"/>
  <c r="AS320" i="26"/>
  <c r="AR320" i="26"/>
  <c r="AQ320" i="26"/>
  <c r="F320" i="26"/>
  <c r="E320" i="26"/>
  <c r="BF319" i="26"/>
  <c r="BH319" i="26" s="1"/>
  <c r="BJ319" i="26" s="1"/>
  <c r="AV319" i="26"/>
  <c r="AU319" i="26"/>
  <c r="AT319" i="26"/>
  <c r="AS319" i="26"/>
  <c r="AR319" i="26"/>
  <c r="AQ319" i="26"/>
  <c r="F319" i="26"/>
  <c r="E319" i="26"/>
  <c r="AV318" i="26"/>
  <c r="AU318" i="26"/>
  <c r="AT318" i="26"/>
  <c r="AS318" i="26"/>
  <c r="AR318" i="26"/>
  <c r="AQ318" i="26"/>
  <c r="F318" i="26"/>
  <c r="E318" i="26"/>
  <c r="AV317" i="26"/>
  <c r="AU317" i="26"/>
  <c r="AT317" i="26"/>
  <c r="AS317" i="26"/>
  <c r="AR317" i="26"/>
  <c r="AQ317" i="26"/>
  <c r="F317" i="26"/>
  <c r="E317" i="26"/>
  <c r="AV316" i="26"/>
  <c r="AU316" i="26"/>
  <c r="AT316" i="26"/>
  <c r="AS316" i="26"/>
  <c r="AR316" i="26"/>
  <c r="AQ316" i="26"/>
  <c r="F316" i="26"/>
  <c r="E316" i="26"/>
  <c r="AV315" i="26"/>
  <c r="AU315" i="26"/>
  <c r="AT315" i="26"/>
  <c r="AS315" i="26"/>
  <c r="AR315" i="26"/>
  <c r="AQ315" i="26"/>
  <c r="F315" i="26"/>
  <c r="E315" i="26"/>
  <c r="AV314" i="26"/>
  <c r="AU314" i="26"/>
  <c r="AT314" i="26"/>
  <c r="AS314" i="26"/>
  <c r="AR314" i="26"/>
  <c r="AQ314" i="26"/>
  <c r="F314" i="26"/>
  <c r="E314" i="26"/>
  <c r="AV313" i="26"/>
  <c r="AU313" i="26"/>
  <c r="AT313" i="26"/>
  <c r="AS313" i="26"/>
  <c r="AR313" i="26"/>
  <c r="AQ313" i="26"/>
  <c r="F313" i="26"/>
  <c r="E313" i="26"/>
  <c r="AV312" i="26"/>
  <c r="AU312" i="26"/>
  <c r="AT312" i="26"/>
  <c r="AS312" i="26"/>
  <c r="AR312" i="26"/>
  <c r="AQ312" i="26"/>
  <c r="F312" i="26"/>
  <c r="E312" i="26"/>
  <c r="AV311" i="26"/>
  <c r="AU311" i="26"/>
  <c r="AT311" i="26"/>
  <c r="AS311" i="26"/>
  <c r="AR311" i="26"/>
  <c r="AQ311" i="26"/>
  <c r="F311" i="26"/>
  <c r="E311" i="26"/>
  <c r="BF310" i="26"/>
  <c r="BH310" i="26" s="1"/>
  <c r="BJ310" i="26" s="1"/>
  <c r="AV310" i="26"/>
  <c r="AU310" i="26"/>
  <c r="AT310" i="26"/>
  <c r="AS310" i="26"/>
  <c r="AR310" i="26"/>
  <c r="AQ310" i="26"/>
  <c r="F310" i="26"/>
  <c r="E310" i="26"/>
  <c r="AV309" i="26"/>
  <c r="AU309" i="26"/>
  <c r="AT309" i="26"/>
  <c r="AS309" i="26"/>
  <c r="AR309" i="26"/>
  <c r="AQ309" i="26"/>
  <c r="F309" i="26"/>
  <c r="E309" i="26"/>
  <c r="AV308" i="26"/>
  <c r="AU308" i="26"/>
  <c r="AT308" i="26"/>
  <c r="AS308" i="26"/>
  <c r="AR308" i="26"/>
  <c r="AQ308" i="26"/>
  <c r="F308" i="26"/>
  <c r="E308" i="26"/>
  <c r="AV307" i="26"/>
  <c r="AU307" i="26"/>
  <c r="AT307" i="26"/>
  <c r="AS307" i="26"/>
  <c r="AR307" i="26"/>
  <c r="AQ307" i="26"/>
  <c r="F307" i="26"/>
  <c r="E307" i="26"/>
  <c r="AV306" i="26"/>
  <c r="AU306" i="26"/>
  <c r="AT306" i="26"/>
  <c r="AS306" i="26"/>
  <c r="AR306" i="26"/>
  <c r="AQ306" i="26"/>
  <c r="F306" i="26"/>
  <c r="E306" i="26"/>
  <c r="AV305" i="26"/>
  <c r="AU305" i="26"/>
  <c r="AT305" i="26"/>
  <c r="AS305" i="26"/>
  <c r="AR305" i="26"/>
  <c r="AQ305" i="26"/>
  <c r="F305" i="26"/>
  <c r="E305" i="26"/>
  <c r="AV304" i="26"/>
  <c r="AU304" i="26"/>
  <c r="AT304" i="26"/>
  <c r="AS304" i="26"/>
  <c r="AR304" i="26"/>
  <c r="AQ304" i="26"/>
  <c r="F304" i="26"/>
  <c r="E304" i="26"/>
  <c r="AV303" i="26"/>
  <c r="AU303" i="26"/>
  <c r="AT303" i="26"/>
  <c r="AS303" i="26"/>
  <c r="AR303" i="26"/>
  <c r="AQ303" i="26"/>
  <c r="F303" i="26"/>
  <c r="E303" i="26"/>
  <c r="AV302" i="26"/>
  <c r="AU302" i="26"/>
  <c r="AT302" i="26"/>
  <c r="AS302" i="26"/>
  <c r="AR302" i="26"/>
  <c r="AQ302" i="26"/>
  <c r="F302" i="26"/>
  <c r="E302" i="26"/>
  <c r="AV301" i="26"/>
  <c r="AU301" i="26"/>
  <c r="AT301" i="26"/>
  <c r="AS301" i="26"/>
  <c r="AR301" i="26"/>
  <c r="AQ301" i="26"/>
  <c r="F301" i="26"/>
  <c r="E301" i="26"/>
  <c r="AV300" i="26"/>
  <c r="AU300" i="26"/>
  <c r="AT300" i="26"/>
  <c r="AS300" i="26"/>
  <c r="AR300" i="26"/>
  <c r="AQ300" i="26"/>
  <c r="F300" i="26"/>
  <c r="E300" i="26"/>
  <c r="BF299" i="26"/>
  <c r="BH299" i="26" s="1"/>
  <c r="BJ299" i="26" s="1"/>
  <c r="AV299" i="26"/>
  <c r="AU299" i="26"/>
  <c r="AT299" i="26"/>
  <c r="AS299" i="26"/>
  <c r="AR299" i="26"/>
  <c r="AQ299" i="26"/>
  <c r="F299" i="26"/>
  <c r="E299" i="26"/>
  <c r="AV298" i="26"/>
  <c r="AU298" i="26"/>
  <c r="AT298" i="26"/>
  <c r="AS298" i="26"/>
  <c r="AR298" i="26"/>
  <c r="AQ298" i="26"/>
  <c r="F298" i="26"/>
  <c r="E298" i="26"/>
  <c r="AV297" i="26"/>
  <c r="AU297" i="26"/>
  <c r="AT297" i="26"/>
  <c r="AS297" i="26"/>
  <c r="AR297" i="26"/>
  <c r="AQ297" i="26"/>
  <c r="F297" i="26"/>
  <c r="E297" i="26"/>
  <c r="AV296" i="26"/>
  <c r="AU296" i="26"/>
  <c r="AT296" i="26"/>
  <c r="AS296" i="26"/>
  <c r="AR296" i="26"/>
  <c r="AQ296" i="26"/>
  <c r="F296" i="26"/>
  <c r="E296" i="26"/>
  <c r="AV295" i="26"/>
  <c r="AU295" i="26"/>
  <c r="AT295" i="26"/>
  <c r="AS295" i="26"/>
  <c r="AR295" i="26"/>
  <c r="AQ295" i="26"/>
  <c r="F295" i="26"/>
  <c r="E295" i="26"/>
  <c r="AV294" i="26"/>
  <c r="AU294" i="26"/>
  <c r="AT294" i="26"/>
  <c r="AS294" i="26"/>
  <c r="AR294" i="26"/>
  <c r="AQ294" i="26"/>
  <c r="F294" i="26"/>
  <c r="E294" i="26"/>
  <c r="AV293" i="26"/>
  <c r="AU293" i="26"/>
  <c r="AT293" i="26"/>
  <c r="AS293" i="26"/>
  <c r="AR293" i="26"/>
  <c r="AQ293" i="26"/>
  <c r="AV292" i="26"/>
  <c r="AU292" i="26"/>
  <c r="AT292" i="26"/>
  <c r="AS292" i="26"/>
  <c r="AR292" i="26"/>
  <c r="AQ292" i="26"/>
  <c r="F292" i="26"/>
  <c r="E292" i="26"/>
  <c r="AV291" i="26"/>
  <c r="AU291" i="26"/>
  <c r="AT291" i="26"/>
  <c r="AS291" i="26"/>
  <c r="AR291" i="26"/>
  <c r="AQ291" i="26"/>
  <c r="F291" i="26"/>
  <c r="E291" i="26"/>
  <c r="AV290" i="26"/>
  <c r="AU290" i="26"/>
  <c r="AT290" i="26"/>
  <c r="AS290" i="26"/>
  <c r="AR290" i="26"/>
  <c r="AQ290" i="26"/>
  <c r="F290" i="26"/>
  <c r="E290" i="26"/>
  <c r="AV289" i="26"/>
  <c r="AU289" i="26"/>
  <c r="AT289" i="26"/>
  <c r="AS289" i="26"/>
  <c r="AR289" i="26"/>
  <c r="AQ289" i="26"/>
  <c r="F289" i="26"/>
  <c r="E289" i="26"/>
  <c r="AV288" i="26"/>
  <c r="AU288" i="26"/>
  <c r="AT288" i="26"/>
  <c r="AS288" i="26"/>
  <c r="AR288" i="26"/>
  <c r="AQ288" i="26"/>
  <c r="F288" i="26"/>
  <c r="E288" i="26"/>
  <c r="AV287" i="26"/>
  <c r="AU287" i="26"/>
  <c r="AT287" i="26"/>
  <c r="AS287" i="26"/>
  <c r="AR287" i="26"/>
  <c r="AQ287" i="26"/>
  <c r="F287" i="26"/>
  <c r="E287" i="26"/>
  <c r="AV286" i="26"/>
  <c r="AU286" i="26"/>
  <c r="AT286" i="26"/>
  <c r="AS286" i="26"/>
  <c r="AR286" i="26"/>
  <c r="AQ286" i="26"/>
  <c r="F286" i="26"/>
  <c r="E286" i="26"/>
  <c r="AV285" i="26"/>
  <c r="AU285" i="26"/>
  <c r="AT285" i="26"/>
  <c r="AS285" i="26"/>
  <c r="AR285" i="26"/>
  <c r="AQ285" i="26"/>
  <c r="F285" i="26"/>
  <c r="E285" i="26"/>
  <c r="AV284" i="26"/>
  <c r="AU284" i="26"/>
  <c r="AT284" i="26"/>
  <c r="AS284" i="26"/>
  <c r="AR284" i="26"/>
  <c r="AQ284" i="26"/>
  <c r="F284" i="26"/>
  <c r="E284" i="26"/>
  <c r="AV283" i="26"/>
  <c r="AU283" i="26"/>
  <c r="AT283" i="26"/>
  <c r="AS283" i="26"/>
  <c r="AR283" i="26"/>
  <c r="AQ283" i="26"/>
  <c r="F283" i="26"/>
  <c r="E283" i="26"/>
  <c r="AV282" i="26"/>
  <c r="AU282" i="26"/>
  <c r="AT282" i="26"/>
  <c r="AS282" i="26"/>
  <c r="AR282" i="26"/>
  <c r="AQ282" i="26"/>
  <c r="F282" i="26"/>
  <c r="E282" i="26"/>
  <c r="AV281" i="26"/>
  <c r="AU281" i="26"/>
  <c r="AT281" i="26"/>
  <c r="AS281" i="26"/>
  <c r="AR281" i="26"/>
  <c r="AQ281" i="26"/>
  <c r="F281" i="26"/>
  <c r="E281" i="26"/>
  <c r="AV280" i="26"/>
  <c r="AU280" i="26"/>
  <c r="AT280" i="26"/>
  <c r="AS280" i="26"/>
  <c r="AR280" i="26"/>
  <c r="AQ280" i="26"/>
  <c r="F280" i="26"/>
  <c r="E280" i="26"/>
  <c r="AV279" i="26"/>
  <c r="AU279" i="26"/>
  <c r="AT279" i="26"/>
  <c r="AS279" i="26"/>
  <c r="AR279" i="26"/>
  <c r="AQ279" i="26"/>
  <c r="F279" i="26"/>
  <c r="E279" i="26"/>
  <c r="AV278" i="26"/>
  <c r="AU278" i="26"/>
  <c r="AT278" i="26"/>
  <c r="AS278" i="26"/>
  <c r="AR278" i="26"/>
  <c r="AQ278" i="26"/>
  <c r="F278" i="26"/>
  <c r="E278" i="26"/>
  <c r="AV277" i="26"/>
  <c r="AU277" i="26"/>
  <c r="AT277" i="26"/>
  <c r="AS277" i="26"/>
  <c r="AR277" i="26"/>
  <c r="AQ277" i="26"/>
  <c r="F277" i="26"/>
  <c r="E277" i="26"/>
  <c r="AV276" i="26"/>
  <c r="AU276" i="26"/>
  <c r="AT276" i="26"/>
  <c r="AS276" i="26"/>
  <c r="AR276" i="26"/>
  <c r="AQ276" i="26"/>
  <c r="F276" i="26"/>
  <c r="E276" i="26"/>
  <c r="AV275" i="26"/>
  <c r="AU275" i="26"/>
  <c r="AT275" i="26"/>
  <c r="AS275" i="26"/>
  <c r="AR275" i="26"/>
  <c r="AQ275" i="26"/>
  <c r="F275" i="26"/>
  <c r="E275" i="26"/>
  <c r="AV274" i="26"/>
  <c r="AU274" i="26"/>
  <c r="AT274" i="26"/>
  <c r="AS274" i="26"/>
  <c r="AR274" i="26"/>
  <c r="AQ274" i="26"/>
  <c r="F274" i="26"/>
  <c r="E274" i="26"/>
  <c r="AV273" i="26"/>
  <c r="AU273" i="26"/>
  <c r="AT273" i="26"/>
  <c r="AS273" i="26"/>
  <c r="AR273" i="26"/>
  <c r="AQ273" i="26"/>
  <c r="F273" i="26"/>
  <c r="E273" i="26"/>
  <c r="BF272" i="26"/>
  <c r="BH272" i="26" s="1"/>
  <c r="BJ272" i="26" s="1"/>
  <c r="AV272" i="26"/>
  <c r="AU272" i="26"/>
  <c r="AT272" i="26"/>
  <c r="AS272" i="26"/>
  <c r="AR272" i="26"/>
  <c r="AQ272" i="26"/>
  <c r="F272" i="26"/>
  <c r="E272" i="26"/>
  <c r="AV271" i="26"/>
  <c r="AU271" i="26"/>
  <c r="AT271" i="26"/>
  <c r="AS271" i="26"/>
  <c r="AR271" i="26"/>
  <c r="AQ271" i="26"/>
  <c r="F271" i="26"/>
  <c r="E271" i="26"/>
  <c r="AV270" i="26"/>
  <c r="AU270" i="26"/>
  <c r="AT270" i="26"/>
  <c r="AS270" i="26"/>
  <c r="AR270" i="26"/>
  <c r="AQ270" i="26"/>
  <c r="F270" i="26"/>
  <c r="E270" i="26"/>
  <c r="AV269" i="26"/>
  <c r="AU269" i="26"/>
  <c r="AT269" i="26"/>
  <c r="AS269" i="26"/>
  <c r="AR269" i="26"/>
  <c r="AQ269" i="26"/>
  <c r="F269" i="26"/>
  <c r="E269" i="26"/>
  <c r="AV268" i="26"/>
  <c r="AU268" i="26"/>
  <c r="AT268" i="26"/>
  <c r="AS268" i="26"/>
  <c r="AR268" i="26"/>
  <c r="AQ268" i="26"/>
  <c r="F268" i="26"/>
  <c r="E268" i="26"/>
  <c r="AV267" i="26"/>
  <c r="AU267" i="26"/>
  <c r="AT267" i="26"/>
  <c r="AS267" i="26"/>
  <c r="AR267" i="26"/>
  <c r="AQ267" i="26"/>
  <c r="F267" i="26"/>
  <c r="E267" i="26"/>
  <c r="AV266" i="26"/>
  <c r="AU266" i="26"/>
  <c r="AT266" i="26"/>
  <c r="AS266" i="26"/>
  <c r="AR266" i="26"/>
  <c r="AQ266" i="26"/>
  <c r="F266" i="26"/>
  <c r="E266" i="26"/>
  <c r="AV265" i="26"/>
  <c r="AU265" i="26"/>
  <c r="AT265" i="26"/>
  <c r="AS265" i="26"/>
  <c r="AR265" i="26"/>
  <c r="AQ265" i="26"/>
  <c r="F265" i="26"/>
  <c r="E265" i="26"/>
  <c r="AV264" i="26"/>
  <c r="AU264" i="26"/>
  <c r="AT264" i="26"/>
  <c r="AS264" i="26"/>
  <c r="AR264" i="26"/>
  <c r="AQ264" i="26"/>
  <c r="F264" i="26"/>
  <c r="E264" i="26"/>
  <c r="AV263" i="26"/>
  <c r="AU263" i="26"/>
  <c r="AT263" i="26"/>
  <c r="AS263" i="26"/>
  <c r="AR263" i="26"/>
  <c r="AQ263" i="26"/>
  <c r="F263" i="26"/>
  <c r="E263" i="26"/>
  <c r="AV262" i="26"/>
  <c r="AU262" i="26"/>
  <c r="AT262" i="26"/>
  <c r="AS262" i="26"/>
  <c r="AR262" i="26"/>
  <c r="AQ262" i="26"/>
  <c r="F262" i="26"/>
  <c r="E262" i="26"/>
  <c r="AV261" i="26"/>
  <c r="AU261" i="26"/>
  <c r="AT261" i="26"/>
  <c r="AS261" i="26"/>
  <c r="AR261" i="26"/>
  <c r="AQ261" i="26"/>
  <c r="F261" i="26"/>
  <c r="E261" i="26"/>
  <c r="AV260" i="26"/>
  <c r="AU260" i="26"/>
  <c r="AT260" i="26"/>
  <c r="AS260" i="26"/>
  <c r="AR260" i="26"/>
  <c r="AQ260" i="26"/>
  <c r="F260" i="26"/>
  <c r="E260" i="26"/>
  <c r="AV259" i="26"/>
  <c r="AU259" i="26"/>
  <c r="AT259" i="26"/>
  <c r="AS259" i="26"/>
  <c r="AR259" i="26"/>
  <c r="AQ259" i="26"/>
  <c r="F259" i="26"/>
  <c r="E259" i="26"/>
  <c r="AV258" i="26"/>
  <c r="AU258" i="26"/>
  <c r="AT258" i="26"/>
  <c r="AS258" i="26"/>
  <c r="AR258" i="26"/>
  <c r="AQ258" i="26"/>
  <c r="F258" i="26"/>
  <c r="E258" i="26"/>
  <c r="AV257" i="26"/>
  <c r="AU257" i="26"/>
  <c r="AT257" i="26"/>
  <c r="AS257" i="26"/>
  <c r="AR257" i="26"/>
  <c r="AQ257" i="26"/>
  <c r="F257" i="26"/>
  <c r="E257" i="26"/>
  <c r="AV256" i="26"/>
  <c r="AU256" i="26"/>
  <c r="AT256" i="26"/>
  <c r="AS256" i="26"/>
  <c r="AR256" i="26"/>
  <c r="AQ256" i="26"/>
  <c r="F256" i="26"/>
  <c r="E256" i="26"/>
  <c r="AV255" i="26"/>
  <c r="AU255" i="26"/>
  <c r="AT255" i="26"/>
  <c r="AS255" i="26"/>
  <c r="AR255" i="26"/>
  <c r="AQ255" i="26"/>
  <c r="F255" i="26"/>
  <c r="E255" i="26"/>
  <c r="AV254" i="26"/>
  <c r="AU254" i="26"/>
  <c r="AT254" i="26"/>
  <c r="AS254" i="26"/>
  <c r="AR254" i="26"/>
  <c r="AQ254" i="26"/>
  <c r="F254" i="26"/>
  <c r="E254" i="26"/>
  <c r="AV253" i="26"/>
  <c r="AU253" i="26"/>
  <c r="AT253" i="26"/>
  <c r="AS253" i="26"/>
  <c r="AR253" i="26"/>
  <c r="AQ253" i="26"/>
  <c r="F253" i="26"/>
  <c r="E253" i="26"/>
  <c r="AV252" i="26"/>
  <c r="AU252" i="26"/>
  <c r="AT252" i="26"/>
  <c r="AS252" i="26"/>
  <c r="AR252" i="26"/>
  <c r="AQ252" i="26"/>
  <c r="F252" i="26"/>
  <c r="E252" i="26"/>
  <c r="AV251" i="26"/>
  <c r="AU251" i="26"/>
  <c r="AT251" i="26"/>
  <c r="AS251" i="26"/>
  <c r="AR251" i="26"/>
  <c r="AQ251" i="26"/>
  <c r="F251" i="26"/>
  <c r="E251" i="26"/>
  <c r="AV250" i="26"/>
  <c r="AU250" i="26"/>
  <c r="AT250" i="26"/>
  <c r="AS250" i="26"/>
  <c r="AR250" i="26"/>
  <c r="AQ250" i="26"/>
  <c r="F250" i="26"/>
  <c r="E250" i="26"/>
  <c r="AV249" i="26"/>
  <c r="AU249" i="26"/>
  <c r="AT249" i="26"/>
  <c r="AS249" i="26"/>
  <c r="AR249" i="26"/>
  <c r="AQ249" i="26"/>
  <c r="F249" i="26"/>
  <c r="E249" i="26"/>
  <c r="AV248" i="26"/>
  <c r="AU248" i="26"/>
  <c r="AT248" i="26"/>
  <c r="AS248" i="26"/>
  <c r="AR248" i="26"/>
  <c r="AQ248" i="26"/>
  <c r="F248" i="26"/>
  <c r="E248" i="26"/>
  <c r="AV247" i="26"/>
  <c r="AU247" i="26"/>
  <c r="AT247" i="26"/>
  <c r="AS247" i="26"/>
  <c r="AR247" i="26"/>
  <c r="AQ247" i="26"/>
  <c r="F247" i="26"/>
  <c r="E247" i="26"/>
  <c r="BF246" i="26"/>
  <c r="BH246" i="26" s="1"/>
  <c r="BJ246" i="26" s="1"/>
  <c r="AV246" i="26"/>
  <c r="AU246" i="26"/>
  <c r="AT246" i="26"/>
  <c r="AS246" i="26"/>
  <c r="AR246" i="26"/>
  <c r="AQ246" i="26"/>
  <c r="F246" i="26"/>
  <c r="E246" i="26"/>
  <c r="AV245" i="26"/>
  <c r="AU245" i="26"/>
  <c r="AT245" i="26"/>
  <c r="AS245" i="26"/>
  <c r="AR245" i="26"/>
  <c r="AQ245" i="26"/>
  <c r="F245" i="26"/>
  <c r="E245" i="26"/>
  <c r="AV244" i="26"/>
  <c r="AU244" i="26"/>
  <c r="AT244" i="26"/>
  <c r="AS244" i="26"/>
  <c r="AR244" i="26"/>
  <c r="AQ244" i="26"/>
  <c r="F244" i="26"/>
  <c r="E244" i="26"/>
  <c r="AV243" i="26"/>
  <c r="AU243" i="26"/>
  <c r="AT243" i="26"/>
  <c r="AS243" i="26"/>
  <c r="AR243" i="26"/>
  <c r="AQ243" i="26"/>
  <c r="F243" i="26"/>
  <c r="E243" i="26"/>
  <c r="AV242" i="26"/>
  <c r="AU242" i="26"/>
  <c r="AT242" i="26"/>
  <c r="AS242" i="26"/>
  <c r="AR242" i="26"/>
  <c r="AQ242" i="26"/>
  <c r="F242" i="26"/>
  <c r="E242" i="26"/>
  <c r="AV241" i="26"/>
  <c r="AU241" i="26"/>
  <c r="AT241" i="26"/>
  <c r="AS241" i="26"/>
  <c r="AR241" i="26"/>
  <c r="AQ241" i="26"/>
  <c r="F241" i="26"/>
  <c r="E241" i="26"/>
  <c r="AV240" i="26"/>
  <c r="AU240" i="26"/>
  <c r="AT240" i="26"/>
  <c r="AS240" i="26"/>
  <c r="AR240" i="26"/>
  <c r="AQ240" i="26"/>
  <c r="F240" i="26"/>
  <c r="E240" i="26"/>
  <c r="AV239" i="26"/>
  <c r="AU239" i="26"/>
  <c r="AT239" i="26"/>
  <c r="AS239" i="26"/>
  <c r="AR239" i="26"/>
  <c r="AQ239" i="26"/>
  <c r="F239" i="26"/>
  <c r="E239" i="26"/>
  <c r="AV238" i="26"/>
  <c r="AU238" i="26"/>
  <c r="AT238" i="26"/>
  <c r="AS238" i="26"/>
  <c r="AR238" i="26"/>
  <c r="AQ238" i="26"/>
  <c r="F238" i="26"/>
  <c r="E238" i="26"/>
  <c r="AV237" i="26"/>
  <c r="AU237" i="26"/>
  <c r="AT237" i="26"/>
  <c r="AS237" i="26"/>
  <c r="AR237" i="26"/>
  <c r="AQ237" i="26"/>
  <c r="F237" i="26"/>
  <c r="E237" i="26"/>
  <c r="AV236" i="26"/>
  <c r="AU236" i="26"/>
  <c r="AT236" i="26"/>
  <c r="AS236" i="26"/>
  <c r="AR236" i="26"/>
  <c r="AQ236" i="26"/>
  <c r="F236" i="26"/>
  <c r="E236" i="26"/>
  <c r="AV235" i="26"/>
  <c r="AU235" i="26"/>
  <c r="AT235" i="26"/>
  <c r="AS235" i="26"/>
  <c r="AR235" i="26"/>
  <c r="AQ235" i="26"/>
  <c r="F235" i="26"/>
  <c r="E235" i="26"/>
  <c r="AV234" i="26"/>
  <c r="AU234" i="26"/>
  <c r="AT234" i="26"/>
  <c r="AS234" i="26"/>
  <c r="AR234" i="26"/>
  <c r="AQ234" i="26"/>
  <c r="F234" i="26"/>
  <c r="E234" i="26"/>
  <c r="AV233" i="26"/>
  <c r="AU233" i="26"/>
  <c r="AT233" i="26"/>
  <c r="AS233" i="26"/>
  <c r="AR233" i="26"/>
  <c r="AQ233" i="26"/>
  <c r="F233" i="26"/>
  <c r="E233" i="26"/>
  <c r="AV232" i="26"/>
  <c r="AU232" i="26"/>
  <c r="AT232" i="26"/>
  <c r="AS232" i="26"/>
  <c r="AR232" i="26"/>
  <c r="AQ232" i="26"/>
  <c r="F232" i="26"/>
  <c r="E232" i="26"/>
  <c r="AV231" i="26"/>
  <c r="AU231" i="26"/>
  <c r="AT231" i="26"/>
  <c r="AS231" i="26"/>
  <c r="AR231" i="26"/>
  <c r="AQ231" i="26"/>
  <c r="F231" i="26"/>
  <c r="E231" i="26"/>
  <c r="AV230" i="26"/>
  <c r="AU230" i="26"/>
  <c r="AT230" i="26"/>
  <c r="AS230" i="26"/>
  <c r="AR230" i="26"/>
  <c r="AQ230" i="26"/>
  <c r="F230" i="26"/>
  <c r="E230" i="26"/>
  <c r="AV229" i="26"/>
  <c r="AU229" i="26"/>
  <c r="AT229" i="26"/>
  <c r="AS229" i="26"/>
  <c r="AR229" i="26"/>
  <c r="AQ229" i="26"/>
  <c r="F229" i="26"/>
  <c r="E229" i="26"/>
  <c r="AV228" i="26"/>
  <c r="AU228" i="26"/>
  <c r="AT228" i="26"/>
  <c r="AS228" i="26"/>
  <c r="AR228" i="26"/>
  <c r="AQ228" i="26"/>
  <c r="F228" i="26"/>
  <c r="E228" i="26"/>
  <c r="AV227" i="26"/>
  <c r="AU227" i="26"/>
  <c r="AT227" i="26"/>
  <c r="AS227" i="26"/>
  <c r="AR227" i="26"/>
  <c r="AQ227" i="26"/>
  <c r="F227" i="26"/>
  <c r="E227" i="26"/>
  <c r="AV226" i="26"/>
  <c r="AU226" i="26"/>
  <c r="AT226" i="26"/>
  <c r="AS226" i="26"/>
  <c r="AR226" i="26"/>
  <c r="AQ226" i="26"/>
  <c r="F226" i="26"/>
  <c r="E226" i="26"/>
  <c r="AV225" i="26"/>
  <c r="AU225" i="26"/>
  <c r="AT225" i="26"/>
  <c r="AS225" i="26"/>
  <c r="AR225" i="26"/>
  <c r="AQ225" i="26"/>
  <c r="F225" i="26"/>
  <c r="E225" i="26"/>
  <c r="AV224" i="26"/>
  <c r="AU224" i="26"/>
  <c r="AT224" i="26"/>
  <c r="AS224" i="26"/>
  <c r="AR224" i="26"/>
  <c r="AQ224" i="26"/>
  <c r="F224" i="26"/>
  <c r="E224" i="26"/>
  <c r="AV223" i="26"/>
  <c r="AU223" i="26"/>
  <c r="AT223" i="26"/>
  <c r="AS223" i="26"/>
  <c r="AR223" i="26"/>
  <c r="AQ223" i="26"/>
  <c r="F223" i="26"/>
  <c r="E223" i="26"/>
  <c r="AV222" i="26"/>
  <c r="AU222" i="26"/>
  <c r="AT222" i="26"/>
  <c r="AS222" i="26"/>
  <c r="AR222" i="26"/>
  <c r="AQ222" i="26"/>
  <c r="F222" i="26"/>
  <c r="E222" i="26"/>
  <c r="AV221" i="26"/>
  <c r="AU221" i="26"/>
  <c r="AT221" i="26"/>
  <c r="AS221" i="26"/>
  <c r="AR221" i="26"/>
  <c r="AQ221" i="26"/>
  <c r="F221" i="26"/>
  <c r="E221" i="26"/>
  <c r="AV220" i="26"/>
  <c r="AU220" i="26"/>
  <c r="AT220" i="26"/>
  <c r="AS220" i="26"/>
  <c r="AR220" i="26"/>
  <c r="AQ220" i="26"/>
  <c r="F220" i="26"/>
  <c r="E220" i="26"/>
  <c r="AV219" i="26"/>
  <c r="AU219" i="26"/>
  <c r="AT219" i="26"/>
  <c r="AS219" i="26"/>
  <c r="AR219" i="26"/>
  <c r="AQ219" i="26"/>
  <c r="F219" i="26"/>
  <c r="E219" i="26"/>
  <c r="AV218" i="26"/>
  <c r="AU218" i="26"/>
  <c r="AT218" i="26"/>
  <c r="AS218" i="26"/>
  <c r="AR218" i="26"/>
  <c r="AQ218" i="26"/>
  <c r="F218" i="26"/>
  <c r="E218" i="26"/>
  <c r="AV217" i="26"/>
  <c r="AU217" i="26"/>
  <c r="AT217" i="26"/>
  <c r="AS217" i="26"/>
  <c r="AR217" i="26"/>
  <c r="AQ217" i="26"/>
  <c r="F217" i="26"/>
  <c r="E217" i="26"/>
  <c r="AV216" i="26"/>
  <c r="AU216" i="26"/>
  <c r="AT216" i="26"/>
  <c r="AS216" i="26"/>
  <c r="AR216" i="26"/>
  <c r="AQ216" i="26"/>
  <c r="F216" i="26"/>
  <c r="E216" i="26"/>
  <c r="AV215" i="26"/>
  <c r="AU215" i="26"/>
  <c r="AT215" i="26"/>
  <c r="AS215" i="26"/>
  <c r="AR215" i="26"/>
  <c r="AQ215" i="26"/>
  <c r="F215" i="26"/>
  <c r="E215" i="26"/>
  <c r="AV214" i="26"/>
  <c r="AU214" i="26"/>
  <c r="AT214" i="26"/>
  <c r="AS214" i="26"/>
  <c r="AR214" i="26"/>
  <c r="AQ214" i="26"/>
  <c r="F214" i="26"/>
  <c r="E214" i="26"/>
  <c r="AV213" i="26"/>
  <c r="AU213" i="26"/>
  <c r="AT213" i="26"/>
  <c r="AS213" i="26"/>
  <c r="AR213" i="26"/>
  <c r="AQ213" i="26"/>
  <c r="F213" i="26"/>
  <c r="E213" i="26"/>
  <c r="AV212" i="26"/>
  <c r="AU212" i="26"/>
  <c r="AT212" i="26"/>
  <c r="AS212" i="26"/>
  <c r="AR212" i="26"/>
  <c r="AQ212" i="26"/>
  <c r="F212" i="26"/>
  <c r="E212" i="26"/>
  <c r="AV211" i="26"/>
  <c r="AU211" i="26"/>
  <c r="AT211" i="26"/>
  <c r="AS211" i="26"/>
  <c r="AR211" i="26"/>
  <c r="AQ211" i="26"/>
  <c r="F211" i="26"/>
  <c r="E211" i="26"/>
  <c r="AV210" i="26"/>
  <c r="AU210" i="26"/>
  <c r="AT210" i="26"/>
  <c r="AS210" i="26"/>
  <c r="AR210" i="26"/>
  <c r="AQ210" i="26"/>
  <c r="F210" i="26"/>
  <c r="E210" i="26"/>
  <c r="AV209" i="26"/>
  <c r="AU209" i="26"/>
  <c r="AT209" i="26"/>
  <c r="AS209" i="26"/>
  <c r="AR209" i="26"/>
  <c r="AQ209" i="26"/>
  <c r="F209" i="26"/>
  <c r="E209" i="26"/>
  <c r="AV208" i="26"/>
  <c r="AU208" i="26"/>
  <c r="AT208" i="26"/>
  <c r="AS208" i="26"/>
  <c r="AR208" i="26"/>
  <c r="AQ208" i="26"/>
  <c r="F208" i="26"/>
  <c r="E208" i="26"/>
  <c r="AV207" i="26"/>
  <c r="AU207" i="26"/>
  <c r="AT207" i="26"/>
  <c r="AS207" i="26"/>
  <c r="AR207" i="26"/>
  <c r="AQ207" i="26"/>
  <c r="F207" i="26"/>
  <c r="E207" i="26"/>
  <c r="AV206" i="26"/>
  <c r="AU206" i="26"/>
  <c r="AT206" i="26"/>
  <c r="AS206" i="26"/>
  <c r="AR206" i="26"/>
  <c r="AQ206" i="26"/>
  <c r="F206" i="26"/>
  <c r="E206" i="26"/>
  <c r="AV205" i="26"/>
  <c r="AU205" i="26"/>
  <c r="AT205" i="26"/>
  <c r="AS205" i="26"/>
  <c r="AR205" i="26"/>
  <c r="AQ205" i="26"/>
  <c r="F205" i="26"/>
  <c r="E205" i="26"/>
  <c r="AV204" i="26"/>
  <c r="AU204" i="26"/>
  <c r="AT204" i="26"/>
  <c r="AS204" i="26"/>
  <c r="AR204" i="26"/>
  <c r="AQ204" i="26"/>
  <c r="F204" i="26"/>
  <c r="E204" i="26"/>
  <c r="AV203" i="26"/>
  <c r="AU203" i="26"/>
  <c r="AT203" i="26"/>
  <c r="AS203" i="26"/>
  <c r="AR203" i="26"/>
  <c r="AQ203" i="26"/>
  <c r="F203" i="26"/>
  <c r="E203" i="26"/>
  <c r="AV202" i="26"/>
  <c r="AU202" i="26"/>
  <c r="AT202" i="26"/>
  <c r="AS202" i="26"/>
  <c r="AR202" i="26"/>
  <c r="AQ202" i="26"/>
  <c r="F202" i="26"/>
  <c r="E202" i="26"/>
  <c r="AV201" i="26"/>
  <c r="AU201" i="26"/>
  <c r="AT201" i="26"/>
  <c r="AS201" i="26"/>
  <c r="AR201" i="26"/>
  <c r="AQ201" i="26"/>
  <c r="F201" i="26"/>
  <c r="E201" i="26"/>
  <c r="AV200" i="26"/>
  <c r="AU200" i="26"/>
  <c r="AT200" i="26"/>
  <c r="AS200" i="26"/>
  <c r="AR200" i="26"/>
  <c r="AQ200" i="26"/>
  <c r="F200" i="26"/>
  <c r="E200" i="26"/>
  <c r="BF199" i="26"/>
  <c r="BH199" i="26" s="1"/>
  <c r="BJ199" i="26" s="1"/>
  <c r="AV199" i="26"/>
  <c r="AU199" i="26"/>
  <c r="AT199" i="26"/>
  <c r="AS199" i="26"/>
  <c r="AR199" i="26"/>
  <c r="AQ199" i="26"/>
  <c r="F199" i="26"/>
  <c r="E199" i="26"/>
  <c r="AV198" i="26"/>
  <c r="AU198" i="26"/>
  <c r="AT198" i="26"/>
  <c r="AS198" i="26"/>
  <c r="AR198" i="26"/>
  <c r="AQ198" i="26"/>
  <c r="F198" i="26"/>
  <c r="E198" i="26"/>
  <c r="AV197" i="26"/>
  <c r="AU197" i="26"/>
  <c r="AT197" i="26"/>
  <c r="AS197" i="26"/>
  <c r="AR197" i="26"/>
  <c r="AQ197" i="26"/>
  <c r="F197" i="26"/>
  <c r="E197" i="26"/>
  <c r="AV196" i="26"/>
  <c r="AU196" i="26"/>
  <c r="AT196" i="26"/>
  <c r="AS196" i="26"/>
  <c r="AR196" i="26"/>
  <c r="AQ196" i="26"/>
  <c r="F196" i="26"/>
  <c r="E196" i="26"/>
  <c r="AV195" i="26"/>
  <c r="AU195" i="26"/>
  <c r="AT195" i="26"/>
  <c r="AS195" i="26"/>
  <c r="AR195" i="26"/>
  <c r="AQ195" i="26"/>
  <c r="F195" i="26"/>
  <c r="E195" i="26"/>
  <c r="AV194" i="26"/>
  <c r="AU194" i="26"/>
  <c r="AT194" i="26"/>
  <c r="AS194" i="26"/>
  <c r="AR194" i="26"/>
  <c r="AQ194" i="26"/>
  <c r="F194" i="26"/>
  <c r="E194" i="26"/>
  <c r="AV193" i="26"/>
  <c r="AU193" i="26"/>
  <c r="AT193" i="26"/>
  <c r="AS193" i="26"/>
  <c r="AR193" i="26"/>
  <c r="AQ193" i="26"/>
  <c r="F193" i="26"/>
  <c r="E193" i="26"/>
  <c r="AV192" i="26"/>
  <c r="AU192" i="26"/>
  <c r="AT192" i="26"/>
  <c r="AS192" i="26"/>
  <c r="AR192" i="26"/>
  <c r="AQ192" i="26"/>
  <c r="F192" i="26"/>
  <c r="E192" i="26"/>
  <c r="AV191" i="26"/>
  <c r="AU191" i="26"/>
  <c r="AT191" i="26"/>
  <c r="AS191" i="26"/>
  <c r="AR191" i="26"/>
  <c r="AQ191" i="26"/>
  <c r="F191" i="26"/>
  <c r="E191" i="26"/>
  <c r="AV190" i="26"/>
  <c r="AU190" i="26"/>
  <c r="AT190" i="26"/>
  <c r="AS190" i="26"/>
  <c r="AR190" i="26"/>
  <c r="AQ190" i="26"/>
  <c r="F190" i="26"/>
  <c r="E190" i="26"/>
  <c r="AV189" i="26"/>
  <c r="AU189" i="26"/>
  <c r="AT189" i="26"/>
  <c r="AS189" i="26"/>
  <c r="AR189" i="26"/>
  <c r="AQ189" i="26"/>
  <c r="F189" i="26"/>
  <c r="E189" i="26"/>
  <c r="BF188" i="26"/>
  <c r="BH188" i="26" s="1"/>
  <c r="BJ188" i="26" s="1"/>
  <c r="AV188" i="26"/>
  <c r="AU188" i="26"/>
  <c r="AT188" i="26"/>
  <c r="AS188" i="26"/>
  <c r="AR188" i="26"/>
  <c r="AQ188" i="26"/>
  <c r="F188" i="26"/>
  <c r="E188" i="26"/>
  <c r="AV187" i="26"/>
  <c r="AU187" i="26"/>
  <c r="AT187" i="26"/>
  <c r="AS187" i="26"/>
  <c r="AR187" i="26"/>
  <c r="AQ187" i="26"/>
  <c r="F187" i="26"/>
  <c r="E187" i="26"/>
  <c r="AV186" i="26"/>
  <c r="AU186" i="26"/>
  <c r="AT186" i="26"/>
  <c r="AS186" i="26"/>
  <c r="AR186" i="26"/>
  <c r="AQ186" i="26"/>
  <c r="F186" i="26"/>
  <c r="E186" i="26"/>
  <c r="AV185" i="26"/>
  <c r="AU185" i="26"/>
  <c r="AT185" i="26"/>
  <c r="AS185" i="26"/>
  <c r="AR185" i="26"/>
  <c r="AQ185" i="26"/>
  <c r="F185" i="26"/>
  <c r="E185" i="26"/>
  <c r="AV184" i="26"/>
  <c r="AU184" i="26"/>
  <c r="AT184" i="26"/>
  <c r="AS184" i="26"/>
  <c r="AR184" i="26"/>
  <c r="AQ184" i="26"/>
  <c r="F184" i="26"/>
  <c r="E184" i="26"/>
  <c r="AV183" i="26"/>
  <c r="AU183" i="26"/>
  <c r="AT183" i="26"/>
  <c r="AS183" i="26"/>
  <c r="AR183" i="26"/>
  <c r="AQ183" i="26"/>
  <c r="F183" i="26"/>
  <c r="E183" i="26"/>
  <c r="AV182" i="26"/>
  <c r="AU182" i="26"/>
  <c r="AT182" i="26"/>
  <c r="AS182" i="26"/>
  <c r="AR182" i="26"/>
  <c r="AQ182" i="26"/>
  <c r="F182" i="26"/>
  <c r="E182" i="26"/>
  <c r="BF181" i="26"/>
  <c r="BH181" i="26" s="1"/>
  <c r="BJ181" i="26" s="1"/>
  <c r="AV181" i="26"/>
  <c r="AU181" i="26"/>
  <c r="AT181" i="26"/>
  <c r="AS181" i="26"/>
  <c r="AR181" i="26"/>
  <c r="AQ181" i="26"/>
  <c r="F181" i="26"/>
  <c r="E181" i="26"/>
  <c r="AV180" i="26"/>
  <c r="AU180" i="26"/>
  <c r="AT180" i="26"/>
  <c r="AS180" i="26"/>
  <c r="AR180" i="26"/>
  <c r="AQ180" i="26"/>
  <c r="F180" i="26"/>
  <c r="E180" i="26"/>
  <c r="AV179" i="26"/>
  <c r="AU179" i="26"/>
  <c r="AT179" i="26"/>
  <c r="AS179" i="26"/>
  <c r="AR179" i="26"/>
  <c r="AQ179" i="26"/>
  <c r="F179" i="26"/>
  <c r="E179" i="26"/>
  <c r="AV178" i="26"/>
  <c r="AU178" i="26"/>
  <c r="AT178" i="26"/>
  <c r="AS178" i="26"/>
  <c r="AR178" i="26"/>
  <c r="AQ178" i="26"/>
  <c r="F178" i="26"/>
  <c r="E178" i="26"/>
  <c r="AV177" i="26"/>
  <c r="AU177" i="26"/>
  <c r="AT177" i="26"/>
  <c r="AS177" i="26"/>
  <c r="AR177" i="26"/>
  <c r="AQ177" i="26"/>
  <c r="F177" i="26"/>
  <c r="E177" i="26"/>
  <c r="AV176" i="26"/>
  <c r="AU176" i="26"/>
  <c r="AT176" i="26"/>
  <c r="AS176" i="26"/>
  <c r="AR176" i="26"/>
  <c r="AQ176" i="26"/>
  <c r="F176" i="26"/>
  <c r="E176" i="26"/>
  <c r="AV175" i="26"/>
  <c r="AU175" i="26"/>
  <c r="AT175" i="26"/>
  <c r="AS175" i="26"/>
  <c r="AR175" i="26"/>
  <c r="AQ175" i="26"/>
  <c r="F175" i="26"/>
  <c r="E175" i="26"/>
  <c r="AV174" i="26"/>
  <c r="AU174" i="26"/>
  <c r="AT174" i="26"/>
  <c r="AS174" i="26"/>
  <c r="AR174" i="26"/>
  <c r="AQ174" i="26"/>
  <c r="F174" i="26"/>
  <c r="E174" i="26"/>
  <c r="AV173" i="26"/>
  <c r="AU173" i="26"/>
  <c r="AT173" i="26"/>
  <c r="AS173" i="26"/>
  <c r="AR173" i="26"/>
  <c r="AQ173" i="26"/>
  <c r="F173" i="26"/>
  <c r="E173" i="26"/>
  <c r="AV172" i="26"/>
  <c r="AU172" i="26"/>
  <c r="AT172" i="26"/>
  <c r="AS172" i="26"/>
  <c r="AR172" i="26"/>
  <c r="AQ172" i="26"/>
  <c r="F172" i="26"/>
  <c r="E172" i="26"/>
  <c r="AV171" i="26"/>
  <c r="AU171" i="26"/>
  <c r="AT171" i="26"/>
  <c r="AS171" i="26"/>
  <c r="AR171" i="26"/>
  <c r="AQ171" i="26"/>
  <c r="F171" i="26"/>
  <c r="E171" i="26"/>
  <c r="AV170" i="26"/>
  <c r="AU170" i="26"/>
  <c r="AT170" i="26"/>
  <c r="AS170" i="26"/>
  <c r="AR170" i="26"/>
  <c r="AQ170" i="26"/>
  <c r="F170" i="26"/>
  <c r="E170" i="26"/>
  <c r="AV169" i="26"/>
  <c r="AU169" i="26"/>
  <c r="AT169" i="26"/>
  <c r="AS169" i="26"/>
  <c r="AR169" i="26"/>
  <c r="AQ169" i="26"/>
  <c r="F169" i="26"/>
  <c r="E169" i="26"/>
  <c r="AV168" i="26"/>
  <c r="AU168" i="26"/>
  <c r="AT168" i="26"/>
  <c r="AS168" i="26"/>
  <c r="AR168" i="26"/>
  <c r="AQ168" i="26"/>
  <c r="F168" i="26"/>
  <c r="E168" i="26"/>
  <c r="AV167" i="26"/>
  <c r="AU167" i="26"/>
  <c r="AT167" i="26"/>
  <c r="AS167" i="26"/>
  <c r="AR167" i="26"/>
  <c r="AQ167" i="26"/>
  <c r="F167" i="26"/>
  <c r="E167" i="26"/>
  <c r="AV166" i="26"/>
  <c r="AU166" i="26"/>
  <c r="AT166" i="26"/>
  <c r="AS166" i="26"/>
  <c r="AR166" i="26"/>
  <c r="AQ166" i="26"/>
  <c r="F166" i="26"/>
  <c r="E166" i="26"/>
  <c r="AV165" i="26"/>
  <c r="AU165" i="26"/>
  <c r="AT165" i="26"/>
  <c r="AS165" i="26"/>
  <c r="AR165" i="26"/>
  <c r="AQ165" i="26"/>
  <c r="F165" i="26"/>
  <c r="E165" i="26"/>
  <c r="AV164" i="26"/>
  <c r="AU164" i="26"/>
  <c r="AT164" i="26"/>
  <c r="AS164" i="26"/>
  <c r="AR164" i="26"/>
  <c r="AQ164" i="26"/>
  <c r="F164" i="26"/>
  <c r="E164" i="26"/>
  <c r="AV163" i="26"/>
  <c r="AU163" i="26"/>
  <c r="AT163" i="26"/>
  <c r="AS163" i="26"/>
  <c r="AR163" i="26"/>
  <c r="AQ163" i="26"/>
  <c r="F163" i="26"/>
  <c r="E163" i="26"/>
  <c r="AV162" i="26"/>
  <c r="AU162" i="26"/>
  <c r="AT162" i="26"/>
  <c r="AS162" i="26"/>
  <c r="AR162" i="26"/>
  <c r="AQ162" i="26"/>
  <c r="F162" i="26"/>
  <c r="E162" i="26"/>
  <c r="AV161" i="26"/>
  <c r="AU161" i="26"/>
  <c r="AT161" i="26"/>
  <c r="AS161" i="26"/>
  <c r="AR161" i="26"/>
  <c r="AQ161" i="26"/>
  <c r="F161" i="26"/>
  <c r="E161" i="26"/>
  <c r="AV160" i="26"/>
  <c r="AU160" i="26"/>
  <c r="AT160" i="26"/>
  <c r="AS160" i="26"/>
  <c r="AR160" i="26"/>
  <c r="AQ160" i="26"/>
  <c r="F160" i="26"/>
  <c r="E160" i="26"/>
  <c r="AV159" i="26"/>
  <c r="AU159" i="26"/>
  <c r="AT159" i="26"/>
  <c r="AS159" i="26"/>
  <c r="AR159" i="26"/>
  <c r="AQ159" i="26"/>
  <c r="F159" i="26"/>
  <c r="E159" i="26"/>
  <c r="AV158" i="26"/>
  <c r="AU158" i="26"/>
  <c r="AT158" i="26"/>
  <c r="AS158" i="26"/>
  <c r="AR158" i="26"/>
  <c r="AQ158" i="26"/>
  <c r="F158" i="26"/>
  <c r="E158" i="26"/>
  <c r="AV157" i="26"/>
  <c r="AU157" i="26"/>
  <c r="AT157" i="26"/>
  <c r="AS157" i="26"/>
  <c r="AR157" i="26"/>
  <c r="AQ157" i="26"/>
  <c r="F157" i="26"/>
  <c r="E157" i="26"/>
  <c r="AV156" i="26"/>
  <c r="AU156" i="26"/>
  <c r="AT156" i="26"/>
  <c r="AS156" i="26"/>
  <c r="AR156" i="26"/>
  <c r="AQ156" i="26"/>
  <c r="F156" i="26"/>
  <c r="E156" i="26"/>
  <c r="AV155" i="26"/>
  <c r="AU155" i="26"/>
  <c r="AT155" i="26"/>
  <c r="AS155" i="26"/>
  <c r="AR155" i="26"/>
  <c r="AQ155" i="26"/>
  <c r="F155" i="26"/>
  <c r="E155" i="26"/>
  <c r="AV154" i="26"/>
  <c r="AU154" i="26"/>
  <c r="AT154" i="26"/>
  <c r="AS154" i="26"/>
  <c r="AR154" i="26"/>
  <c r="AQ154" i="26"/>
  <c r="F154" i="26"/>
  <c r="E154" i="26"/>
  <c r="AV153" i="26"/>
  <c r="AU153" i="26"/>
  <c r="AT153" i="26"/>
  <c r="AS153" i="26"/>
  <c r="AR153" i="26"/>
  <c r="AQ153" i="26"/>
  <c r="F153" i="26"/>
  <c r="E153" i="26"/>
  <c r="AV152" i="26"/>
  <c r="AU152" i="26"/>
  <c r="AT152" i="26"/>
  <c r="AS152" i="26"/>
  <c r="AR152" i="26"/>
  <c r="AQ152" i="26"/>
  <c r="F152" i="26"/>
  <c r="E152" i="26"/>
  <c r="AV151" i="26"/>
  <c r="AU151" i="26"/>
  <c r="AT151" i="26"/>
  <c r="AS151" i="26"/>
  <c r="AR151" i="26"/>
  <c r="AQ151" i="26"/>
  <c r="F151" i="26"/>
  <c r="E151" i="26"/>
  <c r="AV150" i="26"/>
  <c r="AU150" i="26"/>
  <c r="AT150" i="26"/>
  <c r="AS150" i="26"/>
  <c r="AR150" i="26"/>
  <c r="AQ150" i="26"/>
  <c r="F150" i="26"/>
  <c r="E150" i="26"/>
  <c r="AV149" i="26"/>
  <c r="AU149" i="26"/>
  <c r="AT149" i="26"/>
  <c r="AS149" i="26"/>
  <c r="AR149" i="26"/>
  <c r="AQ149" i="26"/>
  <c r="F149" i="26"/>
  <c r="E149" i="26"/>
  <c r="AV148" i="26"/>
  <c r="AU148" i="26"/>
  <c r="AT148" i="26"/>
  <c r="AS148" i="26"/>
  <c r="AR148" i="26"/>
  <c r="AQ148" i="26"/>
  <c r="F148" i="26"/>
  <c r="E148" i="26"/>
  <c r="AV147" i="26"/>
  <c r="AU147" i="26"/>
  <c r="AT147" i="26"/>
  <c r="AS147" i="26"/>
  <c r="AR147" i="26"/>
  <c r="AQ147" i="26"/>
  <c r="F147" i="26"/>
  <c r="E147" i="26"/>
  <c r="AV146" i="26"/>
  <c r="AU146" i="26"/>
  <c r="AT146" i="26"/>
  <c r="AS146" i="26"/>
  <c r="AR146" i="26"/>
  <c r="AQ146" i="26"/>
  <c r="F146" i="26"/>
  <c r="E146" i="26"/>
  <c r="AV145" i="26"/>
  <c r="AU145" i="26"/>
  <c r="AT145" i="26"/>
  <c r="AS145" i="26"/>
  <c r="AR145" i="26"/>
  <c r="AQ145" i="26"/>
  <c r="F145" i="26"/>
  <c r="E145" i="26"/>
  <c r="BF144" i="26"/>
  <c r="BH144" i="26" s="1"/>
  <c r="BJ144" i="26" s="1"/>
  <c r="AV144" i="26"/>
  <c r="AU144" i="26"/>
  <c r="AT144" i="26"/>
  <c r="AS144" i="26"/>
  <c r="AR144" i="26"/>
  <c r="AQ144" i="26"/>
  <c r="F144" i="26"/>
  <c r="E144" i="26"/>
  <c r="AV143" i="26"/>
  <c r="AU143" i="26"/>
  <c r="AT143" i="26"/>
  <c r="AS143" i="26"/>
  <c r="AR143" i="26"/>
  <c r="AQ143" i="26"/>
  <c r="F143" i="26"/>
  <c r="E143" i="26"/>
  <c r="AV142" i="26"/>
  <c r="AU142" i="26"/>
  <c r="AT142" i="26"/>
  <c r="AS142" i="26"/>
  <c r="AR142" i="26"/>
  <c r="AQ142" i="26"/>
  <c r="F142" i="26"/>
  <c r="E142" i="26"/>
  <c r="AV141" i="26"/>
  <c r="AU141" i="26"/>
  <c r="AT141" i="26"/>
  <c r="AS141" i="26"/>
  <c r="AR141" i="26"/>
  <c r="AQ141" i="26"/>
  <c r="F141" i="26"/>
  <c r="E141" i="26"/>
  <c r="AV140" i="26"/>
  <c r="AU140" i="26"/>
  <c r="AT140" i="26"/>
  <c r="AS140" i="26"/>
  <c r="AR140" i="26"/>
  <c r="AQ140" i="26"/>
  <c r="F140" i="26"/>
  <c r="E140" i="26"/>
  <c r="AV139" i="26"/>
  <c r="AU139" i="26"/>
  <c r="AT139" i="26"/>
  <c r="AS139" i="26"/>
  <c r="AR139" i="26"/>
  <c r="AQ139" i="26"/>
  <c r="F139" i="26"/>
  <c r="E139" i="26"/>
  <c r="AV138" i="26"/>
  <c r="AU138" i="26"/>
  <c r="AT138" i="26"/>
  <c r="AS138" i="26"/>
  <c r="AR138" i="26"/>
  <c r="AQ138" i="26"/>
  <c r="F138" i="26"/>
  <c r="E138" i="26"/>
  <c r="AV137" i="26"/>
  <c r="AU137" i="26"/>
  <c r="AT137" i="26"/>
  <c r="AS137" i="26"/>
  <c r="AR137" i="26"/>
  <c r="AQ137" i="26"/>
  <c r="F137" i="26"/>
  <c r="E137" i="26"/>
  <c r="AV136" i="26"/>
  <c r="AU136" i="26"/>
  <c r="AT136" i="26"/>
  <c r="AS136" i="26"/>
  <c r="AR136" i="26"/>
  <c r="AQ136" i="26"/>
  <c r="F136" i="26"/>
  <c r="E136" i="26"/>
  <c r="AV135" i="26"/>
  <c r="AU135" i="26"/>
  <c r="AT135" i="26"/>
  <c r="AS135" i="26"/>
  <c r="AR135" i="26"/>
  <c r="AQ135" i="26"/>
  <c r="F135" i="26"/>
  <c r="E135" i="26"/>
  <c r="AV134" i="26"/>
  <c r="AU134" i="26"/>
  <c r="AT134" i="26"/>
  <c r="AS134" i="26"/>
  <c r="AR134" i="26"/>
  <c r="AQ134" i="26"/>
  <c r="F134" i="26"/>
  <c r="E134" i="26"/>
  <c r="BF133" i="26"/>
  <c r="BH133" i="26" s="1"/>
  <c r="BJ133" i="26" s="1"/>
  <c r="AV133" i="26"/>
  <c r="AU133" i="26"/>
  <c r="AT133" i="26"/>
  <c r="AS133" i="26"/>
  <c r="AR133" i="26"/>
  <c r="AQ133" i="26"/>
  <c r="F133" i="26"/>
  <c r="E133" i="26"/>
  <c r="AV132" i="26"/>
  <c r="AU132" i="26"/>
  <c r="AT132" i="26"/>
  <c r="AS132" i="26"/>
  <c r="AR132" i="26"/>
  <c r="AQ132" i="26"/>
  <c r="F132" i="26"/>
  <c r="E132" i="26"/>
  <c r="AV131" i="26"/>
  <c r="AU131" i="26"/>
  <c r="AT131" i="26"/>
  <c r="AS131" i="26"/>
  <c r="AR131" i="26"/>
  <c r="AQ131" i="26"/>
  <c r="F131" i="26"/>
  <c r="E131" i="26"/>
  <c r="AV130" i="26"/>
  <c r="AU130" i="26"/>
  <c r="AT130" i="26"/>
  <c r="AS130" i="26"/>
  <c r="AR130" i="26"/>
  <c r="AQ130" i="26"/>
  <c r="F130" i="26"/>
  <c r="E130" i="26"/>
  <c r="AV129" i="26"/>
  <c r="AU129" i="26"/>
  <c r="AT129" i="26"/>
  <c r="AS129" i="26"/>
  <c r="AR129" i="26"/>
  <c r="AQ129" i="26"/>
  <c r="F129" i="26"/>
  <c r="E129" i="26"/>
  <c r="AV128" i="26"/>
  <c r="AU128" i="26"/>
  <c r="AT128" i="26"/>
  <c r="AS128" i="26"/>
  <c r="AR128" i="26"/>
  <c r="AQ128" i="26"/>
  <c r="F128" i="26"/>
  <c r="E128" i="26"/>
  <c r="AV127" i="26"/>
  <c r="AU127" i="26"/>
  <c r="AT127" i="26"/>
  <c r="AS127" i="26"/>
  <c r="AR127" i="26"/>
  <c r="AQ127" i="26"/>
  <c r="F127" i="26"/>
  <c r="E127" i="26"/>
  <c r="AV126" i="26"/>
  <c r="AU126" i="26"/>
  <c r="AT126" i="26"/>
  <c r="AS126" i="26"/>
  <c r="AR126" i="26"/>
  <c r="AQ126" i="26"/>
  <c r="F126" i="26"/>
  <c r="E126" i="26"/>
  <c r="AV125" i="26"/>
  <c r="AU125" i="26"/>
  <c r="AT125" i="26"/>
  <c r="AS125" i="26"/>
  <c r="AR125" i="26"/>
  <c r="AQ125" i="26"/>
  <c r="F125" i="26"/>
  <c r="E125" i="26"/>
  <c r="AV124" i="26"/>
  <c r="AU124" i="26"/>
  <c r="AT124" i="26"/>
  <c r="AS124" i="26"/>
  <c r="AR124" i="26"/>
  <c r="AQ124" i="26"/>
  <c r="F124" i="26"/>
  <c r="E124" i="26"/>
  <c r="AV123" i="26"/>
  <c r="AU123" i="26"/>
  <c r="AT123" i="26"/>
  <c r="AS123" i="26"/>
  <c r="AR123" i="26"/>
  <c r="AQ123" i="26"/>
  <c r="F123" i="26"/>
  <c r="E123" i="26"/>
  <c r="AV122" i="26"/>
  <c r="AU122" i="26"/>
  <c r="AT122" i="26"/>
  <c r="AS122" i="26"/>
  <c r="AR122" i="26"/>
  <c r="AQ122" i="26"/>
  <c r="F122" i="26"/>
  <c r="E122" i="26"/>
  <c r="AV121" i="26"/>
  <c r="AU121" i="26"/>
  <c r="AT121" i="26"/>
  <c r="AS121" i="26"/>
  <c r="AR121" i="26"/>
  <c r="AQ121" i="26"/>
  <c r="F121" i="26"/>
  <c r="E121" i="26"/>
  <c r="AV120" i="26"/>
  <c r="AU120" i="26"/>
  <c r="AT120" i="26"/>
  <c r="AS120" i="26"/>
  <c r="AR120" i="26"/>
  <c r="AQ120" i="26"/>
  <c r="F120" i="26"/>
  <c r="E120" i="26"/>
  <c r="AV119" i="26"/>
  <c r="AU119" i="26"/>
  <c r="AT119" i="26"/>
  <c r="AS119" i="26"/>
  <c r="AR119" i="26"/>
  <c r="AQ119" i="26"/>
  <c r="F119" i="26"/>
  <c r="E119" i="26"/>
  <c r="AV118" i="26"/>
  <c r="AU118" i="26"/>
  <c r="AT118" i="26"/>
  <c r="AS118" i="26"/>
  <c r="AR118" i="26"/>
  <c r="AQ118" i="26"/>
  <c r="F118" i="26"/>
  <c r="E118" i="26"/>
  <c r="AV117" i="26"/>
  <c r="AU117" i="26"/>
  <c r="AT117" i="26"/>
  <c r="AS117" i="26"/>
  <c r="AR117" i="26"/>
  <c r="AQ117" i="26"/>
  <c r="F117" i="26"/>
  <c r="E117" i="26"/>
  <c r="AV116" i="26"/>
  <c r="AU116" i="26"/>
  <c r="AT116" i="26"/>
  <c r="AS116" i="26"/>
  <c r="AR116" i="26"/>
  <c r="AQ116" i="26"/>
  <c r="F116" i="26"/>
  <c r="E116" i="26"/>
  <c r="AV115" i="26"/>
  <c r="AU115" i="26"/>
  <c r="AT115" i="26"/>
  <c r="AS115" i="26"/>
  <c r="AR115" i="26"/>
  <c r="AQ115" i="26"/>
  <c r="F115" i="26"/>
  <c r="E115" i="26"/>
  <c r="AV114" i="26"/>
  <c r="AU114" i="26"/>
  <c r="AT114" i="26"/>
  <c r="AS114" i="26"/>
  <c r="AR114" i="26"/>
  <c r="AQ114" i="26"/>
  <c r="F114" i="26"/>
  <c r="E114" i="26"/>
  <c r="AV113" i="26"/>
  <c r="AU113" i="26"/>
  <c r="AT113" i="26"/>
  <c r="AS113" i="26"/>
  <c r="AR113" i="26"/>
  <c r="AQ113" i="26"/>
  <c r="F113" i="26"/>
  <c r="E113" i="26"/>
  <c r="AV112" i="26"/>
  <c r="AU112" i="26"/>
  <c r="AT112" i="26"/>
  <c r="AS112" i="26"/>
  <c r="AR112" i="26"/>
  <c r="AQ112" i="26"/>
  <c r="F112" i="26"/>
  <c r="E112" i="26"/>
  <c r="AV111" i="26"/>
  <c r="AU111" i="26"/>
  <c r="AT111" i="26"/>
  <c r="AS111" i="26"/>
  <c r="AR111" i="26"/>
  <c r="AQ111" i="26"/>
  <c r="F111" i="26"/>
  <c r="E111" i="26"/>
  <c r="AV110" i="26"/>
  <c r="AU110" i="26"/>
  <c r="AT110" i="26"/>
  <c r="AS110" i="26"/>
  <c r="AR110" i="26"/>
  <c r="AQ110" i="26"/>
  <c r="F110" i="26"/>
  <c r="E110" i="26"/>
  <c r="AV109" i="26"/>
  <c r="AU109" i="26"/>
  <c r="AT109" i="26"/>
  <c r="AS109" i="26"/>
  <c r="AR109" i="26"/>
  <c r="AQ109" i="26"/>
  <c r="F109" i="26"/>
  <c r="E109" i="26"/>
  <c r="AV108" i="26"/>
  <c r="AU108" i="26"/>
  <c r="AT108" i="26"/>
  <c r="AS108" i="26"/>
  <c r="AR108" i="26"/>
  <c r="AQ108" i="26"/>
  <c r="F108" i="26"/>
  <c r="E108" i="26"/>
  <c r="AV107" i="26"/>
  <c r="AU107" i="26"/>
  <c r="AT107" i="26"/>
  <c r="AS107" i="26"/>
  <c r="AR107" i="26"/>
  <c r="AQ107" i="26"/>
  <c r="F107" i="26"/>
  <c r="E107" i="26"/>
  <c r="AV106" i="26"/>
  <c r="AU106" i="26"/>
  <c r="AT106" i="26"/>
  <c r="AS106" i="26"/>
  <c r="AR106" i="26"/>
  <c r="AQ106" i="26"/>
  <c r="F106" i="26"/>
  <c r="E106" i="26"/>
  <c r="AV105" i="26"/>
  <c r="AU105" i="26"/>
  <c r="AT105" i="26"/>
  <c r="AS105" i="26"/>
  <c r="AR105" i="26"/>
  <c r="AQ105" i="26"/>
  <c r="F105" i="26"/>
  <c r="E105" i="26"/>
  <c r="AV104" i="26"/>
  <c r="AU104" i="26"/>
  <c r="AT104" i="26"/>
  <c r="AS104" i="26"/>
  <c r="AR104" i="26"/>
  <c r="AQ104" i="26"/>
  <c r="F104" i="26"/>
  <c r="E104" i="26"/>
  <c r="AV103" i="26"/>
  <c r="AU103" i="26"/>
  <c r="AT103" i="26"/>
  <c r="AS103" i="26"/>
  <c r="AR103" i="26"/>
  <c r="AQ103" i="26"/>
  <c r="F103" i="26"/>
  <c r="E103" i="26"/>
  <c r="AV102" i="26"/>
  <c r="AU102" i="26"/>
  <c r="AT102" i="26"/>
  <c r="AS102" i="26"/>
  <c r="AR102" i="26"/>
  <c r="AQ102" i="26"/>
  <c r="F102" i="26"/>
  <c r="E102" i="26"/>
  <c r="AV101" i="26"/>
  <c r="AU101" i="26"/>
  <c r="AT101" i="26"/>
  <c r="AS101" i="26"/>
  <c r="AR101" i="26"/>
  <c r="AQ101" i="26"/>
  <c r="F101" i="26"/>
  <c r="E101" i="26"/>
  <c r="AV100" i="26"/>
  <c r="AU100" i="26"/>
  <c r="AT100" i="26"/>
  <c r="AS100" i="26"/>
  <c r="AR100" i="26"/>
  <c r="AQ100" i="26"/>
  <c r="F100" i="26"/>
  <c r="E100" i="26"/>
  <c r="AV99" i="26"/>
  <c r="AU99" i="26"/>
  <c r="AT99" i="26"/>
  <c r="AS99" i="26"/>
  <c r="AR99" i="26"/>
  <c r="AQ99" i="26"/>
  <c r="F99" i="26"/>
  <c r="E99" i="26"/>
  <c r="BF98" i="26"/>
  <c r="BH98" i="26" s="1"/>
  <c r="BJ98" i="26" s="1"/>
  <c r="AV98" i="26"/>
  <c r="AU98" i="26"/>
  <c r="AT98" i="26"/>
  <c r="AS98" i="26"/>
  <c r="AR98" i="26"/>
  <c r="AQ98" i="26"/>
  <c r="F98" i="26"/>
  <c r="E98" i="26"/>
  <c r="AV97" i="26"/>
  <c r="AU97" i="26"/>
  <c r="AT97" i="26"/>
  <c r="AS97" i="26"/>
  <c r="AR97" i="26"/>
  <c r="AQ97" i="26"/>
  <c r="F97" i="26"/>
  <c r="E97" i="26"/>
  <c r="AV96" i="26"/>
  <c r="AU96" i="26"/>
  <c r="AT96" i="26"/>
  <c r="AS96" i="26"/>
  <c r="AR96" i="26"/>
  <c r="AQ96" i="26"/>
  <c r="F96" i="26"/>
  <c r="E96" i="26"/>
  <c r="AV95" i="26"/>
  <c r="AU95" i="26"/>
  <c r="AT95" i="26"/>
  <c r="AS95" i="26"/>
  <c r="AR95" i="26"/>
  <c r="AQ95" i="26"/>
  <c r="F95" i="26"/>
  <c r="E95" i="26"/>
  <c r="AV94" i="26"/>
  <c r="AU94" i="26"/>
  <c r="AT94" i="26"/>
  <c r="AS94" i="26"/>
  <c r="AR94" i="26"/>
  <c r="AQ94" i="26"/>
  <c r="F94" i="26"/>
  <c r="E94" i="26"/>
  <c r="AV93" i="26"/>
  <c r="AU93" i="26"/>
  <c r="AT93" i="26"/>
  <c r="AS93" i="26"/>
  <c r="AR93" i="26"/>
  <c r="AQ93" i="26"/>
  <c r="F93" i="26"/>
  <c r="E93" i="26"/>
  <c r="AV92" i="26"/>
  <c r="AU92" i="26"/>
  <c r="AT92" i="26"/>
  <c r="AS92" i="26"/>
  <c r="AR92" i="26"/>
  <c r="AQ92" i="26"/>
  <c r="F92" i="26"/>
  <c r="E92" i="26"/>
  <c r="AV91" i="26"/>
  <c r="AU91" i="26"/>
  <c r="AT91" i="26"/>
  <c r="AS91" i="26"/>
  <c r="AR91" i="26"/>
  <c r="AQ91" i="26"/>
  <c r="F91" i="26"/>
  <c r="E91" i="26"/>
  <c r="AV90" i="26"/>
  <c r="AU90" i="26"/>
  <c r="AT90" i="26"/>
  <c r="AS90" i="26"/>
  <c r="AR90" i="26"/>
  <c r="AQ90" i="26"/>
  <c r="F90" i="26"/>
  <c r="E90" i="26"/>
  <c r="BF89" i="26"/>
  <c r="BH89" i="26" s="1"/>
  <c r="BJ89" i="26" s="1"/>
  <c r="AV89" i="26"/>
  <c r="AU89" i="26"/>
  <c r="AT89" i="26"/>
  <c r="AS89" i="26"/>
  <c r="AR89" i="26"/>
  <c r="AQ89" i="26"/>
  <c r="F89" i="26"/>
  <c r="E89" i="26"/>
  <c r="AV88" i="26"/>
  <c r="AU88" i="26"/>
  <c r="AT88" i="26"/>
  <c r="AS88" i="26"/>
  <c r="AR88" i="26"/>
  <c r="AQ88" i="26"/>
  <c r="F88" i="26"/>
  <c r="E88" i="26"/>
  <c r="AV87" i="26"/>
  <c r="AU87" i="26"/>
  <c r="AT87" i="26"/>
  <c r="AS87" i="26"/>
  <c r="AR87" i="26"/>
  <c r="AQ87" i="26"/>
  <c r="F87" i="26"/>
  <c r="E87" i="26"/>
  <c r="BF86" i="26"/>
  <c r="BH86" i="26" s="1"/>
  <c r="BJ86" i="26" s="1"/>
  <c r="AV86" i="26"/>
  <c r="AU86" i="26"/>
  <c r="AT86" i="26"/>
  <c r="AS86" i="26"/>
  <c r="AR86" i="26"/>
  <c r="AQ86" i="26"/>
  <c r="F86" i="26"/>
  <c r="E86" i="26"/>
  <c r="AV85" i="26"/>
  <c r="AU85" i="26"/>
  <c r="AT85" i="26"/>
  <c r="AS85" i="26"/>
  <c r="AR85" i="26"/>
  <c r="AQ85" i="26"/>
  <c r="F85" i="26"/>
  <c r="E85" i="26"/>
  <c r="AV84" i="26"/>
  <c r="AU84" i="26"/>
  <c r="AT84" i="26"/>
  <c r="AS84" i="26"/>
  <c r="AR84" i="26"/>
  <c r="AQ84" i="26"/>
  <c r="F84" i="26"/>
  <c r="E84" i="26"/>
  <c r="AV83" i="26"/>
  <c r="AU83" i="26"/>
  <c r="AT83" i="26"/>
  <c r="AS83" i="26"/>
  <c r="AR83" i="26"/>
  <c r="AQ83" i="26"/>
  <c r="F83" i="26"/>
  <c r="E83" i="26"/>
  <c r="BF82" i="26"/>
  <c r="BH82" i="26" s="1"/>
  <c r="BJ82" i="26" s="1"/>
  <c r="AV82" i="26"/>
  <c r="AU82" i="26"/>
  <c r="AT82" i="26"/>
  <c r="AS82" i="26"/>
  <c r="AR82" i="26"/>
  <c r="AQ82" i="26"/>
  <c r="F82" i="26"/>
  <c r="E82" i="26"/>
  <c r="AV81" i="26"/>
  <c r="AU81" i="26"/>
  <c r="AT81" i="26"/>
  <c r="AS81" i="26"/>
  <c r="AR81" i="26"/>
  <c r="AQ81" i="26"/>
  <c r="F81" i="26"/>
  <c r="E81" i="26"/>
  <c r="AV80" i="26"/>
  <c r="AU80" i="26"/>
  <c r="AT80" i="26"/>
  <c r="AS80" i="26"/>
  <c r="AR80" i="26"/>
  <c r="AQ80" i="26"/>
  <c r="F80" i="26"/>
  <c r="E80" i="26"/>
  <c r="AV79" i="26"/>
  <c r="AU79" i="26"/>
  <c r="AT79" i="26"/>
  <c r="AS79" i="26"/>
  <c r="AR79" i="26"/>
  <c r="AQ79" i="26"/>
  <c r="F79" i="26"/>
  <c r="E79" i="26"/>
  <c r="AV78" i="26"/>
  <c r="AU78" i="26"/>
  <c r="AT78" i="26"/>
  <c r="AS78" i="26"/>
  <c r="AR78" i="26"/>
  <c r="AQ78" i="26"/>
  <c r="F78" i="26"/>
  <c r="E78" i="26"/>
  <c r="AV77" i="26"/>
  <c r="AU77" i="26"/>
  <c r="AT77" i="26"/>
  <c r="AS77" i="26"/>
  <c r="AR77" i="26"/>
  <c r="AQ77" i="26"/>
  <c r="F77" i="26"/>
  <c r="E77" i="26"/>
  <c r="AV76" i="26"/>
  <c r="AU76" i="26"/>
  <c r="AT76" i="26"/>
  <c r="AS76" i="26"/>
  <c r="AR76" i="26"/>
  <c r="AQ76" i="26"/>
  <c r="F76" i="26"/>
  <c r="E76" i="26"/>
  <c r="AV75" i="26"/>
  <c r="AU75" i="26"/>
  <c r="AT75" i="26"/>
  <c r="AS75" i="26"/>
  <c r="AR75" i="26"/>
  <c r="AQ75" i="26"/>
  <c r="F75" i="26"/>
  <c r="E75" i="26"/>
  <c r="AV74" i="26"/>
  <c r="AU74" i="26"/>
  <c r="AT74" i="26"/>
  <c r="AS74" i="26"/>
  <c r="AR74" i="26"/>
  <c r="AQ74" i="26"/>
  <c r="F74" i="26"/>
  <c r="E74" i="26"/>
  <c r="BF73" i="26"/>
  <c r="BH73" i="26" s="1"/>
  <c r="BJ73" i="26" s="1"/>
  <c r="AV73" i="26"/>
  <c r="AU73" i="26"/>
  <c r="AT73" i="26"/>
  <c r="AS73" i="26"/>
  <c r="AR73" i="26"/>
  <c r="AQ73" i="26"/>
  <c r="F73" i="26"/>
  <c r="E73" i="26"/>
  <c r="AV72" i="26"/>
  <c r="AU72" i="26"/>
  <c r="AT72" i="26"/>
  <c r="AS72" i="26"/>
  <c r="AR72" i="26"/>
  <c r="AQ72" i="26"/>
  <c r="F72" i="26"/>
  <c r="E72" i="26"/>
  <c r="AV71" i="26"/>
  <c r="AU71" i="26"/>
  <c r="AT71" i="26"/>
  <c r="AS71" i="26"/>
  <c r="AR71" i="26"/>
  <c r="AQ71" i="26"/>
  <c r="F71" i="26"/>
  <c r="E71" i="26"/>
  <c r="AV70" i="26"/>
  <c r="AU70" i="26"/>
  <c r="AT70" i="26"/>
  <c r="AS70" i="26"/>
  <c r="AR70" i="26"/>
  <c r="AQ70" i="26"/>
  <c r="F70" i="26"/>
  <c r="E70" i="26"/>
  <c r="BF69" i="26"/>
  <c r="BH69" i="26" s="1"/>
  <c r="BJ69" i="26" s="1"/>
  <c r="AV69" i="26"/>
  <c r="AU69" i="26"/>
  <c r="AT69" i="26"/>
  <c r="AS69" i="26"/>
  <c r="AR69" i="26"/>
  <c r="AQ69" i="26"/>
  <c r="F69" i="26"/>
  <c r="E69" i="26"/>
  <c r="AV68" i="26"/>
  <c r="AU68" i="26"/>
  <c r="AT68" i="26"/>
  <c r="AS68" i="26"/>
  <c r="AR68" i="26"/>
  <c r="AQ68" i="26"/>
  <c r="F68" i="26"/>
  <c r="E68" i="26"/>
  <c r="AV67" i="26"/>
  <c r="AU67" i="26"/>
  <c r="AT67" i="26"/>
  <c r="AS67" i="26"/>
  <c r="AR67" i="26"/>
  <c r="AQ67" i="26"/>
  <c r="F67" i="26"/>
  <c r="E67" i="26"/>
  <c r="AV66" i="26"/>
  <c r="AU66" i="26"/>
  <c r="AT66" i="26"/>
  <c r="AS66" i="26"/>
  <c r="AR66" i="26"/>
  <c r="AQ66" i="26"/>
  <c r="F66" i="26"/>
  <c r="E66" i="26"/>
  <c r="AV65" i="26"/>
  <c r="AU65" i="26"/>
  <c r="AT65" i="26"/>
  <c r="AS65" i="26"/>
  <c r="AR65" i="26"/>
  <c r="AQ65" i="26"/>
  <c r="F65" i="26"/>
  <c r="E65" i="26"/>
  <c r="AV64" i="26"/>
  <c r="AU64" i="26"/>
  <c r="AT64" i="26"/>
  <c r="AS64" i="26"/>
  <c r="AR64" i="26"/>
  <c r="AQ64" i="26"/>
  <c r="F64" i="26"/>
  <c r="E64" i="26"/>
  <c r="AV63" i="26"/>
  <c r="AU63" i="26"/>
  <c r="AT63" i="26"/>
  <c r="AS63" i="26"/>
  <c r="AR63" i="26"/>
  <c r="AQ63" i="26"/>
  <c r="F63" i="26"/>
  <c r="E63" i="26"/>
  <c r="AV62" i="26"/>
  <c r="AU62" i="26"/>
  <c r="AT62" i="26"/>
  <c r="AS62" i="26"/>
  <c r="AR62" i="26"/>
  <c r="AQ62" i="26"/>
  <c r="F62" i="26"/>
  <c r="E62" i="26"/>
  <c r="AV61" i="26"/>
  <c r="AU61" i="26"/>
  <c r="AT61" i="26"/>
  <c r="AS61" i="26"/>
  <c r="AR61" i="26"/>
  <c r="AQ61" i="26"/>
  <c r="F61" i="26"/>
  <c r="E61" i="26"/>
  <c r="AV60" i="26"/>
  <c r="AU60" i="26"/>
  <c r="AT60" i="26"/>
  <c r="AS60" i="26"/>
  <c r="AR60" i="26"/>
  <c r="AQ60" i="26"/>
  <c r="F60" i="26"/>
  <c r="E60" i="26"/>
  <c r="AV59" i="26"/>
  <c r="AU59" i="26"/>
  <c r="AT59" i="26"/>
  <c r="AS59" i="26"/>
  <c r="AR59" i="26"/>
  <c r="AQ59" i="26"/>
  <c r="F59" i="26"/>
  <c r="E59" i="26"/>
  <c r="AV58" i="26"/>
  <c r="AU58" i="26"/>
  <c r="AT58" i="26"/>
  <c r="AS58" i="26"/>
  <c r="AR58" i="26"/>
  <c r="AQ58" i="26"/>
  <c r="F58" i="26"/>
  <c r="E58" i="26"/>
  <c r="AV57" i="26"/>
  <c r="AU57" i="26"/>
  <c r="AT57" i="26"/>
  <c r="AS57" i="26"/>
  <c r="AR57" i="26"/>
  <c r="AQ57" i="26"/>
  <c r="F57" i="26"/>
  <c r="E57" i="26"/>
  <c r="AV56" i="26"/>
  <c r="AU56" i="26"/>
  <c r="AT56" i="26"/>
  <c r="AS56" i="26"/>
  <c r="AR56" i="26"/>
  <c r="AQ56" i="26"/>
  <c r="F56" i="26"/>
  <c r="E56" i="26"/>
  <c r="AV55" i="26"/>
  <c r="AU55" i="26"/>
  <c r="AT55" i="26"/>
  <c r="AS55" i="26"/>
  <c r="AR55" i="26"/>
  <c r="AQ55" i="26"/>
  <c r="F55" i="26"/>
  <c r="E55" i="26"/>
  <c r="AV54" i="26"/>
  <c r="AU54" i="26"/>
  <c r="AT54" i="26"/>
  <c r="AS54" i="26"/>
  <c r="AR54" i="26"/>
  <c r="AQ54" i="26"/>
  <c r="F54" i="26"/>
  <c r="E54" i="26"/>
  <c r="BF53" i="26"/>
  <c r="BH53" i="26" s="1"/>
  <c r="BJ53" i="26" s="1"/>
  <c r="AV53" i="26"/>
  <c r="AU53" i="26"/>
  <c r="AT53" i="26"/>
  <c r="AS53" i="26"/>
  <c r="AR53" i="26"/>
  <c r="AQ53" i="26"/>
  <c r="F53" i="26"/>
  <c r="E53" i="26"/>
  <c r="AV52" i="26"/>
  <c r="AU52" i="26"/>
  <c r="AT52" i="26"/>
  <c r="AS52" i="26"/>
  <c r="AR52" i="26"/>
  <c r="AQ52" i="26"/>
  <c r="F52" i="26"/>
  <c r="E52" i="26"/>
  <c r="AV51" i="26"/>
  <c r="AU51" i="26"/>
  <c r="AT51" i="26"/>
  <c r="AS51" i="26"/>
  <c r="AR51" i="26"/>
  <c r="AQ51" i="26"/>
  <c r="F51" i="26"/>
  <c r="E51" i="26"/>
  <c r="AV50" i="26"/>
  <c r="AU50" i="26"/>
  <c r="AT50" i="26"/>
  <c r="AS50" i="26"/>
  <c r="AR50" i="26"/>
  <c r="AQ50" i="26"/>
  <c r="F50" i="26"/>
  <c r="E50" i="26"/>
  <c r="AV49" i="26"/>
  <c r="AU49" i="26"/>
  <c r="AT49" i="26"/>
  <c r="AS49" i="26"/>
  <c r="AR49" i="26"/>
  <c r="AQ49" i="26"/>
  <c r="F49" i="26"/>
  <c r="E49" i="26"/>
  <c r="AV48" i="26"/>
  <c r="AU48" i="26"/>
  <c r="AT48" i="26"/>
  <c r="AS48" i="26"/>
  <c r="AR48" i="26"/>
  <c r="AQ48" i="26"/>
  <c r="F48" i="26"/>
  <c r="E48" i="26"/>
  <c r="AV47" i="26"/>
  <c r="AU47" i="26"/>
  <c r="AT47" i="26"/>
  <c r="AS47" i="26"/>
  <c r="AR47" i="26"/>
  <c r="AQ47" i="26"/>
  <c r="F47" i="26"/>
  <c r="E47" i="26"/>
  <c r="AV46" i="26"/>
  <c r="AU46" i="26"/>
  <c r="AT46" i="26"/>
  <c r="AS46" i="26"/>
  <c r="AR46" i="26"/>
  <c r="AQ46" i="26"/>
  <c r="F46" i="26"/>
  <c r="E46" i="26"/>
  <c r="AV45" i="26"/>
  <c r="AU45" i="26"/>
  <c r="AT45" i="26"/>
  <c r="AS45" i="26"/>
  <c r="AR45" i="26"/>
  <c r="AQ45" i="26"/>
  <c r="F45" i="26"/>
  <c r="E45" i="26"/>
  <c r="AV44" i="26"/>
  <c r="AU44" i="26"/>
  <c r="AT44" i="26"/>
  <c r="AS44" i="26"/>
  <c r="AR44" i="26"/>
  <c r="AQ44" i="26"/>
  <c r="F44" i="26"/>
  <c r="E44" i="26"/>
  <c r="AV43" i="26"/>
  <c r="AU43" i="26"/>
  <c r="AT43" i="26"/>
  <c r="AS43" i="26"/>
  <c r="AR43" i="26"/>
  <c r="AQ43" i="26"/>
  <c r="F43" i="26"/>
  <c r="E43" i="26"/>
  <c r="AV42" i="26"/>
  <c r="AU42" i="26"/>
  <c r="AT42" i="26"/>
  <c r="AS42" i="26"/>
  <c r="AR42" i="26"/>
  <c r="AQ42" i="26"/>
  <c r="F42" i="26"/>
  <c r="E42" i="26"/>
  <c r="AV41" i="26"/>
  <c r="AU41" i="26"/>
  <c r="AT41" i="26"/>
  <c r="AS41" i="26"/>
  <c r="AR41" i="26"/>
  <c r="AQ41" i="26"/>
  <c r="F41" i="26"/>
  <c r="E41" i="26"/>
  <c r="AV40" i="26"/>
  <c r="AU40" i="26"/>
  <c r="AT40" i="26"/>
  <c r="AS40" i="26"/>
  <c r="AR40" i="26"/>
  <c r="AQ40" i="26"/>
  <c r="F40" i="26"/>
  <c r="E40" i="26"/>
  <c r="AV39" i="26"/>
  <c r="AU39" i="26"/>
  <c r="AT39" i="26"/>
  <c r="AS39" i="26"/>
  <c r="AR39" i="26"/>
  <c r="AQ39" i="26"/>
  <c r="F39" i="26"/>
  <c r="E39" i="26"/>
  <c r="AV38" i="26"/>
  <c r="AU38" i="26"/>
  <c r="AT38" i="26"/>
  <c r="AS38" i="26"/>
  <c r="AR38" i="26"/>
  <c r="AQ38" i="26"/>
  <c r="F38" i="26"/>
  <c r="E38" i="26"/>
  <c r="BF37" i="26"/>
  <c r="BH37" i="26" s="1"/>
  <c r="BJ37" i="26" s="1"/>
  <c r="AV37" i="26"/>
  <c r="AU37" i="26"/>
  <c r="AT37" i="26"/>
  <c r="AS37" i="26"/>
  <c r="AR37" i="26"/>
  <c r="AQ37" i="26"/>
  <c r="F37" i="26"/>
  <c r="E37" i="26"/>
  <c r="AV36" i="26"/>
  <c r="AU36" i="26"/>
  <c r="AT36" i="26"/>
  <c r="AS36" i="26"/>
  <c r="AR36" i="26"/>
  <c r="AQ36" i="26"/>
  <c r="F36" i="26"/>
  <c r="E36" i="26"/>
  <c r="AV35" i="26"/>
  <c r="AU35" i="26"/>
  <c r="AT35" i="26"/>
  <c r="AS35" i="26"/>
  <c r="AR35" i="26"/>
  <c r="AQ35" i="26"/>
  <c r="F35" i="26"/>
  <c r="E35" i="26"/>
  <c r="AV34" i="26"/>
  <c r="AU34" i="26"/>
  <c r="AT34" i="26"/>
  <c r="AS34" i="26"/>
  <c r="AR34" i="26"/>
  <c r="AQ34" i="26"/>
  <c r="F34" i="26"/>
  <c r="E34" i="26"/>
  <c r="BF33" i="26"/>
  <c r="BH33" i="26" s="1"/>
  <c r="BJ33" i="26" s="1"/>
  <c r="AV33" i="26"/>
  <c r="AU33" i="26"/>
  <c r="AT33" i="26"/>
  <c r="AS33" i="26"/>
  <c r="AR33" i="26"/>
  <c r="AQ33" i="26"/>
  <c r="F33" i="26"/>
  <c r="E33" i="26"/>
  <c r="BF32" i="26"/>
  <c r="BH32" i="26" s="1"/>
  <c r="BJ32" i="26" s="1"/>
  <c r="AV32" i="26"/>
  <c r="AU32" i="26"/>
  <c r="AT32" i="26"/>
  <c r="AS32" i="26"/>
  <c r="AR32" i="26"/>
  <c r="AQ32" i="26"/>
  <c r="F32" i="26"/>
  <c r="E32" i="26"/>
  <c r="AV31" i="26"/>
  <c r="AU31" i="26"/>
  <c r="AT31" i="26"/>
  <c r="AS31" i="26"/>
  <c r="AR31" i="26"/>
  <c r="AQ31" i="26"/>
  <c r="F31" i="26"/>
  <c r="E31" i="26"/>
  <c r="AV30" i="26"/>
  <c r="AU30" i="26"/>
  <c r="AT30" i="26"/>
  <c r="AS30" i="26"/>
  <c r="AR30" i="26"/>
  <c r="AQ30" i="26"/>
  <c r="F30" i="26"/>
  <c r="E30" i="26"/>
  <c r="AV29" i="26"/>
  <c r="AU29" i="26"/>
  <c r="AT29" i="26"/>
  <c r="AS29" i="26"/>
  <c r="AR29" i="26"/>
  <c r="AQ29" i="26"/>
  <c r="F29" i="26"/>
  <c r="E29" i="26"/>
  <c r="AV28" i="26"/>
  <c r="AU28" i="26"/>
  <c r="AT28" i="26"/>
  <c r="AS28" i="26"/>
  <c r="AR28" i="26"/>
  <c r="AQ28" i="26"/>
  <c r="F28" i="26"/>
  <c r="E28" i="26"/>
  <c r="AV27" i="26"/>
  <c r="AU27" i="26"/>
  <c r="AT27" i="26"/>
  <c r="AS27" i="26"/>
  <c r="AR27" i="26"/>
  <c r="AQ27" i="26"/>
  <c r="F27" i="26"/>
  <c r="E27" i="26"/>
  <c r="AV26" i="26"/>
  <c r="AU26" i="26"/>
  <c r="AT26" i="26"/>
  <c r="AS26" i="26"/>
  <c r="AR26" i="26"/>
  <c r="AQ26" i="26"/>
  <c r="F26" i="26"/>
  <c r="E26" i="26"/>
  <c r="AV25" i="26"/>
  <c r="AU25" i="26"/>
  <c r="AT25" i="26"/>
  <c r="AS25" i="26"/>
  <c r="AR25" i="26"/>
  <c r="AQ25" i="26"/>
  <c r="F25" i="26"/>
  <c r="E25" i="26"/>
  <c r="AV24" i="26"/>
  <c r="AU24" i="26"/>
  <c r="AT24" i="26"/>
  <c r="AS24" i="26"/>
  <c r="AR24" i="26"/>
  <c r="AQ24" i="26"/>
  <c r="F24" i="26"/>
  <c r="E24" i="26"/>
  <c r="AV23" i="26"/>
  <c r="AU23" i="26"/>
  <c r="AT23" i="26"/>
  <c r="AS23" i="26"/>
  <c r="AR23" i="26"/>
  <c r="AQ23" i="26"/>
  <c r="F23" i="26"/>
  <c r="E23" i="26"/>
  <c r="AV22" i="26"/>
  <c r="AU22" i="26"/>
  <c r="AT22" i="26"/>
  <c r="AS22" i="26"/>
  <c r="AR22" i="26"/>
  <c r="AQ22" i="26"/>
  <c r="F22" i="26"/>
  <c r="E22" i="26"/>
  <c r="AV21" i="26"/>
  <c r="AU21" i="26"/>
  <c r="AT21" i="26"/>
  <c r="AS21" i="26"/>
  <c r="AR21" i="26"/>
  <c r="AQ21" i="26"/>
  <c r="F21" i="26"/>
  <c r="E21" i="26"/>
  <c r="BF20" i="26"/>
  <c r="BH20" i="26" s="1"/>
  <c r="BJ20" i="26" s="1"/>
  <c r="AV20" i="26"/>
  <c r="AU20" i="26"/>
  <c r="AT20" i="26"/>
  <c r="AS20" i="26"/>
  <c r="AR20" i="26"/>
  <c r="AQ20" i="26"/>
  <c r="F20" i="26"/>
  <c r="E20" i="26"/>
  <c r="AV19" i="26"/>
  <c r="AU19" i="26"/>
  <c r="AT19" i="26"/>
  <c r="AS19" i="26"/>
  <c r="AR19" i="26"/>
  <c r="AQ19" i="26"/>
  <c r="F19" i="26"/>
  <c r="E19" i="26"/>
  <c r="AV18" i="26"/>
  <c r="AU18" i="26"/>
  <c r="AT18" i="26"/>
  <c r="AS18" i="26"/>
  <c r="AR18" i="26"/>
  <c r="AQ18" i="26"/>
  <c r="F18" i="26"/>
  <c r="E18" i="26"/>
  <c r="AV17" i="26"/>
  <c r="AU17" i="26"/>
  <c r="AT17" i="26"/>
  <c r="AS17" i="26"/>
  <c r="AR17" i="26"/>
  <c r="AQ17" i="26"/>
  <c r="F17" i="26"/>
  <c r="E17" i="26"/>
  <c r="BF16" i="26"/>
  <c r="BH16" i="26" s="1"/>
  <c r="BJ16" i="26" s="1"/>
  <c r="AV16" i="26"/>
  <c r="AU16" i="26"/>
  <c r="AT16" i="26"/>
  <c r="AS16" i="26"/>
  <c r="AR16" i="26"/>
  <c r="AQ16" i="26"/>
  <c r="F16" i="26"/>
  <c r="E16" i="26"/>
  <c r="AV15" i="26"/>
  <c r="AU15" i="26"/>
  <c r="AT15" i="26"/>
  <c r="AS15" i="26"/>
  <c r="AR15" i="26"/>
  <c r="AQ15" i="26"/>
  <c r="F15" i="26"/>
  <c r="E15" i="26"/>
  <c r="AV14" i="26"/>
  <c r="AU14" i="26"/>
  <c r="AT14" i="26"/>
  <c r="AS14" i="26"/>
  <c r="AR14" i="26"/>
  <c r="AQ14" i="26"/>
  <c r="F14" i="26"/>
  <c r="E14" i="26"/>
  <c r="BF13" i="26"/>
  <c r="BH13" i="26" s="1"/>
  <c r="BJ13" i="26" s="1"/>
  <c r="AV13" i="26"/>
  <c r="AU13" i="26"/>
  <c r="AT13" i="26"/>
  <c r="AS13" i="26"/>
  <c r="AR13" i="26"/>
  <c r="AQ13" i="26"/>
  <c r="F13" i="26"/>
  <c r="E13" i="26"/>
  <c r="AV12" i="26"/>
  <c r="AU12" i="26"/>
  <c r="AT12" i="26"/>
  <c r="AS12" i="26"/>
  <c r="AR12" i="26"/>
  <c r="AQ12" i="26"/>
  <c r="F12" i="26"/>
  <c r="E12" i="26"/>
  <c r="AV11" i="26"/>
  <c r="AU11" i="26"/>
  <c r="AT11" i="26"/>
  <c r="AS11" i="26"/>
  <c r="AR11" i="26"/>
  <c r="AQ11" i="26"/>
  <c r="F11" i="26"/>
  <c r="E11" i="26"/>
  <c r="AV10" i="26"/>
  <c r="AU10" i="26"/>
  <c r="AT10" i="26"/>
  <c r="AS10" i="26"/>
  <c r="AR10" i="26"/>
  <c r="AQ10" i="26"/>
  <c r="F10" i="26"/>
  <c r="E10" i="26"/>
  <c r="BF9" i="26"/>
  <c r="BH9" i="26" s="1"/>
  <c r="BJ9" i="26" s="1"/>
  <c r="AV9" i="26"/>
  <c r="AU9" i="26"/>
  <c r="AT9" i="26"/>
  <c r="AS9" i="26"/>
  <c r="AR9" i="26"/>
  <c r="AQ9" i="26"/>
  <c r="F9" i="26"/>
  <c r="E9" i="26"/>
  <c r="AV8" i="26"/>
  <c r="AU8" i="26"/>
  <c r="AT8" i="26"/>
  <c r="AS8" i="26"/>
  <c r="AR8" i="26"/>
  <c r="AQ8" i="26"/>
  <c r="F8" i="26"/>
  <c r="E8" i="26"/>
  <c r="AV7" i="26"/>
  <c r="AU7" i="26"/>
  <c r="AT7" i="26"/>
  <c r="AS7" i="26"/>
  <c r="AR7" i="26"/>
  <c r="AQ7" i="26"/>
  <c r="F7" i="26"/>
  <c r="E7" i="26"/>
  <c r="AV6" i="26"/>
  <c r="AU6" i="26"/>
  <c r="AT6" i="26"/>
  <c r="AS6" i="26"/>
  <c r="AR6" i="26"/>
  <c r="AQ6" i="26"/>
  <c r="F6" i="26"/>
  <c r="E6" i="26"/>
  <c r="BF5" i="26"/>
  <c r="BH5" i="26" s="1"/>
  <c r="BJ5" i="26" s="1"/>
  <c r="AV5" i="26"/>
  <c r="AU5" i="26"/>
  <c r="AT5" i="26"/>
  <c r="AS5" i="26"/>
  <c r="AR5" i="26"/>
  <c r="AQ5" i="26"/>
  <c r="F5" i="26"/>
  <c r="E5" i="26"/>
  <c r="AV4" i="26"/>
  <c r="AU4" i="26"/>
  <c r="AT4" i="26"/>
  <c r="AS4" i="26"/>
  <c r="AR4" i="26"/>
  <c r="AQ4" i="26"/>
  <c r="F4" i="26"/>
  <c r="E4" i="26"/>
  <c r="AV3" i="26"/>
  <c r="AU3" i="26"/>
  <c r="AT3" i="26"/>
  <c r="AS3" i="26"/>
  <c r="AR3" i="26"/>
  <c r="AQ3" i="26"/>
  <c r="F3" i="26"/>
  <c r="E3" i="26"/>
  <c r="AV2" i="26"/>
  <c r="AS2" i="26"/>
  <c r="AQ2" i="26"/>
  <c r="F2" i="26"/>
  <c r="E2" i="26"/>
  <c r="BF3" i="23"/>
  <c r="BH3" i="23" s="1"/>
  <c r="BF4" i="23"/>
  <c r="BH4" i="23" s="1"/>
  <c r="BF5" i="23"/>
  <c r="BH5" i="23" s="1"/>
  <c r="BF6" i="23"/>
  <c r="BH6" i="23" s="1"/>
  <c r="BF7" i="23"/>
  <c r="BH7" i="23" s="1"/>
  <c r="BF8" i="23"/>
  <c r="BH8" i="23" s="1"/>
  <c r="BF9" i="23"/>
  <c r="BH9" i="23" s="1"/>
  <c r="BF10" i="23"/>
  <c r="BH10" i="23" s="1"/>
  <c r="BF11" i="23"/>
  <c r="BH11" i="23" s="1"/>
  <c r="BF12" i="23"/>
  <c r="BH12" i="23" s="1"/>
  <c r="BF13" i="23"/>
  <c r="BH13" i="23" s="1"/>
  <c r="BF14" i="23"/>
  <c r="BH14" i="23" s="1"/>
  <c r="BF15" i="23"/>
  <c r="BH15" i="23" s="1"/>
  <c r="BF16" i="23"/>
  <c r="BH16" i="23" s="1"/>
  <c r="BF17" i="23"/>
  <c r="BH17" i="23" s="1"/>
  <c r="BF18" i="23"/>
  <c r="BH18" i="23" s="1"/>
  <c r="BF19" i="23"/>
  <c r="BH19" i="23" s="1"/>
  <c r="BF20" i="23"/>
  <c r="BH20" i="23" s="1"/>
  <c r="BF21" i="23"/>
  <c r="BH21" i="23" s="1"/>
  <c r="BF22" i="23"/>
  <c r="BH22" i="23" s="1"/>
  <c r="BF23" i="23"/>
  <c r="BH23" i="23" s="1"/>
  <c r="BF24" i="23"/>
  <c r="BH24" i="23" s="1"/>
  <c r="BF25" i="23"/>
  <c r="BH25" i="23" s="1"/>
  <c r="BF26" i="23"/>
  <c r="BH26" i="23" s="1"/>
  <c r="BF27" i="23"/>
  <c r="BH27" i="23" s="1"/>
  <c r="BF28" i="23"/>
  <c r="BH28" i="23" s="1"/>
  <c r="BF29" i="23"/>
  <c r="BH29" i="23" s="1"/>
  <c r="BF30" i="23"/>
  <c r="BH30" i="23" s="1"/>
  <c r="BF31" i="23"/>
  <c r="BH31" i="23" s="1"/>
  <c r="BF32" i="23"/>
  <c r="BH32" i="23" s="1"/>
  <c r="BF33" i="23"/>
  <c r="BH33" i="23" s="1"/>
  <c r="BF34" i="23"/>
  <c r="BH34" i="23" s="1"/>
  <c r="BF35" i="23"/>
  <c r="BH35" i="23" s="1"/>
  <c r="BF36" i="23"/>
  <c r="BH36" i="23" s="1"/>
  <c r="BF37" i="23"/>
  <c r="BH37" i="23" s="1"/>
  <c r="BF38" i="23"/>
  <c r="BH38" i="23" s="1"/>
  <c r="BF39" i="23"/>
  <c r="BH39" i="23" s="1"/>
  <c r="BF40" i="23"/>
  <c r="BH40" i="23" s="1"/>
  <c r="BF41" i="23"/>
  <c r="BH41" i="23" s="1"/>
  <c r="BF42" i="23"/>
  <c r="BH42" i="23" s="1"/>
  <c r="BF43" i="23"/>
  <c r="BH43" i="23" s="1"/>
  <c r="BF44" i="23"/>
  <c r="BH44" i="23" s="1"/>
  <c r="BF45" i="23"/>
  <c r="BH45" i="23" s="1"/>
  <c r="BF46" i="23"/>
  <c r="BH46" i="23" s="1"/>
  <c r="BF47" i="23"/>
  <c r="BH47" i="23" s="1"/>
  <c r="BF48" i="23"/>
  <c r="BH48" i="23" s="1"/>
  <c r="BF49" i="23"/>
  <c r="BH49" i="23" s="1"/>
  <c r="BF50" i="23"/>
  <c r="BH50" i="23" s="1"/>
  <c r="BF51" i="23"/>
  <c r="BH51" i="23" s="1"/>
  <c r="BF52" i="23"/>
  <c r="BH52" i="23" s="1"/>
  <c r="BF53" i="23"/>
  <c r="BH53" i="23" s="1"/>
  <c r="BF54" i="23"/>
  <c r="BH54" i="23" s="1"/>
  <c r="BF55" i="23"/>
  <c r="BH55" i="23" s="1"/>
  <c r="BF56" i="23"/>
  <c r="BH56" i="23" s="1"/>
  <c r="BF57" i="23"/>
  <c r="BH57" i="23" s="1"/>
  <c r="BF58" i="23"/>
  <c r="BH58" i="23" s="1"/>
  <c r="BF59" i="23"/>
  <c r="BH59" i="23" s="1"/>
  <c r="BF60" i="23"/>
  <c r="BH60" i="23" s="1"/>
  <c r="BF61" i="23"/>
  <c r="BH61" i="23" s="1"/>
  <c r="BF62" i="23"/>
  <c r="BH62" i="23" s="1"/>
  <c r="BF63" i="23"/>
  <c r="BH63" i="23" s="1"/>
  <c r="BF64" i="23"/>
  <c r="BH64" i="23" s="1"/>
  <c r="BF65" i="23"/>
  <c r="BH65" i="23" s="1"/>
  <c r="BF66" i="23"/>
  <c r="BH66" i="23" s="1"/>
  <c r="BF67" i="23"/>
  <c r="BH67" i="23" s="1"/>
  <c r="BF68" i="23"/>
  <c r="BH68" i="23" s="1"/>
  <c r="BF69" i="23"/>
  <c r="BH69" i="23" s="1"/>
  <c r="BF70" i="23"/>
  <c r="BH70" i="23" s="1"/>
  <c r="BF71" i="23"/>
  <c r="BH71" i="23" s="1"/>
  <c r="BF72" i="23"/>
  <c r="BH72" i="23" s="1"/>
  <c r="BF73" i="23"/>
  <c r="BH73" i="23" s="1"/>
  <c r="BF74" i="23"/>
  <c r="BH74" i="23" s="1"/>
  <c r="BF75" i="23"/>
  <c r="BH75" i="23" s="1"/>
  <c r="BF76" i="23"/>
  <c r="BH76" i="23" s="1"/>
  <c r="BF77" i="23"/>
  <c r="BH77" i="23" s="1"/>
  <c r="BF78" i="23"/>
  <c r="BH78" i="23" s="1"/>
  <c r="BF79" i="23"/>
  <c r="BH79" i="23" s="1"/>
  <c r="BF80" i="23"/>
  <c r="BH80" i="23" s="1"/>
  <c r="BF81" i="23"/>
  <c r="BH81" i="23" s="1"/>
  <c r="BF82" i="23"/>
  <c r="BH82" i="23" s="1"/>
  <c r="BF83" i="23"/>
  <c r="BH83" i="23" s="1"/>
  <c r="BF84" i="23"/>
  <c r="BH84" i="23" s="1"/>
  <c r="BF85" i="23"/>
  <c r="BH85" i="23" s="1"/>
  <c r="BF86" i="23"/>
  <c r="BH86" i="23" s="1"/>
  <c r="BF87" i="23"/>
  <c r="BH87" i="23" s="1"/>
  <c r="BF88" i="23"/>
  <c r="BH88" i="23" s="1"/>
  <c r="BF89" i="23"/>
  <c r="BH89" i="23" s="1"/>
  <c r="BF90" i="23"/>
  <c r="BH90" i="23" s="1"/>
  <c r="BF91" i="23"/>
  <c r="BH91" i="23" s="1"/>
  <c r="BF92" i="23"/>
  <c r="BH92" i="23" s="1"/>
  <c r="BF93" i="23"/>
  <c r="BH93" i="23" s="1"/>
  <c r="BF94" i="23"/>
  <c r="BH94" i="23" s="1"/>
  <c r="BF95" i="23"/>
  <c r="BH95" i="23" s="1"/>
  <c r="BF96" i="23"/>
  <c r="BH96" i="23" s="1"/>
  <c r="BF97" i="23"/>
  <c r="BH97" i="23" s="1"/>
  <c r="BF98" i="23"/>
  <c r="BH98" i="23" s="1"/>
  <c r="BF99" i="23"/>
  <c r="BH99" i="23" s="1"/>
  <c r="BF100" i="23"/>
  <c r="BH100" i="23" s="1"/>
  <c r="BF101" i="23"/>
  <c r="BH101" i="23" s="1"/>
  <c r="BF102" i="23"/>
  <c r="BH102" i="23" s="1"/>
  <c r="BF103" i="23"/>
  <c r="BH103" i="23" s="1"/>
  <c r="BF104" i="23"/>
  <c r="BH104" i="23" s="1"/>
  <c r="BF105" i="23"/>
  <c r="BH105" i="23" s="1"/>
  <c r="BF106" i="23"/>
  <c r="BH106" i="23" s="1"/>
  <c r="BF107" i="23"/>
  <c r="BH107" i="23" s="1"/>
  <c r="BF108" i="23"/>
  <c r="BH108" i="23" s="1"/>
  <c r="BF109" i="23"/>
  <c r="BH109" i="23" s="1"/>
  <c r="BF110" i="23"/>
  <c r="BH110" i="23" s="1"/>
  <c r="BF111" i="23"/>
  <c r="BH111" i="23" s="1"/>
  <c r="BF112" i="23"/>
  <c r="BH112" i="23" s="1"/>
  <c r="BF113" i="23"/>
  <c r="BH113" i="23" s="1"/>
  <c r="BF114" i="23"/>
  <c r="BH114" i="23" s="1"/>
  <c r="BF115" i="23"/>
  <c r="BH115" i="23" s="1"/>
  <c r="BF116" i="23"/>
  <c r="BH116" i="23" s="1"/>
  <c r="BF117" i="23"/>
  <c r="BH117" i="23" s="1"/>
  <c r="BF118" i="23"/>
  <c r="BH118" i="23" s="1"/>
  <c r="BF119" i="23"/>
  <c r="BH119" i="23" s="1"/>
  <c r="BF120" i="23"/>
  <c r="BH120" i="23" s="1"/>
  <c r="BF121" i="23"/>
  <c r="BH121" i="23" s="1"/>
  <c r="BF122" i="23"/>
  <c r="BH122" i="23" s="1"/>
  <c r="BF123" i="23"/>
  <c r="BH123" i="23" s="1"/>
  <c r="BF124" i="23"/>
  <c r="BH124" i="23" s="1"/>
  <c r="BF125" i="23"/>
  <c r="BH125" i="23" s="1"/>
  <c r="BF126" i="23"/>
  <c r="BH126" i="23" s="1"/>
  <c r="BF127" i="23"/>
  <c r="BH127" i="23" s="1"/>
  <c r="BF128" i="23"/>
  <c r="BH128" i="23" s="1"/>
  <c r="BF129" i="23"/>
  <c r="BH129" i="23" s="1"/>
  <c r="BF130" i="23"/>
  <c r="BH130" i="23" s="1"/>
  <c r="BF131" i="23"/>
  <c r="BH131" i="23" s="1"/>
  <c r="BF132" i="23"/>
  <c r="BH132" i="23" s="1"/>
  <c r="BF133" i="23"/>
  <c r="BH133" i="23" s="1"/>
  <c r="BF134" i="23"/>
  <c r="BH134" i="23" s="1"/>
  <c r="BF135" i="23"/>
  <c r="BH135" i="23" s="1"/>
  <c r="BF136" i="23"/>
  <c r="BH136" i="23" s="1"/>
  <c r="BF137" i="23"/>
  <c r="BH137" i="23" s="1"/>
  <c r="BF138" i="23"/>
  <c r="BH138" i="23" s="1"/>
  <c r="BF139" i="23"/>
  <c r="BH139" i="23" s="1"/>
  <c r="BF140" i="23"/>
  <c r="BH140" i="23" s="1"/>
  <c r="BF141" i="23"/>
  <c r="BH141" i="23" s="1"/>
  <c r="BF142" i="23"/>
  <c r="BH142" i="23" s="1"/>
  <c r="BF143" i="23"/>
  <c r="BH143" i="23" s="1"/>
  <c r="BF144" i="23"/>
  <c r="BH144" i="23" s="1"/>
  <c r="BF145" i="23"/>
  <c r="BH145" i="23" s="1"/>
  <c r="BF146" i="23"/>
  <c r="BH146" i="23" s="1"/>
  <c r="BF147" i="23"/>
  <c r="BH147" i="23" s="1"/>
  <c r="BF148" i="23"/>
  <c r="BH148" i="23" s="1"/>
  <c r="BF149" i="23"/>
  <c r="BH149" i="23" s="1"/>
  <c r="BF150" i="23"/>
  <c r="BH150" i="23" s="1"/>
  <c r="BF151" i="23"/>
  <c r="BH151" i="23" s="1"/>
  <c r="BF152" i="23"/>
  <c r="BH152" i="23" s="1"/>
  <c r="BF153" i="23"/>
  <c r="BH153" i="23" s="1"/>
  <c r="BF154" i="23"/>
  <c r="BH154" i="23" s="1"/>
  <c r="BF155" i="23"/>
  <c r="BH155" i="23" s="1"/>
  <c r="BF156" i="23"/>
  <c r="BH156" i="23" s="1"/>
  <c r="BF157" i="23"/>
  <c r="BH157" i="23" s="1"/>
  <c r="BF158" i="23"/>
  <c r="BH158" i="23" s="1"/>
  <c r="BF159" i="23"/>
  <c r="BH159" i="23" s="1"/>
  <c r="BF160" i="23"/>
  <c r="BH160" i="23" s="1"/>
  <c r="BF161" i="23"/>
  <c r="BH161" i="23" s="1"/>
  <c r="BF162" i="23"/>
  <c r="BH162" i="23" s="1"/>
  <c r="BF163" i="23"/>
  <c r="BH163" i="23" s="1"/>
  <c r="BF164" i="23"/>
  <c r="BH164" i="23" s="1"/>
  <c r="BF165" i="23"/>
  <c r="BH165" i="23" s="1"/>
  <c r="BF166" i="23"/>
  <c r="BH166" i="23" s="1"/>
  <c r="BF167" i="23"/>
  <c r="BH167" i="23" s="1"/>
  <c r="BF168" i="23"/>
  <c r="BH168" i="23" s="1"/>
  <c r="BF169" i="23"/>
  <c r="BH169" i="23" s="1"/>
  <c r="BF170" i="23"/>
  <c r="BH170" i="23" s="1"/>
  <c r="BF171" i="23"/>
  <c r="BH171" i="23" s="1"/>
  <c r="BF172" i="23"/>
  <c r="BH172" i="23" s="1"/>
  <c r="BF173" i="23"/>
  <c r="BH173" i="23" s="1"/>
  <c r="BF174" i="23"/>
  <c r="BH174" i="23" s="1"/>
  <c r="BF175" i="23"/>
  <c r="BH175" i="23" s="1"/>
  <c r="BF176" i="23"/>
  <c r="BH176" i="23" s="1"/>
  <c r="BF177" i="23"/>
  <c r="BH177" i="23" s="1"/>
  <c r="BF178" i="23"/>
  <c r="BH178" i="23" s="1"/>
  <c r="BF179" i="23"/>
  <c r="BH179" i="23" s="1"/>
  <c r="BF180" i="23"/>
  <c r="BH180" i="23" s="1"/>
  <c r="BF181" i="23"/>
  <c r="BH181" i="23" s="1"/>
  <c r="BF182" i="23"/>
  <c r="BH182" i="23" s="1"/>
  <c r="BF183" i="23"/>
  <c r="BH183" i="23" s="1"/>
  <c r="BF184" i="23"/>
  <c r="BH184" i="23" s="1"/>
  <c r="BF185" i="23"/>
  <c r="BH185" i="23" s="1"/>
  <c r="BF186" i="23"/>
  <c r="BH186" i="23" s="1"/>
  <c r="BF187" i="23"/>
  <c r="BH187" i="23" s="1"/>
  <c r="BF188" i="23"/>
  <c r="BH188" i="23" s="1"/>
  <c r="BF189" i="23"/>
  <c r="BH189" i="23" s="1"/>
  <c r="BF190" i="23"/>
  <c r="BH190" i="23" s="1"/>
  <c r="BF191" i="23"/>
  <c r="BH191" i="23" s="1"/>
  <c r="BF192" i="23"/>
  <c r="BH192" i="23" s="1"/>
  <c r="BF193" i="23"/>
  <c r="BH193" i="23" s="1"/>
  <c r="BF194" i="23"/>
  <c r="BH194" i="23" s="1"/>
  <c r="BF195" i="23"/>
  <c r="BH195" i="23" s="1"/>
  <c r="BF196" i="23"/>
  <c r="BH196" i="23" s="1"/>
  <c r="BF197" i="23"/>
  <c r="BH197" i="23" s="1"/>
  <c r="BF198" i="23"/>
  <c r="BH198" i="23" s="1"/>
  <c r="BF199" i="23"/>
  <c r="BH199" i="23" s="1"/>
  <c r="BF200" i="23"/>
  <c r="BH200" i="23" s="1"/>
  <c r="BF201" i="23"/>
  <c r="BH201" i="23" s="1"/>
  <c r="BF202" i="23"/>
  <c r="BH202" i="23" s="1"/>
  <c r="BF203" i="23"/>
  <c r="BH203" i="23" s="1"/>
  <c r="BF204" i="23"/>
  <c r="BH204" i="23" s="1"/>
  <c r="BF205" i="23"/>
  <c r="BH205" i="23" s="1"/>
  <c r="BF206" i="23"/>
  <c r="BH206" i="23" s="1"/>
  <c r="BF207" i="23"/>
  <c r="BH207" i="23" s="1"/>
  <c r="BF208" i="23"/>
  <c r="BH208" i="23" s="1"/>
  <c r="BF209" i="23"/>
  <c r="BH209" i="23" s="1"/>
  <c r="BF210" i="23"/>
  <c r="BH210" i="23" s="1"/>
  <c r="BF211" i="23"/>
  <c r="BH211" i="23" s="1"/>
  <c r="BF212" i="23"/>
  <c r="BH212" i="23" s="1"/>
  <c r="BF213" i="23"/>
  <c r="BH213" i="23" s="1"/>
  <c r="BF214" i="23"/>
  <c r="BH214" i="23" s="1"/>
  <c r="BF215" i="23"/>
  <c r="BH215" i="23" s="1"/>
  <c r="BF216" i="23"/>
  <c r="BH216" i="23" s="1"/>
  <c r="BF217" i="23"/>
  <c r="BH217" i="23" s="1"/>
  <c r="BF218" i="23"/>
  <c r="BH218" i="23" s="1"/>
  <c r="BF219" i="23"/>
  <c r="BH219" i="23" s="1"/>
  <c r="BF220" i="23"/>
  <c r="BH220" i="23" s="1"/>
  <c r="BF221" i="23"/>
  <c r="BH221" i="23" s="1"/>
  <c r="BF222" i="23"/>
  <c r="BH222" i="23" s="1"/>
  <c r="BF223" i="23"/>
  <c r="BH223" i="23" s="1"/>
  <c r="BF224" i="23"/>
  <c r="BH224" i="23" s="1"/>
  <c r="BF225" i="23"/>
  <c r="BH225" i="23" s="1"/>
  <c r="BF226" i="23"/>
  <c r="BH226" i="23" s="1"/>
  <c r="BF227" i="23"/>
  <c r="BH227" i="23" s="1"/>
  <c r="BF228" i="23"/>
  <c r="BH228" i="23" s="1"/>
  <c r="BF229" i="23"/>
  <c r="BH229" i="23" s="1"/>
  <c r="BF230" i="23"/>
  <c r="BH230" i="23" s="1"/>
  <c r="BF231" i="23"/>
  <c r="BH231" i="23" s="1"/>
  <c r="BF232" i="23"/>
  <c r="BH232" i="23" s="1"/>
  <c r="BF233" i="23"/>
  <c r="BH233" i="23" s="1"/>
  <c r="BF234" i="23"/>
  <c r="BH234" i="23" s="1"/>
  <c r="BF235" i="23"/>
  <c r="BH235" i="23" s="1"/>
  <c r="BF236" i="23"/>
  <c r="BH236" i="23" s="1"/>
  <c r="BF237" i="23"/>
  <c r="BH237" i="23" s="1"/>
  <c r="BF238" i="23"/>
  <c r="BH238" i="23" s="1"/>
  <c r="BF239" i="23"/>
  <c r="BH239" i="23" s="1"/>
  <c r="BF240" i="23"/>
  <c r="BH240" i="23" s="1"/>
  <c r="BF241" i="23"/>
  <c r="BH241" i="23" s="1"/>
  <c r="BF242" i="23"/>
  <c r="BH242" i="23" s="1"/>
  <c r="BF243" i="23"/>
  <c r="BH243" i="23" s="1"/>
  <c r="BF244" i="23"/>
  <c r="BH244" i="23" s="1"/>
  <c r="BF245" i="23"/>
  <c r="BH245" i="23" s="1"/>
  <c r="BF246" i="23"/>
  <c r="BH246" i="23" s="1"/>
  <c r="BF247" i="23"/>
  <c r="BH247" i="23" s="1"/>
  <c r="BF248" i="23"/>
  <c r="BH248" i="23" s="1"/>
  <c r="BF249" i="23"/>
  <c r="BH249" i="23" s="1"/>
  <c r="BF250" i="23"/>
  <c r="BH250" i="23" s="1"/>
  <c r="BF251" i="23"/>
  <c r="BH251" i="23" s="1"/>
  <c r="BF252" i="23"/>
  <c r="BH252" i="23" s="1"/>
  <c r="BF253" i="23"/>
  <c r="BH253" i="23" s="1"/>
  <c r="BF254" i="23"/>
  <c r="BH254" i="23" s="1"/>
  <c r="BF255" i="23"/>
  <c r="BH255" i="23" s="1"/>
  <c r="BF256" i="23"/>
  <c r="BH256" i="23" s="1"/>
  <c r="BF257" i="23"/>
  <c r="BH257" i="23" s="1"/>
  <c r="BF258" i="23"/>
  <c r="BH258" i="23" s="1"/>
  <c r="BF259" i="23"/>
  <c r="BH259" i="23" s="1"/>
  <c r="BF260" i="23"/>
  <c r="BH260" i="23" s="1"/>
  <c r="BF261" i="23"/>
  <c r="BH261" i="23" s="1"/>
  <c r="BF262" i="23"/>
  <c r="BH262" i="23" s="1"/>
  <c r="BF263" i="23"/>
  <c r="BH263" i="23" s="1"/>
  <c r="BF264" i="23"/>
  <c r="BH264" i="23" s="1"/>
  <c r="BF265" i="23"/>
  <c r="BH265" i="23" s="1"/>
  <c r="BF266" i="23"/>
  <c r="BH266" i="23" s="1"/>
  <c r="BF267" i="23"/>
  <c r="BH267" i="23" s="1"/>
  <c r="BF268" i="23"/>
  <c r="BH268" i="23" s="1"/>
  <c r="BF269" i="23"/>
  <c r="BH269" i="23" s="1"/>
  <c r="BF270" i="23"/>
  <c r="BH270" i="23" s="1"/>
  <c r="BF271" i="23"/>
  <c r="BH271" i="23" s="1"/>
  <c r="BF272" i="23"/>
  <c r="BH272" i="23" s="1"/>
  <c r="BF273" i="23"/>
  <c r="BH273" i="23" s="1"/>
  <c r="BF274" i="23"/>
  <c r="BH274" i="23" s="1"/>
  <c r="BF275" i="23"/>
  <c r="BH275" i="23" s="1"/>
  <c r="BF276" i="23"/>
  <c r="BH276" i="23" s="1"/>
  <c r="BF277" i="23"/>
  <c r="BH277" i="23" s="1"/>
  <c r="BF278" i="23"/>
  <c r="BH278" i="23" s="1"/>
  <c r="BF279" i="23"/>
  <c r="BH279" i="23" s="1"/>
  <c r="BF280" i="23"/>
  <c r="BH280" i="23" s="1"/>
  <c r="BF281" i="23"/>
  <c r="BH281" i="23" s="1"/>
  <c r="BF282" i="23"/>
  <c r="BH282" i="23" s="1"/>
  <c r="BF283" i="23"/>
  <c r="BH283" i="23" s="1"/>
  <c r="BF284" i="23"/>
  <c r="BH284" i="23" s="1"/>
  <c r="BF285" i="23"/>
  <c r="BH285" i="23" s="1"/>
  <c r="BF286" i="23"/>
  <c r="BH286" i="23" s="1"/>
  <c r="BF287" i="23"/>
  <c r="BH287" i="23" s="1"/>
  <c r="BF288" i="23"/>
  <c r="BH288" i="23" s="1"/>
  <c r="BF289" i="23"/>
  <c r="BH289" i="23" s="1"/>
  <c r="BF290" i="23"/>
  <c r="BH290" i="23" s="1"/>
  <c r="BF291" i="23"/>
  <c r="BH291" i="23" s="1"/>
  <c r="BF292" i="23"/>
  <c r="BH292" i="23" s="1"/>
  <c r="BF293" i="23"/>
  <c r="BH293" i="23" s="1"/>
  <c r="BF294" i="23"/>
  <c r="BH294" i="23" s="1"/>
  <c r="BF295" i="23"/>
  <c r="BH295" i="23" s="1"/>
  <c r="BF296" i="23"/>
  <c r="BH296" i="23" s="1"/>
  <c r="BF297" i="23"/>
  <c r="BH297" i="23" s="1"/>
  <c r="BF298" i="23"/>
  <c r="BH298" i="23" s="1"/>
  <c r="BF299" i="23"/>
  <c r="BH299" i="23" s="1"/>
  <c r="BF300" i="23"/>
  <c r="BH300" i="23" s="1"/>
  <c r="BF301" i="23"/>
  <c r="BH301" i="23" s="1"/>
  <c r="BF302" i="23"/>
  <c r="BH302" i="23" s="1"/>
  <c r="BF303" i="23"/>
  <c r="BH303" i="23" s="1"/>
  <c r="BF304" i="23"/>
  <c r="BH304" i="23" s="1"/>
  <c r="BF305" i="23"/>
  <c r="BH305" i="23" s="1"/>
  <c r="BF306" i="23"/>
  <c r="BH306" i="23" s="1"/>
  <c r="BF307" i="23"/>
  <c r="BH307" i="23" s="1"/>
  <c r="BF308" i="23"/>
  <c r="BH308" i="23" s="1"/>
  <c r="BF309" i="23"/>
  <c r="BH309" i="23" s="1"/>
  <c r="BF310" i="23"/>
  <c r="BH310" i="23" s="1"/>
  <c r="BF311" i="23"/>
  <c r="BH311" i="23" s="1"/>
  <c r="BF312" i="23"/>
  <c r="BH312" i="23" s="1"/>
  <c r="BF313" i="23"/>
  <c r="BH313" i="23" s="1"/>
  <c r="BF314" i="23"/>
  <c r="BH314" i="23" s="1"/>
  <c r="BF315" i="23"/>
  <c r="BH315" i="23" s="1"/>
  <c r="BF316" i="23"/>
  <c r="BH316" i="23" s="1"/>
  <c r="BF317" i="23"/>
  <c r="BH317" i="23" s="1"/>
  <c r="BF318" i="23"/>
  <c r="BH318" i="23" s="1"/>
  <c r="BF319" i="23"/>
  <c r="BH319" i="23" s="1"/>
  <c r="BF320" i="23"/>
  <c r="BH320" i="23" s="1"/>
  <c r="BF321" i="23"/>
  <c r="BH321" i="23" s="1"/>
  <c r="BF322" i="23"/>
  <c r="BH322" i="23" s="1"/>
  <c r="BF323" i="23"/>
  <c r="BH323" i="23" s="1"/>
  <c r="BF324" i="23"/>
  <c r="BH324" i="23" s="1"/>
  <c r="BF325" i="23"/>
  <c r="BH325" i="23" s="1"/>
  <c r="BF326" i="23"/>
  <c r="BH326" i="23" s="1"/>
  <c r="BF327" i="23"/>
  <c r="BH327" i="23" s="1"/>
  <c r="BF328" i="23"/>
  <c r="BH328" i="23" s="1"/>
  <c r="BF329" i="23"/>
  <c r="BH329" i="23" s="1"/>
  <c r="BF330" i="23"/>
  <c r="BH330" i="23" s="1"/>
  <c r="BF331" i="23"/>
  <c r="BH331" i="23" s="1"/>
  <c r="BF332" i="23"/>
  <c r="BH332" i="23" s="1"/>
  <c r="BF333" i="23"/>
  <c r="BH333" i="23" s="1"/>
  <c r="BF334" i="23"/>
  <c r="BH334" i="23" s="1"/>
  <c r="BF335" i="23"/>
  <c r="BH335" i="23" s="1"/>
  <c r="BF336" i="23"/>
  <c r="BH336" i="23" s="1"/>
  <c r="BF337" i="23"/>
  <c r="BH337" i="23" s="1"/>
  <c r="BF338" i="23"/>
  <c r="BH338" i="23" s="1"/>
  <c r="BF339" i="23"/>
  <c r="BH339" i="23" s="1"/>
  <c r="BF340" i="23"/>
  <c r="BH340" i="23" s="1"/>
  <c r="BF341" i="23"/>
  <c r="BH341" i="23" s="1"/>
  <c r="BF342" i="23"/>
  <c r="BH342" i="23" s="1"/>
  <c r="BF343" i="23"/>
  <c r="BH343" i="23" s="1"/>
  <c r="BF344" i="23"/>
  <c r="BH344" i="23" s="1"/>
  <c r="BF345" i="23"/>
  <c r="BH345" i="23" s="1"/>
  <c r="BF346" i="23"/>
  <c r="BH346" i="23" s="1"/>
  <c r="BF347" i="23"/>
  <c r="BH347" i="23" s="1"/>
  <c r="BF348" i="23"/>
  <c r="BH348" i="23" s="1"/>
  <c r="BF349" i="23"/>
  <c r="BH349" i="23" s="1"/>
  <c r="BF350" i="23"/>
  <c r="BH350" i="23" s="1"/>
  <c r="BF351" i="23"/>
  <c r="BH351" i="23" s="1"/>
  <c r="BF352" i="23"/>
  <c r="BH352" i="23" s="1"/>
  <c r="BF353" i="23"/>
  <c r="BH353" i="23" s="1"/>
  <c r="BF354" i="23"/>
  <c r="BH354" i="23" s="1"/>
  <c r="BF355" i="23"/>
  <c r="BH355" i="23" s="1"/>
  <c r="BF356" i="23"/>
  <c r="BH356" i="23" s="1"/>
  <c r="BF357" i="23"/>
  <c r="BH357" i="23" s="1"/>
  <c r="BF358" i="23"/>
  <c r="BH358" i="23" s="1"/>
  <c r="BF359" i="23"/>
  <c r="BH359" i="23" s="1"/>
  <c r="BF360" i="23"/>
  <c r="BH360" i="23" s="1"/>
  <c r="BF361" i="23"/>
  <c r="BH361" i="23" s="1"/>
  <c r="BF362" i="23"/>
  <c r="BH362" i="23" s="1"/>
  <c r="BF363" i="23"/>
  <c r="BH363" i="23" s="1"/>
  <c r="BF364" i="23"/>
  <c r="BH364" i="23" s="1"/>
  <c r="BF365" i="23"/>
  <c r="BH365" i="23" s="1"/>
  <c r="BF366" i="23"/>
  <c r="BH366" i="23" s="1"/>
  <c r="BF367" i="23"/>
  <c r="BH367" i="23" s="1"/>
  <c r="BF368" i="23"/>
  <c r="BH368" i="23" s="1"/>
  <c r="BF369" i="23"/>
  <c r="BH369" i="23" s="1"/>
  <c r="BF370" i="23"/>
  <c r="BH370" i="23" s="1"/>
  <c r="BF371" i="23"/>
  <c r="BH371" i="23" s="1"/>
  <c r="BF372" i="23"/>
  <c r="BH372" i="23" s="1"/>
  <c r="BF373" i="23"/>
  <c r="BH373" i="23" s="1"/>
  <c r="BF374" i="23"/>
  <c r="BH374" i="23" s="1"/>
  <c r="BF375" i="23"/>
  <c r="BH375" i="23" s="1"/>
  <c r="BF376" i="23"/>
  <c r="BH376" i="23" s="1"/>
  <c r="BF377" i="23"/>
  <c r="BH377" i="23" s="1"/>
  <c r="BF378" i="23"/>
  <c r="BH378" i="23" s="1"/>
  <c r="BF379" i="23"/>
  <c r="BH379" i="23" s="1"/>
  <c r="BF380" i="23"/>
  <c r="BH380" i="23" s="1"/>
  <c r="BF381" i="23"/>
  <c r="BH381" i="23" s="1"/>
  <c r="BF382" i="23"/>
  <c r="BH382" i="23" s="1"/>
  <c r="BF383" i="23"/>
  <c r="BH383" i="23" s="1"/>
  <c r="BF384" i="23"/>
  <c r="BH384" i="23" s="1"/>
  <c r="BF385" i="23"/>
  <c r="BH385" i="23" s="1"/>
  <c r="BF386" i="23"/>
  <c r="BH386" i="23" s="1"/>
  <c r="BF387" i="23"/>
  <c r="BH387" i="23" s="1"/>
  <c r="BF388" i="23"/>
  <c r="BH388" i="23" s="1"/>
  <c r="BF389" i="23"/>
  <c r="BH389" i="23" s="1"/>
  <c r="BF390" i="23"/>
  <c r="BH390" i="23" s="1"/>
  <c r="BF391" i="23"/>
  <c r="BH391" i="23" s="1"/>
  <c r="BF392" i="23"/>
  <c r="BH392" i="23" s="1"/>
  <c r="BF393" i="23"/>
  <c r="BH393" i="23" s="1"/>
  <c r="BF394" i="23"/>
  <c r="BH394" i="23" s="1"/>
  <c r="BF395" i="23"/>
  <c r="BH395" i="23" s="1"/>
  <c r="BF396" i="23"/>
  <c r="BH396" i="23" s="1"/>
  <c r="BF397" i="23"/>
  <c r="BH397" i="23" s="1"/>
  <c r="BF398" i="23"/>
  <c r="BH398" i="23" s="1"/>
  <c r="BF399" i="23"/>
  <c r="BH399" i="23" s="1"/>
  <c r="BF400" i="23"/>
  <c r="BH400" i="23" s="1"/>
  <c r="BF401" i="23"/>
  <c r="BH401" i="23" s="1"/>
  <c r="BF402" i="23"/>
  <c r="BH402" i="23" s="1"/>
  <c r="BF403" i="23"/>
  <c r="BH403" i="23" s="1"/>
  <c r="BF404" i="23"/>
  <c r="BH404" i="23" s="1"/>
  <c r="BF405" i="23"/>
  <c r="BH405" i="23" s="1"/>
  <c r="BF406" i="23"/>
  <c r="BH406" i="23" s="1"/>
  <c r="BF407" i="23"/>
  <c r="BH407" i="23" s="1"/>
  <c r="BF408" i="23"/>
  <c r="BH408" i="23" s="1"/>
  <c r="BF409" i="23"/>
  <c r="BH409" i="23" s="1"/>
  <c r="BF410" i="23"/>
  <c r="BH410" i="23" s="1"/>
  <c r="BF411" i="23"/>
  <c r="BH411" i="23" s="1"/>
  <c r="BF412" i="23"/>
  <c r="BH412" i="23" s="1"/>
  <c r="BF413" i="23"/>
  <c r="BH413" i="23" s="1"/>
  <c r="BF414" i="23"/>
  <c r="BH414" i="23" s="1"/>
  <c r="BF415" i="23"/>
  <c r="BH415" i="23" s="1"/>
  <c r="BF416" i="23"/>
  <c r="BH416" i="23" s="1"/>
  <c r="BF417" i="23"/>
  <c r="BH417" i="23" s="1"/>
  <c r="BF418" i="23"/>
  <c r="BH418" i="23" s="1"/>
  <c r="BF419" i="23"/>
  <c r="BH419" i="23" s="1"/>
  <c r="BF420" i="23"/>
  <c r="BH420" i="23" s="1"/>
  <c r="BF421" i="23"/>
  <c r="BH421" i="23" s="1"/>
  <c r="BF422" i="23"/>
  <c r="BH422" i="23" s="1"/>
  <c r="BF423" i="23"/>
  <c r="BH423" i="23" s="1"/>
  <c r="BF424" i="23"/>
  <c r="BH424" i="23" s="1"/>
  <c r="BF425" i="23"/>
  <c r="BH425" i="23" s="1"/>
  <c r="BF426" i="23"/>
  <c r="BH426" i="23" s="1"/>
  <c r="BF427" i="23"/>
  <c r="BH427" i="23" s="1"/>
  <c r="BF428" i="23"/>
  <c r="BH428" i="23" s="1"/>
  <c r="BF429" i="23"/>
  <c r="BH429" i="23" s="1"/>
  <c r="BF430" i="23"/>
  <c r="BH430" i="23" s="1"/>
  <c r="BF431" i="23"/>
  <c r="BH431" i="23" s="1"/>
  <c r="BF432" i="23"/>
  <c r="BH432" i="23" s="1"/>
  <c r="BF433" i="23"/>
  <c r="BH433" i="23" s="1"/>
  <c r="BF434" i="23"/>
  <c r="BH434" i="23" s="1"/>
  <c r="BF435" i="23"/>
  <c r="BH435" i="23" s="1"/>
  <c r="BF436" i="23"/>
  <c r="BH436" i="23" s="1"/>
  <c r="BF437" i="23"/>
  <c r="BH437" i="23" s="1"/>
  <c r="BF438" i="23"/>
  <c r="BH438" i="23" s="1"/>
  <c r="BF439" i="23"/>
  <c r="BH439" i="23" s="1"/>
  <c r="BF440" i="23"/>
  <c r="BH440" i="23" s="1"/>
  <c r="BF441" i="23"/>
  <c r="BH441" i="23" s="1"/>
  <c r="BF442" i="23"/>
  <c r="BH442" i="23" s="1"/>
  <c r="BF443" i="23"/>
  <c r="BH443" i="23" s="1"/>
  <c r="BF444" i="23"/>
  <c r="BH444" i="23" s="1"/>
  <c r="BF445" i="23"/>
  <c r="BH445" i="23" s="1"/>
  <c r="BF446" i="23"/>
  <c r="BH446" i="23" s="1"/>
  <c r="BF447" i="23"/>
  <c r="BH447" i="23" s="1"/>
  <c r="BF448" i="23"/>
  <c r="BH448" i="23" s="1"/>
  <c r="BF449" i="23"/>
  <c r="BH449" i="23" s="1"/>
  <c r="BF450" i="23"/>
  <c r="BH450" i="23" s="1"/>
  <c r="BF451" i="23"/>
  <c r="BH451" i="23" s="1"/>
  <c r="BF452" i="23"/>
  <c r="BH452" i="23" s="1"/>
  <c r="BF453" i="23"/>
  <c r="BH453" i="23" s="1"/>
  <c r="BF454" i="23"/>
  <c r="BH454" i="23" s="1"/>
  <c r="BF455" i="23"/>
  <c r="BH455" i="23" s="1"/>
  <c r="BF456" i="23"/>
  <c r="BH456" i="23" s="1"/>
  <c r="BF457" i="23"/>
  <c r="BH457" i="23" s="1"/>
  <c r="BF458" i="23"/>
  <c r="BH458" i="23" s="1"/>
  <c r="BF459" i="23"/>
  <c r="BH459" i="23" s="1"/>
  <c r="BF460" i="23"/>
  <c r="BH460" i="23" s="1"/>
  <c r="BF461" i="23"/>
  <c r="BH461" i="23" s="1"/>
  <c r="BF462" i="23"/>
  <c r="BH462" i="23" s="1"/>
  <c r="BF463" i="23"/>
  <c r="BH463" i="23" s="1"/>
  <c r="BF464" i="23"/>
  <c r="BH464" i="23" s="1"/>
  <c r="BF465" i="23"/>
  <c r="BH465" i="23" s="1"/>
  <c r="BF466" i="23"/>
  <c r="BH466" i="23" s="1"/>
  <c r="BF467" i="23"/>
  <c r="BH467" i="23" s="1"/>
  <c r="BF468" i="23"/>
  <c r="BH468" i="23" s="1"/>
  <c r="BF469" i="23"/>
  <c r="BH469" i="23" s="1"/>
  <c r="BF470" i="23"/>
  <c r="BH470" i="23" s="1"/>
  <c r="BF471" i="23"/>
  <c r="BH471" i="23" s="1"/>
  <c r="BF472" i="23"/>
  <c r="BH472" i="23" s="1"/>
  <c r="BF473" i="23"/>
  <c r="BH473" i="23" s="1"/>
  <c r="BF474" i="23"/>
  <c r="BH474" i="23" s="1"/>
  <c r="BF475" i="23"/>
  <c r="BH475" i="23" s="1"/>
  <c r="BF476" i="23"/>
  <c r="BH476" i="23" s="1"/>
  <c r="BF477" i="23"/>
  <c r="BH477" i="23" s="1"/>
  <c r="BF478" i="23"/>
  <c r="BH478" i="23" s="1"/>
  <c r="BF479" i="23"/>
  <c r="BH479" i="23" s="1"/>
  <c r="BF480" i="23"/>
  <c r="BH480" i="23" s="1"/>
  <c r="BF481" i="23"/>
  <c r="BH481" i="23" s="1"/>
  <c r="BF482" i="23"/>
  <c r="BH482" i="23" s="1"/>
  <c r="BF483" i="23"/>
  <c r="BH483" i="23" s="1"/>
  <c r="BF484" i="23"/>
  <c r="BH484" i="23" s="1"/>
  <c r="BF485" i="23"/>
  <c r="BH485" i="23" s="1"/>
  <c r="BF486" i="23"/>
  <c r="BH486" i="23" s="1"/>
  <c r="BF487" i="23"/>
  <c r="BH487" i="23" s="1"/>
  <c r="BF488" i="23"/>
  <c r="BH488" i="23" s="1"/>
  <c r="BF489" i="23"/>
  <c r="BH489" i="23" s="1"/>
  <c r="BF490" i="23"/>
  <c r="BH490" i="23" s="1"/>
  <c r="BF491" i="23"/>
  <c r="BH491" i="23" s="1"/>
  <c r="BF492" i="23"/>
  <c r="BH492" i="23" s="1"/>
  <c r="BF493" i="23"/>
  <c r="BH493" i="23" s="1"/>
  <c r="BF494" i="23"/>
  <c r="BH494" i="23" s="1"/>
  <c r="BF495" i="23"/>
  <c r="BH495" i="23" s="1"/>
  <c r="BF496" i="23"/>
  <c r="BH496" i="23" s="1"/>
  <c r="BF497" i="23"/>
  <c r="BH497" i="23" s="1"/>
  <c r="BF498" i="23"/>
  <c r="BH498" i="23" s="1"/>
  <c r="BF499" i="23"/>
  <c r="BH499" i="23" s="1"/>
  <c r="BF500" i="23"/>
  <c r="BH500" i="23" s="1"/>
  <c r="BF501" i="23"/>
  <c r="BH501" i="23" s="1"/>
  <c r="BF502" i="23"/>
  <c r="BH502" i="23" s="1"/>
  <c r="BF503" i="23"/>
  <c r="BH503" i="23" s="1"/>
  <c r="BF504" i="23"/>
  <c r="BH504" i="23" s="1"/>
  <c r="BF505" i="23"/>
  <c r="BH505" i="23" s="1"/>
  <c r="BF506" i="23"/>
  <c r="BH506" i="23" s="1"/>
  <c r="BF507" i="23"/>
  <c r="BH507" i="23" s="1"/>
  <c r="BF508" i="23"/>
  <c r="BH508" i="23" s="1"/>
  <c r="BF509" i="23"/>
  <c r="BH509" i="23" s="1"/>
  <c r="BF510" i="23"/>
  <c r="BH510" i="23" s="1"/>
  <c r="BF511" i="23"/>
  <c r="BH511" i="23" s="1"/>
  <c r="BF512" i="23"/>
  <c r="BH512" i="23" s="1"/>
  <c r="BF513" i="23"/>
  <c r="BH513" i="23" s="1"/>
  <c r="BF514" i="23"/>
  <c r="BH514" i="23" s="1"/>
  <c r="BF515" i="23"/>
  <c r="BH515" i="23" s="1"/>
  <c r="BF516" i="23"/>
  <c r="BH516" i="23" s="1"/>
  <c r="BF517" i="23"/>
  <c r="BH517" i="23" s="1"/>
  <c r="BF518" i="23"/>
  <c r="BH518" i="23" s="1"/>
  <c r="BF519" i="23"/>
  <c r="BH519" i="23" s="1"/>
  <c r="BF520" i="23"/>
  <c r="BH520" i="23" s="1"/>
  <c r="BF521" i="23"/>
  <c r="BH521" i="23" s="1"/>
  <c r="BF522" i="23"/>
  <c r="BH522" i="23" s="1"/>
  <c r="BF523" i="23"/>
  <c r="BH523" i="23" s="1"/>
  <c r="BF524" i="23"/>
  <c r="BH524" i="23" s="1"/>
  <c r="BF525" i="23"/>
  <c r="BH525" i="23" s="1"/>
  <c r="BF526" i="23"/>
  <c r="BH526" i="23" s="1"/>
  <c r="BF527" i="23"/>
  <c r="BH527" i="23" s="1"/>
  <c r="BF528" i="23"/>
  <c r="BH528" i="23" s="1"/>
  <c r="BF529" i="23"/>
  <c r="BH529" i="23" s="1"/>
  <c r="BF530" i="23"/>
  <c r="BH530" i="23" s="1"/>
  <c r="BF531" i="23"/>
  <c r="BH531" i="23" s="1"/>
  <c r="BF532" i="23"/>
  <c r="BH532" i="23" s="1"/>
  <c r="BF533" i="23"/>
  <c r="BH533" i="23" s="1"/>
  <c r="BF534" i="23"/>
  <c r="BH534" i="23" s="1"/>
  <c r="BF535" i="23"/>
  <c r="BH535" i="23" s="1"/>
  <c r="BF536" i="23"/>
  <c r="BH536" i="23" s="1"/>
  <c r="BF537" i="23"/>
  <c r="BH537" i="23" s="1"/>
  <c r="BF538" i="23"/>
  <c r="BH538" i="23" s="1"/>
  <c r="BF539" i="23"/>
  <c r="BH539" i="23" s="1"/>
  <c r="BF540" i="23"/>
  <c r="BH540" i="23" s="1"/>
  <c r="BF541" i="23"/>
  <c r="BH541" i="23" s="1"/>
  <c r="BF542" i="23"/>
  <c r="BH542" i="23" s="1"/>
  <c r="BF543" i="23"/>
  <c r="BH543" i="23" s="1"/>
  <c r="BF544" i="23"/>
  <c r="BH544" i="23" s="1"/>
  <c r="BF545" i="23"/>
  <c r="BH545" i="23" s="1"/>
  <c r="BF546" i="23"/>
  <c r="BH546" i="23" s="1"/>
  <c r="BF824" i="23"/>
  <c r="BH824" i="23" s="1"/>
  <c r="BF825" i="23"/>
  <c r="BH825" i="23" s="1"/>
  <c r="BF826" i="23"/>
  <c r="BH826" i="23" s="1"/>
  <c r="BF827" i="23"/>
  <c r="BH827" i="23" s="1"/>
  <c r="BF828" i="23"/>
  <c r="BH828" i="23" s="1"/>
  <c r="BF829" i="23"/>
  <c r="BH829" i="23" s="1"/>
  <c r="BF830" i="23"/>
  <c r="BH830" i="23" s="1"/>
  <c r="BF831" i="23"/>
  <c r="BH831" i="23" s="1"/>
  <c r="BF832" i="23"/>
  <c r="BH832" i="23" s="1"/>
  <c r="BF547" i="23"/>
  <c r="BH547" i="23" s="1"/>
  <c r="BF548" i="23"/>
  <c r="BH548" i="23" s="1"/>
  <c r="BF549" i="23"/>
  <c r="BH549" i="23" s="1"/>
  <c r="BF550" i="23"/>
  <c r="BH550" i="23" s="1"/>
  <c r="BF551" i="23"/>
  <c r="BH551" i="23" s="1"/>
  <c r="BF552" i="23"/>
  <c r="BH552" i="23" s="1"/>
  <c r="BF553" i="23"/>
  <c r="BH553" i="23" s="1"/>
  <c r="BF554" i="23"/>
  <c r="BH554" i="23" s="1"/>
  <c r="BF555" i="23"/>
  <c r="BH555" i="23" s="1"/>
  <c r="BF556" i="23"/>
  <c r="BH556" i="23" s="1"/>
  <c r="BF557" i="23"/>
  <c r="BH557" i="23" s="1"/>
  <c r="BF558" i="23"/>
  <c r="BH558" i="23" s="1"/>
  <c r="BF559" i="23"/>
  <c r="BH559" i="23" s="1"/>
  <c r="BF560" i="23"/>
  <c r="BH560" i="23" s="1"/>
  <c r="BF561" i="23"/>
  <c r="BH561" i="23" s="1"/>
  <c r="BF562" i="23"/>
  <c r="BH562" i="23" s="1"/>
  <c r="BF563" i="23"/>
  <c r="BH563" i="23" s="1"/>
  <c r="BF564" i="23"/>
  <c r="BH564" i="23" s="1"/>
  <c r="BF565" i="23"/>
  <c r="BH565" i="23" s="1"/>
  <c r="BF566" i="23"/>
  <c r="BH566" i="23" s="1"/>
  <c r="BF567" i="23"/>
  <c r="BH567" i="23" s="1"/>
  <c r="BF568" i="23"/>
  <c r="BH568" i="23" s="1"/>
  <c r="BF569" i="23"/>
  <c r="BH569" i="23" s="1"/>
  <c r="BF570" i="23"/>
  <c r="BH570" i="23" s="1"/>
  <c r="BF571" i="23"/>
  <c r="BH571" i="23" s="1"/>
  <c r="BF572" i="23"/>
  <c r="BH572" i="23" s="1"/>
  <c r="BF573" i="23"/>
  <c r="BH573" i="23" s="1"/>
  <c r="BF574" i="23"/>
  <c r="BH574" i="23" s="1"/>
  <c r="BF575" i="23"/>
  <c r="BH575" i="23" s="1"/>
  <c r="BF576" i="23"/>
  <c r="BH576" i="23" s="1"/>
  <c r="BF577" i="23"/>
  <c r="BH577" i="23" s="1"/>
  <c r="BF578" i="23"/>
  <c r="BH578" i="23" s="1"/>
  <c r="BF579" i="23"/>
  <c r="BH579" i="23" s="1"/>
  <c r="BF580" i="23"/>
  <c r="BH580" i="23" s="1"/>
  <c r="BF581" i="23"/>
  <c r="BH581" i="23" s="1"/>
  <c r="BF582" i="23"/>
  <c r="BH582" i="23" s="1"/>
  <c r="BF583" i="23"/>
  <c r="BH583" i="23" s="1"/>
  <c r="BF584" i="23"/>
  <c r="BH584" i="23" s="1"/>
  <c r="BF585" i="23"/>
  <c r="BH585" i="23" s="1"/>
  <c r="BF586" i="23"/>
  <c r="BH586" i="23" s="1"/>
  <c r="BF587" i="23"/>
  <c r="BH587" i="23" s="1"/>
  <c r="BF588" i="23"/>
  <c r="BH588" i="23" s="1"/>
  <c r="BF589" i="23"/>
  <c r="BH589" i="23" s="1"/>
  <c r="BF590" i="23"/>
  <c r="BH590" i="23" s="1"/>
  <c r="BF591" i="23"/>
  <c r="BH591" i="23" s="1"/>
  <c r="BF592" i="23"/>
  <c r="BH592" i="23" s="1"/>
  <c r="BF593" i="23"/>
  <c r="BH593" i="23" s="1"/>
  <c r="BF594" i="23"/>
  <c r="BH594" i="23" s="1"/>
  <c r="BF595" i="23"/>
  <c r="BH595" i="23" s="1"/>
  <c r="BF596" i="23"/>
  <c r="BH596" i="23" s="1"/>
  <c r="BF597" i="23"/>
  <c r="BH597" i="23" s="1"/>
  <c r="BF598" i="23"/>
  <c r="BH598" i="23" s="1"/>
  <c r="BF599" i="23"/>
  <c r="BH599" i="23" s="1"/>
  <c r="BF600" i="23"/>
  <c r="BH600" i="23" s="1"/>
  <c r="BF601" i="23"/>
  <c r="BH601" i="23" s="1"/>
  <c r="BF602" i="23"/>
  <c r="BH602" i="23" s="1"/>
  <c r="BF603" i="23"/>
  <c r="BH603" i="23" s="1"/>
  <c r="BF604" i="23"/>
  <c r="BH604" i="23" s="1"/>
  <c r="BF605" i="23"/>
  <c r="BH605" i="23" s="1"/>
  <c r="BF606" i="23"/>
  <c r="BH606" i="23" s="1"/>
  <c r="BF607" i="23"/>
  <c r="BH607" i="23" s="1"/>
  <c r="BF608" i="23"/>
  <c r="BH608" i="23" s="1"/>
  <c r="BF609" i="23"/>
  <c r="BH609" i="23" s="1"/>
  <c r="BF610" i="23"/>
  <c r="BH610" i="23" s="1"/>
  <c r="BF611" i="23"/>
  <c r="BH611" i="23" s="1"/>
  <c r="BF612" i="23"/>
  <c r="BH612" i="23" s="1"/>
  <c r="BF613" i="23"/>
  <c r="BH613" i="23" s="1"/>
  <c r="BF614" i="23"/>
  <c r="BH614" i="23" s="1"/>
  <c r="BF615" i="23"/>
  <c r="BH615" i="23" s="1"/>
  <c r="BF616" i="23"/>
  <c r="BH616" i="23" s="1"/>
  <c r="BF617" i="23"/>
  <c r="BH617" i="23" s="1"/>
  <c r="BF618" i="23"/>
  <c r="BH618" i="23" s="1"/>
  <c r="BF619" i="23"/>
  <c r="BH619" i="23" s="1"/>
  <c r="BF620" i="23"/>
  <c r="BH620" i="23" s="1"/>
  <c r="BF621" i="23"/>
  <c r="BH621" i="23" s="1"/>
  <c r="BF622" i="23"/>
  <c r="BH622" i="23" s="1"/>
  <c r="BF623" i="23"/>
  <c r="BH623" i="23" s="1"/>
  <c r="BF624" i="23"/>
  <c r="BH624" i="23" s="1"/>
  <c r="BF625" i="23"/>
  <c r="BH625" i="23" s="1"/>
  <c r="BF626" i="23"/>
  <c r="BH626" i="23" s="1"/>
  <c r="BF627" i="23"/>
  <c r="BH627" i="23" s="1"/>
  <c r="BF628" i="23"/>
  <c r="BH628" i="23" s="1"/>
  <c r="BF629" i="23"/>
  <c r="BH629" i="23" s="1"/>
  <c r="BF630" i="23"/>
  <c r="BH630" i="23" s="1"/>
  <c r="BF631" i="23"/>
  <c r="BH631" i="23" s="1"/>
  <c r="BF632" i="23"/>
  <c r="BH632" i="23" s="1"/>
  <c r="BF633" i="23"/>
  <c r="BH633" i="23" s="1"/>
  <c r="BF634" i="23"/>
  <c r="BH634" i="23" s="1"/>
  <c r="BF635" i="23"/>
  <c r="BH635" i="23" s="1"/>
  <c r="BF636" i="23"/>
  <c r="BH636" i="23" s="1"/>
  <c r="BF637" i="23"/>
  <c r="BH637" i="23" s="1"/>
  <c r="BF638" i="23"/>
  <c r="BH638" i="23" s="1"/>
  <c r="BF639" i="23"/>
  <c r="BH639" i="23" s="1"/>
  <c r="BK639" i="23" s="1"/>
  <c r="BF797" i="23"/>
  <c r="BH797" i="23" s="1"/>
  <c r="BF798" i="23"/>
  <c r="BH798" i="23" s="1"/>
  <c r="BJ798" i="23" s="1"/>
  <c r="BF799" i="23"/>
  <c r="BH799" i="23" s="1"/>
  <c r="BJ799" i="23" s="1"/>
  <c r="BF800" i="23"/>
  <c r="BH800" i="23" s="1"/>
  <c r="BJ800" i="23" s="1"/>
  <c r="BF801" i="23"/>
  <c r="BH801" i="23" s="1"/>
  <c r="BF802" i="23"/>
  <c r="BH802" i="23" s="1"/>
  <c r="BJ802" i="23" s="1"/>
  <c r="BF803" i="23"/>
  <c r="BH803" i="23" s="1"/>
  <c r="BK803" i="23" s="1"/>
  <c r="BF804" i="23"/>
  <c r="BH804" i="23" s="1"/>
  <c r="BJ804" i="23" s="1"/>
  <c r="BF805" i="23"/>
  <c r="BH805" i="23" s="1"/>
  <c r="BJ805" i="23" s="1"/>
  <c r="BF806" i="23"/>
  <c r="BH806" i="23" s="1"/>
  <c r="BK806" i="23" s="1"/>
  <c r="BF807" i="23"/>
  <c r="BH807" i="23" s="1"/>
  <c r="BJ807" i="23" s="1"/>
  <c r="BF808" i="23"/>
  <c r="BH808" i="23" s="1"/>
  <c r="BJ808" i="23" s="1"/>
  <c r="BF809" i="23"/>
  <c r="BH809" i="23" s="1"/>
  <c r="BJ809" i="23" s="1"/>
  <c r="BF810" i="23"/>
  <c r="BH810" i="23" s="1"/>
  <c r="BK810" i="23" s="1"/>
  <c r="BF811" i="23"/>
  <c r="BH811" i="23" s="1"/>
  <c r="BK811" i="23" s="1"/>
  <c r="BF812" i="23"/>
  <c r="BH812" i="23" s="1"/>
  <c r="BF813" i="23"/>
  <c r="BH813" i="23" s="1"/>
  <c r="BK813" i="23" s="1"/>
  <c r="BF814" i="23"/>
  <c r="BH814" i="23" s="1"/>
  <c r="BJ814" i="23" s="1"/>
  <c r="BF815" i="23"/>
  <c r="BH815" i="23" s="1"/>
  <c r="BF816" i="23"/>
  <c r="BH816" i="23" s="1"/>
  <c r="BK816" i="23" s="1"/>
  <c r="BF817" i="23"/>
  <c r="BH817" i="23" s="1"/>
  <c r="BJ817" i="23" s="1"/>
  <c r="BF818" i="23"/>
  <c r="BH818" i="23" s="1"/>
  <c r="BF819" i="23"/>
  <c r="BH819" i="23" s="1"/>
  <c r="BK819" i="23" s="1"/>
  <c r="BF640" i="23"/>
  <c r="BH640" i="23" s="1"/>
  <c r="BJ640" i="23" s="1"/>
  <c r="BF641" i="23"/>
  <c r="BH641" i="23" s="1"/>
  <c r="BF642" i="23"/>
  <c r="BH642" i="23" s="1"/>
  <c r="BK642" i="23" s="1"/>
  <c r="BF643" i="23"/>
  <c r="BH643" i="23" s="1"/>
  <c r="BJ643" i="23" s="1"/>
  <c r="BF644" i="23"/>
  <c r="BH644" i="23" s="1"/>
  <c r="BF645" i="23"/>
  <c r="BH645" i="23" s="1"/>
  <c r="BK645" i="23" s="1"/>
  <c r="BF646" i="23"/>
  <c r="BH646" i="23" s="1"/>
  <c r="BJ646" i="23" s="1"/>
  <c r="BF647" i="23"/>
  <c r="BH647" i="23" s="1"/>
  <c r="BF648" i="23"/>
  <c r="BH648" i="23" s="1"/>
  <c r="BK648" i="23" s="1"/>
  <c r="BF649" i="23"/>
  <c r="BH649" i="23" s="1"/>
  <c r="BF650" i="23"/>
  <c r="BH650" i="23" s="1"/>
  <c r="BF651" i="23"/>
  <c r="BH651" i="23" s="1"/>
  <c r="BK651" i="23" s="1"/>
  <c r="BF652" i="23"/>
  <c r="BH652" i="23" s="1"/>
  <c r="BK652" i="23" s="1"/>
  <c r="BF653" i="23"/>
  <c r="BH653" i="23" s="1"/>
  <c r="BF654" i="23"/>
  <c r="BH654" i="23" s="1"/>
  <c r="BK654" i="23" s="1"/>
  <c r="BF655" i="23"/>
  <c r="BH655" i="23" s="1"/>
  <c r="BJ655" i="23" s="1"/>
  <c r="BF656" i="23"/>
  <c r="BH656" i="23" s="1"/>
  <c r="BF657" i="23"/>
  <c r="BH657" i="23" s="1"/>
  <c r="BK657" i="23" s="1"/>
  <c r="BF658" i="23"/>
  <c r="BH658" i="23" s="1"/>
  <c r="BJ658" i="23" s="1"/>
  <c r="BF659" i="23"/>
  <c r="BH659" i="23" s="1"/>
  <c r="BF660" i="23"/>
  <c r="BH660" i="23" s="1"/>
  <c r="BF661" i="23"/>
  <c r="BH661" i="23" s="1"/>
  <c r="BF662" i="23"/>
  <c r="BH662" i="23" s="1"/>
  <c r="BF663" i="23"/>
  <c r="BH663" i="23" s="1"/>
  <c r="BF664" i="23"/>
  <c r="BH664" i="23" s="1"/>
  <c r="BF665" i="23"/>
  <c r="BH665" i="23" s="1"/>
  <c r="BF666" i="23"/>
  <c r="BH666" i="23" s="1"/>
  <c r="BK666" i="23" s="1"/>
  <c r="BF667" i="23"/>
  <c r="BH667" i="23" s="1"/>
  <c r="BF668" i="23"/>
  <c r="BH668" i="23" s="1"/>
  <c r="BF669" i="23"/>
  <c r="BH669" i="23" s="1"/>
  <c r="BF670" i="23"/>
  <c r="BH670" i="23" s="1"/>
  <c r="BF671" i="23"/>
  <c r="BH671" i="23" s="1"/>
  <c r="BF672" i="23"/>
  <c r="BH672" i="23" s="1"/>
  <c r="BK672" i="23" s="1"/>
  <c r="BF673" i="23"/>
  <c r="BH673" i="23" s="1"/>
  <c r="BF674" i="23"/>
  <c r="BH674" i="23" s="1"/>
  <c r="BF675" i="23"/>
  <c r="BH675" i="23" s="1"/>
  <c r="BK675" i="23" s="1"/>
  <c r="BF676" i="23"/>
  <c r="BH676" i="23" s="1"/>
  <c r="BK676" i="23" s="1"/>
  <c r="BF677" i="23"/>
  <c r="BH677" i="23" s="1"/>
  <c r="BF678" i="23"/>
  <c r="BH678" i="23" s="1"/>
  <c r="BF679" i="23"/>
  <c r="BH679" i="23" s="1"/>
  <c r="BJ679" i="23" s="1"/>
  <c r="BF680" i="23"/>
  <c r="BH680" i="23" s="1"/>
  <c r="BF681" i="23"/>
  <c r="BH681" i="23" s="1"/>
  <c r="BK681" i="23" s="1"/>
  <c r="BF682" i="23"/>
  <c r="BH682" i="23" s="1"/>
  <c r="BJ682" i="23" s="1"/>
  <c r="BF683" i="23"/>
  <c r="BH683" i="23" s="1"/>
  <c r="BF684" i="23"/>
  <c r="BH684" i="23" s="1"/>
  <c r="BF685" i="23"/>
  <c r="BH685" i="23" s="1"/>
  <c r="BF686" i="23"/>
  <c r="BH686" i="23" s="1"/>
  <c r="BF687" i="23"/>
  <c r="BH687" i="23" s="1"/>
  <c r="BF688" i="23"/>
  <c r="BH688" i="23" s="1"/>
  <c r="BK688" i="23" s="1"/>
  <c r="BF689" i="23"/>
  <c r="BH689" i="23" s="1"/>
  <c r="BF690" i="23"/>
  <c r="BH690" i="23" s="1"/>
  <c r="BF691" i="23"/>
  <c r="BH691" i="23" s="1"/>
  <c r="BJ691" i="23" s="1"/>
  <c r="BF692" i="23"/>
  <c r="BH692" i="23" s="1"/>
  <c r="BF693" i="23"/>
  <c r="BH693" i="23" s="1"/>
  <c r="BF694" i="23"/>
  <c r="BH694" i="23" s="1"/>
  <c r="BJ694" i="23" s="1"/>
  <c r="BF695" i="23"/>
  <c r="BH695" i="23" s="1"/>
  <c r="BF696" i="23"/>
  <c r="BH696" i="23" s="1"/>
  <c r="BF697" i="23"/>
  <c r="BH697" i="23" s="1"/>
  <c r="BJ697" i="23" s="1"/>
  <c r="BF698" i="23"/>
  <c r="BH698" i="23" s="1"/>
  <c r="BF699" i="23"/>
  <c r="BH699" i="23" s="1"/>
  <c r="BJ699" i="23" s="1"/>
  <c r="BF700" i="23"/>
  <c r="BH700" i="23" s="1"/>
  <c r="BJ700" i="23" s="1"/>
  <c r="BF796" i="23"/>
  <c r="BH796" i="23" s="1"/>
  <c r="BK796" i="23" s="1"/>
  <c r="BF820" i="23"/>
  <c r="BH820" i="23" s="1"/>
  <c r="BF821" i="23"/>
  <c r="BH821" i="23" s="1"/>
  <c r="BJ821" i="23" s="1"/>
  <c r="BF822" i="23"/>
  <c r="BH822" i="23" s="1"/>
  <c r="BF823" i="23"/>
  <c r="BH823" i="23" s="1"/>
  <c r="BF701" i="23"/>
  <c r="BH701" i="23" s="1"/>
  <c r="BF702" i="23"/>
  <c r="BH702" i="23" s="1"/>
  <c r="BF703" i="23"/>
  <c r="BH703" i="23" s="1"/>
  <c r="BJ703" i="23" s="1"/>
  <c r="BF704" i="23"/>
  <c r="BH704" i="23" s="1"/>
  <c r="BF705" i="23"/>
  <c r="BH705" i="23" s="1"/>
  <c r="BK705" i="23" s="1"/>
  <c r="BF706" i="23"/>
  <c r="BH706" i="23" s="1"/>
  <c r="BJ706" i="23" s="1"/>
  <c r="BF707" i="23"/>
  <c r="BH707" i="23" s="1"/>
  <c r="BJ707" i="23" s="1"/>
  <c r="BF708" i="23"/>
  <c r="BH708" i="23" s="1"/>
  <c r="BK708" i="23" s="1"/>
  <c r="BF709" i="23"/>
  <c r="BH709" i="23" s="1"/>
  <c r="BF710" i="23"/>
  <c r="BH710" i="23" s="1"/>
  <c r="BJ710" i="23" s="1"/>
  <c r="BF711" i="23"/>
  <c r="BH711" i="23" s="1"/>
  <c r="BF712" i="23"/>
  <c r="BH712" i="23" s="1"/>
  <c r="BF713" i="23"/>
  <c r="BH713" i="23" s="1"/>
  <c r="BJ713" i="23" s="1"/>
  <c r="BF714" i="23"/>
  <c r="BH714" i="23" s="1"/>
  <c r="BK714" i="23" s="1"/>
  <c r="BF715" i="23"/>
  <c r="BH715" i="23" s="1"/>
  <c r="BK715" i="23" s="1"/>
  <c r="BF716" i="23"/>
  <c r="BH716" i="23" s="1"/>
  <c r="BK716" i="23" s="1"/>
  <c r="BF717" i="23"/>
  <c r="BH717" i="23" s="1"/>
  <c r="BJ717" i="23" s="1"/>
  <c r="BF718" i="23"/>
  <c r="BH718" i="23" s="1"/>
  <c r="BF719" i="23"/>
  <c r="BH719" i="23" s="1"/>
  <c r="BF720" i="23"/>
  <c r="BH720" i="23" s="1"/>
  <c r="BJ720" i="23" s="1"/>
  <c r="BF721" i="23"/>
  <c r="BH721" i="23" s="1"/>
  <c r="BK721" i="23" s="1"/>
  <c r="BF722" i="23"/>
  <c r="BH722" i="23" s="1"/>
  <c r="BJ722" i="23" s="1"/>
  <c r="BF723" i="23"/>
  <c r="BH723" i="23" s="1"/>
  <c r="BJ723" i="23" s="1"/>
  <c r="BF724" i="23"/>
  <c r="BH724" i="23" s="1"/>
  <c r="BK724" i="23" s="1"/>
  <c r="BF725" i="23"/>
  <c r="BH725" i="23" s="1"/>
  <c r="BF726" i="23"/>
  <c r="BH726" i="23" s="1"/>
  <c r="BJ726" i="23" s="1"/>
  <c r="BF727" i="23"/>
  <c r="BH727" i="23" s="1"/>
  <c r="BK727" i="23" s="1"/>
  <c r="BF728" i="23"/>
  <c r="BH728" i="23" s="1"/>
  <c r="BF729" i="23"/>
  <c r="BH729" i="23" s="1"/>
  <c r="BJ729" i="23" s="1"/>
  <c r="BF730" i="23"/>
  <c r="BH730" i="23" s="1"/>
  <c r="BK730" i="23" s="1"/>
  <c r="BF731" i="23"/>
  <c r="BH731" i="23" s="1"/>
  <c r="BF732" i="23"/>
  <c r="BH732" i="23" s="1"/>
  <c r="BK732" i="23" s="1"/>
  <c r="BF733" i="23"/>
  <c r="BH733" i="23" s="1"/>
  <c r="BK733" i="23" s="1"/>
  <c r="BF734" i="23"/>
  <c r="BH734" i="23" s="1"/>
  <c r="BK734" i="23" s="1"/>
  <c r="BF735" i="23"/>
  <c r="BH735" i="23" s="1"/>
  <c r="BJ735" i="23" s="1"/>
  <c r="BF736" i="23"/>
  <c r="BH736" i="23" s="1"/>
  <c r="BF737" i="23"/>
  <c r="BH737" i="23" s="1"/>
  <c r="BF738" i="23"/>
  <c r="BH738" i="23" s="1"/>
  <c r="BF739" i="23"/>
  <c r="BH739" i="23" s="1"/>
  <c r="BK739" i="23" s="1"/>
  <c r="BF740" i="23"/>
  <c r="BH740" i="23" s="1"/>
  <c r="BJ740" i="23" s="1"/>
  <c r="BF741" i="23"/>
  <c r="BH741" i="23" s="1"/>
  <c r="BF742" i="23"/>
  <c r="BH742" i="23" s="1"/>
  <c r="BF743" i="23"/>
  <c r="BH743" i="23" s="1"/>
  <c r="BJ743" i="23" s="1"/>
  <c r="BF744" i="23"/>
  <c r="BH744" i="23" s="1"/>
  <c r="BJ744" i="23" s="1"/>
  <c r="BF745" i="23"/>
  <c r="BH745" i="23" s="1"/>
  <c r="BF746" i="23"/>
  <c r="BH746" i="23" s="1"/>
  <c r="BJ746" i="23" s="1"/>
  <c r="BF747" i="23"/>
  <c r="BH747" i="23" s="1"/>
  <c r="BJ747" i="23" s="1"/>
  <c r="BF748" i="23"/>
  <c r="BH748" i="23" s="1"/>
  <c r="BK748" i="23" s="1"/>
  <c r="BF749" i="23"/>
  <c r="BH749" i="23" s="1"/>
  <c r="BF750" i="23"/>
  <c r="BH750" i="23" s="1"/>
  <c r="BJ750" i="23" s="1"/>
  <c r="BF751" i="23"/>
  <c r="BH751" i="23" s="1"/>
  <c r="BK751" i="23" s="1"/>
  <c r="BF752" i="23"/>
  <c r="BH752" i="23" s="1"/>
  <c r="BF753" i="23"/>
  <c r="BH753" i="23" s="1"/>
  <c r="BK753" i="23" s="1"/>
  <c r="BF754" i="23"/>
  <c r="BH754" i="23" s="1"/>
  <c r="BK754" i="23" s="1"/>
  <c r="BF755" i="23"/>
  <c r="BH755" i="23" s="1"/>
  <c r="BK755" i="23" s="1"/>
  <c r="BF756" i="23"/>
  <c r="BH756" i="23" s="1"/>
  <c r="BJ756" i="23" s="1"/>
  <c r="BF757" i="23"/>
  <c r="BH757" i="23" s="1"/>
  <c r="BF758" i="23"/>
  <c r="BH758" i="23" s="1"/>
  <c r="BK758" i="23" s="1"/>
  <c r="BF759" i="23"/>
  <c r="BH759" i="23" s="1"/>
  <c r="BF760" i="23"/>
  <c r="BH760" i="23" s="1"/>
  <c r="BK760" i="23" s="1"/>
  <c r="BF761" i="23"/>
  <c r="BH761" i="23" s="1"/>
  <c r="BK761" i="23" s="1"/>
  <c r="BF762" i="23"/>
  <c r="BH762" i="23" s="1"/>
  <c r="BF763" i="23"/>
  <c r="BH763" i="23" s="1"/>
  <c r="BJ763" i="23" s="1"/>
  <c r="BF764" i="23"/>
  <c r="BH764" i="23" s="1"/>
  <c r="BK764" i="23" s="1"/>
  <c r="BF765" i="23"/>
  <c r="BH765" i="23" s="1"/>
  <c r="BF766" i="23"/>
  <c r="BH766" i="23" s="1"/>
  <c r="BJ766" i="23" s="1"/>
  <c r="BF767" i="23"/>
  <c r="BH767" i="23" s="1"/>
  <c r="BK767" i="23" s="1"/>
  <c r="BF768" i="23"/>
  <c r="BH768" i="23" s="1"/>
  <c r="BJ768" i="23" s="1"/>
  <c r="BF769" i="23"/>
  <c r="BH769" i="23" s="1"/>
  <c r="BJ769" i="23" s="1"/>
  <c r="BF770" i="23"/>
  <c r="BH770" i="23" s="1"/>
  <c r="BK770" i="23" s="1"/>
  <c r="BF771" i="23"/>
  <c r="BH771" i="23" s="1"/>
  <c r="BK771" i="23" s="1"/>
  <c r="BF772" i="23"/>
  <c r="BH772" i="23" s="1"/>
  <c r="BK772" i="23" s="1"/>
  <c r="BF773" i="23"/>
  <c r="BH773" i="23" s="1"/>
  <c r="BF774" i="23"/>
  <c r="BH774" i="23" s="1"/>
  <c r="BF775" i="23"/>
  <c r="BH775" i="23" s="1"/>
  <c r="BF776" i="23"/>
  <c r="BH776" i="23" s="1"/>
  <c r="BJ776" i="23" s="1"/>
  <c r="BF777" i="23"/>
  <c r="BH777" i="23" s="1"/>
  <c r="BF778" i="23"/>
  <c r="BH778" i="23" s="1"/>
  <c r="BJ778" i="23" s="1"/>
  <c r="BF779" i="23"/>
  <c r="BH779" i="23" s="1"/>
  <c r="BJ779" i="23" s="1"/>
  <c r="BF780" i="23"/>
  <c r="BH780" i="23" s="1"/>
  <c r="BJ780" i="23" s="1"/>
  <c r="BF781" i="23"/>
  <c r="BH781" i="23" s="1"/>
  <c r="BJ781" i="23" s="1"/>
  <c r="BF782" i="23"/>
  <c r="BH782" i="23" s="1"/>
  <c r="BJ782" i="23" s="1"/>
  <c r="BF783" i="23"/>
  <c r="BH783" i="23" s="1"/>
  <c r="BF784" i="23"/>
  <c r="BH784" i="23" s="1"/>
  <c r="BJ784" i="23" s="1"/>
  <c r="BF785" i="23"/>
  <c r="BH785" i="23" s="1"/>
  <c r="BF786" i="23"/>
  <c r="BH786" i="23" s="1"/>
  <c r="BJ786" i="23" s="1"/>
  <c r="BF787" i="23"/>
  <c r="BH787" i="23" s="1"/>
  <c r="BK787" i="23" s="1"/>
  <c r="BF2" i="23"/>
  <c r="AV2" i="23"/>
  <c r="AS795" i="23"/>
  <c r="AR810" i="23"/>
  <c r="AS810" i="23"/>
  <c r="AT810" i="23"/>
  <c r="AU810" i="23"/>
  <c r="AV810" i="23"/>
  <c r="AR811" i="23"/>
  <c r="AS811" i="23"/>
  <c r="AT811" i="23"/>
  <c r="AU811" i="23"/>
  <c r="AV811" i="23"/>
  <c r="AR812" i="23"/>
  <c r="AS812" i="23"/>
  <c r="AT812" i="23"/>
  <c r="AU812" i="23"/>
  <c r="AV812" i="23"/>
  <c r="AR813" i="23"/>
  <c r="AS813" i="23"/>
  <c r="AT813" i="23"/>
  <c r="AU813" i="23"/>
  <c r="AV813" i="23"/>
  <c r="AR814" i="23"/>
  <c r="AS814" i="23"/>
  <c r="AT814" i="23"/>
  <c r="AU814" i="23"/>
  <c r="AV814" i="23"/>
  <c r="AR815" i="23"/>
  <c r="AS815" i="23"/>
  <c r="AT815" i="23"/>
  <c r="AU815" i="23"/>
  <c r="AV815" i="23"/>
  <c r="AR816" i="23"/>
  <c r="AS816" i="23"/>
  <c r="AT816" i="23"/>
  <c r="AU816" i="23"/>
  <c r="AV816" i="23"/>
  <c r="AR817" i="23"/>
  <c r="AS817" i="23"/>
  <c r="AT817" i="23"/>
  <c r="AU817" i="23"/>
  <c r="AV817" i="23"/>
  <c r="AR818" i="23"/>
  <c r="AS818" i="23"/>
  <c r="AT818" i="23"/>
  <c r="AU818" i="23"/>
  <c r="AV818" i="23"/>
  <c r="AR819" i="23"/>
  <c r="AS819" i="23"/>
  <c r="AT819" i="23"/>
  <c r="AU819" i="23"/>
  <c r="AV819" i="23"/>
  <c r="AR640" i="23"/>
  <c r="AS640" i="23"/>
  <c r="AT640" i="23"/>
  <c r="AU640" i="23"/>
  <c r="AV640" i="23"/>
  <c r="AR641" i="23"/>
  <c r="AS641" i="23"/>
  <c r="AT641" i="23"/>
  <c r="AU641" i="23"/>
  <c r="AV641" i="23"/>
  <c r="AR642" i="23"/>
  <c r="AS642" i="23"/>
  <c r="AT642" i="23"/>
  <c r="AU642" i="23"/>
  <c r="AV642" i="23"/>
  <c r="AR643" i="23"/>
  <c r="AS643" i="23"/>
  <c r="AT643" i="23"/>
  <c r="AU643" i="23"/>
  <c r="AV643" i="23"/>
  <c r="AR644" i="23"/>
  <c r="AS644" i="23"/>
  <c r="AT644" i="23"/>
  <c r="AU644" i="23"/>
  <c r="AV644" i="23"/>
  <c r="AR645" i="23"/>
  <c r="AS645" i="23"/>
  <c r="AT645" i="23"/>
  <c r="AU645" i="23"/>
  <c r="AV645" i="23"/>
  <c r="AR646" i="23"/>
  <c r="AS646" i="23"/>
  <c r="AT646" i="23"/>
  <c r="AU646" i="23"/>
  <c r="AV646" i="23"/>
  <c r="AR647" i="23"/>
  <c r="AS647" i="23"/>
  <c r="AT647" i="23"/>
  <c r="AU647" i="23"/>
  <c r="AV647" i="23"/>
  <c r="AR648" i="23"/>
  <c r="AS648" i="23"/>
  <c r="AT648" i="23"/>
  <c r="AU648" i="23"/>
  <c r="AV648" i="23"/>
  <c r="AR649" i="23"/>
  <c r="AS649" i="23"/>
  <c r="AT649" i="23"/>
  <c r="AU649" i="23"/>
  <c r="AV649" i="23"/>
  <c r="AR650" i="23"/>
  <c r="AS650" i="23"/>
  <c r="AT650" i="23"/>
  <c r="AU650" i="23"/>
  <c r="AV650" i="23"/>
  <c r="AR651" i="23"/>
  <c r="AS651" i="23"/>
  <c r="AT651" i="23"/>
  <c r="AU651" i="23"/>
  <c r="AV651" i="23"/>
  <c r="AR652" i="23"/>
  <c r="AS652" i="23"/>
  <c r="AT652" i="23"/>
  <c r="AU652" i="23"/>
  <c r="AV652" i="23"/>
  <c r="AR653" i="23"/>
  <c r="AS653" i="23"/>
  <c r="AT653" i="23"/>
  <c r="AU653" i="23"/>
  <c r="AV653" i="23"/>
  <c r="AR654" i="23"/>
  <c r="AS654" i="23"/>
  <c r="AT654" i="23"/>
  <c r="AU654" i="23"/>
  <c r="AV654" i="23"/>
  <c r="AR655" i="23"/>
  <c r="AS655" i="23"/>
  <c r="AT655" i="23"/>
  <c r="AU655" i="23"/>
  <c r="AV655" i="23"/>
  <c r="AR656" i="23"/>
  <c r="AS656" i="23"/>
  <c r="AT656" i="23"/>
  <c r="AU656" i="23"/>
  <c r="AV656" i="23"/>
  <c r="AR657" i="23"/>
  <c r="AS657" i="23"/>
  <c r="AT657" i="23"/>
  <c r="AU657" i="23"/>
  <c r="AV657" i="23"/>
  <c r="AR658" i="23"/>
  <c r="AS658" i="23"/>
  <c r="AT658" i="23"/>
  <c r="AU658" i="23"/>
  <c r="AV658" i="23"/>
  <c r="AR659" i="23"/>
  <c r="AS659" i="23"/>
  <c r="AT659" i="23"/>
  <c r="AU659" i="23"/>
  <c r="AV659" i="23"/>
  <c r="AR660" i="23"/>
  <c r="AS660" i="23"/>
  <c r="AT660" i="23"/>
  <c r="AU660" i="23"/>
  <c r="AV660" i="23"/>
  <c r="AR661" i="23"/>
  <c r="AS661" i="23"/>
  <c r="AT661" i="23"/>
  <c r="AU661" i="23"/>
  <c r="AV661" i="23"/>
  <c r="AR662" i="23"/>
  <c r="AS662" i="23"/>
  <c r="AT662" i="23"/>
  <c r="AU662" i="23"/>
  <c r="AV662" i="23"/>
  <c r="AR663" i="23"/>
  <c r="AS663" i="23"/>
  <c r="AT663" i="23"/>
  <c r="AU663" i="23"/>
  <c r="AV663" i="23"/>
  <c r="AR664" i="23"/>
  <c r="AS664" i="23"/>
  <c r="AT664" i="23"/>
  <c r="AU664" i="23"/>
  <c r="AV664" i="23"/>
  <c r="AR665" i="23"/>
  <c r="AS665" i="23"/>
  <c r="AT665" i="23"/>
  <c r="AU665" i="23"/>
  <c r="AV665" i="23"/>
  <c r="AR666" i="23"/>
  <c r="AS666" i="23"/>
  <c r="AT666" i="23"/>
  <c r="AU666" i="23"/>
  <c r="AV666" i="23"/>
  <c r="AR667" i="23"/>
  <c r="AS667" i="23"/>
  <c r="AT667" i="23"/>
  <c r="AU667" i="23"/>
  <c r="AV667" i="23"/>
  <c r="AR668" i="23"/>
  <c r="AS668" i="23"/>
  <c r="AT668" i="23"/>
  <c r="AU668" i="23"/>
  <c r="AV668" i="23"/>
  <c r="AR669" i="23"/>
  <c r="AS669" i="23"/>
  <c r="AT669" i="23"/>
  <c r="AU669" i="23"/>
  <c r="AV669" i="23"/>
  <c r="AR670" i="23"/>
  <c r="AS670" i="23"/>
  <c r="AT670" i="23"/>
  <c r="AU670" i="23"/>
  <c r="AV670" i="23"/>
  <c r="AR671" i="23"/>
  <c r="AS671" i="23"/>
  <c r="AT671" i="23"/>
  <c r="AU671" i="23"/>
  <c r="AV671" i="23"/>
  <c r="AR672" i="23"/>
  <c r="AS672" i="23"/>
  <c r="AT672" i="23"/>
  <c r="AU672" i="23"/>
  <c r="AV672" i="23"/>
  <c r="AR673" i="23"/>
  <c r="AS673" i="23"/>
  <c r="AT673" i="23"/>
  <c r="AU673" i="23"/>
  <c r="AV673" i="23"/>
  <c r="AR674" i="23"/>
  <c r="AS674" i="23"/>
  <c r="AT674" i="23"/>
  <c r="AU674" i="23"/>
  <c r="AV674" i="23"/>
  <c r="AR675" i="23"/>
  <c r="AS675" i="23"/>
  <c r="AT675" i="23"/>
  <c r="AU675" i="23"/>
  <c r="AV675" i="23"/>
  <c r="AR676" i="23"/>
  <c r="AS676" i="23"/>
  <c r="AT676" i="23"/>
  <c r="AU676" i="23"/>
  <c r="AV676" i="23"/>
  <c r="AR677" i="23"/>
  <c r="AS677" i="23"/>
  <c r="AT677" i="23"/>
  <c r="AU677" i="23"/>
  <c r="AV677" i="23"/>
  <c r="AR678" i="23"/>
  <c r="AS678" i="23"/>
  <c r="AT678" i="23"/>
  <c r="AU678" i="23"/>
  <c r="AV678" i="23"/>
  <c r="AR679" i="23"/>
  <c r="AS679" i="23"/>
  <c r="AT679" i="23"/>
  <c r="AU679" i="23"/>
  <c r="AV679" i="23"/>
  <c r="AR680" i="23"/>
  <c r="AS680" i="23"/>
  <c r="AT680" i="23"/>
  <c r="AU680" i="23"/>
  <c r="AV680" i="23"/>
  <c r="AR681" i="23"/>
  <c r="AS681" i="23"/>
  <c r="AT681" i="23"/>
  <c r="AU681" i="23"/>
  <c r="AV681" i="23"/>
  <c r="AR682" i="23"/>
  <c r="AS682" i="23"/>
  <c r="AT682" i="23"/>
  <c r="AU682" i="23"/>
  <c r="AV682" i="23"/>
  <c r="AR683" i="23"/>
  <c r="AS683" i="23"/>
  <c r="AT683" i="23"/>
  <c r="AU683" i="23"/>
  <c r="AV683" i="23"/>
  <c r="AR684" i="23"/>
  <c r="AS684" i="23"/>
  <c r="AT684" i="23"/>
  <c r="AU684" i="23"/>
  <c r="AV684" i="23"/>
  <c r="AR685" i="23"/>
  <c r="AS685" i="23"/>
  <c r="AT685" i="23"/>
  <c r="AU685" i="23"/>
  <c r="AV685" i="23"/>
  <c r="AR686" i="23"/>
  <c r="AS686" i="23"/>
  <c r="AT686" i="23"/>
  <c r="AU686" i="23"/>
  <c r="AV686" i="23"/>
  <c r="AR687" i="23"/>
  <c r="AS687" i="23"/>
  <c r="AT687" i="23"/>
  <c r="AU687" i="23"/>
  <c r="AV687" i="23"/>
  <c r="AR688" i="23"/>
  <c r="AS688" i="23"/>
  <c r="AT688" i="23"/>
  <c r="AU688" i="23"/>
  <c r="AV688" i="23"/>
  <c r="AR689" i="23"/>
  <c r="AS689" i="23"/>
  <c r="AT689" i="23"/>
  <c r="AU689" i="23"/>
  <c r="AV689" i="23"/>
  <c r="AR690" i="23"/>
  <c r="AS690" i="23"/>
  <c r="AT690" i="23"/>
  <c r="AU690" i="23"/>
  <c r="AV690" i="23"/>
  <c r="AR691" i="23"/>
  <c r="AS691" i="23"/>
  <c r="AT691" i="23"/>
  <c r="AU691" i="23"/>
  <c r="AV691" i="23"/>
  <c r="AR692" i="23"/>
  <c r="AS692" i="23"/>
  <c r="AT692" i="23"/>
  <c r="AU692" i="23"/>
  <c r="AV692" i="23"/>
  <c r="AR693" i="23"/>
  <c r="AS693" i="23"/>
  <c r="AT693" i="23"/>
  <c r="AU693" i="23"/>
  <c r="AV693" i="23"/>
  <c r="AR694" i="23"/>
  <c r="AS694" i="23"/>
  <c r="AT694" i="23"/>
  <c r="AU694" i="23"/>
  <c r="AV694" i="23"/>
  <c r="AR695" i="23"/>
  <c r="AS695" i="23"/>
  <c r="AT695" i="23"/>
  <c r="AU695" i="23"/>
  <c r="AV695" i="23"/>
  <c r="AR696" i="23"/>
  <c r="AS696" i="23"/>
  <c r="AT696" i="23"/>
  <c r="AU696" i="23"/>
  <c r="AV696" i="23"/>
  <c r="AR697" i="23"/>
  <c r="AS697" i="23"/>
  <c r="AT697" i="23"/>
  <c r="AU697" i="23"/>
  <c r="AV697" i="23"/>
  <c r="AR698" i="23"/>
  <c r="AS698" i="23"/>
  <c r="AT698" i="23"/>
  <c r="AU698" i="23"/>
  <c r="AV698" i="23"/>
  <c r="AR699" i="23"/>
  <c r="AS699" i="23"/>
  <c r="AT699" i="23"/>
  <c r="AU699" i="23"/>
  <c r="AV699" i="23"/>
  <c r="AR700" i="23"/>
  <c r="AS700" i="23"/>
  <c r="AT700" i="23"/>
  <c r="AU700" i="23"/>
  <c r="AV700" i="23"/>
  <c r="AR796" i="23"/>
  <c r="AS796" i="23"/>
  <c r="AT796" i="23"/>
  <c r="AU796" i="23"/>
  <c r="AV796" i="23"/>
  <c r="AR820" i="23"/>
  <c r="AS820" i="23"/>
  <c r="AT820" i="23"/>
  <c r="AU820" i="23"/>
  <c r="AV820" i="23"/>
  <c r="AR821" i="23"/>
  <c r="AS821" i="23"/>
  <c r="AT821" i="23"/>
  <c r="AU821" i="23"/>
  <c r="AV821" i="23"/>
  <c r="AR822" i="23"/>
  <c r="AS822" i="23"/>
  <c r="AT822" i="23"/>
  <c r="AU822" i="23"/>
  <c r="AV822" i="23"/>
  <c r="AR823" i="23"/>
  <c r="AS823" i="23"/>
  <c r="AT823" i="23"/>
  <c r="AU823" i="23"/>
  <c r="AV823" i="23"/>
  <c r="AR701" i="23"/>
  <c r="AS701" i="23"/>
  <c r="AT701" i="23"/>
  <c r="AU701" i="23"/>
  <c r="AV701" i="23"/>
  <c r="AR702" i="23"/>
  <c r="AS702" i="23"/>
  <c r="AT702" i="23"/>
  <c r="AU702" i="23"/>
  <c r="AV702" i="23"/>
  <c r="AR703" i="23"/>
  <c r="AS703" i="23"/>
  <c r="AT703" i="23"/>
  <c r="AU703" i="23"/>
  <c r="AV703" i="23"/>
  <c r="AR704" i="23"/>
  <c r="AS704" i="23"/>
  <c r="AT704" i="23"/>
  <c r="AU704" i="23"/>
  <c r="AV704" i="23"/>
  <c r="AR705" i="23"/>
  <c r="AS705" i="23"/>
  <c r="AT705" i="23"/>
  <c r="AU705" i="23"/>
  <c r="AV705" i="23"/>
  <c r="AR706" i="23"/>
  <c r="AS706" i="23"/>
  <c r="AT706" i="23"/>
  <c r="AU706" i="23"/>
  <c r="AV706" i="23"/>
  <c r="AR707" i="23"/>
  <c r="AS707" i="23"/>
  <c r="AT707" i="23"/>
  <c r="AU707" i="23"/>
  <c r="AV707" i="23"/>
  <c r="AR708" i="23"/>
  <c r="AS708" i="23"/>
  <c r="AT708" i="23"/>
  <c r="AU708" i="23"/>
  <c r="AV708" i="23"/>
  <c r="AR709" i="23"/>
  <c r="AS709" i="23"/>
  <c r="AT709" i="23"/>
  <c r="AU709" i="23"/>
  <c r="AV709" i="23"/>
  <c r="AR710" i="23"/>
  <c r="AS710" i="23"/>
  <c r="AT710" i="23"/>
  <c r="AU710" i="23"/>
  <c r="AV710" i="23"/>
  <c r="AR711" i="23"/>
  <c r="AS711" i="23"/>
  <c r="AT711" i="23"/>
  <c r="AU711" i="23"/>
  <c r="AV711" i="23"/>
  <c r="AR712" i="23"/>
  <c r="AS712" i="23"/>
  <c r="AT712" i="23"/>
  <c r="AU712" i="23"/>
  <c r="AV712" i="23"/>
  <c r="AR713" i="23"/>
  <c r="AS713" i="23"/>
  <c r="AT713" i="23"/>
  <c r="AU713" i="23"/>
  <c r="AV713" i="23"/>
  <c r="AR714" i="23"/>
  <c r="AS714" i="23"/>
  <c r="AT714" i="23"/>
  <c r="AU714" i="23"/>
  <c r="AV714" i="23"/>
  <c r="AR715" i="23"/>
  <c r="AS715" i="23"/>
  <c r="AT715" i="23"/>
  <c r="AU715" i="23"/>
  <c r="AV715" i="23"/>
  <c r="AR716" i="23"/>
  <c r="AS716" i="23"/>
  <c r="AT716" i="23"/>
  <c r="AU716" i="23"/>
  <c r="AV716" i="23"/>
  <c r="AR717" i="23"/>
  <c r="AS717" i="23"/>
  <c r="AT717" i="23"/>
  <c r="AU717" i="23"/>
  <c r="AV717" i="23"/>
  <c r="AR718" i="23"/>
  <c r="AS718" i="23"/>
  <c r="AT718" i="23"/>
  <c r="AU718" i="23"/>
  <c r="AV718" i="23"/>
  <c r="AR719" i="23"/>
  <c r="AS719" i="23"/>
  <c r="AT719" i="23"/>
  <c r="AU719" i="23"/>
  <c r="AV719" i="23"/>
  <c r="AR720" i="23"/>
  <c r="AS720" i="23"/>
  <c r="AT720" i="23"/>
  <c r="AU720" i="23"/>
  <c r="AV720" i="23"/>
  <c r="AR721" i="23"/>
  <c r="AS721" i="23"/>
  <c r="AT721" i="23"/>
  <c r="AU721" i="23"/>
  <c r="AV721" i="23"/>
  <c r="AR722" i="23"/>
  <c r="AS722" i="23"/>
  <c r="AT722" i="23"/>
  <c r="AU722" i="23"/>
  <c r="AV722" i="23"/>
  <c r="AR723" i="23"/>
  <c r="AS723" i="23"/>
  <c r="AT723" i="23"/>
  <c r="AU723" i="23"/>
  <c r="AV723" i="23"/>
  <c r="AR724" i="23"/>
  <c r="AS724" i="23"/>
  <c r="AT724" i="23"/>
  <c r="AU724" i="23"/>
  <c r="AV724" i="23"/>
  <c r="AR725" i="23"/>
  <c r="AS725" i="23"/>
  <c r="AT725" i="23"/>
  <c r="AU725" i="23"/>
  <c r="AV725" i="23"/>
  <c r="AR726" i="23"/>
  <c r="AS726" i="23"/>
  <c r="AT726" i="23"/>
  <c r="AU726" i="23"/>
  <c r="AV726" i="23"/>
  <c r="AR727" i="23"/>
  <c r="AS727" i="23"/>
  <c r="AT727" i="23"/>
  <c r="AU727" i="23"/>
  <c r="AV727" i="23"/>
  <c r="AR728" i="23"/>
  <c r="AS728" i="23"/>
  <c r="AT728" i="23"/>
  <c r="AU728" i="23"/>
  <c r="AV728" i="23"/>
  <c r="AR729" i="23"/>
  <c r="AS729" i="23"/>
  <c r="AT729" i="23"/>
  <c r="AU729" i="23"/>
  <c r="AV729" i="23"/>
  <c r="AR730" i="23"/>
  <c r="AS730" i="23"/>
  <c r="AT730" i="23"/>
  <c r="AU730" i="23"/>
  <c r="AV730" i="23"/>
  <c r="AR731" i="23"/>
  <c r="AS731" i="23"/>
  <c r="AT731" i="23"/>
  <c r="AU731" i="23"/>
  <c r="AV731" i="23"/>
  <c r="AR732" i="23"/>
  <c r="AS732" i="23"/>
  <c r="AT732" i="23"/>
  <c r="AU732" i="23"/>
  <c r="AV732" i="23"/>
  <c r="AR733" i="23"/>
  <c r="AS733" i="23"/>
  <c r="AT733" i="23"/>
  <c r="AU733" i="23"/>
  <c r="AV733" i="23"/>
  <c r="AR734" i="23"/>
  <c r="AS734" i="23"/>
  <c r="AT734" i="23"/>
  <c r="AU734" i="23"/>
  <c r="AV734" i="23"/>
  <c r="AR735" i="23"/>
  <c r="AS735" i="23"/>
  <c r="AT735" i="23"/>
  <c r="AU735" i="23"/>
  <c r="AV735" i="23"/>
  <c r="AR736" i="23"/>
  <c r="AS736" i="23"/>
  <c r="AT736" i="23"/>
  <c r="AU736" i="23"/>
  <c r="AV736" i="23"/>
  <c r="AR737" i="23"/>
  <c r="AS737" i="23"/>
  <c r="AT737" i="23"/>
  <c r="AU737" i="23"/>
  <c r="AV737" i="23"/>
  <c r="AR738" i="23"/>
  <c r="AS738" i="23"/>
  <c r="AT738" i="23"/>
  <c r="AU738" i="23"/>
  <c r="AV738" i="23"/>
  <c r="AR739" i="23"/>
  <c r="AS739" i="23"/>
  <c r="AT739" i="23"/>
  <c r="AU739" i="23"/>
  <c r="AV739" i="23"/>
  <c r="AR740" i="23"/>
  <c r="AS740" i="23"/>
  <c r="AT740" i="23"/>
  <c r="AU740" i="23"/>
  <c r="AV740" i="23"/>
  <c r="AR741" i="23"/>
  <c r="AS741" i="23"/>
  <c r="AT741" i="23"/>
  <c r="AU741" i="23"/>
  <c r="AV741" i="23"/>
  <c r="AR742" i="23"/>
  <c r="AS742" i="23"/>
  <c r="AT742" i="23"/>
  <c r="AU742" i="23"/>
  <c r="AV742" i="23"/>
  <c r="AR743" i="23"/>
  <c r="AS743" i="23"/>
  <c r="AT743" i="23"/>
  <c r="AU743" i="23"/>
  <c r="AV743" i="23"/>
  <c r="AR744" i="23"/>
  <c r="AS744" i="23"/>
  <c r="AT744" i="23"/>
  <c r="AU744" i="23"/>
  <c r="AV744" i="23"/>
  <c r="AR745" i="23"/>
  <c r="AS745" i="23"/>
  <c r="AT745" i="23"/>
  <c r="AU745" i="23"/>
  <c r="AV745" i="23"/>
  <c r="AR746" i="23"/>
  <c r="AS746" i="23"/>
  <c r="AT746" i="23"/>
  <c r="AU746" i="23"/>
  <c r="AV746" i="23"/>
  <c r="AR747" i="23"/>
  <c r="AS747" i="23"/>
  <c r="AT747" i="23"/>
  <c r="AU747" i="23"/>
  <c r="AV747" i="23"/>
  <c r="AR748" i="23"/>
  <c r="AS748" i="23"/>
  <c r="AT748" i="23"/>
  <c r="AU748" i="23"/>
  <c r="AV748" i="23"/>
  <c r="AR749" i="23"/>
  <c r="AS749" i="23"/>
  <c r="AT749" i="23"/>
  <c r="AU749" i="23"/>
  <c r="AV749" i="23"/>
  <c r="AR750" i="23"/>
  <c r="AS750" i="23"/>
  <c r="AT750" i="23"/>
  <c r="AU750" i="23"/>
  <c r="AV750" i="23"/>
  <c r="AR751" i="23"/>
  <c r="AS751" i="23"/>
  <c r="AT751" i="23"/>
  <c r="AU751" i="23"/>
  <c r="AV751" i="23"/>
  <c r="AR752" i="23"/>
  <c r="AS752" i="23"/>
  <c r="AT752" i="23"/>
  <c r="AU752" i="23"/>
  <c r="AV752" i="23"/>
  <c r="AR753" i="23"/>
  <c r="AS753" i="23"/>
  <c r="AT753" i="23"/>
  <c r="AU753" i="23"/>
  <c r="AV753" i="23"/>
  <c r="AR754" i="23"/>
  <c r="AS754" i="23"/>
  <c r="AT754" i="23"/>
  <c r="AU754" i="23"/>
  <c r="AV754" i="23"/>
  <c r="AR755" i="23"/>
  <c r="AS755" i="23"/>
  <c r="AT755" i="23"/>
  <c r="AU755" i="23"/>
  <c r="AV755" i="23"/>
  <c r="AR756" i="23"/>
  <c r="AS756" i="23"/>
  <c r="AT756" i="23"/>
  <c r="AU756" i="23"/>
  <c r="AV756" i="23"/>
  <c r="AR757" i="23"/>
  <c r="AS757" i="23"/>
  <c r="AT757" i="23"/>
  <c r="AU757" i="23"/>
  <c r="AV757" i="23"/>
  <c r="AR758" i="23"/>
  <c r="AS758" i="23"/>
  <c r="AT758" i="23"/>
  <c r="AU758" i="23"/>
  <c r="AV758" i="23"/>
  <c r="AR759" i="23"/>
  <c r="AS759" i="23"/>
  <c r="AT759" i="23"/>
  <c r="AU759" i="23"/>
  <c r="AV759" i="23"/>
  <c r="AR760" i="23"/>
  <c r="AS760" i="23"/>
  <c r="AT760" i="23"/>
  <c r="AU760" i="23"/>
  <c r="AV760" i="23"/>
  <c r="AR761" i="23"/>
  <c r="AS761" i="23"/>
  <c r="AT761" i="23"/>
  <c r="AU761" i="23"/>
  <c r="AV761" i="23"/>
  <c r="AR762" i="23"/>
  <c r="AS762" i="23"/>
  <c r="AT762" i="23"/>
  <c r="AU762" i="23"/>
  <c r="AV762" i="23"/>
  <c r="AR763" i="23"/>
  <c r="AS763" i="23"/>
  <c r="AT763" i="23"/>
  <c r="AU763" i="23"/>
  <c r="AV763" i="23"/>
  <c r="AR764" i="23"/>
  <c r="AS764" i="23"/>
  <c r="AT764" i="23"/>
  <c r="AU764" i="23"/>
  <c r="AV764" i="23"/>
  <c r="AR765" i="23"/>
  <c r="AS765" i="23"/>
  <c r="AT765" i="23"/>
  <c r="AU765" i="23"/>
  <c r="AV765" i="23"/>
  <c r="AR766" i="23"/>
  <c r="AS766" i="23"/>
  <c r="AT766" i="23"/>
  <c r="AU766" i="23"/>
  <c r="AV766" i="23"/>
  <c r="AR767" i="23"/>
  <c r="AS767" i="23"/>
  <c r="AT767" i="23"/>
  <c r="AU767" i="23"/>
  <c r="AV767" i="23"/>
  <c r="AR768" i="23"/>
  <c r="AS768" i="23"/>
  <c r="AT768" i="23"/>
  <c r="AU768" i="23"/>
  <c r="AV768" i="23"/>
  <c r="AR769" i="23"/>
  <c r="AS769" i="23"/>
  <c r="AT769" i="23"/>
  <c r="AU769" i="23"/>
  <c r="AV769" i="23"/>
  <c r="AR770" i="23"/>
  <c r="AS770" i="23"/>
  <c r="AT770" i="23"/>
  <c r="AU770" i="23"/>
  <c r="AV770" i="23"/>
  <c r="AR771" i="23"/>
  <c r="AS771" i="23"/>
  <c r="AT771" i="23"/>
  <c r="AU771" i="23"/>
  <c r="AV771" i="23"/>
  <c r="AR772" i="23"/>
  <c r="AS772" i="23"/>
  <c r="AT772" i="23"/>
  <c r="AU772" i="23"/>
  <c r="AV772" i="23"/>
  <c r="AR773" i="23"/>
  <c r="AS773" i="23"/>
  <c r="AT773" i="23"/>
  <c r="AU773" i="23"/>
  <c r="AV773" i="23"/>
  <c r="AR774" i="23"/>
  <c r="AS774" i="23"/>
  <c r="AT774" i="23"/>
  <c r="AU774" i="23"/>
  <c r="AV774" i="23"/>
  <c r="AR775" i="23"/>
  <c r="AS775" i="23"/>
  <c r="AT775" i="23"/>
  <c r="AU775" i="23"/>
  <c r="AV775" i="23"/>
  <c r="AR776" i="23"/>
  <c r="AS776" i="23"/>
  <c r="AT776" i="23"/>
  <c r="AU776" i="23"/>
  <c r="AV776" i="23"/>
  <c r="AR777" i="23"/>
  <c r="AS777" i="23"/>
  <c r="AT777" i="23"/>
  <c r="AU777" i="23"/>
  <c r="AV777" i="23"/>
  <c r="AR778" i="23"/>
  <c r="AS778" i="23"/>
  <c r="AT778" i="23"/>
  <c r="AU778" i="23"/>
  <c r="AV778" i="23"/>
  <c r="AR779" i="23"/>
  <c r="AS779" i="23"/>
  <c r="AT779" i="23"/>
  <c r="AU779" i="23"/>
  <c r="AV779" i="23"/>
  <c r="AR780" i="23"/>
  <c r="AS780" i="23"/>
  <c r="AT780" i="23"/>
  <c r="AU780" i="23"/>
  <c r="AV780" i="23"/>
  <c r="AR781" i="23"/>
  <c r="AS781" i="23"/>
  <c r="AT781" i="23"/>
  <c r="AU781" i="23"/>
  <c r="AV781" i="23"/>
  <c r="AR782" i="23"/>
  <c r="AS782" i="23"/>
  <c r="AT782" i="23"/>
  <c r="AU782" i="23"/>
  <c r="AV782" i="23"/>
  <c r="AR783" i="23"/>
  <c r="AS783" i="23"/>
  <c r="AT783" i="23"/>
  <c r="AU783" i="23"/>
  <c r="AV783" i="23"/>
  <c r="AR784" i="23"/>
  <c r="AS784" i="23"/>
  <c r="AT784" i="23"/>
  <c r="AU784" i="23"/>
  <c r="AV784" i="23"/>
  <c r="AR785" i="23"/>
  <c r="AS785" i="23"/>
  <c r="AT785" i="23"/>
  <c r="AU785" i="23"/>
  <c r="AV785" i="23"/>
  <c r="AR786" i="23"/>
  <c r="AS786" i="23"/>
  <c r="AT786" i="23"/>
  <c r="AU786" i="23"/>
  <c r="AV786" i="23"/>
  <c r="AR787" i="23"/>
  <c r="AS787" i="23"/>
  <c r="AT787" i="23"/>
  <c r="AU787" i="23"/>
  <c r="AV787" i="23"/>
  <c r="AR795" i="23"/>
  <c r="AT795" i="23"/>
  <c r="AU795" i="23"/>
  <c r="AV795" i="23"/>
  <c r="BH795" i="23"/>
  <c r="AR797" i="23"/>
  <c r="AS797" i="23"/>
  <c r="AT797" i="23"/>
  <c r="AU797" i="23"/>
  <c r="AV797" i="23"/>
  <c r="AR798" i="23"/>
  <c r="AS798" i="23"/>
  <c r="AT798" i="23"/>
  <c r="AU798" i="23"/>
  <c r="AV798" i="23"/>
  <c r="AR799" i="23"/>
  <c r="AS799" i="23"/>
  <c r="AT799" i="23"/>
  <c r="AU799" i="23"/>
  <c r="AV799" i="23"/>
  <c r="AR800" i="23"/>
  <c r="AS800" i="23"/>
  <c r="AT800" i="23"/>
  <c r="AU800" i="23"/>
  <c r="AV800" i="23"/>
  <c r="AR801" i="23"/>
  <c r="AS801" i="23"/>
  <c r="AT801" i="23"/>
  <c r="AU801" i="23"/>
  <c r="AV801" i="23"/>
  <c r="AR802" i="23"/>
  <c r="AS802" i="23"/>
  <c r="AT802" i="23"/>
  <c r="AU802" i="23"/>
  <c r="AV802" i="23"/>
  <c r="AR803" i="23"/>
  <c r="AS803" i="23"/>
  <c r="AT803" i="23"/>
  <c r="AU803" i="23"/>
  <c r="AV803" i="23"/>
  <c r="AR804" i="23"/>
  <c r="AS804" i="23"/>
  <c r="AT804" i="23"/>
  <c r="AU804" i="23"/>
  <c r="AV804" i="23"/>
  <c r="AR805" i="23"/>
  <c r="AS805" i="23"/>
  <c r="AT805" i="23"/>
  <c r="AU805" i="23"/>
  <c r="AV805" i="23"/>
  <c r="AR806" i="23"/>
  <c r="AS806" i="23"/>
  <c r="AT806" i="23"/>
  <c r="AU806" i="23"/>
  <c r="AV806" i="23"/>
  <c r="AR807" i="23"/>
  <c r="AS807" i="23"/>
  <c r="AT807" i="23"/>
  <c r="AU807" i="23"/>
  <c r="AV807" i="23"/>
  <c r="AR808" i="23"/>
  <c r="AS808" i="23"/>
  <c r="AT808" i="23"/>
  <c r="AU808" i="23"/>
  <c r="AV808" i="23"/>
  <c r="AR809" i="23"/>
  <c r="AS809" i="23"/>
  <c r="AT809" i="23"/>
  <c r="AU809" i="23"/>
  <c r="AV809" i="23"/>
  <c r="AQ639" i="23"/>
  <c r="AR639" i="23"/>
  <c r="AS639" i="23"/>
  <c r="AT639" i="23"/>
  <c r="AU639" i="23"/>
  <c r="AV639" i="23"/>
  <c r="AQ640" i="23"/>
  <c r="AQ641" i="23"/>
  <c r="AQ642" i="23"/>
  <c r="AQ643" i="23"/>
  <c r="AQ644" i="23"/>
  <c r="AQ645" i="23"/>
  <c r="AQ646" i="23"/>
  <c r="AQ647" i="23"/>
  <c r="AQ648" i="23"/>
  <c r="AQ649" i="23"/>
  <c r="AQ650" i="23"/>
  <c r="AQ651" i="23"/>
  <c r="AQ652" i="23"/>
  <c r="AQ653" i="23"/>
  <c r="AQ654" i="23"/>
  <c r="AQ655" i="23"/>
  <c r="AQ656" i="23"/>
  <c r="AQ657" i="23"/>
  <c r="AQ658" i="23"/>
  <c r="AQ659" i="23"/>
  <c r="AQ660" i="23"/>
  <c r="AQ661" i="23"/>
  <c r="AQ662" i="23"/>
  <c r="AQ663" i="23"/>
  <c r="AQ664" i="23"/>
  <c r="AQ665" i="23"/>
  <c r="AQ666" i="23"/>
  <c r="AQ667" i="23"/>
  <c r="AQ668" i="23"/>
  <c r="AQ669" i="23"/>
  <c r="AQ670" i="23"/>
  <c r="AQ671" i="23"/>
  <c r="AQ672" i="23"/>
  <c r="AQ673" i="23"/>
  <c r="AQ674" i="23"/>
  <c r="AQ675" i="23"/>
  <c r="AQ676" i="23"/>
  <c r="AQ677" i="23"/>
  <c r="AQ678" i="23"/>
  <c r="AQ679" i="23"/>
  <c r="AQ680" i="23"/>
  <c r="AQ681" i="23"/>
  <c r="AQ682" i="23"/>
  <c r="AQ683" i="23"/>
  <c r="AQ684" i="23"/>
  <c r="AQ685" i="23"/>
  <c r="AQ686" i="23"/>
  <c r="AQ687" i="23"/>
  <c r="AQ688" i="23"/>
  <c r="AQ689" i="23"/>
  <c r="AQ690" i="23"/>
  <c r="AQ691" i="23"/>
  <c r="AQ692" i="23"/>
  <c r="AQ693" i="23"/>
  <c r="AQ694" i="23"/>
  <c r="AQ695" i="23"/>
  <c r="AQ696" i="23"/>
  <c r="AQ697" i="23"/>
  <c r="AQ698" i="23"/>
  <c r="AQ699" i="23"/>
  <c r="AQ700" i="23"/>
  <c r="AQ796" i="23"/>
  <c r="AQ820" i="23"/>
  <c r="AQ821" i="23"/>
  <c r="AQ822" i="23"/>
  <c r="AQ823" i="23"/>
  <c r="AQ701" i="23"/>
  <c r="AQ702" i="23"/>
  <c r="AQ703" i="23"/>
  <c r="AQ704" i="23"/>
  <c r="AQ705" i="23"/>
  <c r="AQ706" i="23"/>
  <c r="AQ707" i="23"/>
  <c r="AQ708" i="23"/>
  <c r="AQ709" i="23"/>
  <c r="AQ710" i="23"/>
  <c r="AQ711" i="23"/>
  <c r="AQ712" i="23"/>
  <c r="AQ713" i="23"/>
  <c r="AQ714" i="23"/>
  <c r="AQ715" i="23"/>
  <c r="AQ716" i="23"/>
  <c r="AQ717" i="23"/>
  <c r="AQ718" i="23"/>
  <c r="AQ719" i="23"/>
  <c r="AQ720" i="23"/>
  <c r="AQ721" i="23"/>
  <c r="AQ722" i="23"/>
  <c r="AQ723" i="23"/>
  <c r="AQ724" i="23"/>
  <c r="AQ725" i="23"/>
  <c r="AQ726" i="23"/>
  <c r="AQ727" i="23"/>
  <c r="AQ728" i="23"/>
  <c r="AQ729" i="23"/>
  <c r="AQ730" i="23"/>
  <c r="AQ731" i="23"/>
  <c r="AQ732" i="23"/>
  <c r="AQ733" i="23"/>
  <c r="AQ734" i="23"/>
  <c r="AQ735" i="23"/>
  <c r="AQ736" i="23"/>
  <c r="AQ737" i="23"/>
  <c r="AQ738" i="23"/>
  <c r="AQ739" i="23"/>
  <c r="AQ740" i="23"/>
  <c r="AQ741" i="23"/>
  <c r="AQ742" i="23"/>
  <c r="AQ743" i="23"/>
  <c r="AQ744" i="23"/>
  <c r="AQ745" i="23"/>
  <c r="AQ746" i="23"/>
  <c r="AQ747" i="23"/>
  <c r="AQ748" i="23"/>
  <c r="AQ749" i="23"/>
  <c r="AQ750" i="23"/>
  <c r="AQ751" i="23"/>
  <c r="AQ752" i="23"/>
  <c r="AQ753" i="23"/>
  <c r="AQ754" i="23"/>
  <c r="AQ755" i="23"/>
  <c r="AQ756" i="23"/>
  <c r="AQ757" i="23"/>
  <c r="AQ758" i="23"/>
  <c r="AQ759" i="23"/>
  <c r="AQ760" i="23"/>
  <c r="AQ761" i="23"/>
  <c r="AQ762" i="23"/>
  <c r="AQ763" i="23"/>
  <c r="AQ764" i="23"/>
  <c r="AQ765" i="23"/>
  <c r="AQ766" i="23"/>
  <c r="AQ767" i="23"/>
  <c r="AQ768" i="23"/>
  <c r="AQ769" i="23"/>
  <c r="AQ770" i="23"/>
  <c r="AQ771" i="23"/>
  <c r="AQ772" i="23"/>
  <c r="AQ773" i="23"/>
  <c r="AQ774" i="23"/>
  <c r="AQ775" i="23"/>
  <c r="AQ776" i="23"/>
  <c r="AQ777" i="23"/>
  <c r="AQ778" i="23"/>
  <c r="AQ779" i="23"/>
  <c r="AQ780" i="23"/>
  <c r="AQ781" i="23"/>
  <c r="AQ782" i="23"/>
  <c r="AQ783" i="23"/>
  <c r="AQ784" i="23"/>
  <c r="AQ785" i="23"/>
  <c r="AQ786" i="23"/>
  <c r="AQ787" i="23"/>
  <c r="AQ795" i="23"/>
  <c r="AQ3" i="23"/>
  <c r="AQ4" i="23"/>
  <c r="AQ5" i="23"/>
  <c r="AQ6" i="23"/>
  <c r="AQ7" i="23"/>
  <c r="AQ8" i="23"/>
  <c r="AQ9" i="23"/>
  <c r="AQ10" i="23"/>
  <c r="AQ11" i="23"/>
  <c r="AQ12" i="23"/>
  <c r="AQ13" i="23"/>
  <c r="AQ14" i="23"/>
  <c r="AQ15" i="23"/>
  <c r="AQ16" i="23"/>
  <c r="AQ17" i="23"/>
  <c r="AQ18" i="23"/>
  <c r="AQ19" i="23"/>
  <c r="AQ20" i="23"/>
  <c r="AQ21" i="23"/>
  <c r="AQ22" i="23"/>
  <c r="AQ23" i="23"/>
  <c r="AQ24" i="23"/>
  <c r="AQ25" i="23"/>
  <c r="AQ26" i="23"/>
  <c r="AQ27" i="23"/>
  <c r="AQ28" i="23"/>
  <c r="AQ29" i="23"/>
  <c r="AQ30" i="23"/>
  <c r="AQ31" i="23"/>
  <c r="AQ32" i="23"/>
  <c r="AQ33" i="23"/>
  <c r="AQ34" i="23"/>
  <c r="AQ35" i="23"/>
  <c r="AQ36" i="23"/>
  <c r="AQ37" i="23"/>
  <c r="AQ38" i="23"/>
  <c r="AQ39" i="23"/>
  <c r="AQ40" i="23"/>
  <c r="AQ41" i="23"/>
  <c r="AQ42" i="23"/>
  <c r="AQ43" i="23"/>
  <c r="AQ44" i="23"/>
  <c r="AQ45" i="23"/>
  <c r="AQ46" i="23"/>
  <c r="AQ47" i="23"/>
  <c r="AQ48" i="23"/>
  <c r="AQ49" i="23"/>
  <c r="AQ50" i="23"/>
  <c r="AQ51" i="23"/>
  <c r="AQ52" i="23"/>
  <c r="AQ53" i="23"/>
  <c r="AQ54" i="23"/>
  <c r="AQ55" i="23"/>
  <c r="AQ56" i="23"/>
  <c r="AQ57" i="23"/>
  <c r="AQ58" i="23"/>
  <c r="AQ59" i="23"/>
  <c r="AQ60" i="23"/>
  <c r="AQ61" i="23"/>
  <c r="AQ62" i="23"/>
  <c r="AQ63" i="23"/>
  <c r="AQ64" i="23"/>
  <c r="AQ65" i="23"/>
  <c r="AQ66" i="23"/>
  <c r="AQ67" i="23"/>
  <c r="AQ68" i="23"/>
  <c r="AQ69" i="23"/>
  <c r="AQ70" i="23"/>
  <c r="AQ71" i="23"/>
  <c r="AQ72" i="23"/>
  <c r="AQ73" i="23"/>
  <c r="AQ74" i="23"/>
  <c r="AQ75" i="23"/>
  <c r="AQ76" i="23"/>
  <c r="AQ77" i="23"/>
  <c r="AQ78" i="23"/>
  <c r="AQ79" i="23"/>
  <c r="AQ80" i="23"/>
  <c r="AQ81" i="23"/>
  <c r="AQ82" i="23"/>
  <c r="AQ83" i="23"/>
  <c r="AQ84" i="23"/>
  <c r="AQ85" i="23"/>
  <c r="AQ86" i="23"/>
  <c r="AQ87" i="23"/>
  <c r="AQ88" i="23"/>
  <c r="AQ89" i="23"/>
  <c r="AQ90" i="23"/>
  <c r="AQ91" i="23"/>
  <c r="AQ92" i="23"/>
  <c r="AQ93" i="23"/>
  <c r="AQ94" i="23"/>
  <c r="AQ95" i="23"/>
  <c r="AQ96" i="23"/>
  <c r="AQ97" i="23"/>
  <c r="AQ98" i="23"/>
  <c r="AQ99" i="23"/>
  <c r="AQ100" i="23"/>
  <c r="AQ101" i="23"/>
  <c r="AQ102" i="23"/>
  <c r="AQ103" i="23"/>
  <c r="AQ104" i="23"/>
  <c r="AQ105" i="23"/>
  <c r="AQ106" i="23"/>
  <c r="AQ107" i="23"/>
  <c r="AQ108" i="23"/>
  <c r="AQ109" i="23"/>
  <c r="AQ110" i="23"/>
  <c r="AQ111" i="23"/>
  <c r="AQ112" i="23"/>
  <c r="AQ113" i="23"/>
  <c r="AQ114" i="23"/>
  <c r="AQ115" i="23"/>
  <c r="AQ116" i="23"/>
  <c r="AQ117" i="23"/>
  <c r="AQ118" i="23"/>
  <c r="AQ119" i="23"/>
  <c r="AQ120" i="23"/>
  <c r="AQ121" i="23"/>
  <c r="AQ122" i="23"/>
  <c r="AQ123" i="23"/>
  <c r="AQ124" i="23"/>
  <c r="AQ125" i="23"/>
  <c r="AQ126" i="23"/>
  <c r="AQ127" i="23"/>
  <c r="AQ128" i="23"/>
  <c r="AQ129" i="23"/>
  <c r="AQ130" i="23"/>
  <c r="AQ131" i="23"/>
  <c r="AQ132" i="23"/>
  <c r="AQ133" i="23"/>
  <c r="AQ134" i="23"/>
  <c r="AQ135" i="23"/>
  <c r="AQ136" i="23"/>
  <c r="AQ137" i="23"/>
  <c r="AQ138" i="23"/>
  <c r="AQ139" i="23"/>
  <c r="AQ140" i="23"/>
  <c r="AQ141" i="23"/>
  <c r="AQ142" i="23"/>
  <c r="AQ143" i="23"/>
  <c r="AQ144" i="23"/>
  <c r="AQ145" i="23"/>
  <c r="AQ146" i="23"/>
  <c r="AQ147" i="23"/>
  <c r="AQ148" i="23"/>
  <c r="AQ149" i="23"/>
  <c r="AQ150" i="23"/>
  <c r="AQ151" i="23"/>
  <c r="AQ152" i="23"/>
  <c r="AQ153" i="23"/>
  <c r="AQ154" i="23"/>
  <c r="AQ155" i="23"/>
  <c r="AQ156" i="23"/>
  <c r="AQ157" i="23"/>
  <c r="AQ158" i="23"/>
  <c r="AQ159" i="23"/>
  <c r="AQ160" i="23"/>
  <c r="AQ161" i="23"/>
  <c r="AQ162" i="23"/>
  <c r="AQ163" i="23"/>
  <c r="AQ164" i="23"/>
  <c r="AQ165" i="23"/>
  <c r="AQ166" i="23"/>
  <c r="AQ167" i="23"/>
  <c r="AQ168" i="23"/>
  <c r="AQ169" i="23"/>
  <c r="AQ170" i="23"/>
  <c r="AQ171" i="23"/>
  <c r="AQ172" i="23"/>
  <c r="AQ173" i="23"/>
  <c r="AQ174" i="23"/>
  <c r="AQ175" i="23"/>
  <c r="AQ176" i="23"/>
  <c r="AQ177" i="23"/>
  <c r="AQ178" i="23"/>
  <c r="AQ179" i="23"/>
  <c r="AQ180" i="23"/>
  <c r="AQ181" i="23"/>
  <c r="AQ182" i="23"/>
  <c r="AQ183" i="23"/>
  <c r="AQ184" i="23"/>
  <c r="AQ185" i="23"/>
  <c r="AQ186" i="23"/>
  <c r="AQ187" i="23"/>
  <c r="AQ188" i="23"/>
  <c r="AQ189" i="23"/>
  <c r="AQ190" i="23"/>
  <c r="AQ191" i="23"/>
  <c r="AQ192" i="23"/>
  <c r="AQ193" i="23"/>
  <c r="AQ194" i="23"/>
  <c r="AQ195" i="23"/>
  <c r="AQ196" i="23"/>
  <c r="AQ197" i="23"/>
  <c r="AQ198" i="23"/>
  <c r="AQ199" i="23"/>
  <c r="AQ200" i="23"/>
  <c r="AQ201" i="23"/>
  <c r="AQ202" i="23"/>
  <c r="AQ203" i="23"/>
  <c r="AQ204" i="23"/>
  <c r="AQ205" i="23"/>
  <c r="AQ206" i="23"/>
  <c r="AQ207" i="23"/>
  <c r="AQ208" i="23"/>
  <c r="AQ209" i="23"/>
  <c r="AQ210" i="23"/>
  <c r="AQ211" i="23"/>
  <c r="AQ212" i="23"/>
  <c r="AQ213" i="23"/>
  <c r="AQ214" i="23"/>
  <c r="AQ215" i="23"/>
  <c r="AQ216" i="23"/>
  <c r="AQ217" i="23"/>
  <c r="AQ218" i="23"/>
  <c r="AQ219" i="23"/>
  <c r="AQ220" i="23"/>
  <c r="AQ221" i="23"/>
  <c r="AQ222" i="23"/>
  <c r="AQ223" i="23"/>
  <c r="AQ224" i="23"/>
  <c r="AQ225" i="23"/>
  <c r="AQ226" i="23"/>
  <c r="AQ227" i="23"/>
  <c r="AQ228" i="23"/>
  <c r="AQ229" i="23"/>
  <c r="AQ230" i="23"/>
  <c r="AQ231" i="23"/>
  <c r="AQ232" i="23"/>
  <c r="AQ233" i="23"/>
  <c r="AQ234" i="23"/>
  <c r="AQ235" i="23"/>
  <c r="AQ236" i="23"/>
  <c r="AQ237" i="23"/>
  <c r="AQ238" i="23"/>
  <c r="AQ239" i="23"/>
  <c r="AQ240" i="23"/>
  <c r="AQ241" i="23"/>
  <c r="AQ242" i="23"/>
  <c r="AQ243" i="23"/>
  <c r="AQ244" i="23"/>
  <c r="AQ245" i="23"/>
  <c r="AQ246" i="23"/>
  <c r="AQ247" i="23"/>
  <c r="AQ248" i="23"/>
  <c r="AQ249" i="23"/>
  <c r="AQ250" i="23"/>
  <c r="AQ251" i="23"/>
  <c r="AQ252" i="23"/>
  <c r="AQ253" i="23"/>
  <c r="AQ254" i="23"/>
  <c r="AQ255" i="23"/>
  <c r="AQ256" i="23"/>
  <c r="AQ257" i="23"/>
  <c r="AQ258" i="23"/>
  <c r="AQ259" i="23"/>
  <c r="AQ260" i="23"/>
  <c r="AQ261" i="23"/>
  <c r="AQ262" i="23"/>
  <c r="AQ263" i="23"/>
  <c r="AQ264" i="23"/>
  <c r="AQ265" i="23"/>
  <c r="AQ266" i="23"/>
  <c r="AQ267" i="23"/>
  <c r="AQ268" i="23"/>
  <c r="AQ269" i="23"/>
  <c r="AQ270" i="23"/>
  <c r="AQ271" i="23"/>
  <c r="AQ272" i="23"/>
  <c r="AQ273" i="23"/>
  <c r="AQ274" i="23"/>
  <c r="AQ275" i="23"/>
  <c r="AQ276" i="23"/>
  <c r="AQ277" i="23"/>
  <c r="AQ278" i="23"/>
  <c r="AQ279" i="23"/>
  <c r="AQ280" i="23"/>
  <c r="AQ281" i="23"/>
  <c r="AQ282" i="23"/>
  <c r="AQ283" i="23"/>
  <c r="AQ284" i="23"/>
  <c r="AQ285" i="23"/>
  <c r="AQ286" i="23"/>
  <c r="AQ287" i="23"/>
  <c r="AQ288" i="23"/>
  <c r="AQ289" i="23"/>
  <c r="AQ290" i="23"/>
  <c r="AQ291" i="23"/>
  <c r="AQ292" i="23"/>
  <c r="AQ293" i="23"/>
  <c r="AQ294" i="23"/>
  <c r="AQ295" i="23"/>
  <c r="AQ296" i="23"/>
  <c r="AQ297" i="23"/>
  <c r="AQ298" i="23"/>
  <c r="AQ299" i="23"/>
  <c r="AQ300" i="23"/>
  <c r="AQ301" i="23"/>
  <c r="AQ302" i="23"/>
  <c r="AQ303" i="23"/>
  <c r="AQ304" i="23"/>
  <c r="AQ305" i="23"/>
  <c r="AQ306" i="23"/>
  <c r="AQ307" i="23"/>
  <c r="AQ308" i="23"/>
  <c r="AQ309" i="23"/>
  <c r="AQ310" i="23"/>
  <c r="AQ311" i="23"/>
  <c r="AQ312" i="23"/>
  <c r="AQ313" i="23"/>
  <c r="AQ314" i="23"/>
  <c r="AQ315" i="23"/>
  <c r="AQ316" i="23"/>
  <c r="AQ317" i="23"/>
  <c r="AQ318" i="23"/>
  <c r="AQ319" i="23"/>
  <c r="AQ320" i="23"/>
  <c r="AQ321" i="23"/>
  <c r="AQ322" i="23"/>
  <c r="AQ323" i="23"/>
  <c r="AQ324" i="23"/>
  <c r="AQ325" i="23"/>
  <c r="AQ326" i="23"/>
  <c r="AQ327" i="23"/>
  <c r="AQ328" i="23"/>
  <c r="AQ329" i="23"/>
  <c r="AQ330" i="23"/>
  <c r="AQ331" i="23"/>
  <c r="AQ332" i="23"/>
  <c r="AQ333" i="23"/>
  <c r="AQ334" i="23"/>
  <c r="AQ335" i="23"/>
  <c r="AQ336" i="23"/>
  <c r="AQ337" i="23"/>
  <c r="AQ338" i="23"/>
  <c r="AQ339" i="23"/>
  <c r="AQ340" i="23"/>
  <c r="AQ341" i="23"/>
  <c r="AQ342" i="23"/>
  <c r="AQ343" i="23"/>
  <c r="AQ344" i="23"/>
  <c r="AQ345" i="23"/>
  <c r="AQ346" i="23"/>
  <c r="AQ347" i="23"/>
  <c r="AQ348" i="23"/>
  <c r="AQ349" i="23"/>
  <c r="AQ350" i="23"/>
  <c r="AQ351" i="23"/>
  <c r="AQ352" i="23"/>
  <c r="AQ353" i="23"/>
  <c r="AQ354" i="23"/>
  <c r="AQ355" i="23"/>
  <c r="AQ356" i="23"/>
  <c r="AQ357" i="23"/>
  <c r="AQ358" i="23"/>
  <c r="AQ359" i="23"/>
  <c r="AQ360" i="23"/>
  <c r="AQ361" i="23"/>
  <c r="AQ362" i="23"/>
  <c r="AQ363" i="23"/>
  <c r="AQ364" i="23"/>
  <c r="AQ365" i="23"/>
  <c r="AQ366" i="23"/>
  <c r="AQ367" i="23"/>
  <c r="AQ368" i="23"/>
  <c r="AQ369" i="23"/>
  <c r="AQ370" i="23"/>
  <c r="AQ371" i="23"/>
  <c r="AQ372" i="23"/>
  <c r="AQ373" i="23"/>
  <c r="AQ374" i="23"/>
  <c r="AQ375" i="23"/>
  <c r="AQ376" i="23"/>
  <c r="AQ377" i="23"/>
  <c r="AQ378" i="23"/>
  <c r="AQ379" i="23"/>
  <c r="AQ380" i="23"/>
  <c r="AQ381" i="23"/>
  <c r="AQ382" i="23"/>
  <c r="AQ383" i="23"/>
  <c r="AQ384" i="23"/>
  <c r="AQ385" i="23"/>
  <c r="AQ386" i="23"/>
  <c r="AQ387" i="23"/>
  <c r="AQ388" i="23"/>
  <c r="AQ389" i="23"/>
  <c r="AQ390" i="23"/>
  <c r="AQ391" i="23"/>
  <c r="AQ392" i="23"/>
  <c r="AQ393" i="23"/>
  <c r="AQ394" i="23"/>
  <c r="AQ395" i="23"/>
  <c r="AQ396" i="23"/>
  <c r="AQ397" i="23"/>
  <c r="AQ398" i="23"/>
  <c r="AQ399" i="23"/>
  <c r="AQ400" i="23"/>
  <c r="AQ401" i="23"/>
  <c r="AQ402" i="23"/>
  <c r="AQ403" i="23"/>
  <c r="AQ404" i="23"/>
  <c r="AQ405" i="23"/>
  <c r="AQ406" i="23"/>
  <c r="AQ407" i="23"/>
  <c r="AQ408" i="23"/>
  <c r="AQ409" i="23"/>
  <c r="AQ410" i="23"/>
  <c r="AQ411" i="23"/>
  <c r="AQ412" i="23"/>
  <c r="AQ413" i="23"/>
  <c r="AQ414" i="23"/>
  <c r="AQ415" i="23"/>
  <c r="AQ416" i="23"/>
  <c r="AQ417" i="23"/>
  <c r="AQ418" i="23"/>
  <c r="AQ419" i="23"/>
  <c r="AQ420" i="23"/>
  <c r="AQ421" i="23"/>
  <c r="AQ422" i="23"/>
  <c r="AQ423" i="23"/>
  <c r="AQ424" i="23"/>
  <c r="AQ425" i="23"/>
  <c r="AQ426" i="23"/>
  <c r="AQ427" i="23"/>
  <c r="AQ428" i="23"/>
  <c r="AQ429" i="23"/>
  <c r="AQ430" i="23"/>
  <c r="AQ431" i="23"/>
  <c r="AQ432" i="23"/>
  <c r="AQ433" i="23"/>
  <c r="AQ434" i="23"/>
  <c r="AQ435" i="23"/>
  <c r="AQ436" i="23"/>
  <c r="AQ437" i="23"/>
  <c r="AQ438" i="23"/>
  <c r="AQ439" i="23"/>
  <c r="AQ440" i="23"/>
  <c r="AQ441" i="23"/>
  <c r="AQ442" i="23"/>
  <c r="AQ443" i="23"/>
  <c r="AQ444" i="23"/>
  <c r="AQ445" i="23"/>
  <c r="AQ446" i="23"/>
  <c r="AQ447" i="23"/>
  <c r="AQ448" i="23"/>
  <c r="AQ449" i="23"/>
  <c r="AQ450" i="23"/>
  <c r="AQ451" i="23"/>
  <c r="AQ452" i="23"/>
  <c r="AQ453" i="23"/>
  <c r="AQ454" i="23"/>
  <c r="AQ455" i="23"/>
  <c r="AQ456" i="23"/>
  <c r="AQ457" i="23"/>
  <c r="AQ458" i="23"/>
  <c r="AQ459" i="23"/>
  <c r="AQ460" i="23"/>
  <c r="AQ461" i="23"/>
  <c r="AQ462" i="23"/>
  <c r="AQ463" i="23"/>
  <c r="AQ464" i="23"/>
  <c r="AQ465" i="23"/>
  <c r="AQ466" i="23"/>
  <c r="AQ467" i="23"/>
  <c r="AQ468" i="23"/>
  <c r="AQ469" i="23"/>
  <c r="AQ470" i="23"/>
  <c r="AQ471" i="23"/>
  <c r="AQ472" i="23"/>
  <c r="AQ473" i="23"/>
  <c r="AQ474" i="23"/>
  <c r="AQ475" i="23"/>
  <c r="AQ476" i="23"/>
  <c r="AQ477" i="23"/>
  <c r="AQ478" i="23"/>
  <c r="AQ479" i="23"/>
  <c r="AQ480" i="23"/>
  <c r="AQ481" i="23"/>
  <c r="AQ482" i="23"/>
  <c r="AQ483" i="23"/>
  <c r="AQ484" i="23"/>
  <c r="AQ485" i="23"/>
  <c r="AQ486" i="23"/>
  <c r="AQ487" i="23"/>
  <c r="AQ488" i="23"/>
  <c r="AQ489" i="23"/>
  <c r="AQ490" i="23"/>
  <c r="AQ491" i="23"/>
  <c r="AQ492" i="23"/>
  <c r="AQ493" i="23"/>
  <c r="AQ494" i="23"/>
  <c r="AQ495" i="23"/>
  <c r="AQ496" i="23"/>
  <c r="AQ497" i="23"/>
  <c r="AQ498" i="23"/>
  <c r="AQ499" i="23"/>
  <c r="AQ500" i="23"/>
  <c r="AQ501" i="23"/>
  <c r="AQ502" i="23"/>
  <c r="AQ503" i="23"/>
  <c r="AQ504" i="23"/>
  <c r="AQ505" i="23"/>
  <c r="AQ506" i="23"/>
  <c r="AQ507" i="23"/>
  <c r="AQ508" i="23"/>
  <c r="AQ509" i="23"/>
  <c r="AQ510" i="23"/>
  <c r="AQ511" i="23"/>
  <c r="AQ512" i="23"/>
  <c r="AQ513" i="23"/>
  <c r="AQ514" i="23"/>
  <c r="AQ515" i="23"/>
  <c r="AQ516" i="23"/>
  <c r="AQ517" i="23"/>
  <c r="AQ518" i="23"/>
  <c r="AQ519" i="23"/>
  <c r="AQ520" i="23"/>
  <c r="AQ521" i="23"/>
  <c r="AQ522" i="23"/>
  <c r="AQ523" i="23"/>
  <c r="AQ524" i="23"/>
  <c r="AQ525" i="23"/>
  <c r="AQ526" i="23"/>
  <c r="AQ527" i="23"/>
  <c r="AQ528" i="23"/>
  <c r="AQ529" i="23"/>
  <c r="AQ530" i="23"/>
  <c r="AQ531" i="23"/>
  <c r="AQ532" i="23"/>
  <c r="AQ533" i="23"/>
  <c r="AQ534" i="23"/>
  <c r="AQ535" i="23"/>
  <c r="AQ536" i="23"/>
  <c r="AQ537" i="23"/>
  <c r="AQ538" i="23"/>
  <c r="AQ539" i="23"/>
  <c r="AQ540" i="23"/>
  <c r="AQ541" i="23"/>
  <c r="AQ542" i="23"/>
  <c r="AQ543" i="23"/>
  <c r="AQ544" i="23"/>
  <c r="AQ545" i="23"/>
  <c r="AQ546" i="23"/>
  <c r="AQ824" i="23"/>
  <c r="AQ825" i="23"/>
  <c r="AQ826" i="23"/>
  <c r="AQ827" i="23"/>
  <c r="AQ828" i="23"/>
  <c r="AQ829" i="23"/>
  <c r="AQ830" i="23"/>
  <c r="AQ831" i="23"/>
  <c r="AQ832" i="23"/>
  <c r="AQ547" i="23"/>
  <c r="AQ548" i="23"/>
  <c r="AQ549" i="23"/>
  <c r="AQ550" i="23"/>
  <c r="AQ551" i="23"/>
  <c r="AQ552" i="23"/>
  <c r="AQ553" i="23"/>
  <c r="AQ554" i="23"/>
  <c r="AQ555" i="23"/>
  <c r="AQ556" i="23"/>
  <c r="AQ557" i="23"/>
  <c r="AQ558" i="23"/>
  <c r="AQ559" i="23"/>
  <c r="AQ560" i="23"/>
  <c r="AQ561" i="23"/>
  <c r="AQ562" i="23"/>
  <c r="AQ563" i="23"/>
  <c r="AQ564" i="23"/>
  <c r="AQ565" i="23"/>
  <c r="AQ566" i="23"/>
  <c r="AQ567" i="23"/>
  <c r="AQ568" i="23"/>
  <c r="AQ569" i="23"/>
  <c r="AQ570" i="23"/>
  <c r="AQ571" i="23"/>
  <c r="AQ572" i="23"/>
  <c r="AQ573" i="23"/>
  <c r="AQ574" i="23"/>
  <c r="AQ575" i="23"/>
  <c r="AQ576" i="23"/>
  <c r="AQ577" i="23"/>
  <c r="AQ578" i="23"/>
  <c r="AQ579" i="23"/>
  <c r="AQ580" i="23"/>
  <c r="AQ581" i="23"/>
  <c r="AQ582" i="23"/>
  <c r="AQ583" i="23"/>
  <c r="AQ584" i="23"/>
  <c r="AQ585" i="23"/>
  <c r="AQ586" i="23"/>
  <c r="AQ587" i="23"/>
  <c r="AQ588" i="23"/>
  <c r="AQ589" i="23"/>
  <c r="AQ590" i="23"/>
  <c r="AQ591" i="23"/>
  <c r="AQ592" i="23"/>
  <c r="AQ593" i="23"/>
  <c r="AQ594" i="23"/>
  <c r="AQ595" i="23"/>
  <c r="AQ596" i="23"/>
  <c r="AQ597" i="23"/>
  <c r="AQ598" i="23"/>
  <c r="AQ599" i="23"/>
  <c r="AQ600" i="23"/>
  <c r="AQ601" i="23"/>
  <c r="AQ602" i="23"/>
  <c r="AQ603" i="23"/>
  <c r="AQ604" i="23"/>
  <c r="AQ605" i="23"/>
  <c r="AQ606" i="23"/>
  <c r="AQ607" i="23"/>
  <c r="AQ608" i="23"/>
  <c r="AQ609" i="23"/>
  <c r="AQ610" i="23"/>
  <c r="AQ611" i="23"/>
  <c r="AQ612" i="23"/>
  <c r="AQ613" i="23"/>
  <c r="AQ614" i="23"/>
  <c r="AQ615" i="23"/>
  <c r="AQ616" i="23"/>
  <c r="AQ617" i="23"/>
  <c r="AQ618" i="23"/>
  <c r="AQ619" i="23"/>
  <c r="AQ620" i="23"/>
  <c r="AQ621" i="23"/>
  <c r="AQ622" i="23"/>
  <c r="AQ623" i="23"/>
  <c r="AQ624" i="23"/>
  <c r="AQ625" i="23"/>
  <c r="AQ626" i="23"/>
  <c r="AQ627" i="23"/>
  <c r="AQ628" i="23"/>
  <c r="AQ629" i="23"/>
  <c r="AQ630" i="23"/>
  <c r="AQ631" i="23"/>
  <c r="AQ632" i="23"/>
  <c r="AQ633" i="23"/>
  <c r="AQ634" i="23"/>
  <c r="AQ635" i="23"/>
  <c r="AQ636" i="23"/>
  <c r="AQ637" i="23"/>
  <c r="AQ638" i="23"/>
  <c r="AQ2" i="23"/>
  <c r="BL793" i="23" l="1"/>
  <c r="BM793" i="23" s="1"/>
  <c r="BL792" i="23"/>
  <c r="BM792" i="23" s="1"/>
  <c r="BK791" i="26"/>
  <c r="BL791" i="26" s="1"/>
  <c r="BM791" i="26" s="1"/>
  <c r="BK792" i="26"/>
  <c r="BL792" i="26" s="1"/>
  <c r="BM792" i="26" s="1"/>
  <c r="BK793" i="26"/>
  <c r="BL793" i="26" s="1"/>
  <c r="BM793" i="26" s="1"/>
  <c r="BF137" i="26"/>
  <c r="BH137" i="26" s="1"/>
  <c r="BJ137" i="26" s="1"/>
  <c r="BF265" i="26"/>
  <c r="BH265" i="26" s="1"/>
  <c r="BJ265" i="26" s="1"/>
  <c r="BF348" i="26"/>
  <c r="BH348" i="26" s="1"/>
  <c r="BJ348" i="26" s="1"/>
  <c r="BF666" i="26"/>
  <c r="BH666" i="26" s="1"/>
  <c r="BJ666" i="26" s="1"/>
  <c r="BF140" i="26"/>
  <c r="BH140" i="26" s="1"/>
  <c r="BJ140" i="26" s="1"/>
  <c r="BF323" i="26"/>
  <c r="BH323" i="26" s="1"/>
  <c r="BJ323" i="26" s="1"/>
  <c r="BF366" i="26"/>
  <c r="BH366" i="26" s="1"/>
  <c r="BJ366" i="26" s="1"/>
  <c r="BF481" i="26"/>
  <c r="BH481" i="26" s="1"/>
  <c r="BJ481" i="26" s="1"/>
  <c r="BF210" i="26"/>
  <c r="BH210" i="26" s="1"/>
  <c r="BJ210" i="26" s="1"/>
  <c r="BF369" i="26"/>
  <c r="BH369" i="26" s="1"/>
  <c r="BJ369" i="26" s="1"/>
  <c r="BF831" i="26"/>
  <c r="BH831" i="26" s="1"/>
  <c r="BJ831" i="26" s="1"/>
  <c r="BF717" i="26"/>
  <c r="BH717" i="26" s="1"/>
  <c r="BJ717" i="26" s="1"/>
  <c r="BF49" i="26"/>
  <c r="BH49" i="26" s="1"/>
  <c r="BJ49" i="26" s="1"/>
  <c r="BF108" i="26"/>
  <c r="BH108" i="26" s="1"/>
  <c r="BJ108" i="26" s="1"/>
  <c r="BF520" i="26"/>
  <c r="BH520" i="26" s="1"/>
  <c r="BJ520" i="26" s="1"/>
  <c r="BF545" i="26"/>
  <c r="BH545" i="26" s="1"/>
  <c r="BJ545" i="26" s="1"/>
  <c r="BF825" i="26"/>
  <c r="BH825" i="26" s="1"/>
  <c r="BJ825" i="26" s="1"/>
  <c r="BF114" i="26"/>
  <c r="BH114" i="26" s="1"/>
  <c r="BJ114" i="26" s="1"/>
  <c r="BF279" i="26"/>
  <c r="BH279" i="26" s="1"/>
  <c r="BJ279" i="26" s="1"/>
  <c r="BF303" i="26"/>
  <c r="BH303" i="26" s="1"/>
  <c r="BJ303" i="26" s="1"/>
  <c r="BF343" i="26"/>
  <c r="BH343" i="26" s="1"/>
  <c r="BJ343" i="26" s="1"/>
  <c r="BF523" i="26"/>
  <c r="BH523" i="26" s="1"/>
  <c r="BJ523" i="26" s="1"/>
  <c r="BF40" i="26"/>
  <c r="BH40" i="26" s="1"/>
  <c r="BJ40" i="26" s="1"/>
  <c r="BF57" i="26"/>
  <c r="BH57" i="26" s="1"/>
  <c r="BJ57" i="26" s="1"/>
  <c r="BF112" i="26"/>
  <c r="BH112" i="26" s="1"/>
  <c r="BJ112" i="26" s="1"/>
  <c r="BF147" i="26"/>
  <c r="BH147" i="26" s="1"/>
  <c r="BJ147" i="26" s="1"/>
  <c r="BF178" i="26"/>
  <c r="BH178" i="26" s="1"/>
  <c r="BJ178" i="26" s="1"/>
  <c r="BF219" i="26"/>
  <c r="BH219" i="26" s="1"/>
  <c r="BJ219" i="26" s="1"/>
  <c r="BF351" i="26"/>
  <c r="BH351" i="26" s="1"/>
  <c r="BJ351" i="26" s="1"/>
  <c r="BF376" i="26"/>
  <c r="BH376" i="26" s="1"/>
  <c r="BJ376" i="26" s="1"/>
  <c r="BF530" i="26"/>
  <c r="BH530" i="26" s="1"/>
  <c r="BJ530" i="26" s="1"/>
  <c r="BF608" i="26"/>
  <c r="BH608" i="26" s="1"/>
  <c r="BJ608" i="26" s="1"/>
  <c r="BF809" i="26"/>
  <c r="BH809" i="26" s="1"/>
  <c r="BJ809" i="26" s="1"/>
  <c r="BF29" i="26"/>
  <c r="BH29" i="26" s="1"/>
  <c r="BJ29" i="26" s="1"/>
  <c r="BF76" i="26"/>
  <c r="BH76" i="26" s="1"/>
  <c r="BJ76" i="26" s="1"/>
  <c r="BF136" i="26"/>
  <c r="BH136" i="26" s="1"/>
  <c r="BJ136" i="26" s="1"/>
  <c r="BF240" i="26"/>
  <c r="BH240" i="26" s="1"/>
  <c r="BJ240" i="26" s="1"/>
  <c r="BF269" i="26"/>
  <c r="BH269" i="26" s="1"/>
  <c r="BJ269" i="26" s="1"/>
  <c r="BF306" i="26"/>
  <c r="BH306" i="26" s="1"/>
  <c r="BJ306" i="26" s="1"/>
  <c r="BF340" i="26"/>
  <c r="BH340" i="26" s="1"/>
  <c r="BJ340" i="26" s="1"/>
  <c r="BF449" i="26"/>
  <c r="BH449" i="26" s="1"/>
  <c r="BJ449" i="26" s="1"/>
  <c r="BF475" i="26"/>
  <c r="BH475" i="26" s="1"/>
  <c r="BJ475" i="26" s="1"/>
  <c r="BF516" i="26"/>
  <c r="BH516" i="26" s="1"/>
  <c r="BJ516" i="26" s="1"/>
  <c r="BF827" i="26"/>
  <c r="BH827" i="26" s="1"/>
  <c r="BJ827" i="26" s="1"/>
  <c r="BF639" i="26"/>
  <c r="BH639" i="26" s="1"/>
  <c r="BJ639" i="26" s="1"/>
  <c r="BF664" i="26"/>
  <c r="BH664" i="26" s="1"/>
  <c r="BJ664" i="26" s="1"/>
  <c r="BF729" i="26"/>
  <c r="BH729" i="26" s="1"/>
  <c r="BJ729" i="26" s="1"/>
  <c r="BF8" i="26"/>
  <c r="BH8" i="26" s="1"/>
  <c r="BJ8" i="26" s="1"/>
  <c r="BF25" i="26"/>
  <c r="BH25" i="26" s="1"/>
  <c r="BJ25" i="26" s="1"/>
  <c r="BF52" i="26"/>
  <c r="BH52" i="26" s="1"/>
  <c r="BJ52" i="26" s="1"/>
  <c r="BF72" i="26"/>
  <c r="BH72" i="26" s="1"/>
  <c r="BJ72" i="26" s="1"/>
  <c r="BF104" i="26"/>
  <c r="BH104" i="26" s="1"/>
  <c r="BJ104" i="26" s="1"/>
  <c r="BF129" i="26"/>
  <c r="BH129" i="26" s="1"/>
  <c r="BJ129" i="26" s="1"/>
  <c r="BF205" i="26"/>
  <c r="BH205" i="26" s="1"/>
  <c r="BJ205" i="26" s="1"/>
  <c r="BF227" i="26"/>
  <c r="BH227" i="26" s="1"/>
  <c r="BJ227" i="26" s="1"/>
  <c r="BF302" i="26"/>
  <c r="BH302" i="26" s="1"/>
  <c r="BJ302" i="26" s="1"/>
  <c r="BF442" i="26"/>
  <c r="BH442" i="26" s="1"/>
  <c r="BJ442" i="26" s="1"/>
  <c r="BF468" i="26"/>
  <c r="BH468" i="26" s="1"/>
  <c r="BJ468" i="26" s="1"/>
  <c r="BF512" i="26"/>
  <c r="BH512" i="26" s="1"/>
  <c r="BJ512" i="26" s="1"/>
  <c r="BF670" i="26"/>
  <c r="BH670" i="26" s="1"/>
  <c r="BJ670" i="26" s="1"/>
  <c r="BF710" i="26"/>
  <c r="BH710" i="26" s="1"/>
  <c r="BJ710" i="26" s="1"/>
  <c r="BF757" i="26"/>
  <c r="BH757" i="26" s="1"/>
  <c r="BJ757" i="26" s="1"/>
  <c r="BF28" i="26"/>
  <c r="BH28" i="26" s="1"/>
  <c r="BJ28" i="26" s="1"/>
  <c r="BF45" i="26"/>
  <c r="BH45" i="26" s="1"/>
  <c r="BJ45" i="26" s="1"/>
  <c r="BF65" i="26"/>
  <c r="BH65" i="26" s="1"/>
  <c r="BJ65" i="26" s="1"/>
  <c r="BF173" i="26"/>
  <c r="BH173" i="26" s="1"/>
  <c r="BJ173" i="26" s="1"/>
  <c r="BF230" i="26"/>
  <c r="BH230" i="26" s="1"/>
  <c r="BJ230" i="26" s="1"/>
  <c r="BF261" i="26"/>
  <c r="BH261" i="26" s="1"/>
  <c r="BJ261" i="26" s="1"/>
  <c r="BF268" i="26"/>
  <c r="BH268" i="26" s="1"/>
  <c r="BJ268" i="26" s="1"/>
  <c r="BF433" i="26"/>
  <c r="BH433" i="26" s="1"/>
  <c r="BJ433" i="26" s="1"/>
  <c r="BF461" i="26"/>
  <c r="BH461" i="26" s="1"/>
  <c r="BJ461" i="26" s="1"/>
  <c r="BF474" i="26"/>
  <c r="BH474" i="26" s="1"/>
  <c r="BJ474" i="26" s="1"/>
  <c r="BF515" i="26"/>
  <c r="BH515" i="26" s="1"/>
  <c r="BJ515" i="26" s="1"/>
  <c r="BF569" i="26"/>
  <c r="BH569" i="26" s="1"/>
  <c r="BJ569" i="26" s="1"/>
  <c r="BF594" i="26"/>
  <c r="BH594" i="26" s="1"/>
  <c r="BJ594" i="26" s="1"/>
  <c r="BF597" i="26"/>
  <c r="BH597" i="26" s="1"/>
  <c r="BJ597" i="26" s="1"/>
  <c r="BF627" i="26"/>
  <c r="BH627" i="26" s="1"/>
  <c r="BJ627" i="26" s="1"/>
  <c r="BF633" i="26"/>
  <c r="BH633" i="26" s="1"/>
  <c r="BJ633" i="26" s="1"/>
  <c r="BF651" i="26"/>
  <c r="BH651" i="26" s="1"/>
  <c r="BJ651" i="26" s="1"/>
  <c r="BF678" i="26"/>
  <c r="BH678" i="26" s="1"/>
  <c r="BJ678" i="26" s="1"/>
  <c r="BF712" i="26"/>
  <c r="BH712" i="26" s="1"/>
  <c r="BJ712" i="26" s="1"/>
  <c r="BF767" i="26"/>
  <c r="BH767" i="26" s="1"/>
  <c r="BJ767" i="26" s="1"/>
  <c r="BF708" i="26"/>
  <c r="BH708" i="26" s="1"/>
  <c r="BJ708" i="26" s="1"/>
  <c r="BF755" i="26"/>
  <c r="BH755" i="26" s="1"/>
  <c r="BJ755" i="26" s="1"/>
  <c r="BF4" i="26"/>
  <c r="BH4" i="26" s="1"/>
  <c r="BJ4" i="26" s="1"/>
  <c r="BF21" i="26"/>
  <c r="BH21" i="26" s="1"/>
  <c r="BJ21" i="26" s="1"/>
  <c r="BF48" i="26"/>
  <c r="BH48" i="26" s="1"/>
  <c r="BJ48" i="26" s="1"/>
  <c r="BF68" i="26"/>
  <c r="BH68" i="26" s="1"/>
  <c r="BJ68" i="26" s="1"/>
  <c r="BF91" i="26"/>
  <c r="BH91" i="26" s="1"/>
  <c r="BJ91" i="26" s="1"/>
  <c r="BF195" i="26"/>
  <c r="BH195" i="26" s="1"/>
  <c r="BJ195" i="26" s="1"/>
  <c r="BF264" i="26"/>
  <c r="BH264" i="26" s="1"/>
  <c r="BJ264" i="26" s="1"/>
  <c r="BF411" i="26"/>
  <c r="BH411" i="26" s="1"/>
  <c r="BJ411" i="26" s="1"/>
  <c r="BF464" i="26"/>
  <c r="BH464" i="26" s="1"/>
  <c r="BJ464" i="26" s="1"/>
  <c r="BF496" i="26"/>
  <c r="BH496" i="26" s="1"/>
  <c r="BJ496" i="26" s="1"/>
  <c r="BF578" i="26"/>
  <c r="BH578" i="26" s="1"/>
  <c r="BJ578" i="26" s="1"/>
  <c r="BF630" i="26"/>
  <c r="BH630" i="26" s="1"/>
  <c r="BJ630" i="26" s="1"/>
  <c r="BF653" i="26"/>
  <c r="BH653" i="26" s="1"/>
  <c r="BJ653" i="26" s="1"/>
  <c r="BF24" i="26"/>
  <c r="BH24" i="26" s="1"/>
  <c r="BJ24" i="26" s="1"/>
  <c r="BF41" i="26"/>
  <c r="BH41" i="26" s="1"/>
  <c r="BJ41" i="26" s="1"/>
  <c r="BF61" i="26"/>
  <c r="BH61" i="26" s="1"/>
  <c r="BJ61" i="26" s="1"/>
  <c r="BF151" i="26"/>
  <c r="BH151" i="26" s="1"/>
  <c r="BJ151" i="26" s="1"/>
  <c r="BF223" i="26"/>
  <c r="BH223" i="26" s="1"/>
  <c r="BJ223" i="26" s="1"/>
  <c r="BF361" i="26"/>
  <c r="BH361" i="26" s="1"/>
  <c r="BJ361" i="26" s="1"/>
  <c r="BF383" i="26"/>
  <c r="BH383" i="26" s="1"/>
  <c r="BJ383" i="26" s="1"/>
  <c r="BF417" i="26"/>
  <c r="BH417" i="26" s="1"/>
  <c r="BJ417" i="26" s="1"/>
  <c r="BF454" i="26"/>
  <c r="BH454" i="26" s="1"/>
  <c r="BJ454" i="26" s="1"/>
  <c r="BF581" i="26"/>
  <c r="BH581" i="26" s="1"/>
  <c r="BJ581" i="26" s="1"/>
  <c r="BF659" i="26"/>
  <c r="BH659" i="26" s="1"/>
  <c r="BJ659" i="26" s="1"/>
  <c r="BF696" i="26"/>
  <c r="BH696" i="26" s="1"/>
  <c r="BJ696" i="26" s="1"/>
  <c r="BF17" i="26"/>
  <c r="BH17" i="26" s="1"/>
  <c r="BJ17" i="26" s="1"/>
  <c r="BF44" i="26"/>
  <c r="BH44" i="26" s="1"/>
  <c r="BJ44" i="26" s="1"/>
  <c r="BF64" i="26"/>
  <c r="BH64" i="26" s="1"/>
  <c r="BJ64" i="26" s="1"/>
  <c r="BF157" i="26"/>
  <c r="BH157" i="26" s="1"/>
  <c r="BJ157" i="26" s="1"/>
  <c r="BF182" i="26"/>
  <c r="BH182" i="26" s="1"/>
  <c r="BJ182" i="26" s="1"/>
  <c r="BF254" i="26"/>
  <c r="BH254" i="26" s="1"/>
  <c r="BJ254" i="26" s="1"/>
  <c r="BF267" i="26"/>
  <c r="BH267" i="26" s="1"/>
  <c r="BJ267" i="26" s="1"/>
  <c r="BF420" i="26"/>
  <c r="BH420" i="26" s="1"/>
  <c r="BJ420" i="26" s="1"/>
  <c r="BF457" i="26"/>
  <c r="BH457" i="26" s="1"/>
  <c r="BJ457" i="26" s="1"/>
  <c r="BF537" i="26"/>
  <c r="BH537" i="26" s="1"/>
  <c r="BJ537" i="26" s="1"/>
  <c r="BF562" i="26"/>
  <c r="BH562" i="26" s="1"/>
  <c r="BJ562" i="26" s="1"/>
  <c r="BF574" i="26"/>
  <c r="BH574" i="26" s="1"/>
  <c r="BJ574" i="26" s="1"/>
  <c r="BF623" i="26"/>
  <c r="BH623" i="26" s="1"/>
  <c r="BJ623" i="26" s="1"/>
  <c r="BF801" i="26"/>
  <c r="BH801" i="26" s="1"/>
  <c r="BJ801" i="26" s="1"/>
  <c r="BF2" i="26"/>
  <c r="BH2" i="26" s="1"/>
  <c r="BJ2" i="26" s="1"/>
  <c r="BF12" i="26"/>
  <c r="BH12" i="26" s="1"/>
  <c r="BJ12" i="26" s="1"/>
  <c r="BF36" i="26"/>
  <c r="BH36" i="26" s="1"/>
  <c r="BJ36" i="26" s="1"/>
  <c r="BF60" i="26"/>
  <c r="BH60" i="26" s="1"/>
  <c r="BJ60" i="26" s="1"/>
  <c r="BF87" i="26"/>
  <c r="BH87" i="26" s="1"/>
  <c r="BJ87" i="26" s="1"/>
  <c r="BF94" i="26"/>
  <c r="BH94" i="26" s="1"/>
  <c r="BJ94" i="26" s="1"/>
  <c r="BF132" i="26"/>
  <c r="BH132" i="26" s="1"/>
  <c r="BJ132" i="26" s="1"/>
  <c r="BF174" i="26"/>
  <c r="BH174" i="26" s="1"/>
  <c r="BJ174" i="26" s="1"/>
  <c r="BF184" i="26"/>
  <c r="BH184" i="26" s="1"/>
  <c r="BJ184" i="26" s="1"/>
  <c r="BF203" i="26"/>
  <c r="BH203" i="26" s="1"/>
  <c r="BJ203" i="26" s="1"/>
  <c r="BF244" i="26"/>
  <c r="BH244" i="26" s="1"/>
  <c r="BJ244" i="26" s="1"/>
  <c r="BF283" i="26"/>
  <c r="BH283" i="26" s="1"/>
  <c r="BJ283" i="26" s="1"/>
  <c r="BF362" i="26"/>
  <c r="BH362" i="26" s="1"/>
  <c r="BJ362" i="26" s="1"/>
  <c r="BF372" i="26"/>
  <c r="BH372" i="26" s="1"/>
  <c r="BJ372" i="26" s="1"/>
  <c r="BF403" i="26"/>
  <c r="BH403" i="26" s="1"/>
  <c r="BJ403" i="26" s="1"/>
  <c r="BF538" i="26"/>
  <c r="BH538" i="26" s="1"/>
  <c r="BJ538" i="26" s="1"/>
  <c r="BF830" i="26"/>
  <c r="BH830" i="26" s="1"/>
  <c r="BJ830" i="26" s="1"/>
  <c r="BF613" i="26"/>
  <c r="BH613" i="26" s="1"/>
  <c r="BJ613" i="26" s="1"/>
  <c r="BF642" i="26"/>
  <c r="BH642" i="26" s="1"/>
  <c r="BJ642" i="26" s="1"/>
  <c r="BF705" i="26"/>
  <c r="BH705" i="26" s="1"/>
  <c r="BJ705" i="26" s="1"/>
  <c r="BF771" i="26"/>
  <c r="BH771" i="26" s="1"/>
  <c r="BJ771" i="26" s="1"/>
  <c r="BF80" i="26"/>
  <c r="BH80" i="26" s="1"/>
  <c r="BJ80" i="26" s="1"/>
  <c r="BF289" i="26"/>
  <c r="BH289" i="26" s="1"/>
  <c r="BJ289" i="26" s="1"/>
  <c r="BF317" i="26"/>
  <c r="BH317" i="26" s="1"/>
  <c r="BJ317" i="26" s="1"/>
  <c r="BF352" i="26"/>
  <c r="BH352" i="26" s="1"/>
  <c r="BJ352" i="26" s="1"/>
  <c r="BF365" i="26"/>
  <c r="BH365" i="26" s="1"/>
  <c r="BJ365" i="26" s="1"/>
  <c r="BF450" i="26"/>
  <c r="BH450" i="26" s="1"/>
  <c r="BJ450" i="26" s="1"/>
  <c r="BF486" i="26"/>
  <c r="BH486" i="26" s="1"/>
  <c r="BJ486" i="26" s="1"/>
  <c r="BF508" i="26"/>
  <c r="BH508" i="26" s="1"/>
  <c r="BJ508" i="26" s="1"/>
  <c r="BF531" i="26"/>
  <c r="BH531" i="26" s="1"/>
  <c r="BJ531" i="26" s="1"/>
  <c r="BF541" i="26"/>
  <c r="BH541" i="26" s="1"/>
  <c r="BJ541" i="26" s="1"/>
  <c r="BF604" i="26"/>
  <c r="BH604" i="26" s="1"/>
  <c r="BJ604" i="26" s="1"/>
  <c r="BF648" i="26"/>
  <c r="BH648" i="26" s="1"/>
  <c r="BJ648" i="26" s="1"/>
  <c r="BF734" i="26"/>
  <c r="BH734" i="26" s="1"/>
  <c r="BJ734" i="26" s="1"/>
  <c r="BF56" i="26"/>
  <c r="BH56" i="26" s="1"/>
  <c r="BJ56" i="26" s="1"/>
  <c r="BF90" i="26"/>
  <c r="BH90" i="26" s="1"/>
  <c r="BJ90" i="26" s="1"/>
  <c r="BF122" i="26"/>
  <c r="BH122" i="26" s="1"/>
  <c r="BJ122" i="26" s="1"/>
  <c r="BF135" i="26"/>
  <c r="BH135" i="26" s="1"/>
  <c r="BJ135" i="26" s="1"/>
  <c r="BF161" i="26"/>
  <c r="BH161" i="26" s="1"/>
  <c r="BJ161" i="26" s="1"/>
  <c r="BF276" i="26"/>
  <c r="BH276" i="26" s="1"/>
  <c r="BJ276" i="26" s="1"/>
  <c r="BF355" i="26"/>
  <c r="BH355" i="26" s="1"/>
  <c r="BJ355" i="26" s="1"/>
  <c r="BF406" i="26"/>
  <c r="BH406" i="26" s="1"/>
  <c r="BJ406" i="26" s="1"/>
  <c r="BF431" i="26"/>
  <c r="BH431" i="26" s="1"/>
  <c r="BJ431" i="26" s="1"/>
  <c r="BF489" i="26"/>
  <c r="BH489" i="26" s="1"/>
  <c r="BJ489" i="26" s="1"/>
  <c r="BF585" i="26"/>
  <c r="BH585" i="26" s="1"/>
  <c r="BJ585" i="26" s="1"/>
  <c r="BF746" i="26"/>
  <c r="BH746" i="26" s="1"/>
  <c r="BJ746" i="26" s="1"/>
  <c r="BF93" i="26"/>
  <c r="BH93" i="26" s="1"/>
  <c r="BJ93" i="26" s="1"/>
  <c r="BF118" i="26"/>
  <c r="BH118" i="26" s="1"/>
  <c r="BJ118" i="26" s="1"/>
  <c r="BF125" i="26"/>
  <c r="BH125" i="26" s="1"/>
  <c r="BJ125" i="26" s="1"/>
  <c r="BF139" i="26"/>
  <c r="BH139" i="26" s="1"/>
  <c r="BJ139" i="26" s="1"/>
  <c r="BF146" i="26"/>
  <c r="BH146" i="26" s="1"/>
  <c r="BJ146" i="26" s="1"/>
  <c r="BF153" i="26"/>
  <c r="BH153" i="26" s="1"/>
  <c r="BJ153" i="26" s="1"/>
  <c r="BF170" i="26"/>
  <c r="BH170" i="26" s="1"/>
  <c r="BJ170" i="26" s="1"/>
  <c r="BF177" i="26"/>
  <c r="BH177" i="26" s="1"/>
  <c r="BJ177" i="26" s="1"/>
  <c r="BF191" i="26"/>
  <c r="BH191" i="26" s="1"/>
  <c r="BJ191" i="26" s="1"/>
  <c r="BF212" i="26"/>
  <c r="BH212" i="26" s="1"/>
  <c r="BJ212" i="26" s="1"/>
  <c r="BF250" i="26"/>
  <c r="BH250" i="26" s="1"/>
  <c r="BJ250" i="26" s="1"/>
  <c r="BF257" i="26"/>
  <c r="BH257" i="26" s="1"/>
  <c r="BJ257" i="26" s="1"/>
  <c r="BF271" i="26"/>
  <c r="BH271" i="26" s="1"/>
  <c r="BJ271" i="26" s="1"/>
  <c r="BF278" i="26"/>
  <c r="BH278" i="26" s="1"/>
  <c r="BJ278" i="26" s="1"/>
  <c r="BF285" i="26"/>
  <c r="BH285" i="26" s="1"/>
  <c r="BJ285" i="26" s="1"/>
  <c r="BF295" i="26"/>
  <c r="BH295" i="26" s="1"/>
  <c r="BJ295" i="26" s="1"/>
  <c r="BF333" i="26"/>
  <c r="BH333" i="26" s="1"/>
  <c r="BJ333" i="26" s="1"/>
  <c r="BF347" i="26"/>
  <c r="BH347" i="26" s="1"/>
  <c r="BJ347" i="26" s="1"/>
  <c r="BF389" i="26"/>
  <c r="BH389" i="26" s="1"/>
  <c r="BJ389" i="26" s="1"/>
  <c r="BF396" i="26"/>
  <c r="BH396" i="26" s="1"/>
  <c r="BJ396" i="26" s="1"/>
  <c r="BF413" i="26"/>
  <c r="BH413" i="26" s="1"/>
  <c r="BJ413" i="26" s="1"/>
  <c r="BF453" i="26"/>
  <c r="BH453" i="26" s="1"/>
  <c r="BJ453" i="26" s="1"/>
  <c r="BF460" i="26"/>
  <c r="BH460" i="26" s="1"/>
  <c r="BJ460" i="26" s="1"/>
  <c r="BF505" i="26"/>
  <c r="BH505" i="26" s="1"/>
  <c r="BJ505" i="26" s="1"/>
  <c r="BF519" i="26"/>
  <c r="BH519" i="26" s="1"/>
  <c r="BJ519" i="26" s="1"/>
  <c r="BF526" i="26"/>
  <c r="BH526" i="26" s="1"/>
  <c r="BJ526" i="26" s="1"/>
  <c r="BF533" i="26"/>
  <c r="BH533" i="26" s="1"/>
  <c r="BJ533" i="26" s="1"/>
  <c r="BF540" i="26"/>
  <c r="BH540" i="26" s="1"/>
  <c r="BJ540" i="26" s="1"/>
  <c r="BF629" i="26"/>
  <c r="BH629" i="26" s="1"/>
  <c r="BJ629" i="26" s="1"/>
  <c r="BF816" i="26"/>
  <c r="BH816" i="26" s="1"/>
  <c r="BJ816" i="26" s="1"/>
  <c r="BF806" i="26"/>
  <c r="BH806" i="26" s="1"/>
  <c r="BJ806" i="26" s="1"/>
  <c r="BF644" i="26"/>
  <c r="BH644" i="26" s="1"/>
  <c r="BJ644" i="26" s="1"/>
  <c r="BF703" i="26"/>
  <c r="BH703" i="26" s="1"/>
  <c r="BJ703" i="26" s="1"/>
  <c r="BF714" i="26"/>
  <c r="BH714" i="26" s="1"/>
  <c r="BJ714" i="26" s="1"/>
  <c r="BF731" i="26"/>
  <c r="BH731" i="26" s="1"/>
  <c r="BJ731" i="26" s="1"/>
  <c r="BF769" i="26"/>
  <c r="BH769" i="26" s="1"/>
  <c r="BJ769" i="26" s="1"/>
  <c r="BF786" i="26"/>
  <c r="BH786" i="26" s="1"/>
  <c r="BJ786" i="26" s="1"/>
  <c r="BF3" i="26"/>
  <c r="BH3" i="26" s="1"/>
  <c r="BJ3" i="26" s="1"/>
  <c r="BF15" i="26"/>
  <c r="BH15" i="26" s="1"/>
  <c r="BJ15" i="26" s="1"/>
  <c r="BF27" i="26"/>
  <c r="BH27" i="26" s="1"/>
  <c r="BJ27" i="26" s="1"/>
  <c r="BF31" i="26"/>
  <c r="BH31" i="26" s="1"/>
  <c r="BJ31" i="26" s="1"/>
  <c r="BF39" i="26"/>
  <c r="BH39" i="26" s="1"/>
  <c r="BJ39" i="26" s="1"/>
  <c r="BF47" i="26"/>
  <c r="BH47" i="26" s="1"/>
  <c r="BJ47" i="26" s="1"/>
  <c r="BF59" i="26"/>
  <c r="BH59" i="26" s="1"/>
  <c r="BJ59" i="26" s="1"/>
  <c r="BF71" i="26"/>
  <c r="BH71" i="26" s="1"/>
  <c r="BJ71" i="26" s="1"/>
  <c r="BF85" i="26"/>
  <c r="BH85" i="26" s="1"/>
  <c r="BJ85" i="26" s="1"/>
  <c r="BF110" i="26"/>
  <c r="BH110" i="26" s="1"/>
  <c r="BJ110" i="26" s="1"/>
  <c r="BF121" i="26"/>
  <c r="BH121" i="26" s="1"/>
  <c r="BJ121" i="26" s="1"/>
  <c r="BF131" i="26"/>
  <c r="BH131" i="26" s="1"/>
  <c r="BJ131" i="26" s="1"/>
  <c r="BF166" i="26"/>
  <c r="BH166" i="26" s="1"/>
  <c r="BJ166" i="26" s="1"/>
  <c r="BF201" i="26"/>
  <c r="BH201" i="26" s="1"/>
  <c r="BJ201" i="26" s="1"/>
  <c r="BF312" i="26"/>
  <c r="BH312" i="26" s="1"/>
  <c r="BJ312" i="26" s="1"/>
  <c r="BF339" i="26"/>
  <c r="BH339" i="26" s="1"/>
  <c r="BJ339" i="26" s="1"/>
  <c r="BF350" i="26"/>
  <c r="BH350" i="26" s="1"/>
  <c r="BJ350" i="26" s="1"/>
  <c r="BF463" i="26"/>
  <c r="BH463" i="26" s="1"/>
  <c r="BJ463" i="26" s="1"/>
  <c r="BF99" i="26"/>
  <c r="BH99" i="26" s="1"/>
  <c r="BJ99" i="26" s="1"/>
  <c r="BF113" i="26"/>
  <c r="BH113" i="26" s="1"/>
  <c r="BJ113" i="26" s="1"/>
  <c r="BF204" i="26"/>
  <c r="BH204" i="26" s="1"/>
  <c r="BJ204" i="26" s="1"/>
  <c r="BF221" i="26"/>
  <c r="BH221" i="26" s="1"/>
  <c r="BJ221" i="26" s="1"/>
  <c r="BF245" i="26"/>
  <c r="BH245" i="26" s="1"/>
  <c r="BJ245" i="26" s="1"/>
  <c r="BF301" i="26"/>
  <c r="BH301" i="26" s="1"/>
  <c r="BJ301" i="26" s="1"/>
  <c r="BF308" i="26"/>
  <c r="BH308" i="26" s="1"/>
  <c r="BJ308" i="26" s="1"/>
  <c r="BF325" i="26"/>
  <c r="BH325" i="26" s="1"/>
  <c r="BJ325" i="26" s="1"/>
  <c r="BF342" i="26"/>
  <c r="BH342" i="26" s="1"/>
  <c r="BJ342" i="26" s="1"/>
  <c r="BF367" i="26"/>
  <c r="BH367" i="26" s="1"/>
  <c r="BJ367" i="26" s="1"/>
  <c r="BF374" i="26"/>
  <c r="BH374" i="26" s="1"/>
  <c r="BJ374" i="26" s="1"/>
  <c r="BF381" i="26"/>
  <c r="BH381" i="26" s="1"/>
  <c r="BJ381" i="26" s="1"/>
  <c r="BF422" i="26"/>
  <c r="BH422" i="26" s="1"/>
  <c r="BJ422" i="26" s="1"/>
  <c r="BF448" i="26"/>
  <c r="BH448" i="26" s="1"/>
  <c r="BJ448" i="26" s="1"/>
  <c r="BF514" i="26"/>
  <c r="BH514" i="26" s="1"/>
  <c r="BJ514" i="26" s="1"/>
  <c r="BF832" i="26"/>
  <c r="BH832" i="26" s="1"/>
  <c r="BJ832" i="26" s="1"/>
  <c r="BF576" i="26"/>
  <c r="BH576" i="26" s="1"/>
  <c r="BJ576" i="26" s="1"/>
  <c r="BF583" i="26"/>
  <c r="BH583" i="26" s="1"/>
  <c r="BJ583" i="26" s="1"/>
  <c r="BF606" i="26"/>
  <c r="BH606" i="26" s="1"/>
  <c r="BJ606" i="26" s="1"/>
  <c r="BF621" i="26"/>
  <c r="BH621" i="26" s="1"/>
  <c r="BJ621" i="26" s="1"/>
  <c r="BF686" i="26"/>
  <c r="BH686" i="26" s="1"/>
  <c r="BJ686" i="26" s="1"/>
  <c r="BF800" i="26"/>
  <c r="BH800" i="26" s="1"/>
  <c r="BJ800" i="26" s="1"/>
  <c r="BF760" i="26"/>
  <c r="BH760" i="26" s="1"/>
  <c r="BJ760" i="26" s="1"/>
  <c r="BF779" i="26"/>
  <c r="BH779" i="26" s="1"/>
  <c r="BJ779" i="26" s="1"/>
  <c r="BF6" i="26"/>
  <c r="BH6" i="26" s="1"/>
  <c r="BJ6" i="26" s="1"/>
  <c r="BF10" i="26"/>
  <c r="BH10" i="26" s="1"/>
  <c r="BJ10" i="26" s="1"/>
  <c r="BF14" i="26"/>
  <c r="BH14" i="26" s="1"/>
  <c r="BJ14" i="26" s="1"/>
  <c r="BF18" i="26"/>
  <c r="BH18" i="26" s="1"/>
  <c r="BJ18" i="26" s="1"/>
  <c r="BF22" i="26"/>
  <c r="BH22" i="26" s="1"/>
  <c r="BJ22" i="26" s="1"/>
  <c r="BF26" i="26"/>
  <c r="BH26" i="26" s="1"/>
  <c r="BJ26" i="26" s="1"/>
  <c r="BF30" i="26"/>
  <c r="BH30" i="26" s="1"/>
  <c r="BJ30" i="26" s="1"/>
  <c r="BF34" i="26"/>
  <c r="BH34" i="26" s="1"/>
  <c r="BJ34" i="26" s="1"/>
  <c r="BF38" i="26"/>
  <c r="BH38" i="26" s="1"/>
  <c r="BJ38" i="26" s="1"/>
  <c r="BF42" i="26"/>
  <c r="BH42" i="26" s="1"/>
  <c r="BJ42" i="26" s="1"/>
  <c r="BF46" i="26"/>
  <c r="BH46" i="26" s="1"/>
  <c r="BJ46" i="26" s="1"/>
  <c r="BF50" i="26"/>
  <c r="BH50" i="26" s="1"/>
  <c r="BJ50" i="26" s="1"/>
  <c r="BF54" i="26"/>
  <c r="BH54" i="26" s="1"/>
  <c r="BJ54" i="26" s="1"/>
  <c r="BF62" i="26"/>
  <c r="BH62" i="26" s="1"/>
  <c r="BJ62" i="26" s="1"/>
  <c r="BF66" i="26"/>
  <c r="BH66" i="26" s="1"/>
  <c r="BJ66" i="26" s="1"/>
  <c r="BF70" i="26"/>
  <c r="BH70" i="26" s="1"/>
  <c r="BJ70" i="26" s="1"/>
  <c r="BF74" i="26"/>
  <c r="BH74" i="26" s="1"/>
  <c r="BJ74" i="26" s="1"/>
  <c r="BF102" i="26"/>
  <c r="BH102" i="26" s="1"/>
  <c r="BJ102" i="26" s="1"/>
  <c r="BF109" i="26"/>
  <c r="BH109" i="26" s="1"/>
  <c r="BJ109" i="26" s="1"/>
  <c r="BF120" i="26"/>
  <c r="BH120" i="26" s="1"/>
  <c r="BJ120" i="26" s="1"/>
  <c r="BF155" i="26"/>
  <c r="BH155" i="26" s="1"/>
  <c r="BJ155" i="26" s="1"/>
  <c r="BF165" i="26"/>
  <c r="BH165" i="26" s="1"/>
  <c r="BJ165" i="26" s="1"/>
  <c r="BF200" i="26"/>
  <c r="BH200" i="26" s="1"/>
  <c r="BJ200" i="26" s="1"/>
  <c r="BF214" i="26"/>
  <c r="BH214" i="26" s="1"/>
  <c r="BJ214" i="26" s="1"/>
  <c r="BF231" i="26"/>
  <c r="BH231" i="26" s="1"/>
  <c r="BJ231" i="26" s="1"/>
  <c r="BF241" i="26"/>
  <c r="BH241" i="26" s="1"/>
  <c r="BJ241" i="26" s="1"/>
  <c r="BF252" i="26"/>
  <c r="BH252" i="26" s="1"/>
  <c r="BJ252" i="26" s="1"/>
  <c r="BF287" i="26"/>
  <c r="BH287" i="26" s="1"/>
  <c r="BJ287" i="26" s="1"/>
  <c r="BF297" i="26"/>
  <c r="BH297" i="26" s="1"/>
  <c r="BJ297" i="26" s="1"/>
  <c r="BF328" i="26"/>
  <c r="BH328" i="26" s="1"/>
  <c r="BJ328" i="26" s="1"/>
  <c r="BF338" i="26"/>
  <c r="BH338" i="26" s="1"/>
  <c r="BJ338" i="26" s="1"/>
  <c r="BF782" i="26"/>
  <c r="BH782" i="26" s="1"/>
  <c r="BJ782" i="26" s="1"/>
  <c r="BF787" i="26"/>
  <c r="BH787" i="26" s="1"/>
  <c r="BJ787" i="26" s="1"/>
  <c r="BF776" i="26"/>
  <c r="BH776" i="26" s="1"/>
  <c r="BJ776" i="26" s="1"/>
  <c r="BF735" i="26"/>
  <c r="BH735" i="26" s="1"/>
  <c r="BJ735" i="26" s="1"/>
  <c r="BF728" i="26"/>
  <c r="BH728" i="26" s="1"/>
  <c r="BJ728" i="26" s="1"/>
  <c r="BF713" i="26"/>
  <c r="BH713" i="26" s="1"/>
  <c r="BJ713" i="26" s="1"/>
  <c r="BF700" i="26"/>
  <c r="BH700" i="26" s="1"/>
  <c r="BJ700" i="26" s="1"/>
  <c r="BF676" i="26"/>
  <c r="BH676" i="26" s="1"/>
  <c r="BJ676" i="26" s="1"/>
  <c r="BF667" i="26"/>
  <c r="BH667" i="26" s="1"/>
  <c r="BJ667" i="26" s="1"/>
  <c r="BF649" i="26"/>
  <c r="BH649" i="26" s="1"/>
  <c r="BJ649" i="26" s="1"/>
  <c r="BF640" i="26"/>
  <c r="BH640" i="26" s="1"/>
  <c r="BJ640" i="26" s="1"/>
  <c r="BF624" i="26"/>
  <c r="BH624" i="26" s="1"/>
  <c r="BJ624" i="26" s="1"/>
  <c r="BF620" i="26"/>
  <c r="BH620" i="26" s="1"/>
  <c r="BJ620" i="26" s="1"/>
  <c r="BF607" i="26"/>
  <c r="BH607" i="26" s="1"/>
  <c r="BJ607" i="26" s="1"/>
  <c r="BF603" i="26"/>
  <c r="BH603" i="26" s="1"/>
  <c r="BJ603" i="26" s="1"/>
  <c r="BF596" i="26"/>
  <c r="BH596" i="26" s="1"/>
  <c r="BJ596" i="26" s="1"/>
  <c r="BF582" i="26"/>
  <c r="BH582" i="26" s="1"/>
  <c r="BJ582" i="26" s="1"/>
  <c r="BF554" i="26"/>
  <c r="BH554" i="26" s="1"/>
  <c r="BJ554" i="26" s="1"/>
  <c r="BF509" i="26"/>
  <c r="BH509" i="26" s="1"/>
  <c r="BJ509" i="26" s="1"/>
  <c r="BF498" i="26"/>
  <c r="BH498" i="26" s="1"/>
  <c r="BJ498" i="26" s="1"/>
  <c r="BF443" i="26"/>
  <c r="BH443" i="26" s="1"/>
  <c r="BJ443" i="26" s="1"/>
  <c r="BF430" i="26"/>
  <c r="BH430" i="26" s="1"/>
  <c r="BJ430" i="26" s="1"/>
  <c r="BF412" i="26"/>
  <c r="BH412" i="26" s="1"/>
  <c r="BJ412" i="26" s="1"/>
  <c r="BF408" i="26"/>
  <c r="BH408" i="26" s="1"/>
  <c r="BJ408" i="26" s="1"/>
  <c r="BF386" i="26"/>
  <c r="BH386" i="26" s="1"/>
  <c r="BJ386" i="26" s="1"/>
  <c r="BF382" i="26"/>
  <c r="BH382" i="26" s="1"/>
  <c r="BJ382" i="26" s="1"/>
  <c r="BF356" i="26"/>
  <c r="BH356" i="26" s="1"/>
  <c r="BJ356" i="26" s="1"/>
  <c r="BF326" i="26"/>
  <c r="BH326" i="26" s="1"/>
  <c r="BJ326" i="26" s="1"/>
  <c r="BF322" i="26"/>
  <c r="BH322" i="26" s="1"/>
  <c r="BJ322" i="26" s="1"/>
  <c r="BF318" i="26"/>
  <c r="BH318" i="26" s="1"/>
  <c r="BJ318" i="26" s="1"/>
  <c r="BF307" i="26"/>
  <c r="BH307" i="26" s="1"/>
  <c r="BJ307" i="26" s="1"/>
  <c r="BF292" i="26"/>
  <c r="BH292" i="26" s="1"/>
  <c r="BJ292" i="26" s="1"/>
  <c r="BF288" i="26"/>
  <c r="BH288" i="26" s="1"/>
  <c r="BJ288" i="26" s="1"/>
  <c r="BF284" i="26"/>
  <c r="BH284" i="26" s="1"/>
  <c r="BJ284" i="26" s="1"/>
  <c r="BF258" i="26"/>
  <c r="BH258" i="26" s="1"/>
  <c r="BJ258" i="26" s="1"/>
  <c r="BF228" i="26"/>
  <c r="BH228" i="26" s="1"/>
  <c r="BJ228" i="26" s="1"/>
  <c r="BF224" i="26"/>
  <c r="BH224" i="26" s="1"/>
  <c r="BJ224" i="26" s="1"/>
  <c r="BF220" i="26"/>
  <c r="BH220" i="26" s="1"/>
  <c r="BJ220" i="26" s="1"/>
  <c r="BF209" i="26"/>
  <c r="BH209" i="26" s="1"/>
  <c r="BJ209" i="26" s="1"/>
  <c r="BF190" i="26"/>
  <c r="BH190" i="26" s="1"/>
  <c r="BJ190" i="26" s="1"/>
  <c r="BF160" i="26"/>
  <c r="BH160" i="26" s="1"/>
  <c r="BJ160" i="26" s="1"/>
  <c r="BF156" i="26"/>
  <c r="BH156" i="26" s="1"/>
  <c r="BJ156" i="26" s="1"/>
  <c r="BF152" i="26"/>
  <c r="BH152" i="26" s="1"/>
  <c r="BJ152" i="26" s="1"/>
  <c r="BF126" i="26"/>
  <c r="BH126" i="26" s="1"/>
  <c r="BJ126" i="26" s="1"/>
  <c r="BF96" i="26"/>
  <c r="BH96" i="26" s="1"/>
  <c r="BJ96" i="26" s="1"/>
  <c r="BF92" i="26"/>
  <c r="BH92" i="26" s="1"/>
  <c r="BJ92" i="26" s="1"/>
  <c r="BF88" i="26"/>
  <c r="BH88" i="26" s="1"/>
  <c r="BJ88" i="26" s="1"/>
  <c r="BF77" i="26"/>
  <c r="BH77" i="26" s="1"/>
  <c r="BJ77" i="26" s="1"/>
  <c r="BF783" i="26"/>
  <c r="BH783" i="26" s="1"/>
  <c r="BJ783" i="26" s="1"/>
  <c r="BF774" i="26"/>
  <c r="BH774" i="26" s="1"/>
  <c r="BJ774" i="26" s="1"/>
  <c r="BF733" i="26"/>
  <c r="BH733" i="26" s="1"/>
  <c r="BJ733" i="26" s="1"/>
  <c r="BF711" i="26"/>
  <c r="BH711" i="26" s="1"/>
  <c r="BJ711" i="26" s="1"/>
  <c r="BF672" i="26"/>
  <c r="BH672" i="26" s="1"/>
  <c r="BJ672" i="26" s="1"/>
  <c r="BF665" i="26"/>
  <c r="BH665" i="26" s="1"/>
  <c r="BJ665" i="26" s="1"/>
  <c r="BF654" i="26"/>
  <c r="BH654" i="26" s="1"/>
  <c r="BJ654" i="26" s="1"/>
  <c r="BF647" i="26"/>
  <c r="BH647" i="26" s="1"/>
  <c r="BJ647" i="26" s="1"/>
  <c r="BF579" i="26"/>
  <c r="BH579" i="26" s="1"/>
  <c r="BJ579" i="26" s="1"/>
  <c r="BF575" i="26"/>
  <c r="BH575" i="26" s="1"/>
  <c r="BJ575" i="26" s="1"/>
  <c r="BF829" i="26"/>
  <c r="BH829" i="26" s="1"/>
  <c r="BJ829" i="26" s="1"/>
  <c r="BF532" i="26"/>
  <c r="BH532" i="26" s="1"/>
  <c r="BJ532" i="26" s="1"/>
  <c r="BF528" i="26"/>
  <c r="BH528" i="26" s="1"/>
  <c r="BJ528" i="26" s="1"/>
  <c r="BF506" i="26"/>
  <c r="BH506" i="26" s="1"/>
  <c r="BJ506" i="26" s="1"/>
  <c r="BF502" i="26"/>
  <c r="BH502" i="26" s="1"/>
  <c r="BJ502" i="26" s="1"/>
  <c r="BF488" i="26"/>
  <c r="BH488" i="26" s="1"/>
  <c r="BJ488" i="26" s="1"/>
  <c r="BF416" i="26"/>
  <c r="BH416" i="26" s="1"/>
  <c r="BJ416" i="26" s="1"/>
  <c r="BF405" i="26"/>
  <c r="BH405" i="26" s="1"/>
  <c r="BJ405" i="26" s="1"/>
  <c r="BF394" i="26"/>
  <c r="BH394" i="26" s="1"/>
  <c r="BJ394" i="26" s="1"/>
  <c r="BF368" i="26"/>
  <c r="BH368" i="26" s="1"/>
  <c r="BJ368" i="26" s="1"/>
  <c r="BF364" i="26"/>
  <c r="BH364" i="26" s="1"/>
  <c r="BJ364" i="26" s="1"/>
  <c r="BF360" i="26"/>
  <c r="BH360" i="26" s="1"/>
  <c r="BJ360" i="26" s="1"/>
  <c r="BF334" i="26"/>
  <c r="BH334" i="26" s="1"/>
  <c r="BJ334" i="26" s="1"/>
  <c r="BF304" i="26"/>
  <c r="BH304" i="26" s="1"/>
  <c r="BJ304" i="26" s="1"/>
  <c r="BF300" i="26"/>
  <c r="BH300" i="26" s="1"/>
  <c r="BJ300" i="26" s="1"/>
  <c r="BF296" i="26"/>
  <c r="BH296" i="26" s="1"/>
  <c r="BJ296" i="26" s="1"/>
  <c r="BF270" i="26"/>
  <c r="BH270" i="26" s="1"/>
  <c r="BJ270" i="26" s="1"/>
  <c r="BF266" i="26"/>
  <c r="BH266" i="26" s="1"/>
  <c r="BJ266" i="26" s="1"/>
  <c r="BF262" i="26"/>
  <c r="BH262" i="26" s="1"/>
  <c r="BJ262" i="26" s="1"/>
  <c r="BF236" i="26"/>
  <c r="BH236" i="26" s="1"/>
  <c r="BJ236" i="26" s="1"/>
  <c r="BF206" i="26"/>
  <c r="BH206" i="26" s="1"/>
  <c r="BJ206" i="26" s="1"/>
  <c r="BF202" i="26"/>
  <c r="BH202" i="26" s="1"/>
  <c r="BJ202" i="26" s="1"/>
  <c r="BF198" i="26"/>
  <c r="BH198" i="26" s="1"/>
  <c r="BJ198" i="26" s="1"/>
  <c r="BF187" i="26"/>
  <c r="BH187" i="26" s="1"/>
  <c r="BJ187" i="26" s="1"/>
  <c r="BF168" i="26"/>
  <c r="BH168" i="26" s="1"/>
  <c r="BJ168" i="26" s="1"/>
  <c r="BF138" i="26"/>
  <c r="BH138" i="26" s="1"/>
  <c r="BJ138" i="26" s="1"/>
  <c r="BF134" i="26"/>
  <c r="BH134" i="26" s="1"/>
  <c r="BJ134" i="26" s="1"/>
  <c r="BF130" i="26"/>
  <c r="BH130" i="26" s="1"/>
  <c r="BJ130" i="26" s="1"/>
  <c r="BF761" i="26"/>
  <c r="BH761" i="26" s="1"/>
  <c r="BJ761" i="26" s="1"/>
  <c r="BF724" i="26"/>
  <c r="BH724" i="26" s="1"/>
  <c r="BJ724" i="26" s="1"/>
  <c r="BF698" i="26"/>
  <c r="BH698" i="26" s="1"/>
  <c r="BJ698" i="26" s="1"/>
  <c r="BF687" i="26"/>
  <c r="BH687" i="26" s="1"/>
  <c r="BJ687" i="26" s="1"/>
  <c r="BF656" i="26"/>
  <c r="BH656" i="26" s="1"/>
  <c r="BJ656" i="26" s="1"/>
  <c r="BF813" i="26"/>
  <c r="BH813" i="26" s="1"/>
  <c r="BJ813" i="26" s="1"/>
  <c r="BF804" i="26"/>
  <c r="BH804" i="26" s="1"/>
  <c r="BJ804" i="26" s="1"/>
  <c r="BF635" i="26"/>
  <c r="BH635" i="26" s="1"/>
  <c r="BJ635" i="26" s="1"/>
  <c r="BF628" i="26"/>
  <c r="BH628" i="26" s="1"/>
  <c r="BJ628" i="26" s="1"/>
  <c r="BF617" i="26"/>
  <c r="BH617" i="26" s="1"/>
  <c r="BJ617" i="26" s="1"/>
  <c r="BF586" i="26"/>
  <c r="BH586" i="26" s="1"/>
  <c r="BJ586" i="26" s="1"/>
  <c r="BF571" i="26"/>
  <c r="BH571" i="26" s="1"/>
  <c r="BJ571" i="26" s="1"/>
  <c r="BF568" i="26"/>
  <c r="BH568" i="26" s="1"/>
  <c r="BJ568" i="26" s="1"/>
  <c r="BF561" i="26"/>
  <c r="BH561" i="26" s="1"/>
  <c r="BJ561" i="26" s="1"/>
  <c r="BF546" i="26"/>
  <c r="BH546" i="26" s="1"/>
  <c r="BJ546" i="26" s="1"/>
  <c r="BF524" i="26"/>
  <c r="BH524" i="26" s="1"/>
  <c r="BJ524" i="26" s="1"/>
  <c r="BF484" i="26"/>
  <c r="BH484" i="26" s="1"/>
  <c r="BJ484" i="26" s="1"/>
  <c r="BF480" i="26"/>
  <c r="BH480" i="26" s="1"/>
  <c r="BJ480" i="26" s="1"/>
  <c r="BF466" i="26"/>
  <c r="BH466" i="26" s="1"/>
  <c r="BJ466" i="26" s="1"/>
  <c r="BF462" i="26"/>
  <c r="BH462" i="26" s="1"/>
  <c r="BJ462" i="26" s="1"/>
  <c r="BF458" i="26"/>
  <c r="BH458" i="26" s="1"/>
  <c r="BJ458" i="26" s="1"/>
  <c r="BF390" i="26"/>
  <c r="BH390" i="26" s="1"/>
  <c r="BJ390" i="26" s="1"/>
  <c r="BF345" i="26"/>
  <c r="BH345" i="26" s="1"/>
  <c r="BJ345" i="26" s="1"/>
  <c r="BF341" i="26"/>
  <c r="BH341" i="26" s="1"/>
  <c r="BJ341" i="26" s="1"/>
  <c r="BF337" i="26"/>
  <c r="BH337" i="26" s="1"/>
  <c r="BJ337" i="26" s="1"/>
  <c r="BF330" i="26"/>
  <c r="BH330" i="26" s="1"/>
  <c r="BJ330" i="26" s="1"/>
  <c r="BF311" i="26"/>
  <c r="BH311" i="26" s="1"/>
  <c r="BJ311" i="26" s="1"/>
  <c r="BF247" i="26"/>
  <c r="BH247" i="26" s="1"/>
  <c r="BJ247" i="26" s="1"/>
  <c r="BF243" i="26"/>
  <c r="BH243" i="26" s="1"/>
  <c r="BJ243" i="26" s="1"/>
  <c r="BF239" i="26"/>
  <c r="BH239" i="26" s="1"/>
  <c r="BJ239" i="26" s="1"/>
  <c r="BF232" i="26"/>
  <c r="BH232" i="26" s="1"/>
  <c r="BJ232" i="26" s="1"/>
  <c r="BF213" i="26"/>
  <c r="BH213" i="26" s="1"/>
  <c r="BJ213" i="26" s="1"/>
  <c r="BF183" i="26"/>
  <c r="BH183" i="26" s="1"/>
  <c r="BJ183" i="26" s="1"/>
  <c r="BF179" i="26"/>
  <c r="BH179" i="26" s="1"/>
  <c r="BJ179" i="26" s="1"/>
  <c r="BF175" i="26"/>
  <c r="BH175" i="26" s="1"/>
  <c r="BJ175" i="26" s="1"/>
  <c r="BF164" i="26"/>
  <c r="BH164" i="26" s="1"/>
  <c r="BJ164" i="26" s="1"/>
  <c r="BF115" i="26"/>
  <c r="BH115" i="26" s="1"/>
  <c r="BJ115" i="26" s="1"/>
  <c r="BF111" i="26"/>
  <c r="BH111" i="26" s="1"/>
  <c r="BJ111" i="26" s="1"/>
  <c r="BF107" i="26"/>
  <c r="BH107" i="26" s="1"/>
  <c r="BJ107" i="26" s="1"/>
  <c r="BF100" i="26"/>
  <c r="BH100" i="26" s="1"/>
  <c r="BJ100" i="26" s="1"/>
  <c r="BF81" i="26"/>
  <c r="BH81" i="26" s="1"/>
  <c r="BJ81" i="26" s="1"/>
  <c r="BF764" i="26"/>
  <c r="BH764" i="26" s="1"/>
  <c r="BJ764" i="26" s="1"/>
  <c r="BF753" i="26"/>
  <c r="BH753" i="26" s="1"/>
  <c r="BJ753" i="26" s="1"/>
  <c r="BF707" i="26"/>
  <c r="BH707" i="26" s="1"/>
  <c r="BJ707" i="26" s="1"/>
  <c r="BF688" i="26"/>
  <c r="BH688" i="26" s="1"/>
  <c r="BJ688" i="26" s="1"/>
  <c r="BF657" i="26"/>
  <c r="BH657" i="26" s="1"/>
  <c r="BJ657" i="26" s="1"/>
  <c r="BF805" i="26"/>
  <c r="BH805" i="26" s="1"/>
  <c r="BJ805" i="26" s="1"/>
  <c r="BF820" i="26"/>
  <c r="BH820" i="26" s="1"/>
  <c r="BJ820" i="26" s="1"/>
  <c r="BF817" i="26"/>
  <c r="BH817" i="26" s="1"/>
  <c r="BJ817" i="26" s="1"/>
  <c r="BF622" i="26"/>
  <c r="BH622" i="26" s="1"/>
  <c r="BJ622" i="26" s="1"/>
  <c r="BF615" i="26"/>
  <c r="BH615" i="26" s="1"/>
  <c r="BJ615" i="26" s="1"/>
  <c r="BF612" i="26"/>
  <c r="BH612" i="26" s="1"/>
  <c r="BJ612" i="26" s="1"/>
  <c r="BF609" i="26"/>
  <c r="BH609" i="26" s="1"/>
  <c r="BJ609" i="26" s="1"/>
  <c r="BF605" i="26"/>
  <c r="BH605" i="26" s="1"/>
  <c r="BJ605" i="26" s="1"/>
  <c r="BF601" i="26"/>
  <c r="BH601" i="26" s="1"/>
  <c r="BJ601" i="26" s="1"/>
  <c r="BF591" i="26"/>
  <c r="BH591" i="26" s="1"/>
  <c r="BJ591" i="26" s="1"/>
  <c r="BF549" i="26"/>
  <c r="BH549" i="26" s="1"/>
  <c r="BJ549" i="26" s="1"/>
  <c r="BF511" i="26"/>
  <c r="BH511" i="26" s="1"/>
  <c r="BJ511" i="26" s="1"/>
  <c r="BF471" i="26"/>
  <c r="BH471" i="26" s="1"/>
  <c r="BJ471" i="26" s="1"/>
  <c r="BF445" i="26"/>
  <c r="BH445" i="26" s="1"/>
  <c r="BJ445" i="26" s="1"/>
  <c r="BF432" i="26"/>
  <c r="BH432" i="26" s="1"/>
  <c r="BJ432" i="26" s="1"/>
  <c r="BF428" i="26"/>
  <c r="BH428" i="26" s="1"/>
  <c r="BJ428" i="26" s="1"/>
  <c r="BF421" i="26"/>
  <c r="BH421" i="26" s="1"/>
  <c r="BJ421" i="26" s="1"/>
  <c r="BF410" i="26"/>
  <c r="BH410" i="26" s="1"/>
  <c r="BJ410" i="26" s="1"/>
  <c r="BF399" i="26"/>
  <c r="BH399" i="26" s="1"/>
  <c r="BJ399" i="26" s="1"/>
  <c r="BF384" i="26"/>
  <c r="BH384" i="26" s="1"/>
  <c r="BJ384" i="26" s="1"/>
  <c r="BF373" i="26"/>
  <c r="BH373" i="26" s="1"/>
  <c r="BJ373" i="26" s="1"/>
  <c r="BF354" i="26"/>
  <c r="BH354" i="26" s="1"/>
  <c r="BJ354" i="26" s="1"/>
  <c r="BF324" i="26"/>
  <c r="BH324" i="26" s="1"/>
  <c r="BJ324" i="26" s="1"/>
  <c r="BF320" i="26"/>
  <c r="BH320" i="26" s="1"/>
  <c r="BJ320" i="26" s="1"/>
  <c r="BF316" i="26"/>
  <c r="BH316" i="26" s="1"/>
  <c r="BJ316" i="26" s="1"/>
  <c r="BF290" i="26"/>
  <c r="BH290" i="26" s="1"/>
  <c r="BJ290" i="26" s="1"/>
  <c r="BF286" i="26"/>
  <c r="BH286" i="26" s="1"/>
  <c r="BJ286" i="26" s="1"/>
  <c r="BF275" i="26"/>
  <c r="BH275" i="26" s="1"/>
  <c r="BJ275" i="26" s="1"/>
  <c r="BF256" i="26"/>
  <c r="BH256" i="26" s="1"/>
  <c r="BJ256" i="26" s="1"/>
  <c r="BF226" i="26"/>
  <c r="BH226" i="26" s="1"/>
  <c r="BJ226" i="26" s="1"/>
  <c r="BF222" i="26"/>
  <c r="BH222" i="26" s="1"/>
  <c r="BJ222" i="26" s="1"/>
  <c r="BF218" i="26"/>
  <c r="BH218" i="26" s="1"/>
  <c r="BJ218" i="26" s="1"/>
  <c r="BF192" i="26"/>
  <c r="BH192" i="26" s="1"/>
  <c r="BJ192" i="26" s="1"/>
  <c r="BF162" i="26"/>
  <c r="BH162" i="26" s="1"/>
  <c r="BJ162" i="26" s="1"/>
  <c r="BF158" i="26"/>
  <c r="BH158" i="26" s="1"/>
  <c r="BJ158" i="26" s="1"/>
  <c r="BF154" i="26"/>
  <c r="BH154" i="26" s="1"/>
  <c r="BJ154" i="26" s="1"/>
  <c r="BF143" i="26"/>
  <c r="BH143" i="26" s="1"/>
  <c r="BJ143" i="26" s="1"/>
  <c r="BF124" i="26"/>
  <c r="BH124" i="26" s="1"/>
  <c r="BJ124" i="26" s="1"/>
  <c r="BF7" i="26"/>
  <c r="BH7" i="26" s="1"/>
  <c r="BJ7" i="26" s="1"/>
  <c r="BF11" i="26"/>
  <c r="BH11" i="26" s="1"/>
  <c r="BJ11" i="26" s="1"/>
  <c r="BF19" i="26"/>
  <c r="BH19" i="26" s="1"/>
  <c r="BJ19" i="26" s="1"/>
  <c r="BF23" i="26"/>
  <c r="BH23" i="26" s="1"/>
  <c r="BJ23" i="26" s="1"/>
  <c r="BF35" i="26"/>
  <c r="BH35" i="26" s="1"/>
  <c r="BJ35" i="26" s="1"/>
  <c r="BF43" i="26"/>
  <c r="BH43" i="26" s="1"/>
  <c r="BJ43" i="26" s="1"/>
  <c r="BF51" i="26"/>
  <c r="BH51" i="26" s="1"/>
  <c r="BJ51" i="26" s="1"/>
  <c r="BF55" i="26"/>
  <c r="BH55" i="26" s="1"/>
  <c r="BJ55" i="26" s="1"/>
  <c r="BF63" i="26"/>
  <c r="BH63" i="26" s="1"/>
  <c r="BJ63" i="26" s="1"/>
  <c r="BF67" i="26"/>
  <c r="BH67" i="26" s="1"/>
  <c r="BJ67" i="26" s="1"/>
  <c r="BF103" i="26"/>
  <c r="BH103" i="26" s="1"/>
  <c r="BJ103" i="26" s="1"/>
  <c r="BF142" i="26"/>
  <c r="BH142" i="26" s="1"/>
  <c r="BJ142" i="26" s="1"/>
  <c r="BF180" i="26"/>
  <c r="BH180" i="26" s="1"/>
  <c r="BJ180" i="26" s="1"/>
  <c r="BF208" i="26"/>
  <c r="BH208" i="26" s="1"/>
  <c r="BJ208" i="26" s="1"/>
  <c r="BF225" i="26"/>
  <c r="BH225" i="26" s="1"/>
  <c r="BJ225" i="26" s="1"/>
  <c r="BF242" i="26"/>
  <c r="BH242" i="26" s="1"/>
  <c r="BJ242" i="26" s="1"/>
  <c r="BF253" i="26"/>
  <c r="BH253" i="26" s="1"/>
  <c r="BJ253" i="26" s="1"/>
  <c r="BF263" i="26"/>
  <c r="BH263" i="26" s="1"/>
  <c r="BJ263" i="26" s="1"/>
  <c r="BF274" i="26"/>
  <c r="BH274" i="26" s="1"/>
  <c r="BJ274" i="26" s="1"/>
  <c r="BF298" i="26"/>
  <c r="BH298" i="26" s="1"/>
  <c r="BJ298" i="26" s="1"/>
  <c r="BF329" i="26"/>
  <c r="BH329" i="26" s="1"/>
  <c r="BJ329" i="26" s="1"/>
  <c r="BF385" i="26"/>
  <c r="BH385" i="26" s="1"/>
  <c r="BJ385" i="26" s="1"/>
  <c r="BF392" i="26"/>
  <c r="BH392" i="26" s="1"/>
  <c r="BJ392" i="26" s="1"/>
  <c r="BF409" i="26"/>
  <c r="BH409" i="26" s="1"/>
  <c r="BJ409" i="26" s="1"/>
  <c r="BF426" i="26"/>
  <c r="BH426" i="26" s="1"/>
  <c r="BJ426" i="26" s="1"/>
  <c r="BF470" i="26"/>
  <c r="BH470" i="26" s="1"/>
  <c r="BJ470" i="26" s="1"/>
  <c r="BF564" i="26"/>
  <c r="BH564" i="26" s="1"/>
  <c r="BJ564" i="26" s="1"/>
  <c r="BF587" i="26"/>
  <c r="BH587" i="26" s="1"/>
  <c r="BJ587" i="26" s="1"/>
  <c r="BF625" i="26"/>
  <c r="BH625" i="26" s="1"/>
  <c r="BJ625" i="26" s="1"/>
  <c r="BF810" i="26"/>
  <c r="BH810" i="26" s="1"/>
  <c r="BJ810" i="26" s="1"/>
  <c r="BF697" i="26"/>
  <c r="BH697" i="26" s="1"/>
  <c r="BJ697" i="26" s="1"/>
  <c r="BF718" i="26"/>
  <c r="BH718" i="26" s="1"/>
  <c r="BJ718" i="26" s="1"/>
  <c r="BF743" i="26"/>
  <c r="BH743" i="26" s="1"/>
  <c r="BJ743" i="26" s="1"/>
  <c r="BF756" i="26"/>
  <c r="BH756" i="26" s="1"/>
  <c r="BJ756" i="26" s="1"/>
  <c r="BF775" i="26"/>
  <c r="BH775" i="26" s="1"/>
  <c r="BJ775" i="26" s="1"/>
  <c r="BF78" i="26"/>
  <c r="BH78" i="26" s="1"/>
  <c r="BJ78" i="26" s="1"/>
  <c r="BF117" i="26"/>
  <c r="BH117" i="26" s="1"/>
  <c r="BJ117" i="26" s="1"/>
  <c r="BF159" i="26"/>
  <c r="BH159" i="26" s="1"/>
  <c r="BJ159" i="26" s="1"/>
  <c r="BF169" i="26"/>
  <c r="BH169" i="26" s="1"/>
  <c r="BJ169" i="26" s="1"/>
  <c r="BF176" i="26"/>
  <c r="BH176" i="26" s="1"/>
  <c r="BJ176" i="26" s="1"/>
  <c r="BF197" i="26"/>
  <c r="BH197" i="26" s="1"/>
  <c r="BJ197" i="26" s="1"/>
  <c r="BF235" i="26"/>
  <c r="BH235" i="26" s="1"/>
  <c r="BJ235" i="26" s="1"/>
  <c r="BF249" i="26"/>
  <c r="BH249" i="26" s="1"/>
  <c r="BJ249" i="26" s="1"/>
  <c r="BF291" i="26"/>
  <c r="BH291" i="26" s="1"/>
  <c r="BJ291" i="26" s="1"/>
  <c r="BF294" i="26"/>
  <c r="BH294" i="26" s="1"/>
  <c r="BJ294" i="26" s="1"/>
  <c r="BF315" i="26"/>
  <c r="BH315" i="26" s="1"/>
  <c r="BJ315" i="26" s="1"/>
  <c r="BF332" i="26"/>
  <c r="BH332" i="26" s="1"/>
  <c r="BJ332" i="26" s="1"/>
  <c r="BF346" i="26"/>
  <c r="BH346" i="26" s="1"/>
  <c r="BJ346" i="26" s="1"/>
  <c r="BF378" i="26"/>
  <c r="BH378" i="26" s="1"/>
  <c r="BJ378" i="26" s="1"/>
  <c r="BF388" i="26"/>
  <c r="BH388" i="26" s="1"/>
  <c r="BJ388" i="26" s="1"/>
  <c r="BF395" i="26"/>
  <c r="BH395" i="26" s="1"/>
  <c r="BJ395" i="26" s="1"/>
  <c r="BF429" i="26"/>
  <c r="BH429" i="26" s="1"/>
  <c r="BJ429" i="26" s="1"/>
  <c r="BF452" i="26"/>
  <c r="BH452" i="26" s="1"/>
  <c r="BJ452" i="26" s="1"/>
  <c r="BF459" i="26"/>
  <c r="BH459" i="26" s="1"/>
  <c r="BJ459" i="26" s="1"/>
  <c r="BF494" i="26"/>
  <c r="BH494" i="26" s="1"/>
  <c r="BJ494" i="26" s="1"/>
  <c r="BF504" i="26"/>
  <c r="BH504" i="26" s="1"/>
  <c r="BJ504" i="26" s="1"/>
  <c r="BF518" i="26"/>
  <c r="BH518" i="26" s="1"/>
  <c r="BJ518" i="26" s="1"/>
  <c r="BF525" i="26"/>
  <c r="BH525" i="26" s="1"/>
  <c r="BJ525" i="26" s="1"/>
  <c r="BF560" i="26"/>
  <c r="BH560" i="26" s="1"/>
  <c r="BJ560" i="26" s="1"/>
  <c r="BF590" i="26"/>
  <c r="BH590" i="26" s="1"/>
  <c r="BJ590" i="26" s="1"/>
  <c r="BF812" i="26"/>
  <c r="BH812" i="26" s="1"/>
  <c r="BJ812" i="26" s="1"/>
  <c r="BF652" i="26"/>
  <c r="BH652" i="26" s="1"/>
  <c r="BJ652" i="26" s="1"/>
  <c r="BF669" i="26"/>
  <c r="BH669" i="26" s="1"/>
  <c r="BJ669" i="26" s="1"/>
  <c r="BF682" i="26"/>
  <c r="BH682" i="26" s="1"/>
  <c r="BJ682" i="26" s="1"/>
  <c r="BF798" i="26"/>
  <c r="BH798" i="26" s="1"/>
  <c r="BJ798" i="26" s="1"/>
  <c r="BF709" i="26"/>
  <c r="BH709" i="26" s="1"/>
  <c r="BJ709" i="26" s="1"/>
  <c r="BF745" i="26"/>
  <c r="BH745" i="26" s="1"/>
  <c r="BJ745" i="26" s="1"/>
  <c r="BF58" i="26"/>
  <c r="BH58" i="26" s="1"/>
  <c r="BJ58" i="26" s="1"/>
  <c r="BF391" i="26"/>
  <c r="BH391" i="26" s="1"/>
  <c r="BJ391" i="26" s="1"/>
  <c r="BF398" i="26"/>
  <c r="BH398" i="26" s="1"/>
  <c r="BJ398" i="26" s="1"/>
  <c r="BF425" i="26"/>
  <c r="BH425" i="26" s="1"/>
  <c r="BJ425" i="26" s="1"/>
  <c r="BF476" i="26"/>
  <c r="BH476" i="26" s="1"/>
  <c r="BJ476" i="26" s="1"/>
  <c r="BF483" i="26"/>
  <c r="BH483" i="26" s="1"/>
  <c r="BJ483" i="26" s="1"/>
  <c r="BF490" i="26"/>
  <c r="BH490" i="26" s="1"/>
  <c r="BJ490" i="26" s="1"/>
  <c r="BF828" i="26"/>
  <c r="BH828" i="26" s="1"/>
  <c r="BJ828" i="26" s="1"/>
  <c r="BF553" i="26"/>
  <c r="BH553" i="26" s="1"/>
  <c r="BJ553" i="26" s="1"/>
  <c r="BF563" i="26"/>
  <c r="BH563" i="26" s="1"/>
  <c r="BJ563" i="26" s="1"/>
  <c r="BF818" i="26"/>
  <c r="BH818" i="26" s="1"/>
  <c r="BJ818" i="26" s="1"/>
  <c r="BF803" i="26"/>
  <c r="BH803" i="26" s="1"/>
  <c r="BJ803" i="26" s="1"/>
  <c r="BF643" i="26"/>
  <c r="BH643" i="26" s="1"/>
  <c r="BJ643" i="26" s="1"/>
  <c r="BF671" i="26"/>
  <c r="BH671" i="26" s="1"/>
  <c r="BJ671" i="26" s="1"/>
  <c r="BF692" i="26"/>
  <c r="BH692" i="26" s="1"/>
  <c r="BJ692" i="26" s="1"/>
  <c r="BF730" i="26"/>
  <c r="BH730" i="26" s="1"/>
  <c r="BJ730" i="26" s="1"/>
  <c r="BF747" i="26"/>
  <c r="BH747" i="26" s="1"/>
  <c r="BJ747" i="26" s="1"/>
  <c r="BF95" i="26"/>
  <c r="BH95" i="26" s="1"/>
  <c r="BJ95" i="26" s="1"/>
  <c r="BF116" i="26"/>
  <c r="BH116" i="26" s="1"/>
  <c r="BJ116" i="26" s="1"/>
  <c r="BF148" i="26"/>
  <c r="BH148" i="26" s="1"/>
  <c r="BJ148" i="26" s="1"/>
  <c r="BF186" i="26"/>
  <c r="BH186" i="26" s="1"/>
  <c r="BJ186" i="26" s="1"/>
  <c r="BF196" i="26"/>
  <c r="BH196" i="26" s="1"/>
  <c r="BJ196" i="26" s="1"/>
  <c r="BF217" i="26"/>
  <c r="BH217" i="26" s="1"/>
  <c r="BJ217" i="26" s="1"/>
  <c r="BF234" i="26"/>
  <c r="BH234" i="26" s="1"/>
  <c r="BJ234" i="26" s="1"/>
  <c r="BF248" i="26"/>
  <c r="BH248" i="26" s="1"/>
  <c r="BJ248" i="26" s="1"/>
  <c r="BF280" i="26"/>
  <c r="BH280" i="26" s="1"/>
  <c r="BJ280" i="26" s="1"/>
  <c r="BF293" i="26"/>
  <c r="BH293" i="26" s="1"/>
  <c r="BJ293" i="26" s="1"/>
  <c r="BF321" i="26"/>
  <c r="BH321" i="26" s="1"/>
  <c r="BJ321" i="26" s="1"/>
  <c r="BF359" i="26"/>
  <c r="BH359" i="26" s="1"/>
  <c r="BJ359" i="26" s="1"/>
  <c r="BF370" i="26"/>
  <c r="BH370" i="26" s="1"/>
  <c r="BJ370" i="26" s="1"/>
  <c r="BF377" i="26"/>
  <c r="BH377" i="26" s="1"/>
  <c r="BJ377" i="26" s="1"/>
  <c r="BF418" i="26"/>
  <c r="BH418" i="26" s="1"/>
  <c r="BJ418" i="26" s="1"/>
  <c r="BF438" i="26"/>
  <c r="BH438" i="26" s="1"/>
  <c r="BJ438" i="26" s="1"/>
  <c r="BF444" i="26"/>
  <c r="BH444" i="26" s="1"/>
  <c r="BJ444" i="26" s="1"/>
  <c r="BF479" i="26"/>
  <c r="BH479" i="26" s="1"/>
  <c r="BJ479" i="26" s="1"/>
  <c r="BF493" i="26"/>
  <c r="BH493" i="26" s="1"/>
  <c r="BJ493" i="26" s="1"/>
  <c r="BF503" i="26"/>
  <c r="BH503" i="26" s="1"/>
  <c r="BJ503" i="26" s="1"/>
  <c r="BF510" i="26"/>
  <c r="BH510" i="26" s="1"/>
  <c r="BJ510" i="26" s="1"/>
  <c r="BF542" i="26"/>
  <c r="BH542" i="26" s="1"/>
  <c r="BJ542" i="26" s="1"/>
  <c r="BF559" i="26"/>
  <c r="BH559" i="26" s="1"/>
  <c r="BJ559" i="26" s="1"/>
  <c r="BF572" i="26"/>
  <c r="BH572" i="26" s="1"/>
  <c r="BJ572" i="26" s="1"/>
  <c r="BF602" i="26"/>
  <c r="BH602" i="26" s="1"/>
  <c r="BJ602" i="26" s="1"/>
  <c r="BF631" i="26"/>
  <c r="BH631" i="26" s="1"/>
  <c r="BJ631" i="26" s="1"/>
  <c r="BF634" i="26"/>
  <c r="BH634" i="26" s="1"/>
  <c r="BJ634" i="26" s="1"/>
  <c r="BF662" i="26"/>
  <c r="BH662" i="26" s="1"/>
  <c r="BJ662" i="26" s="1"/>
  <c r="BF673" i="26"/>
  <c r="BH673" i="26" s="1"/>
  <c r="BJ673" i="26" s="1"/>
  <c r="BF694" i="26"/>
  <c r="BH694" i="26" s="1"/>
  <c r="BJ694" i="26" s="1"/>
  <c r="BF751" i="26"/>
  <c r="BH751" i="26" s="1"/>
  <c r="BJ751" i="26" s="1"/>
  <c r="BK791" i="23"/>
  <c r="BL791" i="23" s="1"/>
  <c r="BM791" i="23" s="1"/>
  <c r="BK790" i="23"/>
  <c r="BF435" i="26"/>
  <c r="BH435" i="26" s="1"/>
  <c r="BJ435" i="26" s="1"/>
  <c r="BF440" i="26"/>
  <c r="BH440" i="26" s="1"/>
  <c r="BJ440" i="26" s="1"/>
  <c r="BF834" i="26"/>
  <c r="BH834" i="26" s="1"/>
  <c r="BJ834" i="26" s="1"/>
  <c r="BF551" i="26"/>
  <c r="BH551" i="26" s="1"/>
  <c r="BJ551" i="26" s="1"/>
  <c r="BF566" i="26"/>
  <c r="BH566" i="26" s="1"/>
  <c r="BJ566" i="26" s="1"/>
  <c r="BF637" i="26"/>
  <c r="BH637" i="26" s="1"/>
  <c r="BJ637" i="26" s="1"/>
  <c r="BF823" i="26"/>
  <c r="BH823" i="26" s="1"/>
  <c r="BJ823" i="26" s="1"/>
  <c r="BF650" i="26"/>
  <c r="BH650" i="26" s="1"/>
  <c r="BJ650" i="26" s="1"/>
  <c r="BF663" i="26"/>
  <c r="BH663" i="26" s="1"/>
  <c r="BJ663" i="26" s="1"/>
  <c r="BF689" i="26"/>
  <c r="BH689" i="26" s="1"/>
  <c r="BJ689" i="26" s="1"/>
  <c r="BF699" i="26"/>
  <c r="BH699" i="26" s="1"/>
  <c r="BJ699" i="26" s="1"/>
  <c r="BF727" i="26"/>
  <c r="BH727" i="26" s="1"/>
  <c r="BJ727" i="26" s="1"/>
  <c r="BF740" i="26"/>
  <c r="BH740" i="26" s="1"/>
  <c r="BJ740" i="26" s="1"/>
  <c r="BF773" i="26"/>
  <c r="BH773" i="26" s="1"/>
  <c r="BJ773" i="26" s="1"/>
  <c r="BF436" i="26"/>
  <c r="BH436" i="26" s="1"/>
  <c r="BJ436" i="26" s="1"/>
  <c r="BF547" i="26"/>
  <c r="BH547" i="26" s="1"/>
  <c r="BJ547" i="26" s="1"/>
  <c r="BF567" i="26"/>
  <c r="BH567" i="26" s="1"/>
  <c r="BJ567" i="26" s="1"/>
  <c r="BF600" i="26"/>
  <c r="BH600" i="26" s="1"/>
  <c r="BJ600" i="26" s="1"/>
  <c r="BF610" i="26"/>
  <c r="BH610" i="26" s="1"/>
  <c r="BJ610" i="26" s="1"/>
  <c r="BF824" i="26"/>
  <c r="BH824" i="26" s="1"/>
  <c r="BJ824" i="26" s="1"/>
  <c r="BF807" i="26"/>
  <c r="BH807" i="26" s="1"/>
  <c r="BJ807" i="26" s="1"/>
  <c r="BF645" i="26"/>
  <c r="BH645" i="26" s="1"/>
  <c r="BJ645" i="26" s="1"/>
  <c r="BF684" i="26"/>
  <c r="BH684" i="26" s="1"/>
  <c r="BJ684" i="26" s="1"/>
  <c r="BF715" i="26"/>
  <c r="BH715" i="26" s="1"/>
  <c r="BJ715" i="26" s="1"/>
  <c r="BF725" i="26"/>
  <c r="BH725" i="26" s="1"/>
  <c r="BJ725" i="26" s="1"/>
  <c r="BF738" i="26"/>
  <c r="BH738" i="26" s="1"/>
  <c r="BJ738" i="26" s="1"/>
  <c r="BF758" i="26"/>
  <c r="BH758" i="26" s="1"/>
  <c r="BJ758" i="26" s="1"/>
  <c r="BF414" i="26"/>
  <c r="BH414" i="26" s="1"/>
  <c r="BJ414" i="26" s="1"/>
  <c r="BF434" i="26"/>
  <c r="BH434" i="26" s="1"/>
  <c r="BJ434" i="26" s="1"/>
  <c r="BF439" i="26"/>
  <c r="BH439" i="26" s="1"/>
  <c r="BJ439" i="26" s="1"/>
  <c r="BF534" i="26"/>
  <c r="BH534" i="26" s="1"/>
  <c r="BJ534" i="26" s="1"/>
  <c r="BF833" i="26"/>
  <c r="BH833" i="26" s="1"/>
  <c r="BJ833" i="26" s="1"/>
  <c r="BF550" i="26"/>
  <c r="BH550" i="26" s="1"/>
  <c r="BJ550" i="26" s="1"/>
  <c r="BF555" i="26"/>
  <c r="BH555" i="26" s="1"/>
  <c r="BJ555" i="26" s="1"/>
  <c r="BF565" i="26"/>
  <c r="BH565" i="26" s="1"/>
  <c r="BJ565" i="26" s="1"/>
  <c r="BF636" i="26"/>
  <c r="BH636" i="26" s="1"/>
  <c r="BJ636" i="26" s="1"/>
  <c r="BF655" i="26"/>
  <c r="BH655" i="26" s="1"/>
  <c r="BJ655" i="26" s="1"/>
  <c r="BF668" i="26"/>
  <c r="BH668" i="26" s="1"/>
  <c r="BJ668" i="26" s="1"/>
  <c r="BF732" i="26"/>
  <c r="BH732" i="26" s="1"/>
  <c r="BJ732" i="26" s="1"/>
  <c r="BF742" i="26"/>
  <c r="BH742" i="26" s="1"/>
  <c r="BJ742" i="26" s="1"/>
  <c r="BF765" i="26"/>
  <c r="BH765" i="26" s="1"/>
  <c r="BJ765" i="26" s="1"/>
  <c r="BF762" i="26"/>
  <c r="BH762" i="26" s="1"/>
  <c r="BJ762" i="26" s="1"/>
  <c r="BF772" i="26"/>
  <c r="BH772" i="26" s="1"/>
  <c r="BJ772" i="26" s="1"/>
  <c r="BF387" i="26"/>
  <c r="BH387" i="26" s="1"/>
  <c r="BJ387" i="26" s="1"/>
  <c r="BF407" i="26"/>
  <c r="BH407" i="26" s="1"/>
  <c r="BJ407" i="26" s="1"/>
  <c r="BF427" i="26"/>
  <c r="BH427" i="26" s="1"/>
  <c r="BJ427" i="26" s="1"/>
  <c r="BF467" i="26"/>
  <c r="BH467" i="26" s="1"/>
  <c r="BJ467" i="26" s="1"/>
  <c r="BF472" i="26"/>
  <c r="BH472" i="26" s="1"/>
  <c r="BJ472" i="26" s="1"/>
  <c r="BF487" i="26"/>
  <c r="BH487" i="26" s="1"/>
  <c r="BJ487" i="26" s="1"/>
  <c r="BF492" i="26"/>
  <c r="BH492" i="26" s="1"/>
  <c r="BJ492" i="26" s="1"/>
  <c r="BF497" i="26"/>
  <c r="BH497" i="26" s="1"/>
  <c r="BJ497" i="26" s="1"/>
  <c r="BF507" i="26"/>
  <c r="BH507" i="26" s="1"/>
  <c r="BJ507" i="26" s="1"/>
  <c r="BF527" i="26"/>
  <c r="BH527" i="26" s="1"/>
  <c r="BJ527" i="26" s="1"/>
  <c r="BF826" i="26"/>
  <c r="BH826" i="26" s="1"/>
  <c r="BJ826" i="26" s="1"/>
  <c r="BF558" i="26"/>
  <c r="BH558" i="26" s="1"/>
  <c r="BJ558" i="26" s="1"/>
  <c r="BF573" i="26"/>
  <c r="BH573" i="26" s="1"/>
  <c r="BJ573" i="26" s="1"/>
  <c r="BF593" i="26"/>
  <c r="BH593" i="26" s="1"/>
  <c r="BJ593" i="26" s="1"/>
  <c r="BF616" i="26"/>
  <c r="BH616" i="26" s="1"/>
  <c r="BJ616" i="26" s="1"/>
  <c r="BF626" i="26"/>
  <c r="BH626" i="26" s="1"/>
  <c r="BJ626" i="26" s="1"/>
  <c r="BF808" i="26"/>
  <c r="BH808" i="26" s="1"/>
  <c r="BJ808" i="26" s="1"/>
  <c r="BF646" i="26"/>
  <c r="BH646" i="26" s="1"/>
  <c r="BJ646" i="26" s="1"/>
  <c r="BF685" i="26"/>
  <c r="BH685" i="26" s="1"/>
  <c r="BJ685" i="26" s="1"/>
  <c r="BF716" i="26"/>
  <c r="BH716" i="26" s="1"/>
  <c r="BJ716" i="26" s="1"/>
  <c r="BF759" i="26"/>
  <c r="BH759" i="26" s="1"/>
  <c r="BJ759" i="26" s="1"/>
  <c r="BF83" i="26"/>
  <c r="BH83" i="26" s="1"/>
  <c r="BJ83" i="26" s="1"/>
  <c r="BF105" i="26"/>
  <c r="BH105" i="26" s="1"/>
  <c r="BJ105" i="26" s="1"/>
  <c r="BF127" i="26"/>
  <c r="BH127" i="26" s="1"/>
  <c r="BJ127" i="26" s="1"/>
  <c r="BF149" i="26"/>
  <c r="BH149" i="26" s="1"/>
  <c r="BJ149" i="26" s="1"/>
  <c r="BF171" i="26"/>
  <c r="BH171" i="26" s="1"/>
  <c r="BJ171" i="26" s="1"/>
  <c r="BF193" i="26"/>
  <c r="BH193" i="26" s="1"/>
  <c r="BJ193" i="26" s="1"/>
  <c r="BF215" i="26"/>
  <c r="BH215" i="26" s="1"/>
  <c r="BJ215" i="26" s="1"/>
  <c r="BF237" i="26"/>
  <c r="BH237" i="26" s="1"/>
  <c r="BJ237" i="26" s="1"/>
  <c r="BF259" i="26"/>
  <c r="BH259" i="26" s="1"/>
  <c r="BJ259" i="26" s="1"/>
  <c r="BF281" i="26"/>
  <c r="BH281" i="26" s="1"/>
  <c r="BJ281" i="26" s="1"/>
  <c r="BF313" i="26"/>
  <c r="BH313" i="26" s="1"/>
  <c r="BJ313" i="26" s="1"/>
  <c r="BF335" i="26"/>
  <c r="BH335" i="26" s="1"/>
  <c r="BJ335" i="26" s="1"/>
  <c r="BF357" i="26"/>
  <c r="BH357" i="26" s="1"/>
  <c r="BJ357" i="26" s="1"/>
  <c r="BF379" i="26"/>
  <c r="BH379" i="26" s="1"/>
  <c r="BJ379" i="26" s="1"/>
  <c r="BF401" i="26"/>
  <c r="BH401" i="26" s="1"/>
  <c r="BJ401" i="26" s="1"/>
  <c r="BF423" i="26"/>
  <c r="BH423" i="26" s="1"/>
  <c r="BJ423" i="26" s="1"/>
  <c r="BF455" i="26"/>
  <c r="BH455" i="26" s="1"/>
  <c r="BJ455" i="26" s="1"/>
  <c r="BF477" i="26"/>
  <c r="BH477" i="26" s="1"/>
  <c r="BJ477" i="26" s="1"/>
  <c r="BF499" i="26"/>
  <c r="BH499" i="26" s="1"/>
  <c r="BJ499" i="26" s="1"/>
  <c r="BF521" i="26"/>
  <c r="BH521" i="26" s="1"/>
  <c r="BJ521" i="26" s="1"/>
  <c r="BF543" i="26"/>
  <c r="BH543" i="26" s="1"/>
  <c r="BJ543" i="26" s="1"/>
  <c r="BF556" i="26"/>
  <c r="BH556" i="26" s="1"/>
  <c r="BJ556" i="26" s="1"/>
  <c r="BF588" i="26"/>
  <c r="BH588" i="26" s="1"/>
  <c r="BJ588" i="26" s="1"/>
  <c r="BF598" i="26"/>
  <c r="BH598" i="26" s="1"/>
  <c r="BJ598" i="26" s="1"/>
  <c r="BF618" i="26"/>
  <c r="BH618" i="26" s="1"/>
  <c r="BJ618" i="26" s="1"/>
  <c r="BF638" i="26"/>
  <c r="BH638" i="26" s="1"/>
  <c r="BJ638" i="26" s="1"/>
  <c r="BF821" i="26"/>
  <c r="BH821" i="26" s="1"/>
  <c r="BJ821" i="26" s="1"/>
  <c r="BF641" i="26"/>
  <c r="BH641" i="26" s="1"/>
  <c r="BJ641" i="26" s="1"/>
  <c r="BF660" i="26"/>
  <c r="BH660" i="26" s="1"/>
  <c r="BJ660" i="26" s="1"/>
  <c r="BF679" i="26"/>
  <c r="BH679" i="26" s="1"/>
  <c r="BJ679" i="26" s="1"/>
  <c r="BF695" i="26"/>
  <c r="BH695" i="26" s="1"/>
  <c r="BJ695" i="26" s="1"/>
  <c r="BF706" i="26"/>
  <c r="BH706" i="26" s="1"/>
  <c r="BJ706" i="26" s="1"/>
  <c r="BF754" i="26"/>
  <c r="BH754" i="26" s="1"/>
  <c r="BJ754" i="26" s="1"/>
  <c r="BF79" i="26"/>
  <c r="BH79" i="26" s="1"/>
  <c r="BJ79" i="26" s="1"/>
  <c r="BF101" i="26"/>
  <c r="BH101" i="26" s="1"/>
  <c r="BJ101" i="26" s="1"/>
  <c r="BF123" i="26"/>
  <c r="BH123" i="26" s="1"/>
  <c r="BJ123" i="26" s="1"/>
  <c r="BF145" i="26"/>
  <c r="BH145" i="26" s="1"/>
  <c r="BJ145" i="26" s="1"/>
  <c r="BF167" i="26"/>
  <c r="BH167" i="26" s="1"/>
  <c r="BJ167" i="26" s="1"/>
  <c r="BF189" i="26"/>
  <c r="BH189" i="26" s="1"/>
  <c r="BJ189" i="26" s="1"/>
  <c r="BF211" i="26"/>
  <c r="BH211" i="26" s="1"/>
  <c r="BJ211" i="26" s="1"/>
  <c r="BF233" i="26"/>
  <c r="BH233" i="26" s="1"/>
  <c r="BJ233" i="26" s="1"/>
  <c r="BF255" i="26"/>
  <c r="BH255" i="26" s="1"/>
  <c r="BJ255" i="26" s="1"/>
  <c r="BF277" i="26"/>
  <c r="BH277" i="26" s="1"/>
  <c r="BJ277" i="26" s="1"/>
  <c r="BF309" i="26"/>
  <c r="BH309" i="26" s="1"/>
  <c r="BJ309" i="26" s="1"/>
  <c r="BF331" i="26"/>
  <c r="BH331" i="26" s="1"/>
  <c r="BJ331" i="26" s="1"/>
  <c r="BF353" i="26"/>
  <c r="BH353" i="26" s="1"/>
  <c r="BJ353" i="26" s="1"/>
  <c r="BF375" i="26"/>
  <c r="BH375" i="26" s="1"/>
  <c r="BJ375" i="26" s="1"/>
  <c r="BF397" i="26"/>
  <c r="BH397" i="26" s="1"/>
  <c r="BJ397" i="26" s="1"/>
  <c r="BF419" i="26"/>
  <c r="BH419" i="26" s="1"/>
  <c r="BJ419" i="26" s="1"/>
  <c r="BF441" i="26"/>
  <c r="BH441" i="26" s="1"/>
  <c r="BJ441" i="26" s="1"/>
  <c r="BF451" i="26"/>
  <c r="BH451" i="26" s="1"/>
  <c r="BJ451" i="26" s="1"/>
  <c r="BF473" i="26"/>
  <c r="BH473" i="26" s="1"/>
  <c r="BJ473" i="26" s="1"/>
  <c r="BF495" i="26"/>
  <c r="BH495" i="26" s="1"/>
  <c r="BJ495" i="26" s="1"/>
  <c r="BF517" i="26"/>
  <c r="BH517" i="26" s="1"/>
  <c r="BJ517" i="26" s="1"/>
  <c r="BF539" i="26"/>
  <c r="BH539" i="26" s="1"/>
  <c r="BJ539" i="26" s="1"/>
  <c r="BF552" i="26"/>
  <c r="BH552" i="26" s="1"/>
  <c r="BJ552" i="26" s="1"/>
  <c r="BF584" i="26"/>
  <c r="BH584" i="26" s="1"/>
  <c r="BJ584" i="26" s="1"/>
  <c r="BF614" i="26"/>
  <c r="BH614" i="26" s="1"/>
  <c r="BJ614" i="26" s="1"/>
  <c r="BF819" i="26"/>
  <c r="BH819" i="26" s="1"/>
  <c r="BJ819" i="26" s="1"/>
  <c r="BF677" i="26"/>
  <c r="BH677" i="26" s="1"/>
  <c r="BJ677" i="26" s="1"/>
  <c r="BF693" i="26"/>
  <c r="BH693" i="26" s="1"/>
  <c r="BJ693" i="26" s="1"/>
  <c r="BF704" i="26"/>
  <c r="BH704" i="26" s="1"/>
  <c r="BJ704" i="26" s="1"/>
  <c r="BF739" i="26"/>
  <c r="BH739" i="26" s="1"/>
  <c r="BJ739" i="26" s="1"/>
  <c r="BF752" i="26"/>
  <c r="BH752" i="26" s="1"/>
  <c r="BJ752" i="26" s="1"/>
  <c r="BF768" i="26"/>
  <c r="BH768" i="26" s="1"/>
  <c r="BJ768" i="26" s="1"/>
  <c r="BF784" i="26"/>
  <c r="BH784" i="26" s="1"/>
  <c r="BJ784" i="26" s="1"/>
  <c r="BF84" i="26"/>
  <c r="BH84" i="26" s="1"/>
  <c r="BJ84" i="26" s="1"/>
  <c r="BF106" i="26"/>
  <c r="BH106" i="26" s="1"/>
  <c r="BJ106" i="26" s="1"/>
  <c r="BF128" i="26"/>
  <c r="BH128" i="26" s="1"/>
  <c r="BJ128" i="26" s="1"/>
  <c r="BF150" i="26"/>
  <c r="BH150" i="26" s="1"/>
  <c r="BJ150" i="26" s="1"/>
  <c r="BF172" i="26"/>
  <c r="BH172" i="26" s="1"/>
  <c r="BJ172" i="26" s="1"/>
  <c r="BF194" i="26"/>
  <c r="BH194" i="26" s="1"/>
  <c r="BJ194" i="26" s="1"/>
  <c r="BF216" i="26"/>
  <c r="BH216" i="26" s="1"/>
  <c r="BJ216" i="26" s="1"/>
  <c r="BF238" i="26"/>
  <c r="BH238" i="26" s="1"/>
  <c r="BJ238" i="26" s="1"/>
  <c r="BF260" i="26"/>
  <c r="BH260" i="26" s="1"/>
  <c r="BJ260" i="26" s="1"/>
  <c r="BF282" i="26"/>
  <c r="BH282" i="26" s="1"/>
  <c r="BJ282" i="26" s="1"/>
  <c r="BF314" i="26"/>
  <c r="BH314" i="26" s="1"/>
  <c r="BJ314" i="26" s="1"/>
  <c r="BF336" i="26"/>
  <c r="BH336" i="26" s="1"/>
  <c r="BJ336" i="26" s="1"/>
  <c r="BF358" i="26"/>
  <c r="BH358" i="26" s="1"/>
  <c r="BJ358" i="26" s="1"/>
  <c r="BF380" i="26"/>
  <c r="BH380" i="26" s="1"/>
  <c r="BJ380" i="26" s="1"/>
  <c r="BF402" i="26"/>
  <c r="BH402" i="26" s="1"/>
  <c r="BJ402" i="26" s="1"/>
  <c r="BF424" i="26"/>
  <c r="BH424" i="26" s="1"/>
  <c r="BJ424" i="26" s="1"/>
  <c r="BF456" i="26"/>
  <c r="BH456" i="26" s="1"/>
  <c r="BJ456" i="26" s="1"/>
  <c r="BF478" i="26"/>
  <c r="BH478" i="26" s="1"/>
  <c r="BJ478" i="26" s="1"/>
  <c r="BF500" i="26"/>
  <c r="BH500" i="26" s="1"/>
  <c r="BJ500" i="26" s="1"/>
  <c r="BF522" i="26"/>
  <c r="BH522" i="26" s="1"/>
  <c r="BJ522" i="26" s="1"/>
  <c r="BF544" i="26"/>
  <c r="BH544" i="26" s="1"/>
  <c r="BJ544" i="26" s="1"/>
  <c r="BF557" i="26"/>
  <c r="BH557" i="26" s="1"/>
  <c r="BJ557" i="26" s="1"/>
  <c r="BF589" i="26"/>
  <c r="BH589" i="26" s="1"/>
  <c r="BJ589" i="26" s="1"/>
  <c r="BF599" i="26"/>
  <c r="BH599" i="26" s="1"/>
  <c r="BJ599" i="26" s="1"/>
  <c r="BF619" i="26"/>
  <c r="BH619" i="26" s="1"/>
  <c r="BJ619" i="26" s="1"/>
  <c r="BF822" i="26"/>
  <c r="BH822" i="26" s="1"/>
  <c r="BJ822" i="26" s="1"/>
  <c r="BF674" i="26"/>
  <c r="BH674" i="26" s="1"/>
  <c r="BJ674" i="26" s="1"/>
  <c r="BF690" i="26"/>
  <c r="BH690" i="26" s="1"/>
  <c r="BJ690" i="26" s="1"/>
  <c r="BF701" i="26"/>
  <c r="BH701" i="26" s="1"/>
  <c r="BJ701" i="26" s="1"/>
  <c r="BF720" i="26"/>
  <c r="BH720" i="26" s="1"/>
  <c r="BJ720" i="26" s="1"/>
  <c r="BF736" i="26"/>
  <c r="BH736" i="26" s="1"/>
  <c r="BJ736" i="26" s="1"/>
  <c r="BF749" i="26"/>
  <c r="BH749" i="26" s="1"/>
  <c r="BJ749" i="26" s="1"/>
  <c r="BF781" i="26"/>
  <c r="BH781" i="26" s="1"/>
  <c r="BJ781" i="26" s="1"/>
  <c r="BF75" i="26"/>
  <c r="BH75" i="26" s="1"/>
  <c r="BJ75" i="26" s="1"/>
  <c r="BF97" i="26"/>
  <c r="BH97" i="26" s="1"/>
  <c r="BJ97" i="26" s="1"/>
  <c r="BF119" i="26"/>
  <c r="BH119" i="26" s="1"/>
  <c r="BJ119" i="26" s="1"/>
  <c r="BF141" i="26"/>
  <c r="BH141" i="26" s="1"/>
  <c r="BJ141" i="26" s="1"/>
  <c r="BF163" i="26"/>
  <c r="BH163" i="26" s="1"/>
  <c r="BJ163" i="26" s="1"/>
  <c r="BF185" i="26"/>
  <c r="BH185" i="26" s="1"/>
  <c r="BJ185" i="26" s="1"/>
  <c r="BF207" i="26"/>
  <c r="BH207" i="26" s="1"/>
  <c r="BJ207" i="26" s="1"/>
  <c r="BF229" i="26"/>
  <c r="BH229" i="26" s="1"/>
  <c r="BJ229" i="26" s="1"/>
  <c r="BF251" i="26"/>
  <c r="BH251" i="26" s="1"/>
  <c r="BJ251" i="26" s="1"/>
  <c r="BF273" i="26"/>
  <c r="BH273" i="26" s="1"/>
  <c r="BJ273" i="26" s="1"/>
  <c r="BF305" i="26"/>
  <c r="BH305" i="26" s="1"/>
  <c r="BJ305" i="26" s="1"/>
  <c r="BF327" i="26"/>
  <c r="BH327" i="26" s="1"/>
  <c r="BJ327" i="26" s="1"/>
  <c r="BF349" i="26"/>
  <c r="BH349" i="26" s="1"/>
  <c r="BJ349" i="26" s="1"/>
  <c r="BF371" i="26"/>
  <c r="BH371" i="26" s="1"/>
  <c r="BJ371" i="26" s="1"/>
  <c r="BF393" i="26"/>
  <c r="BH393" i="26" s="1"/>
  <c r="BJ393" i="26" s="1"/>
  <c r="BF415" i="26"/>
  <c r="BH415" i="26" s="1"/>
  <c r="BJ415" i="26" s="1"/>
  <c r="BF437" i="26"/>
  <c r="BH437" i="26" s="1"/>
  <c r="BJ437" i="26" s="1"/>
  <c r="BF447" i="26"/>
  <c r="BH447" i="26" s="1"/>
  <c r="BJ447" i="26" s="1"/>
  <c r="BF469" i="26"/>
  <c r="BH469" i="26" s="1"/>
  <c r="BJ469" i="26" s="1"/>
  <c r="BF491" i="26"/>
  <c r="BH491" i="26" s="1"/>
  <c r="BJ491" i="26" s="1"/>
  <c r="BF513" i="26"/>
  <c r="BH513" i="26" s="1"/>
  <c r="BJ513" i="26" s="1"/>
  <c r="BF535" i="26"/>
  <c r="BH535" i="26" s="1"/>
  <c r="BJ535" i="26" s="1"/>
  <c r="BF548" i="26"/>
  <c r="BH548" i="26" s="1"/>
  <c r="BJ548" i="26" s="1"/>
  <c r="BF570" i="26"/>
  <c r="BH570" i="26" s="1"/>
  <c r="BJ570" i="26" s="1"/>
  <c r="BF580" i="26"/>
  <c r="BH580" i="26" s="1"/>
  <c r="BJ580" i="26" s="1"/>
  <c r="BF632" i="26"/>
  <c r="BH632" i="26" s="1"/>
  <c r="BJ632" i="26" s="1"/>
  <c r="BF815" i="26"/>
  <c r="BH815" i="26" s="1"/>
  <c r="BJ815" i="26" s="1"/>
  <c r="BF675" i="26"/>
  <c r="BH675" i="26" s="1"/>
  <c r="BJ675" i="26" s="1"/>
  <c r="BF691" i="26"/>
  <c r="BH691" i="26" s="1"/>
  <c r="BJ691" i="26" s="1"/>
  <c r="BF702" i="26"/>
  <c r="BH702" i="26" s="1"/>
  <c r="BJ702" i="26" s="1"/>
  <c r="BF721" i="26"/>
  <c r="BH721" i="26" s="1"/>
  <c r="BJ721" i="26" s="1"/>
  <c r="BF737" i="26"/>
  <c r="BH737" i="26" s="1"/>
  <c r="BJ737" i="26" s="1"/>
  <c r="BF750" i="26"/>
  <c r="BH750" i="26" s="1"/>
  <c r="BJ750" i="26" s="1"/>
  <c r="BF814" i="26"/>
  <c r="BH814" i="26" s="1"/>
  <c r="BJ814" i="26" s="1"/>
  <c r="BF661" i="26"/>
  <c r="BH661" i="26" s="1"/>
  <c r="BJ661" i="26" s="1"/>
  <c r="BF683" i="26"/>
  <c r="BH683" i="26" s="1"/>
  <c r="BJ683" i="26" s="1"/>
  <c r="BF802" i="26"/>
  <c r="BH802" i="26" s="1"/>
  <c r="BJ802" i="26" s="1"/>
  <c r="BF722" i="26"/>
  <c r="BH722" i="26" s="1"/>
  <c r="BJ722" i="26" s="1"/>
  <c r="BF744" i="26"/>
  <c r="BH744" i="26" s="1"/>
  <c r="BJ744" i="26" s="1"/>
  <c r="BF766" i="26"/>
  <c r="BH766" i="26" s="1"/>
  <c r="BJ766" i="26" s="1"/>
  <c r="BF811" i="26"/>
  <c r="BH811" i="26" s="1"/>
  <c r="BJ811" i="26" s="1"/>
  <c r="BF658" i="26"/>
  <c r="BH658" i="26" s="1"/>
  <c r="BJ658" i="26" s="1"/>
  <c r="BF680" i="26"/>
  <c r="BH680" i="26" s="1"/>
  <c r="BJ680" i="26" s="1"/>
  <c r="BF799" i="26"/>
  <c r="BH799" i="26" s="1"/>
  <c r="BJ799" i="26" s="1"/>
  <c r="BF719" i="26"/>
  <c r="BH719" i="26" s="1"/>
  <c r="BJ719" i="26" s="1"/>
  <c r="BF741" i="26"/>
  <c r="BH741" i="26" s="1"/>
  <c r="BJ741" i="26" s="1"/>
  <c r="BF763" i="26"/>
  <c r="BH763" i="26" s="1"/>
  <c r="BJ763" i="26" s="1"/>
  <c r="BF785" i="26"/>
  <c r="BH785" i="26" s="1"/>
  <c r="BJ785" i="26" s="1"/>
  <c r="BF726" i="26"/>
  <c r="BH726" i="26" s="1"/>
  <c r="BJ726" i="26" s="1"/>
  <c r="BF748" i="26"/>
  <c r="BH748" i="26" s="1"/>
  <c r="BJ748" i="26" s="1"/>
  <c r="BF770" i="26"/>
  <c r="BH770" i="26" s="1"/>
  <c r="BJ770" i="26" s="1"/>
  <c r="BF777" i="26"/>
  <c r="BH777" i="26" s="1"/>
  <c r="BJ777" i="26" s="1"/>
  <c r="AX223" i="26"/>
  <c r="BA223" i="26" s="1"/>
  <c r="AX602" i="26"/>
  <c r="BA602" i="26" s="1"/>
  <c r="AY550" i="26"/>
  <c r="AY47" i="26"/>
  <c r="AY306" i="26"/>
  <c r="AY310" i="26"/>
  <c r="AX278" i="26"/>
  <c r="AZ278" i="26" s="1"/>
  <c r="AX658" i="26"/>
  <c r="BA658" i="26" s="1"/>
  <c r="AY820" i="26"/>
  <c r="AY94" i="26"/>
  <c r="AY130" i="26"/>
  <c r="AY719" i="26"/>
  <c r="AY314" i="26"/>
  <c r="AX306" i="26"/>
  <c r="AZ306" i="26" s="1"/>
  <c r="AX690" i="26"/>
  <c r="BA690" i="26" s="1"/>
  <c r="AX680" i="26"/>
  <c r="AZ680" i="26" s="1"/>
  <c r="AX692" i="26"/>
  <c r="BA692" i="26" s="1"/>
  <c r="AY798" i="26"/>
  <c r="AY311" i="26"/>
  <c r="AY403" i="26"/>
  <c r="AY99" i="26"/>
  <c r="AX749" i="26"/>
  <c r="BA749" i="26" s="1"/>
  <c r="AX31" i="26"/>
  <c r="AZ31" i="26" s="1"/>
  <c r="AX75" i="26"/>
  <c r="BA75" i="26" s="1"/>
  <c r="AX445" i="26"/>
  <c r="BA445" i="26" s="1"/>
  <c r="AX634" i="26"/>
  <c r="AZ634" i="26" s="1"/>
  <c r="AX2" i="26"/>
  <c r="BA2" i="26" s="1"/>
  <c r="AY13" i="26"/>
  <c r="AY29" i="26"/>
  <c r="AX255" i="26"/>
  <c r="BA255" i="26" s="1"/>
  <c r="AY488" i="26"/>
  <c r="AX537" i="26"/>
  <c r="BA537" i="26" s="1"/>
  <c r="AY809" i="26"/>
  <c r="AY668" i="26"/>
  <c r="AX668" i="26"/>
  <c r="BA668" i="26" s="1"/>
  <c r="AX779" i="26"/>
  <c r="AZ779" i="26" s="1"/>
  <c r="AX58" i="26"/>
  <c r="AZ58" i="26" s="1"/>
  <c r="AY250" i="26"/>
  <c r="AY752" i="26"/>
  <c r="AY4" i="26"/>
  <c r="AY16" i="26"/>
  <c r="AY81" i="26"/>
  <c r="AY85" i="26"/>
  <c r="AX234" i="26"/>
  <c r="BA234" i="26" s="1"/>
  <c r="AX428" i="26"/>
  <c r="BA428" i="26" s="1"/>
  <c r="AY499" i="26"/>
  <c r="AX335" i="26"/>
  <c r="BA335" i="26" s="1"/>
  <c r="AX403" i="26"/>
  <c r="AZ403" i="26" s="1"/>
  <c r="AX801" i="26"/>
  <c r="BA801" i="26" s="1"/>
  <c r="AX713" i="26"/>
  <c r="BA713" i="26" s="1"/>
  <c r="AX682" i="26"/>
  <c r="BA682" i="26" s="1"/>
  <c r="AY478" i="26"/>
  <c r="AY604" i="26"/>
  <c r="AY309" i="26"/>
  <c r="AY321" i="26"/>
  <c r="AY393" i="26"/>
  <c r="AX181" i="26"/>
  <c r="BA181" i="26" s="1"/>
  <c r="AX189" i="26"/>
  <c r="BA189" i="26" s="1"/>
  <c r="AY405" i="26"/>
  <c r="AX308" i="26"/>
  <c r="BA308" i="26" s="1"/>
  <c r="AY312" i="26"/>
  <c r="AX345" i="26"/>
  <c r="AZ345" i="26" s="1"/>
  <c r="AX442" i="26"/>
  <c r="BA442" i="26" s="1"/>
  <c r="AX507" i="26"/>
  <c r="BA507" i="26" s="1"/>
  <c r="AX578" i="26"/>
  <c r="AZ578" i="26" s="1"/>
  <c r="AX582" i="26"/>
  <c r="BA582" i="26" s="1"/>
  <c r="AX636" i="26"/>
  <c r="BA636" i="26" s="1"/>
  <c r="AX24" i="26"/>
  <c r="BA24" i="26" s="1"/>
  <c r="AY50" i="26"/>
  <c r="AY66" i="26"/>
  <c r="AY151" i="26"/>
  <c r="AY175" i="26"/>
  <c r="AX176" i="26"/>
  <c r="BA176" i="26" s="1"/>
  <c r="AY187" i="26"/>
  <c r="AX188" i="26"/>
  <c r="BA188" i="26" s="1"/>
  <c r="AX192" i="26"/>
  <c r="BA192" i="26" s="1"/>
  <c r="AY295" i="26"/>
  <c r="AY421" i="26"/>
  <c r="AY518" i="26"/>
  <c r="AY522" i="26"/>
  <c r="AX586" i="26"/>
  <c r="AZ586" i="26" s="1"/>
  <c r="AY799" i="26"/>
  <c r="AY704" i="26"/>
  <c r="AX83" i="26"/>
  <c r="AZ83" i="26" s="1"/>
  <c r="AX299" i="26"/>
  <c r="BA299" i="26" s="1"/>
  <c r="AY307" i="26"/>
  <c r="AY433" i="26"/>
  <c r="AY453" i="26"/>
  <c r="AX458" i="26"/>
  <c r="BA458" i="26" s="1"/>
  <c r="AX474" i="26"/>
  <c r="BA474" i="26" s="1"/>
  <c r="AY477" i="26"/>
  <c r="AX478" i="26"/>
  <c r="AZ478" i="26" s="1"/>
  <c r="AY493" i="26"/>
  <c r="AY497" i="26"/>
  <c r="AY538" i="26"/>
  <c r="AY612" i="26"/>
  <c r="AY635" i="26"/>
  <c r="AY801" i="26"/>
  <c r="AY718" i="26"/>
  <c r="AY730" i="26"/>
  <c r="AY74" i="26"/>
  <c r="AX187" i="26"/>
  <c r="AZ187" i="26" s="1"/>
  <c r="AY190" i="26"/>
  <c r="AY194" i="26"/>
  <c r="AY294" i="26"/>
  <c r="AY323" i="26"/>
  <c r="AY348" i="26"/>
  <c r="AY356" i="26"/>
  <c r="AY521" i="26"/>
  <c r="AY689" i="26"/>
  <c r="AY725" i="26"/>
  <c r="AX352" i="26"/>
  <c r="BA352" i="26" s="1"/>
  <c r="AX392" i="26"/>
  <c r="BA392" i="26" s="1"/>
  <c r="AX453" i="26"/>
  <c r="AZ453" i="26" s="1"/>
  <c r="AX477" i="26"/>
  <c r="AZ477" i="26" s="1"/>
  <c r="AX829" i="26"/>
  <c r="BA829" i="26" s="1"/>
  <c r="AY27" i="26"/>
  <c r="AY49" i="26"/>
  <c r="AY137" i="26"/>
  <c r="AX254" i="26"/>
  <c r="BA254" i="26" s="1"/>
  <c r="AX820" i="26"/>
  <c r="AZ820" i="26" s="1"/>
  <c r="AY808" i="26"/>
  <c r="AY645" i="26"/>
  <c r="AY153" i="26"/>
  <c r="AY161" i="26"/>
  <c r="AY173" i="26"/>
  <c r="AY177" i="26"/>
  <c r="AY185" i="26"/>
  <c r="AY189" i="26"/>
  <c r="AY221" i="26"/>
  <c r="AY241" i="26"/>
  <c r="AY297" i="26"/>
  <c r="AX302" i="26"/>
  <c r="BA302" i="26" s="1"/>
  <c r="AX323" i="26"/>
  <c r="BA323" i="26" s="1"/>
  <c r="AY367" i="26"/>
  <c r="AX371" i="26"/>
  <c r="AZ371" i="26" s="1"/>
  <c r="AX383" i="26"/>
  <c r="AZ383" i="26" s="1"/>
  <c r="AY432" i="26"/>
  <c r="AX525" i="26"/>
  <c r="BA525" i="26" s="1"/>
  <c r="AX580" i="26"/>
  <c r="BA580" i="26" s="1"/>
  <c r="AY587" i="26"/>
  <c r="AY805" i="26"/>
  <c r="AX645" i="26"/>
  <c r="AZ645" i="26" s="1"/>
  <c r="AY800" i="26"/>
  <c r="AX725" i="26"/>
  <c r="AZ725" i="26" s="1"/>
  <c r="AY25" i="26"/>
  <c r="AY305" i="26"/>
  <c r="AY483" i="26"/>
  <c r="AY2" i="26"/>
  <c r="AX101" i="26"/>
  <c r="AZ101" i="26" s="1"/>
  <c r="AY124" i="26"/>
  <c r="AY128" i="26"/>
  <c r="AX209" i="26"/>
  <c r="AZ209" i="26" s="1"/>
  <c r="AX237" i="26"/>
  <c r="AZ237" i="26" s="1"/>
  <c r="AY257" i="26"/>
  <c r="AY269" i="26"/>
  <c r="AY289" i="26"/>
  <c r="AY390" i="26"/>
  <c r="AY439" i="26"/>
  <c r="AY520" i="26"/>
  <c r="AY544" i="26"/>
  <c r="AX674" i="26"/>
  <c r="AZ674" i="26" s="1"/>
  <c r="AX688" i="26"/>
  <c r="BA688" i="26" s="1"/>
  <c r="AY768" i="26"/>
  <c r="AY24" i="26"/>
  <c r="AY176" i="26"/>
  <c r="AY228" i="26"/>
  <c r="AX25" i="26"/>
  <c r="BA25" i="26" s="1"/>
  <c r="AY59" i="26"/>
  <c r="AY132" i="26"/>
  <c r="AX253" i="26"/>
  <c r="AZ253" i="26" s="1"/>
  <c r="AX358" i="26"/>
  <c r="BA358" i="26" s="1"/>
  <c r="AX483" i="26"/>
  <c r="AZ483" i="26" s="1"/>
  <c r="AX260" i="26"/>
  <c r="AZ260" i="26" s="1"/>
  <c r="AX346" i="26"/>
  <c r="BA346" i="26" s="1"/>
  <c r="AX464" i="26"/>
  <c r="BA464" i="26" s="1"/>
  <c r="AX23" i="26"/>
  <c r="AZ23" i="26" s="1"/>
  <c r="AX51" i="26"/>
  <c r="BA51" i="26" s="1"/>
  <c r="AY133" i="26"/>
  <c r="AX476" i="26"/>
  <c r="AZ476" i="26" s="1"/>
  <c r="AY599" i="26"/>
  <c r="AY28" i="26"/>
  <c r="AX29" i="26"/>
  <c r="BA29" i="26" s="1"/>
  <c r="AX79" i="26"/>
  <c r="AZ79" i="26" s="1"/>
  <c r="AX108" i="26"/>
  <c r="AZ108" i="26" s="1"/>
  <c r="AX198" i="26"/>
  <c r="BA198" i="26" s="1"/>
  <c r="AX377" i="26"/>
  <c r="AZ377" i="26" s="1"/>
  <c r="AX467" i="26"/>
  <c r="BA467" i="26" s="1"/>
  <c r="AX488" i="26"/>
  <c r="BA488" i="26" s="1"/>
  <c r="AX492" i="26"/>
  <c r="BA492" i="26" s="1"/>
  <c r="AY495" i="26"/>
  <c r="AY562" i="26"/>
  <c r="AX563" i="26"/>
  <c r="BA563" i="26" s="1"/>
  <c r="AX587" i="26"/>
  <c r="BA587" i="26" s="1"/>
  <c r="AY603" i="26"/>
  <c r="AX604" i="26"/>
  <c r="AZ604" i="26" s="1"/>
  <c r="AX612" i="26"/>
  <c r="BA612" i="26" s="1"/>
  <c r="AX619" i="26"/>
  <c r="BA619" i="26" s="1"/>
  <c r="AY693" i="26"/>
  <c r="AY740" i="26"/>
  <c r="AY760" i="26"/>
  <c r="AX4" i="26"/>
  <c r="AZ4" i="26" s="1"/>
  <c r="AX124" i="26"/>
  <c r="AZ124" i="26" s="1"/>
  <c r="AY205" i="26"/>
  <c r="AY209" i="26"/>
  <c r="AY213" i="26"/>
  <c r="AY217" i="26"/>
  <c r="AY225" i="26"/>
  <c r="AY233" i="26"/>
  <c r="AX307" i="26"/>
  <c r="BA307" i="26" s="1"/>
  <c r="AY454" i="26"/>
  <c r="AX455" i="26"/>
  <c r="BA455" i="26" s="1"/>
  <c r="AX641" i="26"/>
  <c r="BA641" i="26" s="1"/>
  <c r="AY643" i="26"/>
  <c r="AY646" i="26"/>
  <c r="AX663" i="26"/>
  <c r="BA663" i="26" s="1"/>
  <c r="AX685" i="26"/>
  <c r="BA685" i="26" s="1"/>
  <c r="AX723" i="26"/>
  <c r="AZ723" i="26" s="1"/>
  <c r="AX203" i="26"/>
  <c r="AZ203" i="26" s="1"/>
  <c r="AX243" i="26"/>
  <c r="BA243" i="26" s="1"/>
  <c r="AX313" i="26"/>
  <c r="BA313" i="26" s="1"/>
  <c r="AY492" i="26"/>
  <c r="AX505" i="26"/>
  <c r="BA505" i="26" s="1"/>
  <c r="AX518" i="26"/>
  <c r="BA518" i="26" s="1"/>
  <c r="AX600" i="26"/>
  <c r="AZ600" i="26" s="1"/>
  <c r="AX821" i="26"/>
  <c r="AZ821" i="26" s="1"/>
  <c r="AY743" i="26"/>
  <c r="AX71" i="26"/>
  <c r="BA71" i="26" s="1"/>
  <c r="AX178" i="26"/>
  <c r="BA178" i="26" s="1"/>
  <c r="AY595" i="26"/>
  <c r="AX632" i="26"/>
  <c r="AZ632" i="26" s="1"/>
  <c r="AY641" i="26"/>
  <c r="AX691" i="26"/>
  <c r="BA691" i="26" s="1"/>
  <c r="AY15" i="26"/>
  <c r="AY21" i="26"/>
  <c r="AX50" i="26"/>
  <c r="BA50" i="26" s="1"/>
  <c r="AX95" i="26"/>
  <c r="BA95" i="26" s="1"/>
  <c r="AX123" i="26"/>
  <c r="AZ123" i="26" s="1"/>
  <c r="AY160" i="26"/>
  <c r="AX365" i="26"/>
  <c r="AZ365" i="26" s="1"/>
  <c r="AY409" i="26"/>
  <c r="AX439" i="26"/>
  <c r="BA439" i="26" s="1"/>
  <c r="AY470" i="26"/>
  <c r="AX471" i="26"/>
  <c r="BA471" i="26" s="1"/>
  <c r="AY525" i="26"/>
  <c r="AY553" i="26"/>
  <c r="AX590" i="26"/>
  <c r="AZ590" i="26" s="1"/>
  <c r="AY634" i="26"/>
  <c r="AX635" i="26"/>
  <c r="AZ635" i="26" s="1"/>
  <c r="AY682" i="26"/>
  <c r="AY700" i="26"/>
  <c r="AY764" i="26"/>
  <c r="AX211" i="26"/>
  <c r="AZ211" i="26" s="1"/>
  <c r="AX227" i="26"/>
  <c r="BA227" i="26" s="1"/>
  <c r="AX782" i="26"/>
  <c r="BA782" i="26" s="1"/>
  <c r="AX55" i="26"/>
  <c r="BA55" i="26" s="1"/>
  <c r="AX67" i="26"/>
  <c r="BA67" i="26" s="1"/>
  <c r="AX251" i="26"/>
  <c r="BA251" i="26" s="1"/>
  <c r="BG11" i="26"/>
  <c r="AY77" i="26"/>
  <c r="AY106" i="26"/>
  <c r="AX294" i="26"/>
  <c r="BA294" i="26" s="1"/>
  <c r="AY425" i="26"/>
  <c r="AY490" i="26"/>
  <c r="AX491" i="26"/>
  <c r="AZ491" i="26" s="1"/>
  <c r="AX495" i="26"/>
  <c r="BA495" i="26" s="1"/>
  <c r="AY670" i="26"/>
  <c r="AY677" i="26"/>
  <c r="AY712" i="26"/>
  <c r="AX150" i="26"/>
  <c r="BA150" i="26" s="1"/>
  <c r="AX686" i="26"/>
  <c r="AZ686" i="26" s="1"/>
  <c r="AX394" i="26"/>
  <c r="AZ394" i="26" s="1"/>
  <c r="AY6" i="26"/>
  <c r="AY26" i="26"/>
  <c r="AY73" i="26"/>
  <c r="AX152" i="26"/>
  <c r="BA152" i="26" s="1"/>
  <c r="AY196" i="26"/>
  <c r="AY261" i="26"/>
  <c r="AX301" i="26"/>
  <c r="BA301" i="26" s="1"/>
  <c r="AY335" i="26"/>
  <c r="AY400" i="26"/>
  <c r="AY524" i="26"/>
  <c r="AX549" i="26"/>
  <c r="AZ549" i="26" s="1"/>
  <c r="AX594" i="26"/>
  <c r="AZ594" i="26" s="1"/>
  <c r="AY617" i="26"/>
  <c r="AY803" i="26"/>
  <c r="AY810" i="26"/>
  <c r="AY692" i="26"/>
  <c r="AY754" i="26"/>
  <c r="AY728" i="26"/>
  <c r="AX15" i="26"/>
  <c r="BA15" i="26" s="1"/>
  <c r="AY48" i="26"/>
  <c r="AY52" i="26"/>
  <c r="AY171" i="26"/>
  <c r="AY179" i="26"/>
  <c r="AX196" i="26"/>
  <c r="BA196" i="26" s="1"/>
  <c r="AY200" i="26"/>
  <c r="AX310" i="26"/>
  <c r="BA310" i="26" s="1"/>
  <c r="AX88" i="26"/>
  <c r="BA88" i="26" s="1"/>
  <c r="AX191" i="26"/>
  <c r="BA191" i="26" s="1"/>
  <c r="AX527" i="26"/>
  <c r="AZ527" i="26" s="1"/>
  <c r="AX174" i="26"/>
  <c r="BA174" i="26" s="1"/>
  <c r="AX60" i="26"/>
  <c r="BA60" i="26" s="1"/>
  <c r="AX64" i="26"/>
  <c r="BA64" i="26" s="1"/>
  <c r="AY72" i="26"/>
  <c r="AX102" i="26"/>
  <c r="BA102" i="26" s="1"/>
  <c r="AY300" i="26"/>
  <c r="AY428" i="26"/>
  <c r="AX498" i="26"/>
  <c r="BA498" i="26" s="1"/>
  <c r="AY519" i="26"/>
  <c r="AY593" i="26"/>
  <c r="AX771" i="26"/>
  <c r="BA771" i="26" s="1"/>
  <c r="AX514" i="26"/>
  <c r="BA514" i="26" s="1"/>
  <c r="AY547" i="26"/>
  <c r="AY9" i="26"/>
  <c r="AY199" i="26"/>
  <c r="AY211" i="26"/>
  <c r="AY227" i="26"/>
  <c r="AY231" i="26"/>
  <c r="AY235" i="26"/>
  <c r="AY243" i="26"/>
  <c r="AX269" i="26"/>
  <c r="BA269" i="26" s="1"/>
  <c r="AX305" i="26"/>
  <c r="BA305" i="26" s="1"/>
  <c r="AY313" i="26"/>
  <c r="AX322" i="26"/>
  <c r="AZ322" i="26" s="1"/>
  <c r="AY330" i="26"/>
  <c r="AY346" i="26"/>
  <c r="AY350" i="26"/>
  <c r="AY354" i="26"/>
  <c r="AX433" i="26"/>
  <c r="BA433" i="26" s="1"/>
  <c r="AY505" i="26"/>
  <c r="AY600" i="26"/>
  <c r="AX601" i="26"/>
  <c r="BA601" i="26" s="1"/>
  <c r="AX617" i="26"/>
  <c r="BA617" i="26" s="1"/>
  <c r="AY628" i="26"/>
  <c r="AY807" i="26"/>
  <c r="AX714" i="26"/>
  <c r="AZ714" i="26" s="1"/>
  <c r="AX754" i="26"/>
  <c r="AZ754" i="26" s="1"/>
  <c r="AX38" i="26"/>
  <c r="BA38" i="26" s="1"/>
  <c r="AX480" i="26"/>
  <c r="AZ480" i="26" s="1"/>
  <c r="AY23" i="26"/>
  <c r="AY38" i="26"/>
  <c r="AX52" i="26"/>
  <c r="BA52" i="26" s="1"/>
  <c r="AY67" i="26"/>
  <c r="AX72" i="26"/>
  <c r="BA72" i="26" s="1"/>
  <c r="AY96" i="26"/>
  <c r="AY125" i="26"/>
  <c r="AX159" i="26"/>
  <c r="AZ159" i="26" s="1"/>
  <c r="AY162" i="26"/>
  <c r="AX175" i="26"/>
  <c r="AZ175" i="26" s="1"/>
  <c r="AY288" i="26"/>
  <c r="AX309" i="26"/>
  <c r="BA309" i="26" s="1"/>
  <c r="AY334" i="26"/>
  <c r="AY407" i="26"/>
  <c r="AX412" i="26"/>
  <c r="BA412" i="26" s="1"/>
  <c r="AX416" i="26"/>
  <c r="BA416" i="26" s="1"/>
  <c r="AY476" i="26"/>
  <c r="AY588" i="26"/>
  <c r="AX805" i="26"/>
  <c r="AZ805" i="26" s="1"/>
  <c r="AY669" i="26"/>
  <c r="AY686" i="26"/>
  <c r="AY706" i="26"/>
  <c r="AX709" i="26"/>
  <c r="BA709" i="26" s="1"/>
  <c r="AX731" i="26"/>
  <c r="AZ731" i="26" s="1"/>
  <c r="AX3" i="26"/>
  <c r="BA3" i="26" s="1"/>
  <c r="AX12" i="26"/>
  <c r="BA12" i="26" s="1"/>
  <c r="AX34" i="26"/>
  <c r="BA34" i="26" s="1"/>
  <c r="AX48" i="26"/>
  <c r="AZ48" i="26" s="1"/>
  <c r="AX49" i="26"/>
  <c r="BA49" i="26" s="1"/>
  <c r="AY75" i="26"/>
  <c r="AX118" i="26"/>
  <c r="AZ118" i="26" s="1"/>
  <c r="AX132" i="26"/>
  <c r="BA132" i="26" s="1"/>
  <c r="AY140" i="26"/>
  <c r="AX163" i="26"/>
  <c r="AZ163" i="26" s="1"/>
  <c r="AX184" i="26"/>
  <c r="AZ184" i="26" s="1"/>
  <c r="AY254" i="26"/>
  <c r="AY277" i="26"/>
  <c r="AX283" i="26"/>
  <c r="BA283" i="26" s="1"/>
  <c r="AY358" i="26"/>
  <c r="AX409" i="26"/>
  <c r="BA409" i="26" s="1"/>
  <c r="AX413" i="26"/>
  <c r="AZ413" i="26" s="1"/>
  <c r="AX452" i="26"/>
  <c r="AZ452" i="26" s="1"/>
  <c r="AX465" i="26"/>
  <c r="BA465" i="26" s="1"/>
  <c r="AY507" i="26"/>
  <c r="AX517" i="26"/>
  <c r="BA517" i="26" s="1"/>
  <c r="AX538" i="26"/>
  <c r="BA538" i="26" s="1"/>
  <c r="AY826" i="26"/>
  <c r="AX550" i="26"/>
  <c r="AZ550" i="26" s="1"/>
  <c r="AY558" i="26"/>
  <c r="AX568" i="26"/>
  <c r="BA568" i="26" s="1"/>
  <c r="AY605" i="26"/>
  <c r="AX606" i="26"/>
  <c r="BA606" i="26" s="1"/>
  <c r="AX614" i="26"/>
  <c r="BA614" i="26" s="1"/>
  <c r="AY618" i="26"/>
  <c r="AX620" i="26"/>
  <c r="BA620" i="26" s="1"/>
  <c r="AX629" i="26"/>
  <c r="AZ629" i="26" s="1"/>
  <c r="AY636" i="26"/>
  <c r="AX642" i="26"/>
  <c r="AZ642" i="26" s="1"/>
  <c r="AY644" i="26"/>
  <c r="AY657" i="26"/>
  <c r="AY720" i="26"/>
  <c r="AX751" i="26"/>
  <c r="AZ751" i="26" s="1"/>
  <c r="AY784" i="26"/>
  <c r="BN12" i="26"/>
  <c r="AX22" i="26"/>
  <c r="BA22" i="26" s="1"/>
  <c r="AY33" i="26"/>
  <c r="AY61" i="26"/>
  <c r="AX62" i="26"/>
  <c r="BA62" i="26" s="1"/>
  <c r="AX84" i="26"/>
  <c r="AZ84" i="26" s="1"/>
  <c r="AY104" i="26"/>
  <c r="AY109" i="26"/>
  <c r="AY117" i="26"/>
  <c r="AY121" i="26"/>
  <c r="AX190" i="26"/>
  <c r="AZ190" i="26" s="1"/>
  <c r="AX200" i="26"/>
  <c r="BA200" i="26" s="1"/>
  <c r="AX204" i="26"/>
  <c r="BA204" i="26" s="1"/>
  <c r="AX230" i="26"/>
  <c r="AZ230" i="26" s="1"/>
  <c r="AY237" i="26"/>
  <c r="AY272" i="26"/>
  <c r="AX277" i="26"/>
  <c r="BA277" i="26" s="1"/>
  <c r="AX287" i="26"/>
  <c r="AZ287" i="26" s="1"/>
  <c r="AY303" i="26"/>
  <c r="AX304" i="26"/>
  <c r="BA304" i="26" s="1"/>
  <c r="AX312" i="26"/>
  <c r="AZ312" i="26" s="1"/>
  <c r="AY340" i="26"/>
  <c r="AX368" i="26"/>
  <c r="BA368" i="26" s="1"/>
  <c r="AY376" i="26"/>
  <c r="AY381" i="26"/>
  <c r="AX382" i="26"/>
  <c r="BA382" i="26" s="1"/>
  <c r="AY399" i="26"/>
  <c r="AX418" i="26"/>
  <c r="BA418" i="26" s="1"/>
  <c r="AX427" i="26"/>
  <c r="AY440" i="26"/>
  <c r="AY480" i="26"/>
  <c r="AY485" i="26"/>
  <c r="AY533" i="26"/>
  <c r="AY831" i="26"/>
  <c r="AY548" i="26"/>
  <c r="AY584" i="26"/>
  <c r="AX824" i="26"/>
  <c r="BA824" i="26" s="1"/>
  <c r="AY738" i="26"/>
  <c r="AX741" i="26"/>
  <c r="BA741" i="26" s="1"/>
  <c r="AY779" i="26"/>
  <c r="AX7" i="26"/>
  <c r="BA7" i="26" s="1"/>
  <c r="BG18" i="26"/>
  <c r="AY65" i="26"/>
  <c r="AY78" i="26"/>
  <c r="AX100" i="26"/>
  <c r="BA100" i="26" s="1"/>
  <c r="AX109" i="26"/>
  <c r="AZ109" i="26" s="1"/>
  <c r="AY174" i="26"/>
  <c r="AY178" i="26"/>
  <c r="AX179" i="26"/>
  <c r="BA179" i="26" s="1"/>
  <c r="AX246" i="26"/>
  <c r="BA246" i="26" s="1"/>
  <c r="AX259" i="26"/>
  <c r="AZ259" i="26" s="1"/>
  <c r="AX263" i="26"/>
  <c r="AZ263" i="26" s="1"/>
  <c r="AX281" i="26"/>
  <c r="BA281" i="26" s="1"/>
  <c r="AY336" i="26"/>
  <c r="AY344" i="26"/>
  <c r="AX350" i="26"/>
  <c r="BA350" i="26" s="1"/>
  <c r="AY408" i="26"/>
  <c r="AX554" i="26"/>
  <c r="BA554" i="26" s="1"/>
  <c r="AX618" i="26"/>
  <c r="BA618" i="26" s="1"/>
  <c r="AY623" i="26"/>
  <c r="AX624" i="26"/>
  <c r="AZ624" i="26" s="1"/>
  <c r="AY632" i="26"/>
  <c r="AY639" i="26"/>
  <c r="AY822" i="26"/>
  <c r="AX644" i="26"/>
  <c r="AZ644" i="26" s="1"/>
  <c r="AX652" i="26"/>
  <c r="BA652" i="26" s="1"/>
  <c r="AX657" i="26"/>
  <c r="AZ657" i="26" s="1"/>
  <c r="AY664" i="26"/>
  <c r="AY714" i="26"/>
  <c r="AY727" i="26"/>
  <c r="AY753" i="26"/>
  <c r="AX761" i="26"/>
  <c r="AZ761" i="26" s="1"/>
  <c r="AY776" i="26"/>
  <c r="AY781" i="26"/>
  <c r="AY5" i="26"/>
  <c r="AY37" i="26"/>
  <c r="AX57" i="26"/>
  <c r="BA57" i="26" s="1"/>
  <c r="AY82" i="26"/>
  <c r="AY98" i="26"/>
  <c r="AX99" i="26"/>
  <c r="BA99" i="26" s="1"/>
  <c r="AX140" i="26"/>
  <c r="BA140" i="26" s="1"/>
  <c r="AX162" i="26"/>
  <c r="BA162" i="26" s="1"/>
  <c r="AY165" i="26"/>
  <c r="AY186" i="26"/>
  <c r="AY198" i="26"/>
  <c r="AX267" i="26"/>
  <c r="AZ267" i="26" s="1"/>
  <c r="AY290" i="26"/>
  <c r="AX311" i="26"/>
  <c r="BA311" i="26" s="1"/>
  <c r="AY357" i="26"/>
  <c r="AX362" i="26"/>
  <c r="AZ362" i="26" s="1"/>
  <c r="AX363" i="26"/>
  <c r="BA363" i="26" s="1"/>
  <c r="AY442" i="26"/>
  <c r="AY446" i="26"/>
  <c r="AX460" i="26"/>
  <c r="BA460" i="26" s="1"/>
  <c r="AX490" i="26"/>
  <c r="BA490" i="26" s="1"/>
  <c r="AY515" i="26"/>
  <c r="AX522" i="26"/>
  <c r="AZ522" i="26" s="1"/>
  <c r="BB522" i="26" s="1"/>
  <c r="BC522" i="26" s="1"/>
  <c r="BD522" i="26" s="1"/>
  <c r="AX531" i="26"/>
  <c r="BA531" i="26" s="1"/>
  <c r="AY546" i="26"/>
  <c r="AX826" i="26"/>
  <c r="BA826" i="26" s="1"/>
  <c r="AY561" i="26"/>
  <c r="AX575" i="26"/>
  <c r="BA575" i="26" s="1"/>
  <c r="AY589" i="26"/>
  <c r="AX599" i="26"/>
  <c r="BA599" i="26" s="1"/>
  <c r="AX605" i="26"/>
  <c r="AZ605" i="26" s="1"/>
  <c r="AY656" i="26"/>
  <c r="AY14" i="26"/>
  <c r="AY19" i="26"/>
  <c r="AX20" i="26"/>
  <c r="BA20" i="26" s="1"/>
  <c r="AX89" i="26"/>
  <c r="BA89" i="26" s="1"/>
  <c r="AX104" i="26"/>
  <c r="AZ104" i="26" s="1"/>
  <c r="AY116" i="26"/>
  <c r="AX130" i="26"/>
  <c r="BA130" i="26" s="1"/>
  <c r="AY139" i="26"/>
  <c r="AY147" i="26"/>
  <c r="AY156" i="26"/>
  <c r="AY197" i="26"/>
  <c r="AY202" i="26"/>
  <c r="AX215" i="26"/>
  <c r="BA215" i="26" s="1"/>
  <c r="AY222" i="26"/>
  <c r="AY226" i="26"/>
  <c r="AX228" i="26"/>
  <c r="AY232" i="26"/>
  <c r="AX233" i="26"/>
  <c r="BA233" i="26" s="1"/>
  <c r="AY236" i="26"/>
  <c r="AX241" i="26"/>
  <c r="BA241" i="26" s="1"/>
  <c r="AX272" i="26"/>
  <c r="AZ272" i="26" s="1"/>
  <c r="AY275" i="26"/>
  <c r="AY280" i="26"/>
  <c r="AY293" i="26"/>
  <c r="AY320" i="26"/>
  <c r="AY343" i="26"/>
  <c r="AX367" i="26"/>
  <c r="AZ367" i="26" s="1"/>
  <c r="AX376" i="26"/>
  <c r="AZ376" i="26" s="1"/>
  <c r="AX380" i="26"/>
  <c r="AZ380" i="26" s="1"/>
  <c r="AY388" i="26"/>
  <c r="AX399" i="26"/>
  <c r="BA399" i="26" s="1"/>
  <c r="AY420" i="26"/>
  <c r="AY434" i="26"/>
  <c r="AY455" i="26"/>
  <c r="AY467" i="26"/>
  <c r="AY471" i="26"/>
  <c r="AX472" i="26"/>
  <c r="BA472" i="26" s="1"/>
  <c r="AX479" i="26"/>
  <c r="BA479" i="26" s="1"/>
  <c r="AX485" i="26"/>
  <c r="AZ485" i="26" s="1"/>
  <c r="AY489" i="26"/>
  <c r="AX511" i="26"/>
  <c r="BA511" i="26" s="1"/>
  <c r="AY830" i="26"/>
  <c r="AX562" i="26"/>
  <c r="BA562" i="26" s="1"/>
  <c r="AY574" i="26"/>
  <c r="AX598" i="26"/>
  <c r="BA598" i="26" s="1"/>
  <c r="AX627" i="26"/>
  <c r="AZ627" i="26" s="1"/>
  <c r="AY631" i="26"/>
  <c r="AY680" i="26"/>
  <c r="AY683" i="26"/>
  <c r="AY797" i="26"/>
  <c r="AY716" i="26"/>
  <c r="AX745" i="26"/>
  <c r="BA745" i="26" s="1"/>
  <c r="AX758" i="26"/>
  <c r="AZ758" i="26" s="1"/>
  <c r="AX781" i="26"/>
  <c r="AZ781" i="26" s="1"/>
  <c r="AX786" i="26"/>
  <c r="AZ786" i="26" s="1"/>
  <c r="AX5" i="26"/>
  <c r="BA5" i="26" s="1"/>
  <c r="BG7" i="26"/>
  <c r="AY45" i="26"/>
  <c r="AY97" i="26"/>
  <c r="AX112" i="26"/>
  <c r="BA112" i="26" s="1"/>
  <c r="AX134" i="26"/>
  <c r="BA134" i="26" s="1"/>
  <c r="AX139" i="26"/>
  <c r="AZ139" i="26" s="1"/>
  <c r="AY142" i="26"/>
  <c r="AX143" i="26"/>
  <c r="BA143" i="26" s="1"/>
  <c r="AY164" i="26"/>
  <c r="AX186" i="26"/>
  <c r="BA186" i="26" s="1"/>
  <c r="AX193" i="26"/>
  <c r="BA193" i="26" s="1"/>
  <c r="AY281" i="26"/>
  <c r="AY284" i="26"/>
  <c r="AX290" i="26"/>
  <c r="BA290" i="26" s="1"/>
  <c r="AX370" i="26"/>
  <c r="BA370" i="26" s="1"/>
  <c r="AX398" i="26"/>
  <c r="BA398" i="26" s="1"/>
  <c r="AY402" i="26"/>
  <c r="AX425" i="26"/>
  <c r="BA425" i="26" s="1"/>
  <c r="AX446" i="26"/>
  <c r="BA446" i="26" s="1"/>
  <c r="AX454" i="26"/>
  <c r="BA454" i="26" s="1"/>
  <c r="AX459" i="26"/>
  <c r="BA459" i="26" s="1"/>
  <c r="AY535" i="26"/>
  <c r="AX541" i="26"/>
  <c r="BA541" i="26" s="1"/>
  <c r="AX547" i="26"/>
  <c r="BA547" i="26" s="1"/>
  <c r="AY560" i="26"/>
  <c r="AX561" i="26"/>
  <c r="AZ561" i="26" s="1"/>
  <c r="AY565" i="26"/>
  <c r="AX574" i="26"/>
  <c r="BA574" i="26" s="1"/>
  <c r="AX579" i="26"/>
  <c r="AZ579" i="26" s="1"/>
  <c r="AY602" i="26"/>
  <c r="AY630" i="26"/>
  <c r="AY817" i="26"/>
  <c r="AY821" i="26"/>
  <c r="AY658" i="26"/>
  <c r="AX677" i="26"/>
  <c r="BA677" i="26" s="1"/>
  <c r="AX14" i="26"/>
  <c r="BA14" i="26" s="1"/>
  <c r="AX32" i="26"/>
  <c r="BA32" i="26" s="1"/>
  <c r="AY51" i="26"/>
  <c r="AX107" i="26"/>
  <c r="AZ107" i="26" s="1"/>
  <c r="AX120" i="26"/>
  <c r="BA120" i="26" s="1"/>
  <c r="AY123" i="26"/>
  <c r="AY138" i="26"/>
  <c r="AY201" i="26"/>
  <c r="AX202" i="26"/>
  <c r="BA202" i="26" s="1"/>
  <c r="AX214" i="26"/>
  <c r="BA214" i="26" s="1"/>
  <c r="AX222" i="26"/>
  <c r="AZ222" i="26" s="1"/>
  <c r="AX232" i="26"/>
  <c r="BA232" i="26" s="1"/>
  <c r="AX270" i="26"/>
  <c r="AZ270" i="26" s="1"/>
  <c r="AX280" i="26"/>
  <c r="BA280" i="26" s="1"/>
  <c r="AX293" i="26"/>
  <c r="BA293" i="26" s="1"/>
  <c r="AX334" i="26"/>
  <c r="AZ334" i="26" s="1"/>
  <c r="AX339" i="26"/>
  <c r="BA339" i="26" s="1"/>
  <c r="AX343" i="26"/>
  <c r="AZ343" i="26" s="1"/>
  <c r="AY347" i="26"/>
  <c r="AX374" i="26"/>
  <c r="BA374" i="26" s="1"/>
  <c r="AX415" i="26"/>
  <c r="BA415" i="26" s="1"/>
  <c r="AY466" i="26"/>
  <c r="AX494" i="26"/>
  <c r="BA494" i="26" s="1"/>
  <c r="AX830" i="26"/>
  <c r="BA830" i="26" s="1"/>
  <c r="AX560" i="26"/>
  <c r="BA560" i="26" s="1"/>
  <c r="AY586" i="26"/>
  <c r="AX588" i="26"/>
  <c r="BA588" i="26" s="1"/>
  <c r="AY592" i="26"/>
  <c r="AX608" i="26"/>
  <c r="BA608" i="26" s="1"/>
  <c r="AX622" i="26"/>
  <c r="BA622" i="26" s="1"/>
  <c r="AX683" i="26"/>
  <c r="BA683" i="26" s="1"/>
  <c r="AY685" i="26"/>
  <c r="AY694" i="26"/>
  <c r="AX716" i="26"/>
  <c r="AY731" i="26"/>
  <c r="AX737" i="26"/>
  <c r="BA737" i="26" s="1"/>
  <c r="AX747" i="26"/>
  <c r="BA747" i="26" s="1"/>
  <c r="AX770" i="26"/>
  <c r="AZ770" i="26" s="1"/>
  <c r="AY8" i="26"/>
  <c r="AY17" i="26"/>
  <c r="AX77" i="26"/>
  <c r="BA77" i="26" s="1"/>
  <c r="AY150" i="26"/>
  <c r="AX151" i="26"/>
  <c r="AZ151" i="26" s="1"/>
  <c r="AY168" i="26"/>
  <c r="AX177" i="26"/>
  <c r="BA177" i="26" s="1"/>
  <c r="AX244" i="26"/>
  <c r="BA244" i="26" s="1"/>
  <c r="AX257" i="26"/>
  <c r="BA257" i="26" s="1"/>
  <c r="AY260" i="26"/>
  <c r="AX297" i="26"/>
  <c r="BA297" i="26" s="1"/>
  <c r="AX470" i="26"/>
  <c r="BA470" i="26" s="1"/>
  <c r="AY487" i="26"/>
  <c r="AX520" i="26"/>
  <c r="BA520" i="26" s="1"/>
  <c r="AX828" i="26"/>
  <c r="BA828" i="26" s="1"/>
  <c r="AY572" i="26"/>
  <c r="AY577" i="26"/>
  <c r="AY601" i="26"/>
  <c r="AX808" i="26"/>
  <c r="AX646" i="26"/>
  <c r="BA646" i="26" s="1"/>
  <c r="AY3" i="26"/>
  <c r="AY12" i="26"/>
  <c r="AX18" i="26"/>
  <c r="BA18" i="26" s="1"/>
  <c r="AY39" i="26"/>
  <c r="AY40" i="26"/>
  <c r="AX41" i="26"/>
  <c r="BA41" i="26" s="1"/>
  <c r="AY44" i="26"/>
  <c r="AY54" i="26"/>
  <c r="AY71" i="26"/>
  <c r="AX133" i="26"/>
  <c r="BA133" i="26" s="1"/>
  <c r="AX138" i="26"/>
  <c r="BA138" i="26" s="1"/>
  <c r="AX142" i="26"/>
  <c r="BA142" i="26" s="1"/>
  <c r="AY163" i="26"/>
  <c r="AX164" i="26"/>
  <c r="BA164" i="26" s="1"/>
  <c r="AY184" i="26"/>
  <c r="AY268" i="26"/>
  <c r="AY283" i="26"/>
  <c r="AX288" i="26"/>
  <c r="AY292" i="26"/>
  <c r="AY328" i="26"/>
  <c r="AX356" i="26"/>
  <c r="BA356" i="26" s="1"/>
  <c r="AY364" i="26"/>
  <c r="AX397" i="26"/>
  <c r="BA397" i="26" s="1"/>
  <c r="AY410" i="26"/>
  <c r="AY444" i="26"/>
  <c r="AY461" i="26"/>
  <c r="AY465" i="26"/>
  <c r="AY508" i="26"/>
  <c r="AX513" i="26"/>
  <c r="AZ513" i="26" s="1"/>
  <c r="AX519" i="26"/>
  <c r="AZ519" i="26" s="1"/>
  <c r="AY827" i="26"/>
  <c r="AY576" i="26"/>
  <c r="AY606" i="26"/>
  <c r="AY619" i="26"/>
  <c r="AY629" i="26"/>
  <c r="AX630" i="26"/>
  <c r="BA630" i="26" s="1"/>
  <c r="AY637" i="26"/>
  <c r="AX810" i="26"/>
  <c r="BA810" i="26" s="1"/>
  <c r="AY642" i="26"/>
  <c r="AY660" i="26"/>
  <c r="AX669" i="26"/>
  <c r="AX694" i="26"/>
  <c r="BA694" i="26" s="1"/>
  <c r="AX799" i="26"/>
  <c r="AY702" i="26"/>
  <c r="AY723" i="26"/>
  <c r="AX757" i="26"/>
  <c r="AX765" i="26"/>
  <c r="AZ765" i="26" s="1"/>
  <c r="AY767" i="26"/>
  <c r="AX8" i="26"/>
  <c r="BA8" i="26" s="1"/>
  <c r="AY22" i="26"/>
  <c r="BG26" i="26"/>
  <c r="BI26" i="26" s="1"/>
  <c r="BK26" i="26" s="1"/>
  <c r="BL26" i="26" s="1"/>
  <c r="AX63" i="26"/>
  <c r="BA63" i="26" s="1"/>
  <c r="AX85" i="26"/>
  <c r="AX96" i="26"/>
  <c r="AZ96" i="26" s="1"/>
  <c r="AY105" i="26"/>
  <c r="AY118" i="26"/>
  <c r="AX119" i="26"/>
  <c r="BA119" i="26" s="1"/>
  <c r="AY122" i="26"/>
  <c r="AY149" i="26"/>
  <c r="AX155" i="26"/>
  <c r="BA155" i="26" s="1"/>
  <c r="AY204" i="26"/>
  <c r="AX231" i="26"/>
  <c r="BA231" i="26" s="1"/>
  <c r="AY234" i="26"/>
  <c r="AX235" i="26"/>
  <c r="BA235" i="26" s="1"/>
  <c r="AY255" i="26"/>
  <c r="AX268" i="26"/>
  <c r="AZ268" i="26" s="1"/>
  <c r="AY304" i="26"/>
  <c r="AY322" i="26"/>
  <c r="AY337" i="26"/>
  <c r="AX342" i="26"/>
  <c r="AZ342" i="26" s="1"/>
  <c r="AX369" i="26"/>
  <c r="AZ369" i="26" s="1"/>
  <c r="AY382" i="26"/>
  <c r="AY491" i="26"/>
  <c r="AX493" i="26"/>
  <c r="BA493" i="26" s="1"/>
  <c r="AY517" i="26"/>
  <c r="AY549" i="26"/>
  <c r="AX551" i="26"/>
  <c r="AZ551" i="26" s="1"/>
  <c r="AX577" i="26"/>
  <c r="AZ577" i="26" s="1"/>
  <c r="AY590" i="26"/>
  <c r="AX596" i="26"/>
  <c r="AZ596" i="26" s="1"/>
  <c r="AX640" i="26"/>
  <c r="BA640" i="26" s="1"/>
  <c r="AY690" i="26"/>
  <c r="AY741" i="26"/>
  <c r="AY777" i="26"/>
  <c r="AX780" i="26"/>
  <c r="BA780" i="26" s="1"/>
  <c r="AX787" i="26"/>
  <c r="BA787" i="26" s="1"/>
  <c r="BN27" i="26"/>
  <c r="BN11" i="26"/>
  <c r="AY10" i="26"/>
  <c r="AX21" i="26"/>
  <c r="BA21" i="26" s="1"/>
  <c r="BN50" i="26"/>
  <c r="BN51" i="26"/>
  <c r="BN108" i="26"/>
  <c r="AX110" i="26"/>
  <c r="AX113" i="26"/>
  <c r="BA113" i="26" s="1"/>
  <c r="BN120" i="26"/>
  <c r="AX131" i="26"/>
  <c r="AZ131" i="26" s="1"/>
  <c r="AX10" i="26"/>
  <c r="BA10" i="26" s="1"/>
  <c r="BG12" i="26"/>
  <c r="BI12" i="26" s="1"/>
  <c r="BK12" i="26" s="1"/>
  <c r="BL12" i="26" s="1"/>
  <c r="AX19" i="26"/>
  <c r="BA19" i="26" s="1"/>
  <c r="BG24" i="26"/>
  <c r="AY32" i="26"/>
  <c r="BN34" i="26"/>
  <c r="AX93" i="26"/>
  <c r="AX106" i="26"/>
  <c r="BA106" i="26" s="1"/>
  <c r="AX121" i="26"/>
  <c r="BA121" i="26" s="1"/>
  <c r="AX122" i="26"/>
  <c r="AX125" i="26"/>
  <c r="BA125" i="26" s="1"/>
  <c r="AX126" i="26"/>
  <c r="AZ126" i="26" s="1"/>
  <c r="AY143" i="26"/>
  <c r="AY148" i="26"/>
  <c r="AY152" i="26"/>
  <c r="AY155" i="26"/>
  <c r="AX158" i="26"/>
  <c r="BA158" i="26" s="1"/>
  <c r="AY239" i="26"/>
  <c r="AX248" i="26"/>
  <c r="BG2" i="26"/>
  <c r="BI2" i="26" s="1"/>
  <c r="AX17" i="26"/>
  <c r="AZ17" i="26" s="1"/>
  <c r="BN19" i="26"/>
  <c r="AX39" i="26"/>
  <c r="BA39" i="26" s="1"/>
  <c r="AX144" i="26"/>
  <c r="BA144" i="26" s="1"/>
  <c r="AY172" i="26"/>
  <c r="AX173" i="26"/>
  <c r="AX180" i="26"/>
  <c r="BA180" i="26" s="1"/>
  <c r="AX185" i="26"/>
  <c r="AY195" i="26"/>
  <c r="AX201" i="26"/>
  <c r="AY220" i="26"/>
  <c r="AY251" i="26"/>
  <c r="AX360" i="26"/>
  <c r="BA360" i="26" s="1"/>
  <c r="BG3" i="26"/>
  <c r="AY7" i="26"/>
  <c r="AX9" i="26"/>
  <c r="BA9" i="26" s="1"/>
  <c r="BG20" i="26"/>
  <c r="BI20" i="26" s="1"/>
  <c r="BK20" i="26" s="1"/>
  <c r="BL20" i="26" s="1"/>
  <c r="AX33" i="26"/>
  <c r="BA33" i="26" s="1"/>
  <c r="AY36" i="26"/>
  <c r="AX40" i="26"/>
  <c r="BA40" i="26" s="1"/>
  <c r="BG56" i="26"/>
  <c r="AY60" i="26"/>
  <c r="AY64" i="26"/>
  <c r="BN68" i="26"/>
  <c r="AY129" i="26"/>
  <c r="AX149" i="26"/>
  <c r="AZ149" i="26" s="1"/>
  <c r="AX157" i="26"/>
  <c r="AZ157" i="26" s="1"/>
  <c r="AX197" i="26"/>
  <c r="AY212" i="26"/>
  <c r="BN49" i="26"/>
  <c r="BN3" i="26"/>
  <c r="BN9" i="26"/>
  <c r="AX66" i="26"/>
  <c r="BA66" i="26" s="1"/>
  <c r="BN67" i="26"/>
  <c r="AX148" i="26"/>
  <c r="AX16" i="26"/>
  <c r="AZ16" i="26" s="1"/>
  <c r="BG9" i="26"/>
  <c r="BI9" i="26" s="1"/>
  <c r="BK9" i="26" s="1"/>
  <c r="BL9" i="26" s="1"/>
  <c r="AY30" i="26"/>
  <c r="AY31" i="26"/>
  <c r="AX44" i="26"/>
  <c r="AZ44" i="26" s="1"/>
  <c r="AY53" i="26"/>
  <c r="AX54" i="26"/>
  <c r="AZ54" i="26" s="1"/>
  <c r="AY63" i="26"/>
  <c r="AX65" i="26"/>
  <c r="BA65" i="26" s="1"/>
  <c r="AY70" i="26"/>
  <c r="AY84" i="26"/>
  <c r="AY89" i="26"/>
  <c r="AX105" i="26"/>
  <c r="BA105" i="26" s="1"/>
  <c r="AX117" i="26"/>
  <c r="AY141" i="26"/>
  <c r="AX153" i="26"/>
  <c r="AY154" i="26"/>
  <c r="AX156" i="26"/>
  <c r="AZ156" i="26" s="1"/>
  <c r="AX161" i="26"/>
  <c r="BA161" i="26" s="1"/>
  <c r="AY166" i="26"/>
  <c r="AX172" i="26"/>
  <c r="AY188" i="26"/>
  <c r="AX195" i="26"/>
  <c r="BA195" i="26" s="1"/>
  <c r="AX199" i="26"/>
  <c r="AX208" i="26"/>
  <c r="AX212" i="26"/>
  <c r="BA212" i="26" s="1"/>
  <c r="AX220" i="26"/>
  <c r="AX6" i="26"/>
  <c r="BA6" i="26" s="1"/>
  <c r="BN22" i="26"/>
  <c r="BN16" i="26"/>
  <c r="BG123" i="26"/>
  <c r="BN29" i="26"/>
  <c r="AX36" i="26"/>
  <c r="AX61" i="26"/>
  <c r="BA61" i="26" s="1"/>
  <c r="AY62" i="26"/>
  <c r="AY83" i="26"/>
  <c r="AY88" i="26"/>
  <c r="AY95" i="26"/>
  <c r="AY103" i="26"/>
  <c r="AX129" i="26"/>
  <c r="BA129" i="26" s="1"/>
  <c r="AY134" i="26"/>
  <c r="AX136" i="26"/>
  <c r="BA136" i="26" s="1"/>
  <c r="AX154" i="26"/>
  <c r="BA154" i="26" s="1"/>
  <c r="AX165" i="26"/>
  <c r="BA165" i="26" s="1"/>
  <c r="AX166" i="26"/>
  <c r="BA166" i="26" s="1"/>
  <c r="AX194" i="26"/>
  <c r="BA194" i="26" s="1"/>
  <c r="AX353" i="26"/>
  <c r="BA353" i="26" s="1"/>
  <c r="AY398" i="26"/>
  <c r="BN14" i="26"/>
  <c r="AX26" i="26"/>
  <c r="BA26" i="26" s="1"/>
  <c r="BN30" i="26"/>
  <c r="BN60" i="26"/>
  <c r="BN61" i="26"/>
  <c r="AX70" i="26"/>
  <c r="AY76" i="26"/>
  <c r="AY87" i="26"/>
  <c r="AY170" i="26"/>
  <c r="AY191" i="26"/>
  <c r="AY267" i="26"/>
  <c r="AY352" i="26"/>
  <c r="AX13" i="26"/>
  <c r="BA13" i="26" s="1"/>
  <c r="AX27" i="26"/>
  <c r="BA27" i="26" s="1"/>
  <c r="AX43" i="26"/>
  <c r="BA43" i="26" s="1"/>
  <c r="AX47" i="26"/>
  <c r="BA47" i="26" s="1"/>
  <c r="AX53" i="26"/>
  <c r="BA53" i="26" s="1"/>
  <c r="AX59" i="26"/>
  <c r="BA59" i="26" s="1"/>
  <c r="BN62" i="26"/>
  <c r="BN63" i="26"/>
  <c r="AX73" i="26"/>
  <c r="BN96" i="26"/>
  <c r="AX97" i="26"/>
  <c r="AY101" i="26"/>
  <c r="AY102" i="26"/>
  <c r="AY108" i="26"/>
  <c r="AY120" i="26"/>
  <c r="AY127" i="26"/>
  <c r="AX160" i="26"/>
  <c r="AY192" i="26"/>
  <c r="AY210" i="26"/>
  <c r="AY214" i="26"/>
  <c r="AY366" i="26"/>
  <c r="AY11" i="26"/>
  <c r="AY42" i="26"/>
  <c r="BN43" i="26"/>
  <c r="BN48" i="26"/>
  <c r="BN84" i="26"/>
  <c r="AX103" i="26"/>
  <c r="BA103" i="26" s="1"/>
  <c r="AY107" i="26"/>
  <c r="AY112" i="26"/>
  <c r="AY113" i="26"/>
  <c r="AX128" i="26"/>
  <c r="AZ128" i="26" s="1"/>
  <c r="AY262" i="26"/>
  <c r="AY479" i="26"/>
  <c r="BN56" i="26"/>
  <c r="BG6" i="26"/>
  <c r="AX11" i="26"/>
  <c r="BA11" i="26" s="1"/>
  <c r="AY18" i="26"/>
  <c r="AY20" i="26"/>
  <c r="BN25" i="26"/>
  <c r="BN35" i="26"/>
  <c r="BG36" i="26"/>
  <c r="BI36" i="26" s="1"/>
  <c r="AY41" i="26"/>
  <c r="AX42" i="26"/>
  <c r="BA42" i="26" s="1"/>
  <c r="AY46" i="26"/>
  <c r="AX76" i="26"/>
  <c r="BA76" i="26" s="1"/>
  <c r="AX82" i="26"/>
  <c r="BA82" i="26" s="1"/>
  <c r="AX86" i="26"/>
  <c r="BA86" i="26" s="1"/>
  <c r="AY93" i="26"/>
  <c r="AX94" i="26"/>
  <c r="BA94" i="26" s="1"/>
  <c r="AX98" i="26"/>
  <c r="AY100" i="26"/>
  <c r="BG104" i="26"/>
  <c r="BI104" i="26" s="1"/>
  <c r="BK104" i="26" s="1"/>
  <c r="BL104" i="26" s="1"/>
  <c r="AY111" i="26"/>
  <c r="AY119" i="26"/>
  <c r="AY126" i="26"/>
  <c r="AY131" i="26"/>
  <c r="AY169" i="26"/>
  <c r="AY318" i="26"/>
  <c r="AX361" i="26"/>
  <c r="BA361" i="26" s="1"/>
  <c r="AY253" i="26"/>
  <c r="AX264" i="26"/>
  <c r="AX265" i="26"/>
  <c r="BA265" i="26" s="1"/>
  <c r="AX273" i="26"/>
  <c r="BA273" i="26" s="1"/>
  <c r="AX303" i="26"/>
  <c r="BA303" i="26" s="1"/>
  <c r="AX315" i="26"/>
  <c r="BA315" i="26" s="1"/>
  <c r="AX348" i="26"/>
  <c r="BA348" i="26" s="1"/>
  <c r="AY370" i="26"/>
  <c r="AX372" i="26"/>
  <c r="BA372" i="26" s="1"/>
  <c r="AY386" i="26"/>
  <c r="AX387" i="26"/>
  <c r="BA387" i="26" s="1"/>
  <c r="AY416" i="26"/>
  <c r="AX417" i="26"/>
  <c r="AZ417" i="26" s="1"/>
  <c r="AY430" i="26"/>
  <c r="AX431" i="26"/>
  <c r="AZ431" i="26" s="1"/>
  <c r="AY438" i="26"/>
  <c r="AX440" i="26"/>
  <c r="AZ440" i="26" s="1"/>
  <c r="AX462" i="26"/>
  <c r="AX469" i="26"/>
  <c r="BA469" i="26" s="1"/>
  <c r="AX566" i="26"/>
  <c r="AX638" i="26"/>
  <c r="BA638" i="26" s="1"/>
  <c r="AX707" i="26"/>
  <c r="BA707" i="26" s="1"/>
  <c r="AX766" i="26"/>
  <c r="AZ766" i="26" s="1"/>
  <c r="AX205" i="26"/>
  <c r="BA205" i="26" s="1"/>
  <c r="AX229" i="26"/>
  <c r="AX328" i="26"/>
  <c r="BA328" i="26" s="1"/>
  <c r="AX338" i="26"/>
  <c r="BA338" i="26" s="1"/>
  <c r="AX347" i="26"/>
  <c r="AY368" i="26"/>
  <c r="AY369" i="26"/>
  <c r="AX393" i="26"/>
  <c r="AZ393" i="26" s="1"/>
  <c r="AX406" i="26"/>
  <c r="BA406" i="26" s="1"/>
  <c r="AY429" i="26"/>
  <c r="AY459" i="26"/>
  <c r="AY475" i="26"/>
  <c r="AX825" i="26"/>
  <c r="AX643" i="26"/>
  <c r="AZ643" i="26" s="1"/>
  <c r="AX698" i="26"/>
  <c r="BA698" i="26" s="1"/>
  <c r="AX755" i="26"/>
  <c r="AY208" i="26"/>
  <c r="AY308" i="26"/>
  <c r="AY342" i="26"/>
  <c r="AY353" i="26"/>
  <c r="AY385" i="26"/>
  <c r="AX386" i="26"/>
  <c r="BA386" i="26" s="1"/>
  <c r="AX429" i="26"/>
  <c r="AZ429" i="26" s="1"/>
  <c r="AY458" i="26"/>
  <c r="AX461" i="26"/>
  <c r="AX516" i="26"/>
  <c r="AY559" i="26"/>
  <c r="AY573" i="26"/>
  <c r="AY804" i="26"/>
  <c r="AY688" i="26"/>
  <c r="AY695" i="26"/>
  <c r="AY216" i="26"/>
  <c r="AX217" i="26"/>
  <c r="BA217" i="26" s="1"/>
  <c r="AY223" i="26"/>
  <c r="AY224" i="26"/>
  <c r="AY240" i="26"/>
  <c r="AY249" i="26"/>
  <c r="AY286" i="26"/>
  <c r="AX314" i="26"/>
  <c r="AZ314" i="26" s="1"/>
  <c r="AY326" i="26"/>
  <c r="AY327" i="26"/>
  <c r="AX337" i="26"/>
  <c r="AZ337" i="26" s="1"/>
  <c r="AY379" i="26"/>
  <c r="AY396" i="26"/>
  <c r="AY397" i="26"/>
  <c r="AX405" i="26"/>
  <c r="BA405" i="26" s="1"/>
  <c r="AY424" i="26"/>
  <c r="AY456" i="26"/>
  <c r="AY473" i="26"/>
  <c r="AY481" i="26"/>
  <c r="AY486" i="26"/>
  <c r="AX487" i="26"/>
  <c r="BA487" i="26" s="1"/>
  <c r="AY503" i="26"/>
  <c r="AX832" i="26"/>
  <c r="BA832" i="26" s="1"/>
  <c r="AY653" i="26"/>
  <c r="AX391" i="26"/>
  <c r="AZ391" i="26" s="1"/>
  <c r="AX449" i="26"/>
  <c r="AZ449" i="26" s="1"/>
  <c r="AX456" i="26"/>
  <c r="AX482" i="26"/>
  <c r="BA482" i="26" s="1"/>
  <c r="AX573" i="26"/>
  <c r="AZ573" i="26" s="1"/>
  <c r="AX778" i="26"/>
  <c r="AX210" i="26"/>
  <c r="BA210" i="26" s="1"/>
  <c r="AX216" i="26"/>
  <c r="BA216" i="26" s="1"/>
  <c r="AX221" i="26"/>
  <c r="AX240" i="26"/>
  <c r="BA240" i="26" s="1"/>
  <c r="AY246" i="26"/>
  <c r="AX249" i="26"/>
  <c r="BA249" i="26" s="1"/>
  <c r="AX250" i="26"/>
  <c r="AX262" i="26"/>
  <c r="AZ262" i="26" s="1"/>
  <c r="AY325" i="26"/>
  <c r="AX326" i="26"/>
  <c r="BA326" i="26" s="1"/>
  <c r="AY331" i="26"/>
  <c r="AY332" i="26"/>
  <c r="AY351" i="26"/>
  <c r="AY359" i="26"/>
  <c r="AY373" i="26"/>
  <c r="AY377" i="26"/>
  <c r="AY383" i="26"/>
  <c r="AY384" i="26"/>
  <c r="AY395" i="26"/>
  <c r="AX402" i="26"/>
  <c r="BA402" i="26" s="1"/>
  <c r="AY411" i="26"/>
  <c r="AY413" i="26"/>
  <c r="AX443" i="26"/>
  <c r="BA443" i="26" s="1"/>
  <c r="AY447" i="26"/>
  <c r="AX473" i="26"/>
  <c r="AX481" i="26"/>
  <c r="AX510" i="26"/>
  <c r="AZ510" i="26" s="1"/>
  <c r="AX536" i="26"/>
  <c r="BA536" i="26" s="1"/>
  <c r="AX743" i="26"/>
  <c r="AX775" i="26"/>
  <c r="BA775" i="26" s="1"/>
  <c r="AX213" i="26"/>
  <c r="AX238" i="26"/>
  <c r="BA238" i="26" s="1"/>
  <c r="AX239" i="26"/>
  <c r="AY245" i="26"/>
  <c r="AX318" i="26"/>
  <c r="AZ318" i="26" s="1"/>
  <c r="AX381" i="26"/>
  <c r="AY412" i="26"/>
  <c r="AX436" i="26"/>
  <c r="AZ436" i="26" s="1"/>
  <c r="AX444" i="26"/>
  <c r="AX603" i="26"/>
  <c r="BA603" i="26" s="1"/>
  <c r="AX727" i="26"/>
  <c r="BA727" i="26" s="1"/>
  <c r="AX261" i="26"/>
  <c r="AX266" i="26"/>
  <c r="BA266" i="26" s="1"/>
  <c r="AX317" i="26"/>
  <c r="AZ317" i="26" s="1"/>
  <c r="AX325" i="26"/>
  <c r="AZ325" i="26" s="1"/>
  <c r="AX340" i="26"/>
  <c r="BA340" i="26" s="1"/>
  <c r="AY375" i="26"/>
  <c r="AX389" i="26"/>
  <c r="BA389" i="26" s="1"/>
  <c r="AX414" i="26"/>
  <c r="BA414" i="26" s="1"/>
  <c r="AY419" i="26"/>
  <c r="AX422" i="26"/>
  <c r="BA422" i="26" s="1"/>
  <c r="AX434" i="26"/>
  <c r="AZ434" i="26" s="1"/>
  <c r="AX435" i="26"/>
  <c r="AY529" i="26"/>
  <c r="AY829" i="26"/>
  <c r="AY591" i="26"/>
  <c r="AX592" i="26"/>
  <c r="BA592" i="26" s="1"/>
  <c r="AX822" i="26"/>
  <c r="AY811" i="26"/>
  <c r="AX814" i="26"/>
  <c r="BA814" i="26" s="1"/>
  <c r="AX802" i="26"/>
  <c r="AX740" i="26"/>
  <c r="BA740" i="26" s="1"/>
  <c r="AY265" i="26"/>
  <c r="AX284" i="26"/>
  <c r="BA284" i="26" s="1"/>
  <c r="AX295" i="26"/>
  <c r="BA295" i="26" s="1"/>
  <c r="AX296" i="26"/>
  <c r="AX298" i="26"/>
  <c r="AZ298" i="26" s="1"/>
  <c r="AY302" i="26"/>
  <c r="AY324" i="26"/>
  <c r="AX331" i="26"/>
  <c r="AY349" i="26"/>
  <c r="AX375" i="26"/>
  <c r="BA375" i="26" s="1"/>
  <c r="AX378" i="26"/>
  <c r="BA378" i="26" s="1"/>
  <c r="AX400" i="26"/>
  <c r="AZ400" i="26" s="1"/>
  <c r="AX410" i="26"/>
  <c r="AZ410" i="26" s="1"/>
  <c r="AX411" i="26"/>
  <c r="BA411" i="26" s="1"/>
  <c r="AY427" i="26"/>
  <c r="AY441" i="26"/>
  <c r="AY462" i="26"/>
  <c r="AX466" i="26"/>
  <c r="BA466" i="26" s="1"/>
  <c r="AX509" i="26"/>
  <c r="BA509" i="26" s="1"/>
  <c r="AY566" i="26"/>
  <c r="AY638" i="26"/>
  <c r="AY684" i="26"/>
  <c r="AX759" i="26"/>
  <c r="AZ759" i="26" s="1"/>
  <c r="AY766" i="26"/>
  <c r="AX777" i="26"/>
  <c r="BJ797" i="26"/>
  <c r="AY244" i="26"/>
  <c r="AY258" i="26"/>
  <c r="AY270" i="26"/>
  <c r="AX292" i="26"/>
  <c r="BA292" i="26" s="1"/>
  <c r="AY315" i="26"/>
  <c r="AX316" i="26"/>
  <c r="BA316" i="26" s="1"/>
  <c r="AX329" i="26"/>
  <c r="AZ329" i="26" s="1"/>
  <c r="AX330" i="26"/>
  <c r="AZ330" i="26" s="1"/>
  <c r="AY338" i="26"/>
  <c r="AY339" i="26"/>
  <c r="AY345" i="26"/>
  <c r="AY363" i="26"/>
  <c r="AY371" i="26"/>
  <c r="AX388" i="26"/>
  <c r="AZ388" i="26" s="1"/>
  <c r="AY406" i="26"/>
  <c r="AX407" i="26"/>
  <c r="AZ407" i="26" s="1"/>
  <c r="AX408" i="26"/>
  <c r="AY418" i="26"/>
  <c r="AX419" i="26"/>
  <c r="BA419" i="26" s="1"/>
  <c r="AX420" i="26"/>
  <c r="BA420" i="26" s="1"/>
  <c r="AX421" i="26"/>
  <c r="AZ421" i="26" s="1"/>
  <c r="AX432" i="26"/>
  <c r="BA432" i="26" s="1"/>
  <c r="AY468" i="26"/>
  <c r="AX484" i="26"/>
  <c r="BA484" i="26" s="1"/>
  <c r="AX508" i="26"/>
  <c r="AX567" i="26"/>
  <c r="BA567" i="26" s="1"/>
  <c r="AX576" i="26"/>
  <c r="BA576" i="26" s="1"/>
  <c r="AY654" i="26"/>
  <c r="AY663" i="26"/>
  <c r="AY755" i="26"/>
  <c r="AX732" i="26"/>
  <c r="BA732" i="26" s="1"/>
  <c r="AX748" i="26"/>
  <c r="AZ748" i="26" s="1"/>
  <c r="AY756" i="26"/>
  <c r="AX797" i="26"/>
  <c r="AY502" i="26"/>
  <c r="AY534" i="26"/>
  <c r="AY554" i="26"/>
  <c r="AX565" i="26"/>
  <c r="AX591" i="26"/>
  <c r="AZ591" i="26" s="1"/>
  <c r="AY596" i="26"/>
  <c r="AX654" i="26"/>
  <c r="BA654" i="26" s="1"/>
  <c r="AX660" i="26"/>
  <c r="AX667" i="26"/>
  <c r="BA667" i="26" s="1"/>
  <c r="AX700" i="26"/>
  <c r="AZ700" i="26" s="1"/>
  <c r="AY711" i="26"/>
  <c r="AY744" i="26"/>
  <c r="AY482" i="26"/>
  <c r="AX497" i="26"/>
  <c r="AZ497" i="26" s="1"/>
  <c r="AX502" i="26"/>
  <c r="BA502" i="26" s="1"/>
  <c r="AY564" i="26"/>
  <c r="AY571" i="26"/>
  <c r="AY583" i="26"/>
  <c r="AX628" i="26"/>
  <c r="BA628" i="26" s="1"/>
  <c r="AY816" i="26"/>
  <c r="AX664" i="26"/>
  <c r="BA664" i="26" s="1"/>
  <c r="AX689" i="26"/>
  <c r="BA689" i="26" s="1"/>
  <c r="AY697" i="26"/>
  <c r="AY802" i="26"/>
  <c r="AY708" i="26"/>
  <c r="AX719" i="26"/>
  <c r="BA719" i="26" s="1"/>
  <c r="AY726" i="26"/>
  <c r="AX730" i="26"/>
  <c r="BA730" i="26" s="1"/>
  <c r="AY734" i="26"/>
  <c r="AX742" i="26"/>
  <c r="AZ742" i="26" s="1"/>
  <c r="AX744" i="26"/>
  <c r="AY765" i="26"/>
  <c r="AX489" i="26"/>
  <c r="AX496" i="26"/>
  <c r="BA496" i="26" s="1"/>
  <c r="AX501" i="26"/>
  <c r="BA501" i="26" s="1"/>
  <c r="AY526" i="26"/>
  <c r="AY532" i="26"/>
  <c r="AY540" i="26"/>
  <c r="AX827" i="26"/>
  <c r="AZ827" i="26" s="1"/>
  <c r="AY552" i="26"/>
  <c r="AY563" i="26"/>
  <c r="AX564" i="26"/>
  <c r="BA564" i="26" s="1"/>
  <c r="AX572" i="26"/>
  <c r="BA572" i="26" s="1"/>
  <c r="AY633" i="26"/>
  <c r="AX637" i="26"/>
  <c r="BA637" i="26" s="1"/>
  <c r="AX648" i="26"/>
  <c r="AZ648" i="26" s="1"/>
  <c r="AY666" i="26"/>
  <c r="AY674" i="26"/>
  <c r="AY707" i="26"/>
  <c r="AY721" i="26"/>
  <c r="AY750" i="26"/>
  <c r="AY772" i="26"/>
  <c r="AX776" i="26"/>
  <c r="AZ776" i="26" s="1"/>
  <c r="AY512" i="26"/>
  <c r="AX526" i="26"/>
  <c r="BA526" i="26" s="1"/>
  <c r="AY531" i="26"/>
  <c r="AY539" i="26"/>
  <c r="AX546" i="26"/>
  <c r="AZ546" i="26" s="1"/>
  <c r="AX548" i="26"/>
  <c r="AX553" i="26"/>
  <c r="BA553" i="26" s="1"/>
  <c r="AX559" i="26"/>
  <c r="BA559" i="26" s="1"/>
  <c r="AX583" i="26"/>
  <c r="BA583" i="26" s="1"/>
  <c r="AX595" i="26"/>
  <c r="BA595" i="26" s="1"/>
  <c r="AX615" i="26"/>
  <c r="BA615" i="26" s="1"/>
  <c r="AY626" i="26"/>
  <c r="AX631" i="26"/>
  <c r="AZ631" i="26" s="1"/>
  <c r="AX816" i="26"/>
  <c r="BA816" i="26" s="1"/>
  <c r="AX653" i="26"/>
  <c r="BA653" i="26" s="1"/>
  <c r="AX697" i="26"/>
  <c r="BA697" i="26" s="1"/>
  <c r="AX710" i="26"/>
  <c r="AZ710" i="26" s="1"/>
  <c r="AY733" i="26"/>
  <c r="AY757" i="26"/>
  <c r="AY783" i="26"/>
  <c r="AY786" i="26"/>
  <c r="AX486" i="26"/>
  <c r="BA486" i="26" s="1"/>
  <c r="AX532" i="26"/>
  <c r="AZ532" i="26" s="1"/>
  <c r="AY551" i="26"/>
  <c r="AY570" i="26"/>
  <c r="AX610" i="26"/>
  <c r="AZ610" i="26" s="1"/>
  <c r="AY614" i="26"/>
  <c r="AY620" i="26"/>
  <c r="AX823" i="26"/>
  <c r="AZ823" i="26" s="1"/>
  <c r="AX804" i="26"/>
  <c r="BA804" i="26" s="1"/>
  <c r="AX813" i="26"/>
  <c r="AZ813" i="26" s="1"/>
  <c r="AY652" i="26"/>
  <c r="AY687" i="26"/>
  <c r="AY699" i="26"/>
  <c r="AX800" i="26"/>
  <c r="AZ800" i="26" s="1"/>
  <c r="AX718" i="26"/>
  <c r="AZ718" i="26" s="1"/>
  <c r="AX721" i="26"/>
  <c r="BA721" i="26" s="1"/>
  <c r="AX753" i="26"/>
  <c r="AY780" i="26"/>
  <c r="AY494" i="26"/>
  <c r="AX524" i="26"/>
  <c r="BA524" i="26" s="1"/>
  <c r="AY530" i="26"/>
  <c r="AY557" i="26"/>
  <c r="AX558" i="26"/>
  <c r="AZ558" i="26" s="1"/>
  <c r="AX809" i="26"/>
  <c r="AZ809" i="26" s="1"/>
  <c r="AX647" i="26"/>
  <c r="AZ647" i="26" s="1"/>
  <c r="AX656" i="26"/>
  <c r="BA656" i="26" s="1"/>
  <c r="AY665" i="26"/>
  <c r="AY681" i="26"/>
  <c r="AX687" i="26"/>
  <c r="BA687" i="26" s="1"/>
  <c r="AX693" i="26"/>
  <c r="BA693" i="26" s="1"/>
  <c r="AX703" i="26"/>
  <c r="AX706" i="26"/>
  <c r="AX746" i="26"/>
  <c r="AY774" i="26"/>
  <c r="AY498" i="26"/>
  <c r="AX499" i="26"/>
  <c r="AZ499" i="26" s="1"/>
  <c r="AX530" i="26"/>
  <c r="AY537" i="26"/>
  <c r="AX539" i="26"/>
  <c r="AZ539" i="26" s="1"/>
  <c r="AY575" i="26"/>
  <c r="AY579" i="26"/>
  <c r="AY609" i="26"/>
  <c r="AY624" i="26"/>
  <c r="AY625" i="26"/>
  <c r="AY819" i="26"/>
  <c r="AY649" i="26"/>
  <c r="AX670" i="26"/>
  <c r="AZ670" i="26" s="1"/>
  <c r="AY679" i="26"/>
  <c r="AY691" i="26"/>
  <c r="AY709" i="26"/>
  <c r="AX717" i="26"/>
  <c r="BA717" i="26" s="1"/>
  <c r="AX733" i="26"/>
  <c r="BA733" i="26" s="1"/>
  <c r="AY735" i="26"/>
  <c r="AX752" i="26"/>
  <c r="AX783" i="26"/>
  <c r="BA783" i="26" s="1"/>
  <c r="AY785" i="26"/>
  <c r="AY510" i="26"/>
  <c r="AY567" i="26"/>
  <c r="AY580" i="26"/>
  <c r="AY613" i="26"/>
  <c r="AY806" i="26"/>
  <c r="AY724" i="26"/>
  <c r="AY732" i="26"/>
  <c r="AY748" i="26"/>
  <c r="AX767" i="26"/>
  <c r="BA767" i="26" s="1"/>
  <c r="AY770" i="26"/>
  <c r="AY778" i="26"/>
  <c r="AX785" i="26"/>
  <c r="BA785" i="26" s="1"/>
  <c r="AX504" i="26"/>
  <c r="BA504" i="26" s="1"/>
  <c r="AY509" i="26"/>
  <c r="AY516" i="26"/>
  <c r="AX521" i="26"/>
  <c r="AY578" i="26"/>
  <c r="AX581" i="26"/>
  <c r="BA581" i="26" s="1"/>
  <c r="AY585" i="26"/>
  <c r="AY607" i="26"/>
  <c r="AX803" i="26"/>
  <c r="AZ803" i="26" s="1"/>
  <c r="AX807" i="26"/>
  <c r="AZ807" i="26" s="1"/>
  <c r="AY655" i="26"/>
  <c r="AX661" i="26"/>
  <c r="BA661" i="26" s="1"/>
  <c r="AY667" i="26"/>
  <c r="AX679" i="26"/>
  <c r="AX798" i="26"/>
  <c r="AX712" i="26"/>
  <c r="BA712" i="26" s="1"/>
  <c r="AX720" i="26"/>
  <c r="AZ720" i="26" s="1"/>
  <c r="AY759" i="26"/>
  <c r="AX760" i="26"/>
  <c r="BA760" i="26" s="1"/>
  <c r="AX763" i="26"/>
  <c r="BA763" i="26" s="1"/>
  <c r="AY773" i="26"/>
  <c r="BN45" i="26"/>
  <c r="BN111" i="26"/>
  <c r="BN4" i="26"/>
  <c r="BN38" i="26"/>
  <c r="BN39" i="26"/>
  <c r="BG41" i="26"/>
  <c r="BI41" i="26" s="1"/>
  <c r="BK41" i="26" s="1"/>
  <c r="BL41" i="26" s="1"/>
  <c r="BN57" i="26"/>
  <c r="BG68" i="26"/>
  <c r="BI68" i="26" s="1"/>
  <c r="BK68" i="26" s="1"/>
  <c r="BL68" i="26" s="1"/>
  <c r="AX69" i="26"/>
  <c r="BN77" i="26"/>
  <c r="AX80" i="26"/>
  <c r="BN82" i="26"/>
  <c r="BG91" i="26"/>
  <c r="BI91" i="26" s="1"/>
  <c r="BN103" i="26"/>
  <c r="AX111" i="26"/>
  <c r="BN161" i="26"/>
  <c r="AX167" i="26"/>
  <c r="BN216" i="26"/>
  <c r="BN230" i="26"/>
  <c r="BN32" i="26"/>
  <c r="BN787" i="26"/>
  <c r="BN5" i="26"/>
  <c r="BG13" i="26"/>
  <c r="BI13" i="26" s="1"/>
  <c r="BK13" i="26" s="1"/>
  <c r="BL13" i="26" s="1"/>
  <c r="BN17" i="26"/>
  <c r="BG21" i="26"/>
  <c r="BN23" i="26"/>
  <c r="BG27" i="26"/>
  <c r="BI27" i="26" s="1"/>
  <c r="BK27" i="26" s="1"/>
  <c r="BL27" i="26" s="1"/>
  <c r="BG28" i="26"/>
  <c r="BG33" i="26"/>
  <c r="BI33" i="26" s="1"/>
  <c r="BK33" i="26" s="1"/>
  <c r="BL33" i="26" s="1"/>
  <c r="BN37" i="26"/>
  <c r="BG47" i="26"/>
  <c r="BI47" i="26" s="1"/>
  <c r="BG53" i="26"/>
  <c r="BI53" i="26" s="1"/>
  <c r="BK53" i="26" s="1"/>
  <c r="BL53" i="26" s="1"/>
  <c r="AY56" i="26"/>
  <c r="BN69" i="26"/>
  <c r="BG79" i="26"/>
  <c r="BN80" i="26"/>
  <c r="BN86" i="26"/>
  <c r="BG92" i="26"/>
  <c r="BN99" i="26"/>
  <c r="AY114" i="26"/>
  <c r="AY115" i="26"/>
  <c r="BN119" i="26"/>
  <c r="BN124" i="26"/>
  <c r="BN125" i="26"/>
  <c r="BN143" i="26"/>
  <c r="AX256" i="26"/>
  <c r="AY256" i="26"/>
  <c r="BN135" i="26"/>
  <c r="BN6" i="26"/>
  <c r="BG14" i="26"/>
  <c r="BG782" i="26"/>
  <c r="BI782" i="26" s="1"/>
  <c r="BK782" i="26" s="1"/>
  <c r="BL782" i="26" s="1"/>
  <c r="BG770" i="26"/>
  <c r="BG758" i="26"/>
  <c r="BI758" i="26" s="1"/>
  <c r="BG746" i="26"/>
  <c r="BG784" i="26"/>
  <c r="BG772" i="26"/>
  <c r="BG760" i="26"/>
  <c r="BG748" i="26"/>
  <c r="BG787" i="26"/>
  <c r="BI797" i="26"/>
  <c r="BG776" i="26"/>
  <c r="BG764" i="26"/>
  <c r="BG752" i="26"/>
  <c r="BG740" i="26"/>
  <c r="BG728" i="26"/>
  <c r="BI728" i="26" s="1"/>
  <c r="BK728" i="26" s="1"/>
  <c r="BL728" i="26" s="1"/>
  <c r="BG777" i="26"/>
  <c r="BG765" i="26"/>
  <c r="BI765" i="26" s="1"/>
  <c r="BG753" i="26"/>
  <c r="BG778" i="26"/>
  <c r="BI778" i="26" s="1"/>
  <c r="BK778" i="26" s="1"/>
  <c r="BL778" i="26" s="1"/>
  <c r="BG766" i="26"/>
  <c r="BG754" i="26"/>
  <c r="BG742" i="26"/>
  <c r="BG730" i="26"/>
  <c r="BI730" i="26" s="1"/>
  <c r="BK730" i="26" s="1"/>
  <c r="BL730" i="26" s="1"/>
  <c r="BG780" i="26"/>
  <c r="BI780" i="26" s="1"/>
  <c r="BK780" i="26" s="1"/>
  <c r="BL780" i="26" s="1"/>
  <c r="BG768" i="26"/>
  <c r="BG756" i="26"/>
  <c r="BG744" i="26"/>
  <c r="BG732" i="26"/>
  <c r="BG738" i="26"/>
  <c r="BI738" i="26" s="1"/>
  <c r="BG714" i="26"/>
  <c r="BI714" i="26" s="1"/>
  <c r="BK714" i="26" s="1"/>
  <c r="BL714" i="26" s="1"/>
  <c r="BG702" i="26"/>
  <c r="BG781" i="26"/>
  <c r="BG774" i="26"/>
  <c r="BG745" i="26"/>
  <c r="BG773" i="26"/>
  <c r="BI773" i="26" s="1"/>
  <c r="BG762" i="26"/>
  <c r="BG747" i="26"/>
  <c r="BI747" i="26" s="1"/>
  <c r="BG739" i="26"/>
  <c r="BG786" i="26"/>
  <c r="BG761" i="26"/>
  <c r="BI761" i="26" s="1"/>
  <c r="BK761" i="26" s="1"/>
  <c r="BL761" i="26" s="1"/>
  <c r="BG737" i="26"/>
  <c r="BG720" i="26"/>
  <c r="BG708" i="26"/>
  <c r="BG785" i="26"/>
  <c r="BG783" i="26"/>
  <c r="BG750" i="26"/>
  <c r="BG743" i="26"/>
  <c r="BG771" i="26"/>
  <c r="BG779" i="26"/>
  <c r="BG759" i="26"/>
  <c r="BG767" i="26"/>
  <c r="BG749" i="26"/>
  <c r="BG734" i="26"/>
  <c r="BG724" i="26"/>
  <c r="BG712" i="26"/>
  <c r="BG733" i="26"/>
  <c r="BG722" i="26"/>
  <c r="BG800" i="26"/>
  <c r="BG691" i="26"/>
  <c r="BG713" i="26"/>
  <c r="BG710" i="26"/>
  <c r="BG801" i="26"/>
  <c r="BG692" i="26"/>
  <c r="BG680" i="26"/>
  <c r="BG725" i="26"/>
  <c r="BG802" i="26"/>
  <c r="BG693" i="26"/>
  <c r="BG751" i="26"/>
  <c r="BG736" i="26"/>
  <c r="BG723" i="26"/>
  <c r="BI723" i="26" s="1"/>
  <c r="BK723" i="26" s="1"/>
  <c r="BL723" i="26" s="1"/>
  <c r="BG706" i="26"/>
  <c r="BG704" i="26"/>
  <c r="BG775" i="26"/>
  <c r="BI775" i="26" s="1"/>
  <c r="BG755" i="26"/>
  <c r="BG729" i="26"/>
  <c r="BG727" i="26"/>
  <c r="BG711" i="26"/>
  <c r="BI711" i="26" s="1"/>
  <c r="BG731" i="26"/>
  <c r="BG763" i="26"/>
  <c r="BG719" i="26"/>
  <c r="BG769" i="26"/>
  <c r="BG717" i="26"/>
  <c r="BG716" i="26"/>
  <c r="BI716" i="26" s="1"/>
  <c r="BG703" i="26"/>
  <c r="BG695" i="26"/>
  <c r="BG757" i="26"/>
  <c r="BI757" i="26" s="1"/>
  <c r="BK757" i="26" s="1"/>
  <c r="BL757" i="26" s="1"/>
  <c r="BG741" i="26"/>
  <c r="BG715" i="26"/>
  <c r="BG697" i="26"/>
  <c r="BG687" i="26"/>
  <c r="BG683" i="26"/>
  <c r="BG667" i="26"/>
  <c r="BG735" i="26"/>
  <c r="BG707" i="26"/>
  <c r="BG678" i="26"/>
  <c r="BG689" i="26"/>
  <c r="BG672" i="26"/>
  <c r="BG700" i="26"/>
  <c r="BG668" i="26"/>
  <c r="BG662" i="26"/>
  <c r="BI662" i="26" s="1"/>
  <c r="BG655" i="26"/>
  <c r="BG643" i="26"/>
  <c r="BG726" i="26"/>
  <c r="BG699" i="26"/>
  <c r="BG684" i="26"/>
  <c r="BG673" i="26"/>
  <c r="BG656" i="26"/>
  <c r="BG644" i="26"/>
  <c r="BG679" i="26"/>
  <c r="BG676" i="26"/>
  <c r="BG669" i="26"/>
  <c r="BI669" i="26" s="1"/>
  <c r="BK669" i="26" s="1"/>
  <c r="BL669" i="26" s="1"/>
  <c r="BG657" i="26"/>
  <c r="BG645" i="26"/>
  <c r="BG808" i="26"/>
  <c r="BG718" i="26"/>
  <c r="BG709" i="26"/>
  <c r="BG701" i="26"/>
  <c r="BG688" i="26"/>
  <c r="BG663" i="26"/>
  <c r="BG658" i="26"/>
  <c r="BG646" i="26"/>
  <c r="BG809" i="26"/>
  <c r="BG639" i="26"/>
  <c r="BG637" i="26"/>
  <c r="BI637" i="26" s="1"/>
  <c r="BK637" i="26" s="1"/>
  <c r="BL637" i="26" s="1"/>
  <c r="BG635" i="26"/>
  <c r="BG698" i="26"/>
  <c r="BG694" i="26"/>
  <c r="BG682" i="26"/>
  <c r="BG674" i="26"/>
  <c r="BG670" i="26"/>
  <c r="BG799" i="26"/>
  <c r="BG690" i="26"/>
  <c r="BG686" i="26"/>
  <c r="BI686" i="26" s="1"/>
  <c r="BK686" i="26" s="1"/>
  <c r="BL686" i="26" s="1"/>
  <c r="BG659" i="26"/>
  <c r="BG664" i="26"/>
  <c r="BG653" i="26"/>
  <c r="BI653" i="26" s="1"/>
  <c r="BK653" i="26" s="1"/>
  <c r="BL653" i="26" s="1"/>
  <c r="BG806" i="26"/>
  <c r="BI806" i="26" s="1"/>
  <c r="BG681" i="26"/>
  <c r="BI681" i="26" s="1"/>
  <c r="BK681" i="26" s="1"/>
  <c r="BL681" i="26" s="1"/>
  <c r="BG652" i="26"/>
  <c r="BG642" i="26"/>
  <c r="BG820" i="26"/>
  <c r="BG632" i="26"/>
  <c r="BG631" i="26"/>
  <c r="BG630" i="26"/>
  <c r="BG618" i="26"/>
  <c r="BG602" i="26"/>
  <c r="BG721" i="26"/>
  <c r="BG648" i="26"/>
  <c r="BI648" i="26" s="1"/>
  <c r="BK648" i="26" s="1"/>
  <c r="BL648" i="26" s="1"/>
  <c r="BG814" i="26"/>
  <c r="BG825" i="26"/>
  <c r="BI825" i="26" s="1"/>
  <c r="BG629" i="26"/>
  <c r="BI629" i="26" s="1"/>
  <c r="BG617" i="26"/>
  <c r="BG601" i="26"/>
  <c r="BG677" i="26"/>
  <c r="BG634" i="26"/>
  <c r="BG654" i="26"/>
  <c r="BG651" i="26"/>
  <c r="BG627" i="26"/>
  <c r="BI627" i="26" s="1"/>
  <c r="BK627" i="26" s="1"/>
  <c r="BL627" i="26" s="1"/>
  <c r="BG798" i="26"/>
  <c r="BG675" i="26"/>
  <c r="BG661" i="26"/>
  <c r="BG805" i="26"/>
  <c r="BI805" i="26" s="1"/>
  <c r="BG665" i="26"/>
  <c r="BG650" i="26"/>
  <c r="BG649" i="26"/>
  <c r="BG821" i="26"/>
  <c r="BG624" i="26"/>
  <c r="BG611" i="26"/>
  <c r="BI611" i="26" s="1"/>
  <c r="BK611" i="26" s="1"/>
  <c r="BL611" i="26" s="1"/>
  <c r="BG600" i="26"/>
  <c r="BG590" i="26"/>
  <c r="BG589" i="26"/>
  <c r="BG577" i="26"/>
  <c r="BI577" i="26" s="1"/>
  <c r="BK577" i="26" s="1"/>
  <c r="BL577" i="26" s="1"/>
  <c r="BG563" i="26"/>
  <c r="BI563" i="26" s="1"/>
  <c r="BK563" i="26" s="1"/>
  <c r="BL563" i="26" s="1"/>
  <c r="BG551" i="26"/>
  <c r="BI551" i="26" s="1"/>
  <c r="BG827" i="26"/>
  <c r="BG685" i="26"/>
  <c r="BG647" i="26"/>
  <c r="BG824" i="26"/>
  <c r="BG608" i="26"/>
  <c r="BG591" i="26"/>
  <c r="BG588" i="26"/>
  <c r="BG576" i="26"/>
  <c r="BG562" i="26"/>
  <c r="BI562" i="26" s="1"/>
  <c r="BK562" i="26" s="1"/>
  <c r="BL562" i="26" s="1"/>
  <c r="BG550" i="26"/>
  <c r="BG638" i="26"/>
  <c r="BI638" i="26" s="1"/>
  <c r="BG636" i="26"/>
  <c r="BG612" i="26"/>
  <c r="BG595" i="26"/>
  <c r="BI595" i="26" s="1"/>
  <c r="BG587" i="26"/>
  <c r="BG575" i="26"/>
  <c r="BG561" i="26"/>
  <c r="BG549" i="26"/>
  <c r="BG696" i="26"/>
  <c r="BG671" i="26"/>
  <c r="BG823" i="26"/>
  <c r="BG622" i="26"/>
  <c r="BI622" i="26" s="1"/>
  <c r="BG603" i="26"/>
  <c r="BI603" i="26" s="1"/>
  <c r="BG592" i="26"/>
  <c r="BI592" i="26" s="1"/>
  <c r="BK592" i="26" s="1"/>
  <c r="BL592" i="26" s="1"/>
  <c r="BG586" i="26"/>
  <c r="BI586" i="26" s="1"/>
  <c r="BG666" i="26"/>
  <c r="BI666" i="26" s="1"/>
  <c r="BK666" i="26" s="1"/>
  <c r="BL666" i="26" s="1"/>
  <c r="BG813" i="26"/>
  <c r="BG804" i="26"/>
  <c r="BG803" i="26"/>
  <c r="BG625" i="26"/>
  <c r="BG609" i="26"/>
  <c r="BG604" i="26"/>
  <c r="BG705" i="26"/>
  <c r="BG812" i="26"/>
  <c r="BI812" i="26" s="1"/>
  <c r="BK812" i="26" s="1"/>
  <c r="BL812" i="26" s="1"/>
  <c r="BG817" i="26"/>
  <c r="BI817" i="26" s="1"/>
  <c r="BG815" i="26"/>
  <c r="BG619" i="26"/>
  <c r="BG605" i="26"/>
  <c r="BG596" i="26"/>
  <c r="BG584" i="26"/>
  <c r="BG822" i="26"/>
  <c r="BG626" i="26"/>
  <c r="BG564" i="26"/>
  <c r="BG552" i="26"/>
  <c r="BG828" i="26"/>
  <c r="BI828" i="26" s="1"/>
  <c r="BG599" i="26"/>
  <c r="BG594" i="26"/>
  <c r="BI594" i="26" s="1"/>
  <c r="BG593" i="26"/>
  <c r="BG580" i="26"/>
  <c r="BG573" i="26"/>
  <c r="BG533" i="26"/>
  <c r="BG521" i="26"/>
  <c r="BG819" i="26"/>
  <c r="BG616" i="26"/>
  <c r="BG568" i="26"/>
  <c r="BI568" i="26" s="1"/>
  <c r="BG565" i="26"/>
  <c r="BG559" i="26"/>
  <c r="BI559" i="26" s="1"/>
  <c r="BK559" i="26" s="1"/>
  <c r="BL559" i="26" s="1"/>
  <c r="BG556" i="26"/>
  <c r="BG553" i="26"/>
  <c r="BI553" i="26" s="1"/>
  <c r="BG547" i="26"/>
  <c r="BG832" i="26"/>
  <c r="BI832" i="26" s="1"/>
  <c r="BG829" i="26"/>
  <c r="BG532" i="26"/>
  <c r="BG578" i="26"/>
  <c r="BG574" i="26"/>
  <c r="BG607" i="26"/>
  <c r="BI607" i="26" s="1"/>
  <c r="BK607" i="26" s="1"/>
  <c r="BL607" i="26" s="1"/>
  <c r="BG598" i="26"/>
  <c r="BG597" i="26"/>
  <c r="BI597" i="26" s="1"/>
  <c r="BK597" i="26" s="1"/>
  <c r="BL597" i="26" s="1"/>
  <c r="BG610" i="26"/>
  <c r="BG579" i="26"/>
  <c r="BG569" i="26"/>
  <c r="BI569" i="26" s="1"/>
  <c r="BG811" i="26"/>
  <c r="BG614" i="26"/>
  <c r="BG613" i="26"/>
  <c r="BG818" i="26"/>
  <c r="BG585" i="26"/>
  <c r="BG831" i="26"/>
  <c r="BG540" i="26"/>
  <c r="BI540" i="26" s="1"/>
  <c r="BK540" i="26" s="1"/>
  <c r="BL540" i="26" s="1"/>
  <c r="BG535" i="26"/>
  <c r="BG641" i="26"/>
  <c r="BG640" i="26"/>
  <c r="BG620" i="26"/>
  <c r="BI620" i="26" s="1"/>
  <c r="BK620" i="26" s="1"/>
  <c r="BL620" i="26" s="1"/>
  <c r="BG570" i="26"/>
  <c r="BG567" i="26"/>
  <c r="BG543" i="26"/>
  <c r="BG541" i="26"/>
  <c r="BG537" i="26"/>
  <c r="BG522" i="26"/>
  <c r="BG519" i="26"/>
  <c r="BG566" i="26"/>
  <c r="BG528" i="26"/>
  <c r="BI528" i="26" s="1"/>
  <c r="BK528" i="26" s="1"/>
  <c r="BL528" i="26" s="1"/>
  <c r="BG523" i="26"/>
  <c r="BG518" i="26"/>
  <c r="BG506" i="26"/>
  <c r="BI506" i="26" s="1"/>
  <c r="BG660" i="26"/>
  <c r="BG807" i="26"/>
  <c r="BG623" i="26"/>
  <c r="BG621" i="26"/>
  <c r="BG582" i="26"/>
  <c r="BG560" i="26"/>
  <c r="BI560" i="26" s="1"/>
  <c r="BK560" i="26" s="1"/>
  <c r="BL560" i="26" s="1"/>
  <c r="BG546" i="26"/>
  <c r="BG524" i="26"/>
  <c r="BG810" i="26"/>
  <c r="BG628" i="26"/>
  <c r="BG615" i="26"/>
  <c r="BI615" i="26" s="1"/>
  <c r="BK615" i="26" s="1"/>
  <c r="BL615" i="26" s="1"/>
  <c r="BG583" i="26"/>
  <c r="BG548" i="26"/>
  <c r="BG538" i="26"/>
  <c r="BG529" i="26"/>
  <c r="BI529" i="26" s="1"/>
  <c r="BK529" i="26" s="1"/>
  <c r="BL529" i="26" s="1"/>
  <c r="BG516" i="26"/>
  <c r="BG504" i="26"/>
  <c r="BG581" i="26"/>
  <c r="BG558" i="26"/>
  <c r="BG542" i="26"/>
  <c r="BG834" i="26"/>
  <c r="BI834" i="26" s="1"/>
  <c r="BG826" i="26"/>
  <c r="BG544" i="26"/>
  <c r="BG539" i="26"/>
  <c r="BG531" i="26"/>
  <c r="BI531" i="26" s="1"/>
  <c r="BG517" i="26"/>
  <c r="BG510" i="26"/>
  <c r="BG555" i="26"/>
  <c r="BG606" i="26"/>
  <c r="BG554" i="26"/>
  <c r="BG502" i="26"/>
  <c r="BG493" i="26"/>
  <c r="BG481" i="26"/>
  <c r="BI481" i="26" s="1"/>
  <c r="BG469" i="26"/>
  <c r="BG457" i="26"/>
  <c r="BG445" i="26"/>
  <c r="BI445" i="26" s="1"/>
  <c r="BK445" i="26" s="1"/>
  <c r="BL445" i="26" s="1"/>
  <c r="BG816" i="26"/>
  <c r="BI816" i="26" s="1"/>
  <c r="BG833" i="26"/>
  <c r="BG557" i="26"/>
  <c r="BG534" i="26"/>
  <c r="BG530" i="26"/>
  <c r="BI530" i="26" s="1"/>
  <c r="BG511" i="26"/>
  <c r="BG491" i="26"/>
  <c r="BG479" i="26"/>
  <c r="BG467" i="26"/>
  <c r="BG455" i="26"/>
  <c r="BG443" i="26"/>
  <c r="BG441" i="26"/>
  <c r="BG429" i="26"/>
  <c r="BI429" i="26" s="1"/>
  <c r="BG417" i="26"/>
  <c r="BG571" i="26"/>
  <c r="BI571" i="26" s="1"/>
  <c r="BG830" i="26"/>
  <c r="BG514" i="26"/>
  <c r="BG505" i="26"/>
  <c r="BG490" i="26"/>
  <c r="BG478" i="26"/>
  <c r="BG466" i="26"/>
  <c r="BG454" i="26"/>
  <c r="BG442" i="26"/>
  <c r="BG440" i="26"/>
  <c r="BI440" i="26" s="1"/>
  <c r="BG428" i="26"/>
  <c r="BI428" i="26" s="1"/>
  <c r="BG572" i="26"/>
  <c r="BI572" i="26" s="1"/>
  <c r="BG545" i="26"/>
  <c r="BI545" i="26" s="1"/>
  <c r="BG520" i="26"/>
  <c r="BI520" i="26" s="1"/>
  <c r="BG507" i="26"/>
  <c r="BG489" i="26"/>
  <c r="BG477" i="26"/>
  <c r="BG465" i="26"/>
  <c r="BI465" i="26" s="1"/>
  <c r="BK465" i="26" s="1"/>
  <c r="BL465" i="26" s="1"/>
  <c r="BG453" i="26"/>
  <c r="BG439" i="26"/>
  <c r="BG427" i="26"/>
  <c r="BG415" i="26"/>
  <c r="BG508" i="26"/>
  <c r="BI508" i="26" s="1"/>
  <c r="BG488" i="26"/>
  <c r="BG633" i="26"/>
  <c r="BI633" i="26" s="1"/>
  <c r="BG515" i="26"/>
  <c r="BI515" i="26" s="1"/>
  <c r="BK515" i="26" s="1"/>
  <c r="BL515" i="26" s="1"/>
  <c r="BG527" i="26"/>
  <c r="BG512" i="26"/>
  <c r="BG509" i="26"/>
  <c r="BG498" i="26"/>
  <c r="BG486" i="26"/>
  <c r="BG474" i="26"/>
  <c r="BG500" i="26"/>
  <c r="BG497" i="26"/>
  <c r="BI497" i="26" s="1"/>
  <c r="BG485" i="26"/>
  <c r="BI485" i="26" s="1"/>
  <c r="BK485" i="26" s="1"/>
  <c r="BL485" i="26" s="1"/>
  <c r="BG536" i="26"/>
  <c r="BI536" i="26" s="1"/>
  <c r="BK536" i="26" s="1"/>
  <c r="BL536" i="26" s="1"/>
  <c r="BG503" i="26"/>
  <c r="BG475" i="26"/>
  <c r="BI475" i="26" s="1"/>
  <c r="BG464" i="26"/>
  <c r="BG418" i="26"/>
  <c r="BG411" i="26"/>
  <c r="BG399" i="26"/>
  <c r="BG501" i="26"/>
  <c r="BI501" i="26" s="1"/>
  <c r="BK501" i="26" s="1"/>
  <c r="BL501" i="26" s="1"/>
  <c r="BG446" i="26"/>
  <c r="BI446" i="26" s="1"/>
  <c r="BG409" i="26"/>
  <c r="BI409" i="26" s="1"/>
  <c r="BK409" i="26" s="1"/>
  <c r="BL409" i="26" s="1"/>
  <c r="BG397" i="26"/>
  <c r="BI397" i="26" s="1"/>
  <c r="BK397" i="26" s="1"/>
  <c r="BL397" i="26" s="1"/>
  <c r="BG385" i="26"/>
  <c r="BG373" i="26"/>
  <c r="BG513" i="26"/>
  <c r="BI513" i="26" s="1"/>
  <c r="BG496" i="26"/>
  <c r="BG492" i="26"/>
  <c r="BG484" i="26"/>
  <c r="BG472" i="26"/>
  <c r="BG462" i="26"/>
  <c r="BG460" i="26"/>
  <c r="BG526" i="26"/>
  <c r="BG525" i="26"/>
  <c r="BG480" i="26"/>
  <c r="BG470" i="26"/>
  <c r="BI470" i="26" s="1"/>
  <c r="BG458" i="26"/>
  <c r="BG432" i="26"/>
  <c r="BI432" i="26" s="1"/>
  <c r="BG420" i="26"/>
  <c r="BG407" i="26"/>
  <c r="BG499" i="26"/>
  <c r="BG495" i="26"/>
  <c r="BG487" i="26"/>
  <c r="BG483" i="26"/>
  <c r="BI483" i="26" s="1"/>
  <c r="BK483" i="26" s="1"/>
  <c r="BL483" i="26" s="1"/>
  <c r="BG476" i="26"/>
  <c r="BG406" i="26"/>
  <c r="BG394" i="26"/>
  <c r="BG382" i="26"/>
  <c r="BI382" i="26" s="1"/>
  <c r="BG370" i="26"/>
  <c r="BI370" i="26" s="1"/>
  <c r="BG358" i="26"/>
  <c r="BG482" i="26"/>
  <c r="BI482" i="26" s="1"/>
  <c r="BK482" i="26" s="1"/>
  <c r="BL482" i="26" s="1"/>
  <c r="BG473" i="26"/>
  <c r="BG468" i="26"/>
  <c r="BG450" i="26"/>
  <c r="BI450" i="26" s="1"/>
  <c r="BG437" i="26"/>
  <c r="BG424" i="26"/>
  <c r="BG421" i="26"/>
  <c r="BG430" i="26"/>
  <c r="BG419" i="26"/>
  <c r="BG459" i="26"/>
  <c r="BG449" i="26"/>
  <c r="BI449" i="26" s="1"/>
  <c r="BG423" i="26"/>
  <c r="BG494" i="26"/>
  <c r="BG471" i="26"/>
  <c r="BG438" i="26"/>
  <c r="BG434" i="26"/>
  <c r="BG388" i="26"/>
  <c r="BG374" i="26"/>
  <c r="BG408" i="26"/>
  <c r="BG380" i="26"/>
  <c r="BG366" i="26"/>
  <c r="BI366" i="26" s="1"/>
  <c r="BK366" i="26" s="1"/>
  <c r="BL366" i="26" s="1"/>
  <c r="BG348" i="26"/>
  <c r="BI348" i="26" s="1"/>
  <c r="BG336" i="26"/>
  <c r="BG324" i="26"/>
  <c r="BG312" i="26"/>
  <c r="BG414" i="26"/>
  <c r="BG405" i="26"/>
  <c r="BG389" i="26"/>
  <c r="BG375" i="26"/>
  <c r="BG347" i="26"/>
  <c r="BG335" i="26"/>
  <c r="BG323" i="26"/>
  <c r="BI323" i="26" s="1"/>
  <c r="BK323" i="26" s="1"/>
  <c r="BL323" i="26" s="1"/>
  <c r="BG311" i="26"/>
  <c r="BI311" i="26" s="1"/>
  <c r="BK311" i="26" s="1"/>
  <c r="BL311" i="26" s="1"/>
  <c r="BG448" i="26"/>
  <c r="BI448" i="26" s="1"/>
  <c r="BK448" i="26" s="1"/>
  <c r="BL448" i="26" s="1"/>
  <c r="BG436" i="26"/>
  <c r="BG433" i="26"/>
  <c r="BG425" i="26"/>
  <c r="BG412" i="26"/>
  <c r="BI412" i="26" s="1"/>
  <c r="BK412" i="26" s="1"/>
  <c r="BL412" i="26" s="1"/>
  <c r="BG402" i="26"/>
  <c r="BG398" i="26"/>
  <c r="BG393" i="26"/>
  <c r="BG381" i="26"/>
  <c r="BG367" i="26"/>
  <c r="BG346" i="26"/>
  <c r="BI346" i="26" s="1"/>
  <c r="BK346" i="26" s="1"/>
  <c r="BL346" i="26" s="1"/>
  <c r="BG463" i="26"/>
  <c r="BI463" i="26" s="1"/>
  <c r="BK463" i="26" s="1"/>
  <c r="BL463" i="26" s="1"/>
  <c r="BG452" i="26"/>
  <c r="BI452" i="26" s="1"/>
  <c r="BG447" i="26"/>
  <c r="BG431" i="26"/>
  <c r="BG416" i="26"/>
  <c r="BG376" i="26"/>
  <c r="BI376" i="26" s="1"/>
  <c r="BG451" i="26"/>
  <c r="BG444" i="26"/>
  <c r="BG426" i="26"/>
  <c r="BI426" i="26" s="1"/>
  <c r="BG422" i="26"/>
  <c r="BG403" i="26"/>
  <c r="BI403" i="26" s="1"/>
  <c r="BK403" i="26" s="1"/>
  <c r="BL403" i="26" s="1"/>
  <c r="BG384" i="26"/>
  <c r="BG377" i="26"/>
  <c r="BI377" i="26" s="1"/>
  <c r="BK377" i="26" s="1"/>
  <c r="BL377" i="26" s="1"/>
  <c r="BG343" i="26"/>
  <c r="BI343" i="26" s="1"/>
  <c r="BG331" i="26"/>
  <c r="BG319" i="26"/>
  <c r="BI319" i="26" s="1"/>
  <c r="BK319" i="26" s="1"/>
  <c r="BL319" i="26" s="1"/>
  <c r="BG410" i="26"/>
  <c r="BG391" i="26"/>
  <c r="BI391" i="26" s="1"/>
  <c r="BK391" i="26" s="1"/>
  <c r="BL391" i="26" s="1"/>
  <c r="BG404" i="26"/>
  <c r="BI404" i="26" s="1"/>
  <c r="BK404" i="26" s="1"/>
  <c r="BL404" i="26" s="1"/>
  <c r="BG353" i="26"/>
  <c r="BG344" i="26"/>
  <c r="BI344" i="26" s="1"/>
  <c r="BK344" i="26" s="1"/>
  <c r="BL344" i="26" s="1"/>
  <c r="BG337" i="26"/>
  <c r="BI337" i="26" s="1"/>
  <c r="BK337" i="26" s="1"/>
  <c r="BL337" i="26" s="1"/>
  <c r="BG332" i="26"/>
  <c r="BG325" i="26"/>
  <c r="BI325" i="26" s="1"/>
  <c r="BK325" i="26" s="1"/>
  <c r="BL325" i="26" s="1"/>
  <c r="BG320" i="26"/>
  <c r="BG316" i="26"/>
  <c r="BI316" i="26" s="1"/>
  <c r="BK316" i="26" s="1"/>
  <c r="BL316" i="26" s="1"/>
  <c r="BG413" i="26"/>
  <c r="BG396" i="26"/>
  <c r="BG364" i="26"/>
  <c r="BG456" i="26"/>
  <c r="BG395" i="26"/>
  <c r="BG369" i="26"/>
  <c r="BG359" i="26"/>
  <c r="BI359" i="26" s="1"/>
  <c r="BG357" i="26"/>
  <c r="BG355" i="26"/>
  <c r="BG461" i="26"/>
  <c r="BG338" i="26"/>
  <c r="BG326" i="26"/>
  <c r="BI326" i="26" s="1"/>
  <c r="BG317" i="26"/>
  <c r="BG308" i="26"/>
  <c r="BG307" i="26"/>
  <c r="BG295" i="26"/>
  <c r="BG281" i="26"/>
  <c r="BI281" i="26" s="1"/>
  <c r="BG269" i="26"/>
  <c r="BG257" i="26"/>
  <c r="BG361" i="26"/>
  <c r="BG349" i="26"/>
  <c r="BG334" i="26"/>
  <c r="BG322" i="26"/>
  <c r="BI322" i="26" s="1"/>
  <c r="BG309" i="26"/>
  <c r="BG306" i="26"/>
  <c r="BG294" i="26"/>
  <c r="BG292" i="26"/>
  <c r="BG280" i="26"/>
  <c r="BI280" i="26" s="1"/>
  <c r="BK280" i="26" s="1"/>
  <c r="BL280" i="26" s="1"/>
  <c r="BG268" i="26"/>
  <c r="BG383" i="26"/>
  <c r="BG379" i="26"/>
  <c r="BG342" i="26"/>
  <c r="BI342" i="26" s="1"/>
  <c r="BK342" i="26" s="1"/>
  <c r="BL342" i="26" s="1"/>
  <c r="BG330" i="26"/>
  <c r="BG310" i="26"/>
  <c r="BI310" i="26" s="1"/>
  <c r="BK310" i="26" s="1"/>
  <c r="BL310" i="26" s="1"/>
  <c r="BG305" i="26"/>
  <c r="BG401" i="26"/>
  <c r="BG400" i="26"/>
  <c r="BI400" i="26" s="1"/>
  <c r="BK400" i="26" s="1"/>
  <c r="BL400" i="26" s="1"/>
  <c r="BG365" i="26"/>
  <c r="BI365" i="26" s="1"/>
  <c r="BG363" i="26"/>
  <c r="BI363" i="26" s="1"/>
  <c r="BK363" i="26" s="1"/>
  <c r="BL363" i="26" s="1"/>
  <c r="BG352" i="26"/>
  <c r="BI352" i="26" s="1"/>
  <c r="BK352" i="26" s="1"/>
  <c r="BL352" i="26" s="1"/>
  <c r="BG339" i="26"/>
  <c r="BG327" i="26"/>
  <c r="BG318" i="26"/>
  <c r="BG304" i="26"/>
  <c r="BG290" i="26"/>
  <c r="BG278" i="26"/>
  <c r="BG266" i="26"/>
  <c r="BI266" i="26" s="1"/>
  <c r="BK266" i="26" s="1"/>
  <c r="BL266" i="26" s="1"/>
  <c r="BG254" i="26"/>
  <c r="BI254" i="26" s="1"/>
  <c r="BG435" i="26"/>
  <c r="BG378" i="26"/>
  <c r="BI378" i="26" s="1"/>
  <c r="BG372" i="26"/>
  <c r="BI372" i="26" s="1"/>
  <c r="BG368" i="26"/>
  <c r="BG392" i="26"/>
  <c r="BI392" i="26" s="1"/>
  <c r="BK392" i="26" s="1"/>
  <c r="BL392" i="26" s="1"/>
  <c r="BG356" i="26"/>
  <c r="BG354" i="26"/>
  <c r="BG350" i="26"/>
  <c r="BG313" i="26"/>
  <c r="BG302" i="26"/>
  <c r="BI302" i="26" s="1"/>
  <c r="BK302" i="26" s="1"/>
  <c r="BL302" i="26" s="1"/>
  <c r="BG387" i="26"/>
  <c r="BG386" i="26"/>
  <c r="BI386" i="26" s="1"/>
  <c r="BK386" i="26" s="1"/>
  <c r="BL386" i="26" s="1"/>
  <c r="BG371" i="26"/>
  <c r="BI371" i="26" s="1"/>
  <c r="BK371" i="26" s="1"/>
  <c r="BL371" i="26" s="1"/>
  <c r="BG360" i="26"/>
  <c r="BG340" i="26"/>
  <c r="BI340" i="26" s="1"/>
  <c r="BK340" i="26" s="1"/>
  <c r="BL340" i="26" s="1"/>
  <c r="BG328" i="26"/>
  <c r="BI328" i="26" s="1"/>
  <c r="BK328" i="26" s="1"/>
  <c r="BL328" i="26" s="1"/>
  <c r="BG314" i="26"/>
  <c r="BG275" i="26"/>
  <c r="BG267" i="26"/>
  <c r="BG260" i="26"/>
  <c r="BG253" i="26"/>
  <c r="BG362" i="26"/>
  <c r="BI362" i="26" s="1"/>
  <c r="BK362" i="26" s="1"/>
  <c r="BL362" i="26" s="1"/>
  <c r="BG303" i="26"/>
  <c r="BI303" i="26" s="1"/>
  <c r="BK303" i="26" s="1"/>
  <c r="BL303" i="26" s="1"/>
  <c r="BG298" i="26"/>
  <c r="BG263" i="26"/>
  <c r="BI263" i="26" s="1"/>
  <c r="BG248" i="26"/>
  <c r="BG240" i="26"/>
  <c r="BI240" i="26" s="1"/>
  <c r="BK240" i="26" s="1"/>
  <c r="BL240" i="26" s="1"/>
  <c r="BG288" i="26"/>
  <c r="BG273" i="26"/>
  <c r="BG256" i="26"/>
  <c r="BG390" i="26"/>
  <c r="BG345" i="26"/>
  <c r="BI345" i="26" s="1"/>
  <c r="BG299" i="26"/>
  <c r="BI299" i="26" s="1"/>
  <c r="BK299" i="26" s="1"/>
  <c r="BL299" i="26" s="1"/>
  <c r="BG341" i="26"/>
  <c r="BI341" i="26" s="1"/>
  <c r="BG329" i="26"/>
  <c r="BG289" i="26"/>
  <c r="BG258" i="26"/>
  <c r="BG250" i="26"/>
  <c r="BI250" i="26" s="1"/>
  <c r="BK250" i="26" s="1"/>
  <c r="BL250" i="26" s="1"/>
  <c r="BG235" i="26"/>
  <c r="BG296" i="26"/>
  <c r="BG286" i="26"/>
  <c r="BG283" i="26"/>
  <c r="BG277" i="26"/>
  <c r="BG245" i="26"/>
  <c r="BG239" i="26"/>
  <c r="BG222" i="26"/>
  <c r="BG301" i="26"/>
  <c r="BG351" i="26"/>
  <c r="BI351" i="26" s="1"/>
  <c r="BG300" i="26"/>
  <c r="BI300" i="26" s="1"/>
  <c r="BK300" i="26" s="1"/>
  <c r="BL300" i="26" s="1"/>
  <c r="BG293" i="26"/>
  <c r="BG282" i="26"/>
  <c r="BG274" i="26"/>
  <c r="BG271" i="26"/>
  <c r="BG285" i="26"/>
  <c r="BI285" i="26" s="1"/>
  <c r="BG265" i="26"/>
  <c r="BI265" i="26" s="1"/>
  <c r="BG333" i="26"/>
  <c r="BI333" i="26" s="1"/>
  <c r="BK333" i="26" s="1"/>
  <c r="BL333" i="26" s="1"/>
  <c r="BG262" i="26"/>
  <c r="BG242" i="26"/>
  <c r="BG230" i="26"/>
  <c r="BI230" i="26" s="1"/>
  <c r="BK230" i="26" s="1"/>
  <c r="BL230" i="26" s="1"/>
  <c r="BG228" i="26"/>
  <c r="BG279" i="26"/>
  <c r="BI279" i="26" s="1"/>
  <c r="BG321" i="26"/>
  <c r="BI321" i="26" s="1"/>
  <c r="BG297" i="26"/>
  <c r="BG284" i="26"/>
  <c r="BG234" i="26"/>
  <c r="BG224" i="26"/>
  <c r="BI224" i="26" s="1"/>
  <c r="BK224" i="26" s="1"/>
  <c r="BL224" i="26" s="1"/>
  <c r="BG217" i="26"/>
  <c r="BG205" i="26"/>
  <c r="BI205" i="26" s="1"/>
  <c r="BK205" i="26" s="1"/>
  <c r="BL205" i="26" s="1"/>
  <c r="BG193" i="26"/>
  <c r="BG181" i="26"/>
  <c r="BI181" i="26" s="1"/>
  <c r="BK181" i="26" s="1"/>
  <c r="BL181" i="26" s="1"/>
  <c r="BG169" i="26"/>
  <c r="BI169" i="26" s="1"/>
  <c r="BK169" i="26" s="1"/>
  <c r="BL169" i="26" s="1"/>
  <c r="BG157" i="26"/>
  <c r="BI157" i="26" s="1"/>
  <c r="BG145" i="26"/>
  <c r="BG133" i="26"/>
  <c r="BI133" i="26" s="1"/>
  <c r="BK133" i="26" s="1"/>
  <c r="BL133" i="26" s="1"/>
  <c r="BG315" i="26"/>
  <c r="BG259" i="26"/>
  <c r="BG252" i="26"/>
  <c r="BG238" i="26"/>
  <c r="BG226" i="26"/>
  <c r="BG215" i="26"/>
  <c r="BG203" i="26"/>
  <c r="BG191" i="26"/>
  <c r="BG247" i="26"/>
  <c r="BI247" i="26" s="1"/>
  <c r="BG243" i="26"/>
  <c r="BI243" i="26" s="1"/>
  <c r="BK243" i="26" s="1"/>
  <c r="BL243" i="26" s="1"/>
  <c r="BG231" i="26"/>
  <c r="BG214" i="26"/>
  <c r="BG202" i="26"/>
  <c r="BG190" i="26"/>
  <c r="BG178" i="26"/>
  <c r="BI178" i="26" s="1"/>
  <c r="BK178" i="26" s="1"/>
  <c r="BL178" i="26" s="1"/>
  <c r="BG166" i="26"/>
  <c r="BG154" i="26"/>
  <c r="BG249" i="26"/>
  <c r="BG227" i="26"/>
  <c r="BI227" i="26" s="1"/>
  <c r="BG213" i="26"/>
  <c r="BG201" i="26"/>
  <c r="BI201" i="26" s="1"/>
  <c r="BK201" i="26" s="1"/>
  <c r="BL201" i="26" s="1"/>
  <c r="BG189" i="26"/>
  <c r="BG177" i="26"/>
  <c r="BG165" i="26"/>
  <c r="BI165" i="26" s="1"/>
  <c r="BG153" i="26"/>
  <c r="BG141" i="26"/>
  <c r="BG287" i="26"/>
  <c r="BG241" i="26"/>
  <c r="BG212" i="26"/>
  <c r="BG200" i="26"/>
  <c r="BG188" i="26"/>
  <c r="BI188" i="26" s="1"/>
  <c r="BK188" i="26" s="1"/>
  <c r="BL188" i="26" s="1"/>
  <c r="BG176" i="26"/>
  <c r="BG164" i="26"/>
  <c r="BI164" i="26" s="1"/>
  <c r="BK164" i="26" s="1"/>
  <c r="BL164" i="26" s="1"/>
  <c r="BG152" i="26"/>
  <c r="BI152" i="26" s="1"/>
  <c r="BK152" i="26" s="1"/>
  <c r="BL152" i="26" s="1"/>
  <c r="BG140" i="26"/>
  <c r="BI140" i="26" s="1"/>
  <c r="BG232" i="26"/>
  <c r="BI232" i="26" s="1"/>
  <c r="BK232" i="26" s="1"/>
  <c r="BL232" i="26" s="1"/>
  <c r="BG211" i="26"/>
  <c r="BG199" i="26"/>
  <c r="BI199" i="26" s="1"/>
  <c r="BK199" i="26" s="1"/>
  <c r="BL199" i="26" s="1"/>
  <c r="BG187" i="26"/>
  <c r="BG175" i="26"/>
  <c r="BI175" i="26" s="1"/>
  <c r="BG163" i="26"/>
  <c r="BG151" i="26"/>
  <c r="BI151" i="26" s="1"/>
  <c r="BK151" i="26" s="1"/>
  <c r="BL151" i="26" s="1"/>
  <c r="BG139" i="26"/>
  <c r="BI139" i="26" s="1"/>
  <c r="BG272" i="26"/>
  <c r="BI272" i="26" s="1"/>
  <c r="BK272" i="26" s="1"/>
  <c r="BL272" i="26" s="1"/>
  <c r="BG264" i="26"/>
  <c r="BI264" i="26" s="1"/>
  <c r="BK264" i="26" s="1"/>
  <c r="BL264" i="26" s="1"/>
  <c r="BG251" i="26"/>
  <c r="BG244" i="26"/>
  <c r="BG236" i="26"/>
  <c r="BG210" i="26"/>
  <c r="BG198" i="26"/>
  <c r="BG186" i="26"/>
  <c r="BG174" i="26"/>
  <c r="BG162" i="26"/>
  <c r="BG150" i="26"/>
  <c r="BG138" i="26"/>
  <c r="BG291" i="26"/>
  <c r="BG229" i="26"/>
  <c r="BG221" i="26"/>
  <c r="BG209" i="26"/>
  <c r="BI209" i="26" s="1"/>
  <c r="BG197" i="26"/>
  <c r="BG185" i="26"/>
  <c r="BG173" i="26"/>
  <c r="BI173" i="26" s="1"/>
  <c r="BG161" i="26"/>
  <c r="BI161" i="26" s="1"/>
  <c r="BG149" i="26"/>
  <c r="BG137" i="26"/>
  <c r="BI137" i="26" s="1"/>
  <c r="BK137" i="26" s="1"/>
  <c r="BL137" i="26" s="1"/>
  <c r="BG270" i="26"/>
  <c r="BI270" i="26" s="1"/>
  <c r="BK270" i="26" s="1"/>
  <c r="BL270" i="26" s="1"/>
  <c r="BG255" i="26"/>
  <c r="BG246" i="26"/>
  <c r="BI246" i="26" s="1"/>
  <c r="BK246" i="26" s="1"/>
  <c r="BL246" i="26" s="1"/>
  <c r="BG233" i="26"/>
  <c r="BG220" i="26"/>
  <c r="BI220" i="26" s="1"/>
  <c r="BG208" i="26"/>
  <c r="BG196" i="26"/>
  <c r="BG184" i="26"/>
  <c r="BG172" i="26"/>
  <c r="BG160" i="26"/>
  <c r="BG148" i="26"/>
  <c r="BG276" i="26"/>
  <c r="BG195" i="26"/>
  <c r="BI195" i="26" s="1"/>
  <c r="BK195" i="26" s="1"/>
  <c r="BL195" i="26" s="1"/>
  <c r="BG194" i="26"/>
  <c r="BG192" i="26"/>
  <c r="BG171" i="26"/>
  <c r="BG156" i="26"/>
  <c r="BI156" i="26" s="1"/>
  <c r="BG131" i="26"/>
  <c r="BG126" i="26"/>
  <c r="BG114" i="26"/>
  <c r="BI114" i="26" s="1"/>
  <c r="BG102" i="26"/>
  <c r="BI102" i="26" s="1"/>
  <c r="BK102" i="26" s="1"/>
  <c r="BL102" i="26" s="1"/>
  <c r="BG90" i="26"/>
  <c r="BG170" i="26"/>
  <c r="BG155" i="26"/>
  <c r="BI155" i="26" s="1"/>
  <c r="BK155" i="26" s="1"/>
  <c r="BL155" i="26" s="1"/>
  <c r="BG125" i="26"/>
  <c r="BI125" i="26" s="1"/>
  <c r="BK125" i="26" s="1"/>
  <c r="BL125" i="26" s="1"/>
  <c r="BG113" i="26"/>
  <c r="BG101" i="26"/>
  <c r="BG89" i="26"/>
  <c r="BI89" i="26" s="1"/>
  <c r="BK89" i="26" s="1"/>
  <c r="BL89" i="26" s="1"/>
  <c r="BG77" i="26"/>
  <c r="BG223" i="26"/>
  <c r="BI223" i="26" s="1"/>
  <c r="BG146" i="26"/>
  <c r="BI146" i="26" s="1"/>
  <c r="BG124" i="26"/>
  <c r="BG112" i="26"/>
  <c r="BI112" i="26" s="1"/>
  <c r="BK112" i="26" s="1"/>
  <c r="BL112" i="26" s="1"/>
  <c r="BG100" i="26"/>
  <c r="BG88" i="26"/>
  <c r="BG76" i="26"/>
  <c r="BG225" i="26"/>
  <c r="BG168" i="26"/>
  <c r="BG135" i="26"/>
  <c r="BI135" i="26" s="1"/>
  <c r="BK135" i="26" s="1"/>
  <c r="BL135" i="26" s="1"/>
  <c r="BG183" i="26"/>
  <c r="BG167" i="26"/>
  <c r="BG122" i="26"/>
  <c r="BI122" i="26" s="1"/>
  <c r="BK122" i="26" s="1"/>
  <c r="BL122" i="26" s="1"/>
  <c r="BG110" i="26"/>
  <c r="BI110" i="26" s="1"/>
  <c r="BK110" i="26" s="1"/>
  <c r="BL110" i="26" s="1"/>
  <c r="BG98" i="26"/>
  <c r="BI98" i="26" s="1"/>
  <c r="BK98" i="26" s="1"/>
  <c r="BL98" i="26" s="1"/>
  <c r="BG86" i="26"/>
  <c r="BI86" i="26" s="1"/>
  <c r="BK86" i="26" s="1"/>
  <c r="BL86" i="26" s="1"/>
  <c r="BG74" i="26"/>
  <c r="BG62" i="26"/>
  <c r="BG50" i="26"/>
  <c r="BG39" i="26"/>
  <c r="BG30" i="26"/>
  <c r="BG182" i="26"/>
  <c r="BI182" i="26" s="1"/>
  <c r="BK182" i="26" s="1"/>
  <c r="BL182" i="26" s="1"/>
  <c r="BG121" i="26"/>
  <c r="BG109" i="26"/>
  <c r="BG97" i="26"/>
  <c r="BG85" i="26"/>
  <c r="BG73" i="26"/>
  <c r="BI73" i="26" s="1"/>
  <c r="BK73" i="26" s="1"/>
  <c r="BL73" i="26" s="1"/>
  <c r="BG61" i="26"/>
  <c r="BI61" i="26" s="1"/>
  <c r="BK61" i="26" s="1"/>
  <c r="BL61" i="26" s="1"/>
  <c r="BG49" i="26"/>
  <c r="BI49" i="26" s="1"/>
  <c r="BK49" i="26" s="1"/>
  <c r="BL49" i="26" s="1"/>
  <c r="BG144" i="26"/>
  <c r="BI144" i="26" s="1"/>
  <c r="BK144" i="26" s="1"/>
  <c r="BL144" i="26" s="1"/>
  <c r="BG120" i="26"/>
  <c r="BI120" i="26" s="1"/>
  <c r="BK120" i="26" s="1"/>
  <c r="BL120" i="26" s="1"/>
  <c r="BG108" i="26"/>
  <c r="BI108" i="26" s="1"/>
  <c r="BK108" i="26" s="1"/>
  <c r="BL108" i="26" s="1"/>
  <c r="BG96" i="26"/>
  <c r="BG84" i="26"/>
  <c r="BG72" i="26"/>
  <c r="BI72" i="26" s="1"/>
  <c r="BK72" i="26" s="1"/>
  <c r="BL72" i="26" s="1"/>
  <c r="BG60" i="26"/>
  <c r="BI60" i="26" s="1"/>
  <c r="BG48" i="26"/>
  <c r="BG38" i="26"/>
  <c r="BI38" i="26" s="1"/>
  <c r="BG29" i="26"/>
  <c r="BG180" i="26"/>
  <c r="BG119" i="26"/>
  <c r="BG107" i="26"/>
  <c r="BG95" i="26"/>
  <c r="BI95" i="26" s="1"/>
  <c r="BG83" i="26"/>
  <c r="BG261" i="26"/>
  <c r="BG179" i="26"/>
  <c r="BG143" i="26"/>
  <c r="BI143" i="26" s="1"/>
  <c r="BK143" i="26" s="1"/>
  <c r="BL143" i="26" s="1"/>
  <c r="BG136" i="26"/>
  <c r="BI136" i="26" s="1"/>
  <c r="BK136" i="26" s="1"/>
  <c r="BL136" i="26" s="1"/>
  <c r="BG118" i="26"/>
  <c r="BG106" i="26"/>
  <c r="BG94" i="26"/>
  <c r="BG82" i="26"/>
  <c r="BI82" i="26" s="1"/>
  <c r="BK82" i="26" s="1"/>
  <c r="BL82" i="26" s="1"/>
  <c r="BG237" i="26"/>
  <c r="BG219" i="26"/>
  <c r="BI219" i="26" s="1"/>
  <c r="BK219" i="26" s="1"/>
  <c r="BL219" i="26" s="1"/>
  <c r="BG218" i="26"/>
  <c r="BG216" i="26"/>
  <c r="BG207" i="26"/>
  <c r="BG206" i="26"/>
  <c r="BG204" i="26"/>
  <c r="BG159" i="26"/>
  <c r="BI159" i="26" s="1"/>
  <c r="BG129" i="26"/>
  <c r="BI129" i="26" s="1"/>
  <c r="BG117" i="26"/>
  <c r="BI117" i="26" s="1"/>
  <c r="BG105" i="26"/>
  <c r="BG93" i="26"/>
  <c r="BI93" i="26" s="1"/>
  <c r="BN31" i="26"/>
  <c r="BN42" i="26"/>
  <c r="BG59" i="26"/>
  <c r="BG65" i="26"/>
  <c r="BI65" i="26" s="1"/>
  <c r="AY68" i="26"/>
  <c r="BN74" i="26"/>
  <c r="AX81" i="26"/>
  <c r="AY86" i="26"/>
  <c r="BN91" i="26"/>
  <c r="AX127" i="26"/>
  <c r="AY146" i="26"/>
  <c r="BN176" i="26"/>
  <c r="BN227" i="26"/>
  <c r="BN235" i="26"/>
  <c r="BN75" i="26"/>
  <c r="BN7" i="26"/>
  <c r="BG15" i="26"/>
  <c r="BI15" i="26" s="1"/>
  <c r="BK15" i="26" s="1"/>
  <c r="BL15" i="26" s="1"/>
  <c r="BN18" i="26"/>
  <c r="BG22" i="26"/>
  <c r="BN24" i="26"/>
  <c r="AX30" i="26"/>
  <c r="BG35" i="26"/>
  <c r="BG40" i="26"/>
  <c r="BG43" i="26"/>
  <c r="BN44" i="26"/>
  <c r="BG46" i="26"/>
  <c r="BN54" i="26"/>
  <c r="BG71" i="26"/>
  <c r="AX74" i="26"/>
  <c r="BN87" i="26"/>
  <c r="BN107" i="26"/>
  <c r="BG111" i="26"/>
  <c r="BI111" i="26" s="1"/>
  <c r="BN112" i="26"/>
  <c r="BN113" i="26"/>
  <c r="BN126" i="26"/>
  <c r="BN187" i="26"/>
  <c r="BN205" i="26"/>
  <c r="BN221" i="26"/>
  <c r="BN293" i="26"/>
  <c r="BN15" i="26"/>
  <c r="BG4" i="26"/>
  <c r="BI4" i="26" s="1"/>
  <c r="BK4" i="26" s="1"/>
  <c r="BL4" i="26" s="1"/>
  <c r="BN8" i="26"/>
  <c r="BG16" i="26"/>
  <c r="BI16" i="26" s="1"/>
  <c r="BK16" i="26" s="1"/>
  <c r="BL16" i="26" s="1"/>
  <c r="AX28" i="26"/>
  <c r="BN36" i="26"/>
  <c r="BG52" i="26"/>
  <c r="BG55" i="26"/>
  <c r="AX56" i="26"/>
  <c r="BG58" i="26"/>
  <c r="BN66" i="26"/>
  <c r="AX78" i="26"/>
  <c r="AX87" i="26"/>
  <c r="AX114" i="26"/>
  <c r="AX115" i="26"/>
  <c r="BN128" i="26"/>
  <c r="BN132" i="26"/>
  <c r="BG142" i="26"/>
  <c r="BI142" i="26" s="1"/>
  <c r="BN179" i="26"/>
  <c r="BN200" i="26"/>
  <c r="AX252" i="26"/>
  <c r="BN783" i="26"/>
  <c r="BN785" i="26"/>
  <c r="BN773" i="26"/>
  <c r="BN761" i="26"/>
  <c r="BN743" i="26"/>
  <c r="BN779" i="26"/>
  <c r="BN771" i="26"/>
  <c r="BN767" i="26"/>
  <c r="BN759" i="26"/>
  <c r="BN755" i="26"/>
  <c r="BN749" i="26"/>
  <c r="BN775" i="26"/>
  <c r="BN770" i="26"/>
  <c r="BN781" i="26"/>
  <c r="BN763" i="26"/>
  <c r="BN769" i="26"/>
  <c r="BN751" i="26"/>
  <c r="BN742" i="26"/>
  <c r="BN739" i="26"/>
  <c r="BN765" i="26"/>
  <c r="BN731" i="26"/>
  <c r="BN729" i="26"/>
  <c r="BN702" i="26"/>
  <c r="BN745" i="26"/>
  <c r="BN715" i="26"/>
  <c r="BN705" i="26"/>
  <c r="BN757" i="26"/>
  <c r="BN747" i="26"/>
  <c r="BN733" i="26"/>
  <c r="BN802" i="26"/>
  <c r="BN735" i="26"/>
  <c r="BN707" i="26"/>
  <c r="BN696" i="26"/>
  <c r="BN706" i="26"/>
  <c r="BN712" i="26"/>
  <c r="BN725" i="26"/>
  <c r="BN674" i="26"/>
  <c r="BN664" i="26"/>
  <c r="BN717" i="26"/>
  <c r="BN694" i="26"/>
  <c r="BN680" i="26"/>
  <c r="BN677" i="26"/>
  <c r="BN671" i="26"/>
  <c r="BN718" i="26"/>
  <c r="BN701" i="26"/>
  <c r="BN703" i="26"/>
  <c r="BN683" i="26"/>
  <c r="BN730" i="26"/>
  <c r="BN678" i="26"/>
  <c r="BN714" i="26"/>
  <c r="BN711" i="26"/>
  <c r="BN693" i="26"/>
  <c r="BN670" i="26"/>
  <c r="BN658" i="26"/>
  <c r="BN646" i="26"/>
  <c r="BN638" i="26"/>
  <c r="BN723" i="26"/>
  <c r="BN647" i="26"/>
  <c r="BN695" i="26"/>
  <c r="BN684" i="26"/>
  <c r="BN660" i="26"/>
  <c r="BN812" i="26"/>
  <c r="BN648" i="26"/>
  <c r="BN679" i="26"/>
  <c r="BN649" i="26"/>
  <c r="BN808" i="26"/>
  <c r="BN817" i="26"/>
  <c r="BN815" i="26"/>
  <c r="BN620" i="26"/>
  <c r="BN686" i="26"/>
  <c r="BN626" i="26"/>
  <c r="BN673" i="26"/>
  <c r="BN825" i="26"/>
  <c r="BN623" i="26"/>
  <c r="BN614" i="26"/>
  <c r="BN659" i="26"/>
  <c r="BN811" i="26"/>
  <c r="BN627" i="26"/>
  <c r="BN615" i="26"/>
  <c r="BN607" i="26"/>
  <c r="BN598" i="26"/>
  <c r="BN637" i="26"/>
  <c r="BN599" i="26"/>
  <c r="BN631" i="26"/>
  <c r="BN587" i="26"/>
  <c r="BN575" i="26"/>
  <c r="BN636" i="26"/>
  <c r="BN584" i="26"/>
  <c r="BN569" i="26"/>
  <c r="BN557" i="26"/>
  <c r="BN833" i="26"/>
  <c r="BN545" i="26"/>
  <c r="BN816" i="26"/>
  <c r="BN630" i="26"/>
  <c r="BN596" i="26"/>
  <c r="BN633" i="26"/>
  <c r="BN612" i="26"/>
  <c r="BN573" i="26"/>
  <c r="BN529" i="26"/>
  <c r="BN629" i="26"/>
  <c r="BN586" i="26"/>
  <c r="BN583" i="26"/>
  <c r="BN560" i="26"/>
  <c r="BN558" i="26"/>
  <c r="BN539" i="26"/>
  <c r="BN532" i="26"/>
  <c r="BN824" i="26"/>
  <c r="BN624" i="26"/>
  <c r="BN548" i="26"/>
  <c r="BN834" i="26"/>
  <c r="BN618" i="26"/>
  <c r="BN809" i="26"/>
  <c r="BN572" i="26"/>
  <c r="BN574" i="26"/>
  <c r="BN585" i="26"/>
  <c r="BN609" i="26"/>
  <c r="BN559" i="26"/>
  <c r="BN639" i="26"/>
  <c r="BN530" i="26"/>
  <c r="BN608" i="26"/>
  <c r="BN589" i="26"/>
  <c r="BN570" i="26"/>
  <c r="BN516" i="26"/>
  <c r="BN828" i="26"/>
  <c r="BN501" i="26"/>
  <c r="BN617" i="26"/>
  <c r="BN541" i="26"/>
  <c r="BN518" i="26"/>
  <c r="BN513" i="26"/>
  <c r="BN505" i="26"/>
  <c r="BN503" i="26"/>
  <c r="BN490" i="26"/>
  <c r="BN478" i="26"/>
  <c r="BN547" i="26"/>
  <c r="BN827" i="26"/>
  <c r="BN531" i="26"/>
  <c r="BN507" i="26"/>
  <c r="BN515" i="26"/>
  <c r="BN502" i="26"/>
  <c r="BN466" i="26"/>
  <c r="BN465" i="26"/>
  <c r="BN462" i="26"/>
  <c r="BN454" i="26"/>
  <c r="BN427" i="26"/>
  <c r="BN403" i="26"/>
  <c r="BN391" i="26"/>
  <c r="BN499" i="26"/>
  <c r="BN468" i="26"/>
  <c r="BN456" i="26"/>
  <c r="BN451" i="26"/>
  <c r="BN429" i="26"/>
  <c r="BN414" i="26"/>
  <c r="BN491" i="26"/>
  <c r="BN463" i="26"/>
  <c r="BN436" i="26"/>
  <c r="BN424" i="26"/>
  <c r="BN487" i="26"/>
  <c r="BN484" i="26"/>
  <c r="BN438" i="26"/>
  <c r="BN423" i="26"/>
  <c r="BN425" i="26"/>
  <c r="BN486" i="26"/>
  <c r="BN476" i="26"/>
  <c r="BN448" i="26"/>
  <c r="BN440" i="26"/>
  <c r="BN416" i="26"/>
  <c r="BN464" i="26"/>
  <c r="BN452" i="26"/>
  <c r="BN385" i="26"/>
  <c r="BN475" i="26"/>
  <c r="BN442" i="26"/>
  <c r="BN394" i="26"/>
  <c r="BN406" i="26"/>
  <c r="BN370" i="26"/>
  <c r="BN355" i="26"/>
  <c r="BN528" i="26"/>
  <c r="BN498" i="26"/>
  <c r="BN474" i="26"/>
  <c r="BN435" i="26"/>
  <c r="BN428" i="26"/>
  <c r="BN426" i="26"/>
  <c r="BN372" i="26"/>
  <c r="BN363" i="26"/>
  <c r="BN439" i="26"/>
  <c r="BN437" i="26"/>
  <c r="BN430" i="26"/>
  <c r="BN450" i="26"/>
  <c r="BN520" i="26"/>
  <c r="BN488" i="26"/>
  <c r="BN460" i="26"/>
  <c r="BN455" i="26"/>
  <c r="BN453" i="26"/>
  <c r="BN434" i="26"/>
  <c r="BN408" i="26"/>
  <c r="BN402" i="26"/>
  <c r="BN379" i="26"/>
  <c r="BN313" i="26"/>
  <c r="BN312" i="26"/>
  <c r="BN467" i="26"/>
  <c r="BN383" i="26"/>
  <c r="BN415" i="26"/>
  <c r="BN388" i="26"/>
  <c r="BN368" i="26"/>
  <c r="BN409" i="26"/>
  <c r="BN366" i="26"/>
  <c r="BN472" i="26"/>
  <c r="BN399" i="26"/>
  <c r="BN344" i="26"/>
  <c r="BN332" i="26"/>
  <c r="BN320" i="26"/>
  <c r="BN364" i="26"/>
  <c r="BN390" i="26"/>
  <c r="BN382" i="26"/>
  <c r="BN333" i="26"/>
  <c r="BN321" i="26"/>
  <c r="BN407" i="26"/>
  <c r="BN396" i="26"/>
  <c r="BN376" i="26"/>
  <c r="BN345" i="26"/>
  <c r="BN308" i="26"/>
  <c r="BN405" i="26"/>
  <c r="BN304" i="26"/>
  <c r="BN301" i="26"/>
  <c r="BN283" i="26"/>
  <c r="BN289" i="26"/>
  <c r="BN244" i="26"/>
  <c r="BN311" i="26"/>
  <c r="BN309" i="26"/>
  <c r="BN290" i="26"/>
  <c r="BN265" i="26"/>
  <c r="BN367" i="26"/>
  <c r="BN292" i="26"/>
  <c r="BN384" i="26"/>
  <c r="BN287" i="26"/>
  <c r="BN275" i="26"/>
  <c r="BN310" i="26"/>
  <c r="BN303" i="26"/>
  <c r="BN257" i="26"/>
  <c r="BN232" i="26"/>
  <c r="BN277" i="26"/>
  <c r="BN334" i="26"/>
  <c r="BN322" i="26"/>
  <c r="BN276" i="26"/>
  <c r="BN404" i="26"/>
  <c r="BN314" i="26"/>
  <c r="BN278" i="26"/>
  <c r="BN295" i="26"/>
  <c r="BN259" i="26"/>
  <c r="BN254" i="26"/>
  <c r="BN229" i="26"/>
  <c r="BN222" i="26"/>
  <c r="BN219" i="26"/>
  <c r="BN207" i="26"/>
  <c r="BN195" i="26"/>
  <c r="BN266" i="26"/>
  <c r="BN255" i="26"/>
  <c r="BN251" i="26"/>
  <c r="BN223" i="26"/>
  <c r="BN218" i="26"/>
  <c r="BN206" i="26"/>
  <c r="BN194" i="26"/>
  <c r="BN182" i="26"/>
  <c r="BN170" i="26"/>
  <c r="BN158" i="26"/>
  <c r="BN237" i="26"/>
  <c r="BN286" i="26"/>
  <c r="BN279" i="26"/>
  <c r="BN242" i="26"/>
  <c r="BN224" i="26"/>
  <c r="BN225" i="26"/>
  <c r="BN166" i="26"/>
  <c r="BN154" i="26"/>
  <c r="BN142" i="26"/>
  <c r="BN250" i="26"/>
  <c r="BN263" i="26"/>
  <c r="BN262" i="26"/>
  <c r="BN256" i="26"/>
  <c r="BN210" i="26"/>
  <c r="BN174" i="26"/>
  <c r="BN151" i="26"/>
  <c r="BN146" i="26"/>
  <c r="BN118" i="26"/>
  <c r="BN106" i="26"/>
  <c r="BN94" i="26"/>
  <c r="BN198" i="26"/>
  <c r="BN129" i="26"/>
  <c r="BN117" i="26"/>
  <c r="BN105" i="26"/>
  <c r="BN93" i="26"/>
  <c r="BN81" i="26"/>
  <c r="BN183" i="26"/>
  <c r="BN163" i="26"/>
  <c r="BN138" i="26"/>
  <c r="BN136" i="26"/>
  <c r="BN252" i="26"/>
  <c r="BN186" i="26"/>
  <c r="BN150" i="26"/>
  <c r="BN148" i="26"/>
  <c r="BN134" i="26"/>
  <c r="BN247" i="26"/>
  <c r="BN243" i="26"/>
  <c r="BN241" i="26"/>
  <c r="BN211" i="26"/>
  <c r="BN199" i="26"/>
  <c r="BN160" i="26"/>
  <c r="BN220" i="26"/>
  <c r="BN208" i="26"/>
  <c r="BN175" i="26"/>
  <c r="BN162" i="26"/>
  <c r="BN159" i="26"/>
  <c r="BN269" i="26"/>
  <c r="BN236" i="26"/>
  <c r="BN196" i="26"/>
  <c r="BN172" i="26"/>
  <c r="BN147" i="26"/>
  <c r="BN139" i="26"/>
  <c r="BN121" i="26"/>
  <c r="BN109" i="26"/>
  <c r="BN97" i="26"/>
  <c r="BN85" i="26"/>
  <c r="BG5" i="26"/>
  <c r="BI5" i="26" s="1"/>
  <c r="BK5" i="26" s="1"/>
  <c r="BL5" i="26" s="1"/>
  <c r="BG17" i="26"/>
  <c r="BG23" i="26"/>
  <c r="BG32" i="26"/>
  <c r="BI32" i="26" s="1"/>
  <c r="BK32" i="26" s="1"/>
  <c r="BL32" i="26" s="1"/>
  <c r="AY35" i="26"/>
  <c r="AY43" i="26"/>
  <c r="AX46" i="26"/>
  <c r="BG64" i="26"/>
  <c r="BI64" i="26" s="1"/>
  <c r="BK64" i="26" s="1"/>
  <c r="BL64" i="26" s="1"/>
  <c r="BG67" i="26"/>
  <c r="AX68" i="26"/>
  <c r="BG70" i="26"/>
  <c r="BG75" i="26"/>
  <c r="BN78" i="26"/>
  <c r="AY79" i="26"/>
  <c r="BN79" i="26"/>
  <c r="BG80" i="26"/>
  <c r="BI80" i="26" s="1"/>
  <c r="BK80" i="26" s="1"/>
  <c r="BL80" i="26" s="1"/>
  <c r="BN83" i="26"/>
  <c r="AY90" i="26"/>
  <c r="AY91" i="26"/>
  <c r="BN95" i="26"/>
  <c r="BG99" i="26"/>
  <c r="BN100" i="26"/>
  <c r="BN101" i="26"/>
  <c r="BN114" i="26"/>
  <c r="AX116" i="26"/>
  <c r="AX135" i="26"/>
  <c r="BN98" i="26"/>
  <c r="BN10" i="26"/>
  <c r="BN28" i="26"/>
  <c r="BN41" i="26"/>
  <c r="BG45" i="26"/>
  <c r="BI45" i="26" s="1"/>
  <c r="BK45" i="26" s="1"/>
  <c r="BL45" i="26" s="1"/>
  <c r="BN47" i="26"/>
  <c r="BG51" i="26"/>
  <c r="AY55" i="26"/>
  <c r="BN72" i="26"/>
  <c r="BN73" i="26"/>
  <c r="AY92" i="26"/>
  <c r="BN116" i="26"/>
  <c r="BG127" i="26"/>
  <c r="BG147" i="26"/>
  <c r="BI147" i="26" s="1"/>
  <c r="BN153" i="26"/>
  <c r="BG158" i="26"/>
  <c r="BN204" i="26"/>
  <c r="BN64" i="26"/>
  <c r="BN20" i="26"/>
  <c r="BN26" i="26"/>
  <c r="BN33" i="26"/>
  <c r="BN53" i="26"/>
  <c r="BG57" i="26"/>
  <c r="BI57" i="26" s="1"/>
  <c r="BK57" i="26" s="1"/>
  <c r="BL57" i="26" s="1"/>
  <c r="BN59" i="26"/>
  <c r="BG63" i="26"/>
  <c r="BN76" i="26"/>
  <c r="BG87" i="26"/>
  <c r="BN88" i="26"/>
  <c r="BN89" i="26"/>
  <c r="BN102" i="26"/>
  <c r="BN122" i="26"/>
  <c r="BG128" i="26"/>
  <c r="BG130" i="26"/>
  <c r="BI130" i="26" s="1"/>
  <c r="BK130" i="26" s="1"/>
  <c r="BL130" i="26" s="1"/>
  <c r="BG132" i="26"/>
  <c r="BI132" i="26" s="1"/>
  <c r="BK132" i="26" s="1"/>
  <c r="BL132" i="26" s="1"/>
  <c r="BN133" i="26"/>
  <c r="BN171" i="26"/>
  <c r="BN271" i="26"/>
  <c r="BG8" i="26"/>
  <c r="BI8" i="26" s="1"/>
  <c r="BK8" i="26" s="1"/>
  <c r="BL8" i="26" s="1"/>
  <c r="BG31" i="26"/>
  <c r="BG34" i="26"/>
  <c r="BI34" i="26" s="1"/>
  <c r="BK34" i="26" s="1"/>
  <c r="BL34" i="26" s="1"/>
  <c r="AX35" i="26"/>
  <c r="BG37" i="26"/>
  <c r="BI37" i="26" s="1"/>
  <c r="BK37" i="26" s="1"/>
  <c r="BL37" i="26" s="1"/>
  <c r="BG42" i="26"/>
  <c r="BI42" i="26" s="1"/>
  <c r="BK42" i="26" s="1"/>
  <c r="BL42" i="26" s="1"/>
  <c r="BN46" i="26"/>
  <c r="AY57" i="26"/>
  <c r="BN65" i="26"/>
  <c r="BG69" i="26"/>
  <c r="BI69" i="26" s="1"/>
  <c r="BK69" i="26" s="1"/>
  <c r="BL69" i="26" s="1"/>
  <c r="BN71" i="26"/>
  <c r="BG81" i="26"/>
  <c r="AX90" i="26"/>
  <c r="AX91" i="26"/>
  <c r="BN104" i="26"/>
  <c r="BG115" i="26"/>
  <c r="BI115" i="26" s="1"/>
  <c r="BN127" i="26"/>
  <c r="BN130" i="26"/>
  <c r="AX182" i="26"/>
  <c r="BN13" i="26"/>
  <c r="BG19" i="26"/>
  <c r="BI19" i="26" s="1"/>
  <c r="BN21" i="26"/>
  <c r="BG25" i="26"/>
  <c r="BI25" i="26" s="1"/>
  <c r="BN40" i="26"/>
  <c r="BG54" i="26"/>
  <c r="BN55" i="26"/>
  <c r="AY58" i="26"/>
  <c r="BN58" i="26"/>
  <c r="AY69" i="26"/>
  <c r="BG78" i="26"/>
  <c r="BI78" i="26" s="1"/>
  <c r="BK78" i="26" s="1"/>
  <c r="BL78" i="26" s="1"/>
  <c r="AY80" i="26"/>
  <c r="BN90" i="26"/>
  <c r="AX92" i="26"/>
  <c r="BN110" i="26"/>
  <c r="BG116" i="26"/>
  <c r="BN123" i="26"/>
  <c r="BG134" i="26"/>
  <c r="BN184" i="26"/>
  <c r="BN209" i="26"/>
  <c r="BN217" i="26"/>
  <c r="BN2" i="26"/>
  <c r="BG10" i="26"/>
  <c r="AY34" i="26"/>
  <c r="AX37" i="26"/>
  <c r="BG44" i="26"/>
  <c r="BI44" i="26" s="1"/>
  <c r="AX45" i="26"/>
  <c r="BN52" i="26"/>
  <c r="BG66" i="26"/>
  <c r="BN70" i="26"/>
  <c r="BN92" i="26"/>
  <c r="BG103" i="26"/>
  <c r="BI103" i="26" s="1"/>
  <c r="BK103" i="26" s="1"/>
  <c r="BL103" i="26" s="1"/>
  <c r="AY110" i="26"/>
  <c r="BN115" i="26"/>
  <c r="AY167" i="26"/>
  <c r="BN212" i="26"/>
  <c r="AX137" i="26"/>
  <c r="BN144" i="26"/>
  <c r="AX145" i="26"/>
  <c r="AX146" i="26"/>
  <c r="BN149" i="26"/>
  <c r="BN180" i="26"/>
  <c r="BN181" i="26"/>
  <c r="AX183" i="26"/>
  <c r="BN189" i="26"/>
  <c r="BN231" i="26"/>
  <c r="AX141" i="26"/>
  <c r="BN145" i="26"/>
  <c r="BN131" i="26"/>
  <c r="BN137" i="26"/>
  <c r="BN141" i="26"/>
  <c r="BN164" i="26"/>
  <c r="BN167" i="26"/>
  <c r="AX226" i="26"/>
  <c r="BN291" i="26"/>
  <c r="AY136" i="26"/>
  <c r="AY157" i="26"/>
  <c r="AY158" i="26"/>
  <c r="AX168" i="26"/>
  <c r="AX169" i="26"/>
  <c r="AX170" i="26"/>
  <c r="BN177" i="26"/>
  <c r="BN190" i="26"/>
  <c r="AY193" i="26"/>
  <c r="AX225" i="26"/>
  <c r="AX147" i="26"/>
  <c r="AY159" i="26"/>
  <c r="BN168" i="26"/>
  <c r="BN169" i="26"/>
  <c r="AX171" i="26"/>
  <c r="BN201" i="26"/>
  <c r="BN213" i="26"/>
  <c r="BN226" i="26"/>
  <c r="BN152" i="26"/>
  <c r="BN155" i="26"/>
  <c r="AY203" i="26"/>
  <c r="AY206" i="26"/>
  <c r="AY207" i="26"/>
  <c r="AY215" i="26"/>
  <c r="AY218" i="26"/>
  <c r="AY219" i="26"/>
  <c r="BN185" i="26"/>
  <c r="BN191" i="26"/>
  <c r="BN202" i="26"/>
  <c r="BN214" i="26"/>
  <c r="BN156" i="26"/>
  <c r="BN157" i="26"/>
  <c r="BN165" i="26"/>
  <c r="BN178" i="26"/>
  <c r="BN188" i="26"/>
  <c r="BN192" i="26"/>
  <c r="BN193" i="26"/>
  <c r="AX206" i="26"/>
  <c r="AX218" i="26"/>
  <c r="BN228" i="26"/>
  <c r="AY135" i="26"/>
  <c r="BN140" i="26"/>
  <c r="AY144" i="26"/>
  <c r="BN173" i="26"/>
  <c r="AY180" i="26"/>
  <c r="AY181" i="26"/>
  <c r="AY182" i="26"/>
  <c r="BN197" i="26"/>
  <c r="AX207" i="26"/>
  <c r="AX219" i="26"/>
  <c r="BN238" i="26"/>
  <c r="BN239" i="26"/>
  <c r="BN240" i="26"/>
  <c r="AY247" i="26"/>
  <c r="AY145" i="26"/>
  <c r="AY183" i="26"/>
  <c r="BN203" i="26"/>
  <c r="BN215" i="26"/>
  <c r="AY252" i="26"/>
  <c r="AX245" i="26"/>
  <c r="AX247" i="26"/>
  <c r="BN249" i="26"/>
  <c r="AY282" i="26"/>
  <c r="AX282" i="26"/>
  <c r="AX285" i="26"/>
  <c r="BN326" i="26"/>
  <c r="AX224" i="26"/>
  <c r="AY229" i="26"/>
  <c r="BN234" i="26"/>
  <c r="AY274" i="26"/>
  <c r="BN281" i="26"/>
  <c r="BN288" i="26"/>
  <c r="BN245" i="26"/>
  <c r="AY248" i="26"/>
  <c r="BN267" i="26"/>
  <c r="BN273" i="26"/>
  <c r="BN307" i="26"/>
  <c r="BN381" i="26"/>
  <c r="AY278" i="26"/>
  <c r="BN284" i="26"/>
  <c r="BN294" i="26"/>
  <c r="BN233" i="26"/>
  <c r="BN274" i="26"/>
  <c r="AX242" i="26"/>
  <c r="BN246" i="26"/>
  <c r="BN261" i="26"/>
  <c r="AY271" i="26"/>
  <c r="BN297" i="26"/>
  <c r="BN264" i="26"/>
  <c r="AY266" i="26"/>
  <c r="AY238" i="26"/>
  <c r="BN268" i="26"/>
  <c r="AX271" i="26"/>
  <c r="BN305" i="26"/>
  <c r="BN282" i="26"/>
  <c r="BN285" i="26"/>
  <c r="BN299" i="26"/>
  <c r="BN324" i="26"/>
  <c r="BN325" i="26"/>
  <c r="BN300" i="26"/>
  <c r="BN338" i="26"/>
  <c r="BN375" i="26"/>
  <c r="AY230" i="26"/>
  <c r="AX236" i="26"/>
  <c r="BN253" i="26"/>
  <c r="AY264" i="26"/>
  <c r="BN280" i="26"/>
  <c r="AX286" i="26"/>
  <c r="AY287" i="26"/>
  <c r="AY296" i="26"/>
  <c r="BN336" i="26"/>
  <c r="BN337" i="26"/>
  <c r="BN400" i="26"/>
  <c r="AY242" i="26"/>
  <c r="BN248" i="26"/>
  <c r="AX258" i="26"/>
  <c r="AX275" i="26"/>
  <c r="AY291" i="26"/>
  <c r="AX291" i="26"/>
  <c r="BN302" i="26"/>
  <c r="AY259" i="26"/>
  <c r="BN272" i="26"/>
  <c r="AY279" i="26"/>
  <c r="AX279" i="26"/>
  <c r="BN296" i="26"/>
  <c r="AX341" i="26"/>
  <c r="BN350" i="26"/>
  <c r="AY298" i="26"/>
  <c r="AX327" i="26"/>
  <c r="AY333" i="26"/>
  <c r="BN380" i="26"/>
  <c r="BN393" i="26"/>
  <c r="BN317" i="26"/>
  <c r="AX321" i="26"/>
  <c r="BN329" i="26"/>
  <c r="BN330" i="26"/>
  <c r="AX333" i="26"/>
  <c r="BN341" i="26"/>
  <c r="BN342" i="26"/>
  <c r="BN392" i="26"/>
  <c r="BN422" i="26"/>
  <c r="BN298" i="26"/>
  <c r="BN318" i="26"/>
  <c r="BN365" i="26"/>
  <c r="BN378" i="26"/>
  <c r="BN260" i="26"/>
  <c r="AX300" i="26"/>
  <c r="BN306" i="26"/>
  <c r="BN319" i="26"/>
  <c r="BN331" i="26"/>
  <c r="BN343" i="26"/>
  <c r="BN346" i="26"/>
  <c r="AY355" i="26"/>
  <c r="AX274" i="26"/>
  <c r="AY276" i="26"/>
  <c r="AX289" i="26"/>
  <c r="AY299" i="26"/>
  <c r="AY301" i="26"/>
  <c r="BN323" i="26"/>
  <c r="BN335" i="26"/>
  <c r="AX355" i="26"/>
  <c r="BN258" i="26"/>
  <c r="AY273" i="26"/>
  <c r="AX276" i="26"/>
  <c r="AX349" i="26"/>
  <c r="AX357" i="26"/>
  <c r="AX401" i="26"/>
  <c r="AY263" i="26"/>
  <c r="BN270" i="26"/>
  <c r="AY285" i="26"/>
  <c r="AY316" i="26"/>
  <c r="AY317" i="26"/>
  <c r="AY329" i="26"/>
  <c r="AY341" i="26"/>
  <c r="BN348" i="26"/>
  <c r="BN349" i="26"/>
  <c r="AX359" i="26"/>
  <c r="BN387" i="26"/>
  <c r="AX320" i="26"/>
  <c r="AX332" i="26"/>
  <c r="AX344" i="26"/>
  <c r="BN361" i="26"/>
  <c r="AX379" i="26"/>
  <c r="BN431" i="26"/>
  <c r="AY319" i="26"/>
  <c r="BN357" i="26"/>
  <c r="BN359" i="26"/>
  <c r="AY362" i="26"/>
  <c r="BN369" i="26"/>
  <c r="AX373" i="26"/>
  <c r="BN398" i="26"/>
  <c r="BN401" i="26"/>
  <c r="BN316" i="26"/>
  <c r="AX351" i="26"/>
  <c r="BN373" i="26"/>
  <c r="AX384" i="26"/>
  <c r="BN389" i="26"/>
  <c r="AZ409" i="26"/>
  <c r="BN412" i="26"/>
  <c r="BN351" i="26"/>
  <c r="BN353" i="26"/>
  <c r="AY360" i="26"/>
  <c r="AX364" i="26"/>
  <c r="AY374" i="26"/>
  <c r="BN315" i="26"/>
  <c r="AX319" i="26"/>
  <c r="AX366" i="26"/>
  <c r="BN395" i="26"/>
  <c r="AX396" i="26"/>
  <c r="BN443" i="26"/>
  <c r="AX324" i="26"/>
  <c r="BN328" i="26"/>
  <c r="AX336" i="26"/>
  <c r="BN340" i="26"/>
  <c r="BN347" i="26"/>
  <c r="BN362" i="26"/>
  <c r="AX385" i="26"/>
  <c r="AY391" i="26"/>
  <c r="AX404" i="26"/>
  <c r="AY437" i="26"/>
  <c r="AY365" i="26"/>
  <c r="BN374" i="26"/>
  <c r="AY387" i="26"/>
  <c r="AY392" i="26"/>
  <c r="AY426" i="26"/>
  <c r="AX426" i="26"/>
  <c r="BN457" i="26"/>
  <c r="BN356" i="26"/>
  <c r="BN358" i="26"/>
  <c r="BN360" i="26"/>
  <c r="BN371" i="26"/>
  <c r="AY372" i="26"/>
  <c r="AY378" i="26"/>
  <c r="BN496" i="26"/>
  <c r="BN354" i="26"/>
  <c r="AY361" i="26"/>
  <c r="BN397" i="26"/>
  <c r="BN327" i="26"/>
  <c r="BN339" i="26"/>
  <c r="BN352" i="26"/>
  <c r="AY401" i="26"/>
  <c r="AX395" i="26"/>
  <c r="AY417" i="26"/>
  <c r="BN420" i="26"/>
  <c r="AX438" i="26"/>
  <c r="AY445" i="26"/>
  <c r="AX448" i="26"/>
  <c r="BN470" i="26"/>
  <c r="BN500" i="26"/>
  <c r="AX354" i="26"/>
  <c r="AY394" i="26"/>
  <c r="AY415" i="26"/>
  <c r="AX423" i="26"/>
  <c r="BN458" i="26"/>
  <c r="BN479" i="26"/>
  <c r="BN492" i="26"/>
  <c r="BN386" i="26"/>
  <c r="BN411" i="26"/>
  <c r="AX437" i="26"/>
  <c r="AY443" i="26"/>
  <c r="BN417" i="26"/>
  <c r="BN419" i="26"/>
  <c r="AX430" i="26"/>
  <c r="BN441" i="26"/>
  <c r="AZ458" i="26"/>
  <c r="BN480" i="26"/>
  <c r="BN512" i="26"/>
  <c r="BN526" i="26"/>
  <c r="BN410" i="26"/>
  <c r="AY422" i="26"/>
  <c r="AX424" i="26"/>
  <c r="AX441" i="26"/>
  <c r="AX450" i="26"/>
  <c r="AX503" i="26"/>
  <c r="AX506" i="26"/>
  <c r="AY506" i="26"/>
  <c r="BN377" i="26"/>
  <c r="AY380" i="26"/>
  <c r="AY389" i="26"/>
  <c r="AX390" i="26"/>
  <c r="BN413" i="26"/>
  <c r="BN432" i="26"/>
  <c r="AY451" i="26"/>
  <c r="AX468" i="26"/>
  <c r="AY469" i="26"/>
  <c r="AY431" i="26"/>
  <c r="AY452" i="26"/>
  <c r="AY457" i="26"/>
  <c r="AY463" i="26"/>
  <c r="AY414" i="26"/>
  <c r="AY436" i="26"/>
  <c r="BN446" i="26"/>
  <c r="BN483" i="26"/>
  <c r="BN521" i="26"/>
  <c r="BN444" i="26"/>
  <c r="AY448" i="26"/>
  <c r="BN509" i="26"/>
  <c r="BN523" i="26"/>
  <c r="AY404" i="26"/>
  <c r="BN418" i="26"/>
  <c r="AX447" i="26"/>
  <c r="AX457" i="26"/>
  <c r="BN469" i="26"/>
  <c r="AX475" i="26"/>
  <c r="BN477" i="26"/>
  <c r="BN485" i="26"/>
  <c r="BN497" i="26"/>
  <c r="BN506" i="26"/>
  <c r="BN514" i="26"/>
  <c r="AY423" i="26"/>
  <c r="AY435" i="26"/>
  <c r="BN445" i="26"/>
  <c r="AY449" i="26"/>
  <c r="AX463" i="26"/>
  <c r="BN517" i="26"/>
  <c r="BN519" i="26"/>
  <c r="BN556" i="26"/>
  <c r="BN537" i="26"/>
  <c r="BN421" i="26"/>
  <c r="BN433" i="26"/>
  <c r="AX451" i="26"/>
  <c r="BN459" i="26"/>
  <c r="BN461" i="26"/>
  <c r="BN471" i="26"/>
  <c r="BN473" i="26"/>
  <c r="AY474" i="26"/>
  <c r="BN481" i="26"/>
  <c r="BN493" i="26"/>
  <c r="BN504" i="26"/>
  <c r="BN564" i="26"/>
  <c r="BN447" i="26"/>
  <c r="BN449" i="26"/>
  <c r="AY460" i="26"/>
  <c r="AY464" i="26"/>
  <c r="AY472" i="26"/>
  <c r="BN482" i="26"/>
  <c r="BN489" i="26"/>
  <c r="BN494" i="26"/>
  <c r="AY504" i="26"/>
  <c r="AX543" i="26"/>
  <c r="AY450" i="26"/>
  <c r="AY484" i="26"/>
  <c r="AY496" i="26"/>
  <c r="BN533" i="26"/>
  <c r="BN634" i="26"/>
  <c r="AY500" i="26"/>
  <c r="AY523" i="26"/>
  <c r="AX523" i="26"/>
  <c r="BN495" i="26"/>
  <c r="AY501" i="26"/>
  <c r="BN595" i="26"/>
  <c r="BN522" i="26"/>
  <c r="BN527" i="26"/>
  <c r="BN542" i="26"/>
  <c r="BN550" i="26"/>
  <c r="BN511" i="26"/>
  <c r="BN829" i="26"/>
  <c r="BN551" i="26"/>
  <c r="AX552" i="26"/>
  <c r="BN604" i="26"/>
  <c r="AX534" i="26"/>
  <c r="AX545" i="26"/>
  <c r="AY833" i="26"/>
  <c r="BN552" i="26"/>
  <c r="BN566" i="26"/>
  <c r="AY569" i="26"/>
  <c r="BN534" i="26"/>
  <c r="BN538" i="26"/>
  <c r="BN544" i="26"/>
  <c r="BN594" i="26"/>
  <c r="BN525" i="26"/>
  <c r="BN546" i="26"/>
  <c r="BN568" i="26"/>
  <c r="BN655" i="26"/>
  <c r="AX500" i="26"/>
  <c r="BN510" i="26"/>
  <c r="AY536" i="26"/>
  <c r="AY541" i="26"/>
  <c r="BN832" i="26"/>
  <c r="BN553" i="26"/>
  <c r="BN554" i="26"/>
  <c r="BN577" i="26"/>
  <c r="AX593" i="26"/>
  <c r="AX515" i="26"/>
  <c r="AX535" i="26"/>
  <c r="AX540" i="26"/>
  <c r="AY828" i="26"/>
  <c r="AX556" i="26"/>
  <c r="BN578" i="26"/>
  <c r="AX512" i="26"/>
  <c r="AY514" i="26"/>
  <c r="BN535" i="26"/>
  <c r="BN540" i="26"/>
  <c r="BN555" i="26"/>
  <c r="BN592" i="26"/>
  <c r="BN600" i="26"/>
  <c r="AX616" i="26"/>
  <c r="AY616" i="26"/>
  <c r="BN601" i="26"/>
  <c r="BN508" i="26"/>
  <c r="AY511" i="26"/>
  <c r="BN536" i="26"/>
  <c r="AY621" i="26"/>
  <c r="BN580" i="26"/>
  <c r="BN597" i="26"/>
  <c r="AY513" i="26"/>
  <c r="AX533" i="26"/>
  <c r="AY545" i="26"/>
  <c r="BN603" i="26"/>
  <c r="BN582" i="26"/>
  <c r="BN543" i="26"/>
  <c r="BN830" i="26"/>
  <c r="BN549" i="26"/>
  <c r="BN616" i="26"/>
  <c r="BN625" i="26"/>
  <c r="BN561" i="26"/>
  <c r="BN576" i="26"/>
  <c r="AY542" i="26"/>
  <c r="AY834" i="26"/>
  <c r="AY555" i="26"/>
  <c r="BN563" i="26"/>
  <c r="AY662" i="26"/>
  <c r="AX662" i="26"/>
  <c r="BN571" i="26"/>
  <c r="BN590" i="26"/>
  <c r="AX831" i="26"/>
  <c r="BN565" i="26"/>
  <c r="AY598" i="26"/>
  <c r="BN602" i="26"/>
  <c r="AX611" i="26"/>
  <c r="AY528" i="26"/>
  <c r="AX529" i="26"/>
  <c r="AX542" i="26"/>
  <c r="AX544" i="26"/>
  <c r="BN826" i="26"/>
  <c r="BN831" i="26"/>
  <c r="AX834" i="26"/>
  <c r="AX555" i="26"/>
  <c r="AY581" i="26"/>
  <c r="BN588" i="26"/>
  <c r="AY594" i="26"/>
  <c r="BN610" i="26"/>
  <c r="BN611" i="26"/>
  <c r="AX818" i="26"/>
  <c r="BN652" i="26"/>
  <c r="BN524" i="26"/>
  <c r="AY527" i="26"/>
  <c r="AX528" i="26"/>
  <c r="AY543" i="26"/>
  <c r="BN562" i="26"/>
  <c r="AX589" i="26"/>
  <c r="BN632" i="26"/>
  <c r="BN669" i="26"/>
  <c r="AX607" i="26"/>
  <c r="BN635" i="26"/>
  <c r="BN821" i="26"/>
  <c r="BN656" i="26"/>
  <c r="AX570" i="26"/>
  <c r="AX585" i="26"/>
  <c r="BN593" i="26"/>
  <c r="AX621" i="26"/>
  <c r="AY627" i="26"/>
  <c r="BN820" i="26"/>
  <c r="AY824" i="26"/>
  <c r="BN591" i="26"/>
  <c r="BN804" i="26"/>
  <c r="AX655" i="26"/>
  <c r="BN687" i="26"/>
  <c r="AX701" i="26"/>
  <c r="AY701" i="26"/>
  <c r="BN567" i="26"/>
  <c r="BN622" i="26"/>
  <c r="BN803" i="26"/>
  <c r="BN813" i="26"/>
  <c r="AX833" i="26"/>
  <c r="AX557" i="26"/>
  <c r="AX569" i="26"/>
  <c r="AY610" i="26"/>
  <c r="BN643" i="26"/>
  <c r="AX571" i="26"/>
  <c r="BN581" i="26"/>
  <c r="AY582" i="26"/>
  <c r="AX584" i="26"/>
  <c r="AY597" i="26"/>
  <c r="BN613" i="26"/>
  <c r="AY615" i="26"/>
  <c r="BN628" i="26"/>
  <c r="AX633" i="26"/>
  <c r="AY832" i="26"/>
  <c r="AY556" i="26"/>
  <c r="AY568" i="26"/>
  <c r="BN579" i="26"/>
  <c r="AY611" i="26"/>
  <c r="AY818" i="26"/>
  <c r="AY678" i="26"/>
  <c r="AX699" i="26"/>
  <c r="BN621" i="26"/>
  <c r="AX639" i="26"/>
  <c r="BN805" i="26"/>
  <c r="AX651" i="26"/>
  <c r="AX597" i="26"/>
  <c r="AX626" i="26"/>
  <c r="BN644" i="26"/>
  <c r="AX649" i="26"/>
  <c r="BN650" i="26"/>
  <c r="BN800" i="26"/>
  <c r="BN801" i="26"/>
  <c r="AX613" i="26"/>
  <c r="AX623" i="26"/>
  <c r="AX806" i="26"/>
  <c r="AY676" i="26"/>
  <c r="AX676" i="26"/>
  <c r="BN606" i="26"/>
  <c r="AY815" i="26"/>
  <c r="BN806" i="26"/>
  <c r="AY812" i="26"/>
  <c r="AY814" i="26"/>
  <c r="AY640" i="26"/>
  <c r="BN657" i="26"/>
  <c r="AX659" i="26"/>
  <c r="AY659" i="26"/>
  <c r="BN663" i="26"/>
  <c r="AY622" i="26"/>
  <c r="AX819" i="26"/>
  <c r="BN807" i="26"/>
  <c r="BN645" i="26"/>
  <c r="AY673" i="26"/>
  <c r="AX673" i="26"/>
  <c r="BN676" i="26"/>
  <c r="BN690" i="26"/>
  <c r="BN605" i="26"/>
  <c r="AY608" i="26"/>
  <c r="AX609" i="26"/>
  <c r="BN619" i="26"/>
  <c r="AX625" i="26"/>
  <c r="AX815" i="26"/>
  <c r="AX817" i="26"/>
  <c r="AY823" i="26"/>
  <c r="BN810" i="26"/>
  <c r="BN661" i="26"/>
  <c r="BN675" i="26"/>
  <c r="BN814" i="26"/>
  <c r="BN641" i="26"/>
  <c r="BN642" i="26"/>
  <c r="AY647" i="26"/>
  <c r="AY671" i="26"/>
  <c r="AY717" i="26"/>
  <c r="BN640" i="26"/>
  <c r="AY650" i="26"/>
  <c r="AX672" i="26"/>
  <c r="AX681" i="26"/>
  <c r="BN699" i="26"/>
  <c r="BN727" i="26"/>
  <c r="BN819" i="26"/>
  <c r="BN823" i="26"/>
  <c r="AX812" i="26"/>
  <c r="AX666" i="26"/>
  <c r="BN672" i="26"/>
  <c r="BN681" i="26"/>
  <c r="BN682" i="26"/>
  <c r="BN818" i="26"/>
  <c r="AY813" i="26"/>
  <c r="BN653" i="26"/>
  <c r="AY661" i="26"/>
  <c r="AX665" i="26"/>
  <c r="BN666" i="26"/>
  <c r="BN667" i="26"/>
  <c r="BN668" i="26"/>
  <c r="AY675" i="26"/>
  <c r="BN822" i="26"/>
  <c r="AY825" i="26"/>
  <c r="AY648" i="26"/>
  <c r="AX650" i="26"/>
  <c r="AY651" i="26"/>
  <c r="BN665" i="26"/>
  <c r="BN698" i="26"/>
  <c r="BN710" i="26"/>
  <c r="BN689" i="26"/>
  <c r="BN691" i="26"/>
  <c r="BN692" i="26"/>
  <c r="BN697" i="26"/>
  <c r="AX695" i="26"/>
  <c r="BN799" i="26"/>
  <c r="BN719" i="26"/>
  <c r="AX811" i="26"/>
  <c r="BN651" i="26"/>
  <c r="BN654" i="26"/>
  <c r="AX678" i="26"/>
  <c r="BN662" i="26"/>
  <c r="AX675" i="26"/>
  <c r="BN709" i="26"/>
  <c r="AX728" i="26"/>
  <c r="AX671" i="26"/>
  <c r="BN700" i="26"/>
  <c r="AY715" i="26"/>
  <c r="BN726" i="26"/>
  <c r="BN685" i="26"/>
  <c r="AX696" i="26"/>
  <c r="BN708" i="26"/>
  <c r="AY703" i="26"/>
  <c r="AX708" i="26"/>
  <c r="BN758" i="26"/>
  <c r="AY698" i="26"/>
  <c r="AY710" i="26"/>
  <c r="BN713" i="26"/>
  <c r="AX715" i="26"/>
  <c r="BN724" i="26"/>
  <c r="BN753" i="26"/>
  <c r="AY672" i="26"/>
  <c r="BN720" i="26"/>
  <c r="AY729" i="26"/>
  <c r="AX729" i="26"/>
  <c r="BN746" i="26"/>
  <c r="AY696" i="26"/>
  <c r="AX711" i="26"/>
  <c r="BN716" i="26"/>
  <c r="AY722" i="26"/>
  <c r="AX739" i="26"/>
  <c r="BN744" i="26"/>
  <c r="AY705" i="26"/>
  <c r="AX722" i="26"/>
  <c r="AX684" i="26"/>
  <c r="BN704" i="26"/>
  <c r="BN721" i="26"/>
  <c r="BN722" i="26"/>
  <c r="AX738" i="26"/>
  <c r="BN776" i="26"/>
  <c r="BN688" i="26"/>
  <c r="AX705" i="26"/>
  <c r="BN772" i="26"/>
  <c r="BN768" i="26"/>
  <c r="BN798" i="26"/>
  <c r="AX702" i="26"/>
  <c r="BN737" i="26"/>
  <c r="BN732" i="26"/>
  <c r="AX726" i="26"/>
  <c r="AY742" i="26"/>
  <c r="AX773" i="26"/>
  <c r="BN782" i="26"/>
  <c r="AX724" i="26"/>
  <c r="AX750" i="26"/>
  <c r="AX734" i="26"/>
  <c r="BN741" i="26"/>
  <c r="AY713" i="26"/>
  <c r="AX735" i="26"/>
  <c r="AY762" i="26"/>
  <c r="AX704" i="26"/>
  <c r="BN734" i="26"/>
  <c r="AY736" i="26"/>
  <c r="BN764" i="26"/>
  <c r="BN784" i="26"/>
  <c r="AY739" i="26"/>
  <c r="AX756" i="26"/>
  <c r="AY761" i="26"/>
  <c r="BN777" i="26"/>
  <c r="AX762" i="26"/>
  <c r="AY763" i="26"/>
  <c r="BN780" i="26"/>
  <c r="BN786" i="26"/>
  <c r="BN754" i="26"/>
  <c r="AY758" i="26"/>
  <c r="BN762" i="26"/>
  <c r="AX769" i="26"/>
  <c r="AX774" i="26"/>
  <c r="AY775" i="26"/>
  <c r="AY749" i="26"/>
  <c r="BN766" i="26"/>
  <c r="BN774" i="26"/>
  <c r="BN748" i="26"/>
  <c r="BN778" i="26"/>
  <c r="AY782" i="26"/>
  <c r="BN728" i="26"/>
  <c r="AX736" i="26"/>
  <c r="BN738" i="26"/>
  <c r="AY771" i="26"/>
  <c r="BN736" i="26"/>
  <c r="BN797" i="26"/>
  <c r="AY737" i="26"/>
  <c r="BN740" i="26"/>
  <c r="AY745" i="26"/>
  <c r="AY746" i="26"/>
  <c r="AY747" i="26"/>
  <c r="BN752" i="26"/>
  <c r="AX764" i="26"/>
  <c r="BN750" i="26"/>
  <c r="AY751" i="26"/>
  <c r="BN756" i="26"/>
  <c r="BN760" i="26"/>
  <c r="AX768" i="26"/>
  <c r="AY769" i="26"/>
  <c r="AX772" i="26"/>
  <c r="AX784" i="26"/>
  <c r="AY787" i="26"/>
  <c r="BH2" i="23"/>
  <c r="AY738" i="23"/>
  <c r="AX704" i="23"/>
  <c r="AZ704" i="23" s="1"/>
  <c r="AX782" i="23"/>
  <c r="AZ782" i="23" s="1"/>
  <c r="BJ705" i="23"/>
  <c r="AY653" i="23"/>
  <c r="BK814" i="23"/>
  <c r="AX727" i="23"/>
  <c r="AZ727" i="23" s="1"/>
  <c r="AX802" i="23"/>
  <c r="BA802" i="23" s="1"/>
  <c r="AX798" i="23"/>
  <c r="AZ798" i="23" s="1"/>
  <c r="BJ772" i="23"/>
  <c r="AX674" i="23"/>
  <c r="BA674" i="23" s="1"/>
  <c r="AX658" i="23"/>
  <c r="BA658" i="23" s="1"/>
  <c r="AX654" i="23"/>
  <c r="AZ654" i="23" s="1"/>
  <c r="BJ811" i="23"/>
  <c r="BK763" i="23"/>
  <c r="BJ727" i="23"/>
  <c r="AX723" i="23"/>
  <c r="AZ723" i="23" s="1"/>
  <c r="AY727" i="23"/>
  <c r="BJ716" i="23"/>
  <c r="BJ714" i="23"/>
  <c r="AX720" i="23"/>
  <c r="BA720" i="23" s="1"/>
  <c r="AX787" i="23"/>
  <c r="AZ787" i="23" s="1"/>
  <c r="AX697" i="23"/>
  <c r="AZ697" i="23" s="1"/>
  <c r="AX751" i="23"/>
  <c r="AZ751" i="23" s="1"/>
  <c r="AX729" i="23"/>
  <c r="AZ729" i="23" s="1"/>
  <c r="AY705" i="23"/>
  <c r="BJ758" i="23"/>
  <c r="BJ681" i="23"/>
  <c r="AY804" i="23"/>
  <c r="BK756" i="23"/>
  <c r="BK655" i="23"/>
  <c r="AX705" i="23"/>
  <c r="AZ705" i="23" s="1"/>
  <c r="BJ748" i="23"/>
  <c r="BK744" i="23"/>
  <c r="AY814" i="23"/>
  <c r="AX777" i="23"/>
  <c r="BA777" i="23" s="1"/>
  <c r="BK769" i="23"/>
  <c r="AX655" i="23"/>
  <c r="AZ655" i="23" s="1"/>
  <c r="AX719" i="23"/>
  <c r="BA719" i="23" s="1"/>
  <c r="AX645" i="23"/>
  <c r="BA645" i="23" s="1"/>
  <c r="AY723" i="23"/>
  <c r="BK722" i="23"/>
  <c r="AX713" i="23"/>
  <c r="AZ713" i="23" s="1"/>
  <c r="BK776" i="23"/>
  <c r="AY769" i="23"/>
  <c r="AX767" i="23"/>
  <c r="AZ767" i="23" s="1"/>
  <c r="BJ652" i="23"/>
  <c r="AY649" i="23"/>
  <c r="AX679" i="23"/>
  <c r="AZ679" i="23" s="1"/>
  <c r="AY784" i="23"/>
  <c r="BJ770" i="23"/>
  <c r="AX769" i="23"/>
  <c r="BJ734" i="23"/>
  <c r="AX718" i="23"/>
  <c r="AZ718" i="23" s="1"/>
  <c r="AX707" i="23"/>
  <c r="AZ707" i="23" s="1"/>
  <c r="AX648" i="23"/>
  <c r="AZ648" i="23" s="1"/>
  <c r="AX646" i="23"/>
  <c r="AZ646" i="23" s="1"/>
  <c r="AX786" i="23"/>
  <c r="AZ786" i="23" s="1"/>
  <c r="AY720" i="23"/>
  <c r="BK809" i="23"/>
  <c r="BJ787" i="23"/>
  <c r="AY774" i="23"/>
  <c r="BJ676" i="23"/>
  <c r="AY741" i="23"/>
  <c r="AY735" i="23"/>
  <c r="AY715" i="23"/>
  <c r="AX770" i="23"/>
  <c r="AZ770" i="23" s="1"/>
  <c r="AY763" i="23"/>
  <c r="BK717" i="23"/>
  <c r="BK710" i="23"/>
  <c r="AY820" i="23"/>
  <c r="AX696" i="23"/>
  <c r="AZ696" i="23" s="1"/>
  <c r="AX684" i="23"/>
  <c r="AZ684" i="23" s="1"/>
  <c r="BJ764" i="23"/>
  <c r="AY744" i="23"/>
  <c r="AX649" i="23"/>
  <c r="AZ649" i="23" s="1"/>
  <c r="AX805" i="23"/>
  <c r="AZ805" i="23" s="1"/>
  <c r="AX801" i="23"/>
  <c r="AZ801" i="23" s="1"/>
  <c r="BK726" i="23"/>
  <c r="AY696" i="23"/>
  <c r="AY694" i="23"/>
  <c r="AY807" i="23"/>
  <c r="AY797" i="23"/>
  <c r="BJ754" i="23"/>
  <c r="AY749" i="23"/>
  <c r="AY719" i="23"/>
  <c r="AX717" i="23"/>
  <c r="AZ717" i="23" s="1"/>
  <c r="AX715" i="23"/>
  <c r="AZ715" i="23" s="1"/>
  <c r="BK713" i="23"/>
  <c r="AX823" i="23"/>
  <c r="AZ823" i="23" s="1"/>
  <c r="BK646" i="23"/>
  <c r="AX639" i="23"/>
  <c r="BA639" i="23" s="1"/>
  <c r="AY777" i="23"/>
  <c r="AX733" i="23"/>
  <c r="AZ733" i="23" s="1"/>
  <c r="AX702" i="23"/>
  <c r="AZ702" i="23" s="1"/>
  <c r="AY699" i="23"/>
  <c r="AY658" i="23"/>
  <c r="AY641" i="23"/>
  <c r="BK798" i="23"/>
  <c r="AY780" i="23"/>
  <c r="AX776" i="23"/>
  <c r="BA776" i="23" s="1"/>
  <c r="AX774" i="23"/>
  <c r="BA774" i="23" s="1"/>
  <c r="BJ767" i="23"/>
  <c r="AX744" i="23"/>
  <c r="BA744" i="23" s="1"/>
  <c r="AY739" i="23"/>
  <c r="AY737" i="23"/>
  <c r="AX735" i="23"/>
  <c r="BA735" i="23" s="1"/>
  <c r="AX731" i="23"/>
  <c r="BA731" i="23" s="1"/>
  <c r="AX726" i="23"/>
  <c r="AZ726" i="23" s="1"/>
  <c r="AX724" i="23"/>
  <c r="AZ724" i="23" s="1"/>
  <c r="AX721" i="23"/>
  <c r="BA721" i="23" s="1"/>
  <c r="AX711" i="23"/>
  <c r="BA711" i="23" s="1"/>
  <c r="AX709" i="23"/>
  <c r="BA709" i="23" s="1"/>
  <c r="AX692" i="23"/>
  <c r="AZ692" i="23" s="1"/>
  <c r="AX686" i="23"/>
  <c r="BA686" i="23" s="1"/>
  <c r="AX680" i="23"/>
  <c r="AZ680" i="23" s="1"/>
  <c r="AX678" i="23"/>
  <c r="AZ678" i="23" s="1"/>
  <c r="BJ672" i="23"/>
  <c r="AY671" i="23"/>
  <c r="AY665" i="23"/>
  <c r="BK640" i="23"/>
  <c r="AY808" i="23"/>
  <c r="AY746" i="23"/>
  <c r="AX815" i="23"/>
  <c r="BK807" i="23"/>
  <c r="AX800" i="23"/>
  <c r="AZ800" i="23" s="1"/>
  <c r="AY733" i="23"/>
  <c r="AY731" i="23"/>
  <c r="AY713" i="23"/>
  <c r="AY823" i="23"/>
  <c r="AY682" i="23"/>
  <c r="AY646" i="23"/>
  <c r="AY815" i="23"/>
  <c r="AX772" i="23"/>
  <c r="AZ772" i="23" s="1"/>
  <c r="AX742" i="23"/>
  <c r="AZ742" i="23" s="1"/>
  <c r="BJ732" i="23"/>
  <c r="AY721" i="23"/>
  <c r="AX716" i="23"/>
  <c r="AZ716" i="23" s="1"/>
  <c r="AY707" i="23"/>
  <c r="AX758" i="23"/>
  <c r="AX756" i="23"/>
  <c r="AZ756" i="23" s="1"/>
  <c r="BK743" i="23"/>
  <c r="AX738" i="23"/>
  <c r="AZ738" i="23" s="1"/>
  <c r="AY729" i="23"/>
  <c r="BK723" i="23"/>
  <c r="BK720" i="23"/>
  <c r="BK700" i="23"/>
  <c r="BJ639" i="23"/>
  <c r="BJ803" i="23"/>
  <c r="BK780" i="23"/>
  <c r="AX765" i="23"/>
  <c r="AZ765" i="23" s="1"/>
  <c r="AX754" i="23"/>
  <c r="AZ754" i="23" s="1"/>
  <c r="AY751" i="23"/>
  <c r="AY742" i="23"/>
  <c r="AX722" i="23"/>
  <c r="AZ722" i="23" s="1"/>
  <c r="AY697" i="23"/>
  <c r="AX685" i="23"/>
  <c r="BA685" i="23" s="1"/>
  <c r="AY674" i="23"/>
  <c r="AX668" i="23"/>
  <c r="AZ668" i="23" s="1"/>
  <c r="AX662" i="23"/>
  <c r="BA662" i="23" s="1"/>
  <c r="AX784" i="23"/>
  <c r="AX773" i="23"/>
  <c r="AZ773" i="23" s="1"/>
  <c r="BJ771" i="23"/>
  <c r="AX763" i="23"/>
  <c r="AZ763" i="23" s="1"/>
  <c r="BK750" i="23"/>
  <c r="AY747" i="23"/>
  <c r="BJ739" i="23"/>
  <c r="AX734" i="23"/>
  <c r="AZ734" i="23" s="1"/>
  <c r="AX712" i="23"/>
  <c r="AZ712" i="23" s="1"/>
  <c r="BK694" i="23"/>
  <c r="AX725" i="23"/>
  <c r="AZ725" i="23" s="1"/>
  <c r="AY712" i="23"/>
  <c r="AX710" i="23"/>
  <c r="AZ710" i="23" s="1"/>
  <c r="AX698" i="23"/>
  <c r="AZ698" i="23" s="1"/>
  <c r="AX681" i="23"/>
  <c r="AZ681" i="23" s="1"/>
  <c r="BJ806" i="23"/>
  <c r="AX759" i="23"/>
  <c r="AZ759" i="23" s="1"/>
  <c r="AX757" i="23"/>
  <c r="AZ757" i="23" s="1"/>
  <c r="BJ753" i="23"/>
  <c r="AX741" i="23"/>
  <c r="AZ741" i="23" s="1"/>
  <c r="AX737" i="23"/>
  <c r="BA737" i="23" s="1"/>
  <c r="BJ721" i="23"/>
  <c r="AY717" i="23"/>
  <c r="BK821" i="23"/>
  <c r="AX671" i="23"/>
  <c r="BA671" i="23" s="1"/>
  <c r="AX652" i="23"/>
  <c r="AZ652" i="23" s="1"/>
  <c r="AX814" i="23"/>
  <c r="BJ810" i="23"/>
  <c r="AX808" i="23"/>
  <c r="BA808" i="23" s="1"/>
  <c r="AY805" i="23"/>
  <c r="AY782" i="23"/>
  <c r="AX778" i="23"/>
  <c r="AZ778" i="23" s="1"/>
  <c r="BJ760" i="23"/>
  <c r="AX755" i="23"/>
  <c r="AZ755" i="23" s="1"/>
  <c r="BJ751" i="23"/>
  <c r="AX748" i="23"/>
  <c r="AZ748" i="23" s="1"/>
  <c r="AX739" i="23"/>
  <c r="BA739" i="23" s="1"/>
  <c r="AY728" i="23"/>
  <c r="BK707" i="23"/>
  <c r="AX694" i="23"/>
  <c r="AZ694" i="23" s="1"/>
  <c r="AX657" i="23"/>
  <c r="AZ657" i="23" s="1"/>
  <c r="BJ762" i="23"/>
  <c r="BK762" i="23"/>
  <c r="BJ757" i="23"/>
  <c r="BK757" i="23"/>
  <c r="BK718" i="23"/>
  <c r="BJ718" i="23"/>
  <c r="BJ783" i="23"/>
  <c r="BK783" i="23"/>
  <c r="BJ801" i="23"/>
  <c r="BK801" i="23"/>
  <c r="AX795" i="23"/>
  <c r="AZ795" i="23" s="1"/>
  <c r="BJ765" i="23"/>
  <c r="BK765" i="23"/>
  <c r="AY752" i="23"/>
  <c r="AX752" i="23"/>
  <c r="AY809" i="23"/>
  <c r="BJ738" i="23"/>
  <c r="BK738" i="23"/>
  <c r="AY795" i="23"/>
  <c r="BK687" i="23"/>
  <c r="BJ687" i="23"/>
  <c r="BJ775" i="23"/>
  <c r="BK775" i="23"/>
  <c r="BK742" i="23"/>
  <c r="BJ742" i="23"/>
  <c r="BJ667" i="23"/>
  <c r="BK667" i="23"/>
  <c r="AX781" i="23"/>
  <c r="BA781" i="23" s="1"/>
  <c r="BJ774" i="23"/>
  <c r="BK774" i="23"/>
  <c r="AY757" i="23"/>
  <c r="BJ741" i="23"/>
  <c r="BK741" i="23"/>
  <c r="AX701" i="23"/>
  <c r="AZ701" i="23" s="1"/>
  <c r="AY701" i="23"/>
  <c r="BK684" i="23"/>
  <c r="BJ684" i="23"/>
  <c r="BJ773" i="23"/>
  <c r="BK773" i="23"/>
  <c r="BJ797" i="23"/>
  <c r="BK797" i="23"/>
  <c r="AX779" i="23"/>
  <c r="AX768" i="23"/>
  <c r="BA768" i="23" s="1"/>
  <c r="BJ759" i="23"/>
  <c r="BK759" i="23"/>
  <c r="AX689" i="23"/>
  <c r="AZ689" i="23" s="1"/>
  <c r="AY689" i="23"/>
  <c r="AY772" i="23"/>
  <c r="AX761" i="23"/>
  <c r="AZ761" i="23" s="1"/>
  <c r="AY725" i="23"/>
  <c r="AX714" i="23"/>
  <c r="AZ714" i="23" s="1"/>
  <c r="AY822" i="23"/>
  <c r="AY691" i="23"/>
  <c r="AY668" i="23"/>
  <c r="AY662" i="23"/>
  <c r="AX647" i="23"/>
  <c r="AZ647" i="23" s="1"/>
  <c r="AX819" i="23"/>
  <c r="AZ819" i="23" s="1"/>
  <c r="AY745" i="23"/>
  <c r="AY743" i="23"/>
  <c r="AY710" i="23"/>
  <c r="AY639" i="23"/>
  <c r="AY800" i="23"/>
  <c r="AY787" i="23"/>
  <c r="AY781" i="23"/>
  <c r="AY711" i="23"/>
  <c r="AX700" i="23"/>
  <c r="BA700" i="23" s="1"/>
  <c r="AX660" i="23"/>
  <c r="AZ660" i="23" s="1"/>
  <c r="BK658" i="23"/>
  <c r="AX812" i="23"/>
  <c r="AX797" i="23"/>
  <c r="AZ797" i="23" s="1"/>
  <c r="BK779" i="23"/>
  <c r="BK778" i="23"/>
  <c r="BK766" i="23"/>
  <c r="AX746" i="23"/>
  <c r="BK740" i="23"/>
  <c r="AY722" i="23"/>
  <c r="BK703" i="23"/>
  <c r="BK691" i="23"/>
  <c r="AX682" i="23"/>
  <c r="BA682" i="23" s="1"/>
  <c r="AY678" i="23"/>
  <c r="AX665" i="23"/>
  <c r="AX643" i="23"/>
  <c r="AZ643" i="23" s="1"/>
  <c r="AY817" i="23"/>
  <c r="AY812" i="23"/>
  <c r="AY750" i="23"/>
  <c r="AY704" i="23"/>
  <c r="AX806" i="23"/>
  <c r="AZ806" i="23" s="1"/>
  <c r="AY801" i="23"/>
  <c r="AX771" i="23"/>
  <c r="BA771" i="23" s="1"/>
  <c r="BJ733" i="23"/>
  <c r="AX730" i="23"/>
  <c r="AZ730" i="23" s="1"/>
  <c r="BJ715" i="23"/>
  <c r="AY706" i="23"/>
  <c r="AY693" i="23"/>
  <c r="AX669" i="23"/>
  <c r="AZ669" i="23" s="1"/>
  <c r="AX666" i="23"/>
  <c r="AZ666" i="23" s="1"/>
  <c r="AX813" i="23"/>
  <c r="AZ813" i="23" s="1"/>
  <c r="AX807" i="23"/>
  <c r="BA807" i="23" s="1"/>
  <c r="AY806" i="23"/>
  <c r="AX785" i="23"/>
  <c r="AZ785" i="23" s="1"/>
  <c r="AY753" i="23"/>
  <c r="AX708" i="23"/>
  <c r="AX690" i="23"/>
  <c r="AZ690" i="23" s="1"/>
  <c r="AY686" i="23"/>
  <c r="AY675" i="23"/>
  <c r="AY666" i="23"/>
  <c r="AX656" i="23"/>
  <c r="AX640" i="23"/>
  <c r="AY813" i="23"/>
  <c r="AX810" i="23"/>
  <c r="AZ810" i="23" s="1"/>
  <c r="BK804" i="23"/>
  <c r="BK800" i="23"/>
  <c r="AY798" i="23"/>
  <c r="AY785" i="23"/>
  <c r="BK782" i="23"/>
  <c r="BK781" i="23"/>
  <c r="AY771" i="23"/>
  <c r="BJ761" i="23"/>
  <c r="AY754" i="23"/>
  <c r="BK746" i="23"/>
  <c r="BK735" i="23"/>
  <c r="BK729" i="23"/>
  <c r="AY726" i="23"/>
  <c r="AY709" i="23"/>
  <c r="AY698" i="23"/>
  <c r="AX683" i="23"/>
  <c r="AX676" i="23"/>
  <c r="AZ676" i="23" s="1"/>
  <c r="AY656" i="23"/>
  <c r="AY652" i="23"/>
  <c r="AX644" i="23"/>
  <c r="AY802" i="23"/>
  <c r="AX799" i="23"/>
  <c r="AZ799" i="23" s="1"/>
  <c r="AY776" i="23"/>
  <c r="AX749" i="23"/>
  <c r="AZ749" i="23" s="1"/>
  <c r="AY748" i="23"/>
  <c r="AY708" i="23"/>
  <c r="AX687" i="23"/>
  <c r="BA687" i="23" s="1"/>
  <c r="AX667" i="23"/>
  <c r="AZ667" i="23" s="1"/>
  <c r="AY657" i="23"/>
  <c r="AY644" i="23"/>
  <c r="AY640" i="23"/>
  <c r="AY810" i="23"/>
  <c r="AX803" i="23"/>
  <c r="AZ803" i="23" s="1"/>
  <c r="AX766" i="23"/>
  <c r="AX760" i="23"/>
  <c r="AZ760" i="23" s="1"/>
  <c r="AX732" i="23"/>
  <c r="AZ732" i="23" s="1"/>
  <c r="AX703" i="23"/>
  <c r="AZ703" i="23" s="1"/>
  <c r="AX695" i="23"/>
  <c r="BK682" i="23"/>
  <c r="AY680" i="23"/>
  <c r="AX677" i="23"/>
  <c r="AZ677" i="23" s="1"/>
  <c r="AX670" i="23"/>
  <c r="BA670" i="23" s="1"/>
  <c r="AX664" i="23"/>
  <c r="BA664" i="23" s="1"/>
  <c r="AX653" i="23"/>
  <c r="BJ651" i="23"/>
  <c r="AX818" i="23"/>
  <c r="BA818" i="23" s="1"/>
  <c r="BK747" i="23"/>
  <c r="AX745" i="23"/>
  <c r="BA745" i="23" s="1"/>
  <c r="AX743" i="23"/>
  <c r="BA743" i="23" s="1"/>
  <c r="AX728" i="23"/>
  <c r="AZ728" i="23" s="1"/>
  <c r="BJ708" i="23"/>
  <c r="AY702" i="23"/>
  <c r="BJ796" i="23"/>
  <c r="BK679" i="23"/>
  <c r="AY677" i="23"/>
  <c r="AX673" i="23"/>
  <c r="AZ673" i="23" s="1"/>
  <c r="AX659" i="23"/>
  <c r="BA659" i="23" s="1"/>
  <c r="AX650" i="23"/>
  <c r="AZ650" i="23" s="1"/>
  <c r="BJ648" i="23"/>
  <c r="BK643" i="23"/>
  <c r="AX641" i="23"/>
  <c r="AX816" i="23"/>
  <c r="BA816" i="23" s="1"/>
  <c r="AY811" i="23"/>
  <c r="AX809" i="23"/>
  <c r="BA809" i="23" s="1"/>
  <c r="AX804" i="23"/>
  <c r="AZ804" i="23" s="1"/>
  <c r="AY803" i="23"/>
  <c r="AY799" i="23"/>
  <c r="AX780" i="23"/>
  <c r="BA780" i="23" s="1"/>
  <c r="AY778" i="23"/>
  <c r="BJ755" i="23"/>
  <c r="AY732" i="23"/>
  <c r="AY718" i="23"/>
  <c r="BK706" i="23"/>
  <c r="AX822" i="23"/>
  <c r="AX821" i="23"/>
  <c r="AZ821" i="23" s="1"/>
  <c r="AY695" i="23"/>
  <c r="AX691" i="23"/>
  <c r="AX688" i="23"/>
  <c r="BA688" i="23" s="1"/>
  <c r="BJ675" i="23"/>
  <c r="AY673" i="23"/>
  <c r="BJ666" i="23"/>
  <c r="AY650" i="23"/>
  <c r="AY645" i="23"/>
  <c r="BJ704" i="23"/>
  <c r="BK704" i="23"/>
  <c r="AY779" i="23"/>
  <c r="AY758" i="23"/>
  <c r="BJ777" i="23"/>
  <c r="BK777" i="23"/>
  <c r="BK736" i="23"/>
  <c r="BJ736" i="23"/>
  <c r="BJ728" i="23"/>
  <c r="BK728" i="23"/>
  <c r="BJ823" i="23"/>
  <c r="BK823" i="23"/>
  <c r="AY775" i="23"/>
  <c r="AY770" i="23"/>
  <c r="AY759" i="23"/>
  <c r="AY768" i="23"/>
  <c r="AY767" i="23"/>
  <c r="BK786" i="23"/>
  <c r="BK784" i="23"/>
  <c r="AX783" i="23"/>
  <c r="AX753" i="23"/>
  <c r="BJ785" i="23"/>
  <c r="BK785" i="23"/>
  <c r="AY730" i="23"/>
  <c r="AY766" i="23"/>
  <c r="AY786" i="23"/>
  <c r="AY773" i="23"/>
  <c r="AY765" i="23"/>
  <c r="AX764" i="23"/>
  <c r="AY756" i="23"/>
  <c r="AY755" i="23"/>
  <c r="BK768" i="23"/>
  <c r="BJ731" i="23"/>
  <c r="BK731" i="23"/>
  <c r="BJ719" i="23"/>
  <c r="BK719" i="23"/>
  <c r="BJ795" i="23"/>
  <c r="BK795" i="23"/>
  <c r="AY783" i="23"/>
  <c r="AY764" i="23"/>
  <c r="AX762" i="23"/>
  <c r="AX736" i="23"/>
  <c r="BJ745" i="23"/>
  <c r="BK745" i="23"/>
  <c r="BJ725" i="23"/>
  <c r="BK725" i="23"/>
  <c r="BJ685" i="23"/>
  <c r="BK685" i="23"/>
  <c r="BK712" i="23"/>
  <c r="BJ712" i="23"/>
  <c r="AX775" i="23"/>
  <c r="AY762" i="23"/>
  <c r="AY761" i="23"/>
  <c r="AY760" i="23"/>
  <c r="BK752" i="23"/>
  <c r="BJ752" i="23"/>
  <c r="AX740" i="23"/>
  <c r="AX750" i="23"/>
  <c r="BJ737" i="23"/>
  <c r="BK737" i="23"/>
  <c r="AY736" i="23"/>
  <c r="BJ724" i="23"/>
  <c r="AY703" i="23"/>
  <c r="AY740" i="23"/>
  <c r="BJ701" i="23"/>
  <c r="BK701" i="23"/>
  <c r="BJ693" i="23"/>
  <c r="BK693" i="23"/>
  <c r="AX747" i="23"/>
  <c r="AY716" i="23"/>
  <c r="AX699" i="23"/>
  <c r="AY642" i="23"/>
  <c r="AY734" i="23"/>
  <c r="BJ730" i="23"/>
  <c r="AY714" i="23"/>
  <c r="AY676" i="23"/>
  <c r="AY661" i="23"/>
  <c r="AX661" i="23"/>
  <c r="BJ659" i="23"/>
  <c r="BK659" i="23"/>
  <c r="AX706" i="23"/>
  <c r="BJ749" i="23"/>
  <c r="BK749" i="23"/>
  <c r="AY724" i="23"/>
  <c r="BK822" i="23"/>
  <c r="BJ822" i="23"/>
  <c r="BJ662" i="23"/>
  <c r="BK662" i="23"/>
  <c r="BK711" i="23"/>
  <c r="BJ711" i="23"/>
  <c r="BJ692" i="23"/>
  <c r="BK692" i="23"/>
  <c r="BJ820" i="23"/>
  <c r="BK820" i="23"/>
  <c r="AY700" i="23"/>
  <c r="AY681" i="23"/>
  <c r="BJ673" i="23"/>
  <c r="BK673" i="23"/>
  <c r="BK660" i="23"/>
  <c r="BJ660" i="23"/>
  <c r="AY821" i="23"/>
  <c r="BK663" i="23"/>
  <c r="BJ663" i="23"/>
  <c r="BK699" i="23"/>
  <c r="BJ688" i="23"/>
  <c r="AY683" i="23"/>
  <c r="AX672" i="23"/>
  <c r="BK669" i="23"/>
  <c r="BJ669" i="23"/>
  <c r="BJ709" i="23"/>
  <c r="BK709" i="23"/>
  <c r="BK702" i="23"/>
  <c r="BJ702" i="23"/>
  <c r="AY692" i="23"/>
  <c r="BK678" i="23"/>
  <c r="BJ678" i="23"/>
  <c r="BJ661" i="23"/>
  <c r="BK661" i="23"/>
  <c r="AX820" i="23"/>
  <c r="BK698" i="23"/>
  <c r="BJ698" i="23"/>
  <c r="BK697" i="23"/>
  <c r="AX663" i="23"/>
  <c r="AY654" i="23"/>
  <c r="BJ664" i="23"/>
  <c r="BK664" i="23"/>
  <c r="BJ819" i="23"/>
  <c r="AX796" i="23"/>
  <c r="BJ696" i="23"/>
  <c r="BK696" i="23"/>
  <c r="BK695" i="23"/>
  <c r="BJ695" i="23"/>
  <c r="BK690" i="23"/>
  <c r="BJ690" i="23"/>
  <c r="BJ670" i="23"/>
  <c r="BK670" i="23"/>
  <c r="AX675" i="23"/>
  <c r="AX651" i="23"/>
  <c r="AX642" i="23"/>
  <c r="AY796" i="23"/>
  <c r="AY690" i="23"/>
  <c r="AY670" i="23"/>
  <c r="AY664" i="23"/>
  <c r="AY663" i="23"/>
  <c r="AY659" i="23"/>
  <c r="AY655" i="23"/>
  <c r="AY685" i="23"/>
  <c r="AY669" i="23"/>
  <c r="AY643" i="23"/>
  <c r="AX693" i="23"/>
  <c r="AY684" i="23"/>
  <c r="AY647" i="23"/>
  <c r="AY818" i="23"/>
  <c r="AY679" i="23"/>
  <c r="BJ656" i="23"/>
  <c r="BK656" i="23"/>
  <c r="BJ644" i="23"/>
  <c r="BK644" i="23"/>
  <c r="AY688" i="23"/>
  <c r="AY672" i="23"/>
  <c r="AY651" i="23"/>
  <c r="AY687" i="23"/>
  <c r="AY667" i="23"/>
  <c r="BJ649" i="23"/>
  <c r="BK649" i="23"/>
  <c r="BJ647" i="23"/>
  <c r="BK647" i="23"/>
  <c r="AX817" i="23"/>
  <c r="BJ654" i="23"/>
  <c r="BJ642" i="23"/>
  <c r="BJ650" i="23"/>
  <c r="BK650" i="23"/>
  <c r="BJ818" i="23"/>
  <c r="BK818" i="23"/>
  <c r="BK817" i="23"/>
  <c r="AY816" i="23"/>
  <c r="BJ689" i="23"/>
  <c r="BK689" i="23"/>
  <c r="BJ686" i="23"/>
  <c r="BK686" i="23"/>
  <c r="BJ683" i="23"/>
  <c r="BK683" i="23"/>
  <c r="BJ680" i="23"/>
  <c r="BK680" i="23"/>
  <c r="BJ677" i="23"/>
  <c r="BK677" i="23"/>
  <c r="BJ674" i="23"/>
  <c r="BK674" i="23"/>
  <c r="BJ671" i="23"/>
  <c r="BK671" i="23"/>
  <c r="BJ668" i="23"/>
  <c r="BK668" i="23"/>
  <c r="BJ665" i="23"/>
  <c r="BK665" i="23"/>
  <c r="BJ657" i="23"/>
  <c r="BJ645" i="23"/>
  <c r="BJ816" i="23"/>
  <c r="BJ653" i="23"/>
  <c r="BK653" i="23"/>
  <c r="BJ641" i="23"/>
  <c r="BK641" i="23"/>
  <c r="AY660" i="23"/>
  <c r="AY648" i="23"/>
  <c r="BJ815" i="23"/>
  <c r="BK815" i="23"/>
  <c r="AX811" i="23"/>
  <c r="BJ813" i="23"/>
  <c r="AY819" i="23"/>
  <c r="BJ812" i="23"/>
  <c r="BK812" i="23"/>
  <c r="BK808" i="23"/>
  <c r="BK805" i="23"/>
  <c r="BK802" i="23"/>
  <c r="BK799" i="23"/>
  <c r="BK265" i="26" l="1"/>
  <c r="BL265" i="26" s="1"/>
  <c r="BK662" i="26"/>
  <c r="BL662" i="26" s="1"/>
  <c r="BK25" i="26"/>
  <c r="BL25" i="26" s="1"/>
  <c r="BK321" i="26"/>
  <c r="BL321" i="26" s="1"/>
  <c r="BK115" i="26"/>
  <c r="BL115" i="26" s="1"/>
  <c r="BM115" i="26" s="1"/>
  <c r="BK95" i="26"/>
  <c r="BL95" i="26" s="1"/>
  <c r="BK426" i="26"/>
  <c r="BL426" i="26" s="1"/>
  <c r="BK450" i="26"/>
  <c r="BL450" i="26" s="1"/>
  <c r="BK91" i="26"/>
  <c r="BL91" i="26" s="1"/>
  <c r="BM91" i="26" s="1"/>
  <c r="BK114" i="26"/>
  <c r="BL114" i="26" s="1"/>
  <c r="BM114" i="26" s="1"/>
  <c r="BK372" i="26"/>
  <c r="BL372" i="26" s="1"/>
  <c r="BM372" i="26" s="1"/>
  <c r="BK520" i="26"/>
  <c r="BL520" i="26" s="1"/>
  <c r="BM520" i="26" s="1"/>
  <c r="BK247" i="26"/>
  <c r="BL247" i="26" s="1"/>
  <c r="BM247" i="26" s="1"/>
  <c r="BK161" i="26"/>
  <c r="BL161" i="26" s="1"/>
  <c r="BM161" i="26" s="1"/>
  <c r="BK173" i="26"/>
  <c r="BL173" i="26" s="1"/>
  <c r="BM173" i="26" s="1"/>
  <c r="BK376" i="26"/>
  <c r="BL376" i="26" s="1"/>
  <c r="BM376" i="26" s="1"/>
  <c r="BK530" i="26"/>
  <c r="BL530" i="26" s="1"/>
  <c r="BM530" i="26" s="1"/>
  <c r="BK475" i="26"/>
  <c r="BL475" i="26" s="1"/>
  <c r="BK117" i="26"/>
  <c r="BL117" i="26" s="1"/>
  <c r="BK146" i="26"/>
  <c r="BL146" i="26" s="1"/>
  <c r="BM146" i="26" s="1"/>
  <c r="BK378" i="26"/>
  <c r="BL378" i="26" s="1"/>
  <c r="BK432" i="26"/>
  <c r="BL432" i="26" s="1"/>
  <c r="BM432" i="26" s="1"/>
  <c r="BK513" i="26"/>
  <c r="BL513" i="26" s="1"/>
  <c r="BM513" i="26" s="1"/>
  <c r="BK571" i="26"/>
  <c r="BL571" i="26" s="1"/>
  <c r="BM571" i="26" s="1"/>
  <c r="BK36" i="26"/>
  <c r="BL36" i="26" s="1"/>
  <c r="BK142" i="26"/>
  <c r="BL142" i="26" s="1"/>
  <c r="BM142" i="26" s="1"/>
  <c r="BK129" i="26"/>
  <c r="BL129" i="26" s="1"/>
  <c r="BM129" i="26" s="1"/>
  <c r="BK209" i="26"/>
  <c r="BL209" i="26" s="1"/>
  <c r="BM209" i="26" s="1"/>
  <c r="BK140" i="26"/>
  <c r="BL140" i="26" s="1"/>
  <c r="BK279" i="26"/>
  <c r="BL279" i="26" s="1"/>
  <c r="BK449" i="26"/>
  <c r="BL449" i="26" s="1"/>
  <c r="BK370" i="26"/>
  <c r="BL370" i="26" s="1"/>
  <c r="BK572" i="26"/>
  <c r="BL572" i="26" s="1"/>
  <c r="BM572" i="26" s="1"/>
  <c r="BK551" i="26"/>
  <c r="BL551" i="26" s="1"/>
  <c r="BM551" i="26" s="1"/>
  <c r="BK825" i="26"/>
  <c r="BL825" i="26" s="1"/>
  <c r="BM825" i="26" s="1"/>
  <c r="BK44" i="26"/>
  <c r="BL44" i="26" s="1"/>
  <c r="BM44" i="26" s="1"/>
  <c r="BK19" i="26"/>
  <c r="BL19" i="26" s="1"/>
  <c r="BK111" i="26"/>
  <c r="BL111" i="26" s="1"/>
  <c r="BM111" i="26" s="1"/>
  <c r="BK159" i="26"/>
  <c r="BL159" i="26" s="1"/>
  <c r="BM159" i="26" s="1"/>
  <c r="BK60" i="26"/>
  <c r="BL60" i="26" s="1"/>
  <c r="BM60" i="26" s="1"/>
  <c r="BK220" i="26"/>
  <c r="BL220" i="26" s="1"/>
  <c r="BK157" i="26"/>
  <c r="BL157" i="26" s="1"/>
  <c r="BK351" i="26"/>
  <c r="BL351" i="26" s="1"/>
  <c r="BK254" i="26"/>
  <c r="BL254" i="26" s="1"/>
  <c r="BK326" i="26"/>
  <c r="BL326" i="26" s="1"/>
  <c r="BM326" i="26" s="1"/>
  <c r="BK343" i="26"/>
  <c r="BL343" i="26" s="1"/>
  <c r="BM343" i="26" s="1"/>
  <c r="BK348" i="26"/>
  <c r="BL348" i="26" s="1"/>
  <c r="BK382" i="26"/>
  <c r="BL382" i="26" s="1"/>
  <c r="BM382" i="26" s="1"/>
  <c r="BK470" i="26"/>
  <c r="BL470" i="26" s="1"/>
  <c r="BK428" i="26"/>
  <c r="BL428" i="26" s="1"/>
  <c r="BM428" i="26" s="1"/>
  <c r="BK429" i="26"/>
  <c r="BL429" i="26" s="1"/>
  <c r="BM429" i="26" s="1"/>
  <c r="BK816" i="26"/>
  <c r="BL816" i="26" s="1"/>
  <c r="BM816" i="26" s="1"/>
  <c r="BK531" i="26"/>
  <c r="BL531" i="26" s="1"/>
  <c r="BK569" i="26"/>
  <c r="BL569" i="26" s="1"/>
  <c r="BK553" i="26"/>
  <c r="BL553" i="26" s="1"/>
  <c r="BK594" i="26"/>
  <c r="BL594" i="26" s="1"/>
  <c r="BK817" i="26"/>
  <c r="BL817" i="26" s="1"/>
  <c r="BM817" i="26" s="1"/>
  <c r="BK638" i="26"/>
  <c r="BL638" i="26" s="1"/>
  <c r="BM638" i="26" s="1"/>
  <c r="BK806" i="26"/>
  <c r="BL806" i="26" s="1"/>
  <c r="BM806" i="26" s="1"/>
  <c r="BK711" i="26"/>
  <c r="BL711" i="26" s="1"/>
  <c r="BM711" i="26" s="1"/>
  <c r="BK47" i="26"/>
  <c r="BL47" i="26" s="1"/>
  <c r="BM47" i="26" s="1"/>
  <c r="BI85" i="26"/>
  <c r="BI126" i="26"/>
  <c r="BK126" i="26" s="1"/>
  <c r="BL126" i="26" s="1"/>
  <c r="BM126" i="26" s="1"/>
  <c r="BI694" i="26"/>
  <c r="BK694" i="26" s="1"/>
  <c r="BL694" i="26" s="1"/>
  <c r="BM694" i="26" s="1"/>
  <c r="BI708" i="26"/>
  <c r="BK708" i="26" s="1"/>
  <c r="BL708" i="26" s="1"/>
  <c r="BI729" i="26"/>
  <c r="BK729" i="26" s="1"/>
  <c r="BL729" i="26" s="1"/>
  <c r="BM729" i="26" s="1"/>
  <c r="BI474" i="26"/>
  <c r="BK474" i="26" s="1"/>
  <c r="BL474" i="26" s="1"/>
  <c r="BM474" i="26" s="1"/>
  <c r="BI523" i="26"/>
  <c r="BK523" i="26" s="1"/>
  <c r="BL523" i="26" s="1"/>
  <c r="BM523" i="26" s="1"/>
  <c r="BI604" i="26"/>
  <c r="BK604" i="26" s="1"/>
  <c r="BL604" i="26" s="1"/>
  <c r="BM604" i="26" s="1"/>
  <c r="BI659" i="26"/>
  <c r="BK659" i="26" s="1"/>
  <c r="BL659" i="26" s="1"/>
  <c r="BM659" i="26" s="1"/>
  <c r="BI755" i="26"/>
  <c r="BK755" i="26" s="1"/>
  <c r="BL755" i="26" s="1"/>
  <c r="BM755" i="26" s="1"/>
  <c r="BI461" i="26"/>
  <c r="BK461" i="26" s="1"/>
  <c r="BL461" i="26" s="1"/>
  <c r="BM461" i="26" s="1"/>
  <c r="BI76" i="26"/>
  <c r="BK76" i="26" s="1"/>
  <c r="BL76" i="26" s="1"/>
  <c r="BM76" i="26" s="1"/>
  <c r="BI212" i="26"/>
  <c r="BI630" i="26"/>
  <c r="BI771" i="26"/>
  <c r="BI705" i="26"/>
  <c r="BK705" i="26" s="1"/>
  <c r="BL705" i="26" s="1"/>
  <c r="BM705" i="26" s="1"/>
  <c r="BI174" i="26"/>
  <c r="BK174" i="26" s="1"/>
  <c r="BL174" i="26" s="1"/>
  <c r="BM174" i="26" s="1"/>
  <c r="BI369" i="26"/>
  <c r="BI831" i="26"/>
  <c r="BK831" i="26" s="1"/>
  <c r="BL831" i="26" s="1"/>
  <c r="BM831" i="26" s="1"/>
  <c r="BI512" i="26"/>
  <c r="BK512" i="26" s="1"/>
  <c r="BL512" i="26" s="1"/>
  <c r="BM512" i="26" s="1"/>
  <c r="BI489" i="26"/>
  <c r="BK489" i="26" s="1"/>
  <c r="BL489" i="26" s="1"/>
  <c r="BM489" i="26" s="1"/>
  <c r="BI581" i="26"/>
  <c r="BK581" i="26" s="1"/>
  <c r="BL581" i="26" s="1"/>
  <c r="BM581" i="26" s="1"/>
  <c r="BI585" i="26"/>
  <c r="BK585" i="26" s="1"/>
  <c r="BL585" i="26" s="1"/>
  <c r="BM585" i="26" s="1"/>
  <c r="BI578" i="26"/>
  <c r="BK578" i="26" s="1"/>
  <c r="BL578" i="26" s="1"/>
  <c r="BM578" i="26" s="1"/>
  <c r="BI670" i="26"/>
  <c r="BK670" i="26" s="1"/>
  <c r="BL670" i="26" s="1"/>
  <c r="BM670" i="26" s="1"/>
  <c r="BI717" i="26"/>
  <c r="BK717" i="26" s="1"/>
  <c r="BL717" i="26" s="1"/>
  <c r="BM717" i="26" s="1"/>
  <c r="BI537" i="26"/>
  <c r="BI40" i="26"/>
  <c r="BK40" i="26" s="1"/>
  <c r="BL40" i="26" s="1"/>
  <c r="BM40" i="26" s="1"/>
  <c r="BI184" i="26"/>
  <c r="BK184" i="26" s="1"/>
  <c r="BL184" i="26" s="1"/>
  <c r="BI210" i="26"/>
  <c r="BK210" i="26" s="1"/>
  <c r="BL210" i="26" s="1"/>
  <c r="BI801" i="26"/>
  <c r="BK801" i="26" s="1"/>
  <c r="BL801" i="26" s="1"/>
  <c r="BM801" i="26" s="1"/>
  <c r="BI28" i="26"/>
  <c r="BK28" i="26" s="1"/>
  <c r="BL28" i="26" s="1"/>
  <c r="BM28" i="26" s="1"/>
  <c r="BI48" i="26"/>
  <c r="BK48" i="26" s="1"/>
  <c r="BL48" i="26" s="1"/>
  <c r="BM48" i="26" s="1"/>
  <c r="BI306" i="26"/>
  <c r="BK306" i="26" s="1"/>
  <c r="BL306" i="26" s="1"/>
  <c r="BM306" i="26" s="1"/>
  <c r="BI809" i="26"/>
  <c r="BK809" i="26" s="1"/>
  <c r="BL809" i="26" s="1"/>
  <c r="BM809" i="26" s="1"/>
  <c r="BI261" i="26"/>
  <c r="BK261" i="26" s="1"/>
  <c r="BL261" i="26" s="1"/>
  <c r="BM261" i="26" s="1"/>
  <c r="BI262" i="26"/>
  <c r="BK262" i="26" s="1"/>
  <c r="BL262" i="26" s="1"/>
  <c r="BI355" i="26"/>
  <c r="BK355" i="26" s="1"/>
  <c r="BL355" i="26" s="1"/>
  <c r="BM355" i="26" s="1"/>
  <c r="BI421" i="26"/>
  <c r="BK421" i="26" s="1"/>
  <c r="BL421" i="26" s="1"/>
  <c r="BM421" i="26" s="1"/>
  <c r="BI439" i="26"/>
  <c r="BI454" i="26"/>
  <c r="BK454" i="26" s="1"/>
  <c r="BL454" i="26" s="1"/>
  <c r="BM454" i="26" s="1"/>
  <c r="BA600" i="26"/>
  <c r="AZ537" i="26"/>
  <c r="BI39" i="26"/>
  <c r="BK39" i="26" s="1"/>
  <c r="BL39" i="26" s="1"/>
  <c r="BM39" i="26" s="1"/>
  <c r="BI225" i="26"/>
  <c r="BK225" i="26" s="1"/>
  <c r="BL225" i="26" s="1"/>
  <c r="BM225" i="26" s="1"/>
  <c r="BI200" i="26"/>
  <c r="BK200" i="26" s="1"/>
  <c r="BL200" i="26" s="1"/>
  <c r="BM200" i="26" s="1"/>
  <c r="BI350" i="26"/>
  <c r="BK350" i="26" s="1"/>
  <c r="BL350" i="26" s="1"/>
  <c r="BM350" i="26" s="1"/>
  <c r="BI361" i="26"/>
  <c r="BK361" i="26" s="1"/>
  <c r="BL361" i="26" s="1"/>
  <c r="BM361" i="26" s="1"/>
  <c r="BI381" i="26"/>
  <c r="BK381" i="26" s="1"/>
  <c r="BL381" i="26" s="1"/>
  <c r="BM381" i="26" s="1"/>
  <c r="BI347" i="26"/>
  <c r="BK347" i="26" s="1"/>
  <c r="BL347" i="26" s="1"/>
  <c r="BM347" i="26" s="1"/>
  <c r="BI374" i="26"/>
  <c r="BK374" i="26" s="1"/>
  <c r="BL374" i="26" s="1"/>
  <c r="BM374" i="26" s="1"/>
  <c r="BI486" i="26"/>
  <c r="BK486" i="26" s="1"/>
  <c r="BL486" i="26" s="1"/>
  <c r="BI535" i="26"/>
  <c r="BK535" i="26" s="1"/>
  <c r="BL535" i="26" s="1"/>
  <c r="BM535" i="26" s="1"/>
  <c r="BI564" i="26"/>
  <c r="BK564" i="26" s="1"/>
  <c r="BL564" i="26" s="1"/>
  <c r="BM564" i="26" s="1"/>
  <c r="BI696" i="26"/>
  <c r="BK696" i="26" s="1"/>
  <c r="BL696" i="26" s="1"/>
  <c r="BM696" i="26" s="1"/>
  <c r="BI651" i="26"/>
  <c r="BI618" i="26"/>
  <c r="BK618" i="26" s="1"/>
  <c r="BL618" i="26" s="1"/>
  <c r="BM618" i="26" s="1"/>
  <c r="BI672" i="26"/>
  <c r="BK672" i="26" s="1"/>
  <c r="BL672" i="26" s="1"/>
  <c r="BM672" i="26" s="1"/>
  <c r="BI710" i="26"/>
  <c r="BK710" i="26" s="1"/>
  <c r="BL710" i="26" s="1"/>
  <c r="BM710" i="26" s="1"/>
  <c r="BI779" i="26"/>
  <c r="BK779" i="26" s="1"/>
  <c r="BL779" i="26" s="1"/>
  <c r="BM779" i="26" s="1"/>
  <c r="BI664" i="26"/>
  <c r="BK664" i="26" s="1"/>
  <c r="BL664" i="26" s="1"/>
  <c r="BM664" i="26" s="1"/>
  <c r="BI50" i="26"/>
  <c r="BK50" i="26" s="1"/>
  <c r="BL50" i="26" s="1"/>
  <c r="BM50" i="26" s="1"/>
  <c r="BI276" i="26"/>
  <c r="BK276" i="26" s="1"/>
  <c r="BL276" i="26" s="1"/>
  <c r="BM276" i="26" s="1"/>
  <c r="BI267" i="26"/>
  <c r="BI107" i="26"/>
  <c r="BK107" i="26" s="1"/>
  <c r="BL107" i="26" s="1"/>
  <c r="BM107" i="26" s="1"/>
  <c r="BI170" i="26"/>
  <c r="BK170" i="26" s="1"/>
  <c r="BL170" i="26" s="1"/>
  <c r="BM170" i="26" s="1"/>
  <c r="BI148" i="26"/>
  <c r="BK148" i="26" s="1"/>
  <c r="BL148" i="26" s="1"/>
  <c r="BM148" i="26" s="1"/>
  <c r="BI238" i="26"/>
  <c r="BK238" i="26" s="1"/>
  <c r="BL238" i="26" s="1"/>
  <c r="BM238" i="26" s="1"/>
  <c r="BI256" i="26"/>
  <c r="BK256" i="26" s="1"/>
  <c r="BL256" i="26" s="1"/>
  <c r="BM256" i="26" s="1"/>
  <c r="BI383" i="26"/>
  <c r="BK383" i="26" s="1"/>
  <c r="BL383" i="26" s="1"/>
  <c r="BM383" i="26" s="1"/>
  <c r="BI269" i="26"/>
  <c r="BK269" i="26" s="1"/>
  <c r="BL269" i="26" s="1"/>
  <c r="BM269" i="26" s="1"/>
  <c r="BI389" i="26"/>
  <c r="BK389" i="26" s="1"/>
  <c r="BL389" i="26" s="1"/>
  <c r="BM389" i="26" s="1"/>
  <c r="BI411" i="26"/>
  <c r="BK411" i="26" s="1"/>
  <c r="BL411" i="26" s="1"/>
  <c r="BM411" i="26" s="1"/>
  <c r="BI546" i="26"/>
  <c r="BK546" i="26" s="1"/>
  <c r="BL546" i="26" s="1"/>
  <c r="BM546" i="26" s="1"/>
  <c r="BI574" i="26"/>
  <c r="BK574" i="26" s="1"/>
  <c r="BL574" i="26" s="1"/>
  <c r="BM574" i="26" s="1"/>
  <c r="BI608" i="26"/>
  <c r="BI634" i="26"/>
  <c r="BK634" i="26" s="1"/>
  <c r="BL634" i="26" s="1"/>
  <c r="BM634" i="26" s="1"/>
  <c r="BI678" i="26"/>
  <c r="BK678" i="26" s="1"/>
  <c r="BL678" i="26" s="1"/>
  <c r="BM678" i="26" s="1"/>
  <c r="BI21" i="26"/>
  <c r="BK21" i="26" s="1"/>
  <c r="BL21" i="26" s="1"/>
  <c r="BM21" i="26" s="1"/>
  <c r="BI24" i="26"/>
  <c r="BK24" i="26" s="1"/>
  <c r="BL24" i="26" s="1"/>
  <c r="BM24" i="26" s="1"/>
  <c r="BI457" i="26"/>
  <c r="BI237" i="26"/>
  <c r="BK237" i="26" s="1"/>
  <c r="BL237" i="26" s="1"/>
  <c r="BM237" i="26" s="1"/>
  <c r="BI160" i="26"/>
  <c r="BK160" i="26" s="1"/>
  <c r="BL160" i="26" s="1"/>
  <c r="BM160" i="26" s="1"/>
  <c r="BI271" i="26"/>
  <c r="BK271" i="26" s="1"/>
  <c r="BL271" i="26" s="1"/>
  <c r="BM271" i="26" s="1"/>
  <c r="BI268" i="26"/>
  <c r="BK268" i="26" s="1"/>
  <c r="BL268" i="26" s="1"/>
  <c r="BM268" i="26" s="1"/>
  <c r="BI395" i="26"/>
  <c r="BK395" i="26" s="1"/>
  <c r="BL395" i="26" s="1"/>
  <c r="BM395" i="26" s="1"/>
  <c r="BI468" i="26"/>
  <c r="BI418" i="26"/>
  <c r="BK418" i="26" s="1"/>
  <c r="BL418" i="26" s="1"/>
  <c r="BM418" i="26" s="1"/>
  <c r="BI688" i="26"/>
  <c r="BK688" i="26" s="1"/>
  <c r="BL688" i="26" s="1"/>
  <c r="BM688" i="26" s="1"/>
  <c r="BI94" i="26"/>
  <c r="BK94" i="26" s="1"/>
  <c r="BL94" i="26" s="1"/>
  <c r="BM94" i="26" s="1"/>
  <c r="BI29" i="26"/>
  <c r="BK29" i="26" s="1"/>
  <c r="BL29" i="26" s="1"/>
  <c r="BM29" i="26" s="1"/>
  <c r="BI416" i="26"/>
  <c r="BK416" i="26" s="1"/>
  <c r="BL416" i="26" s="1"/>
  <c r="BM416" i="26" s="1"/>
  <c r="BI420" i="26"/>
  <c r="BK420" i="26" s="1"/>
  <c r="BL420" i="26" s="1"/>
  <c r="BM420" i="26" s="1"/>
  <c r="BI496" i="26"/>
  <c r="BK496" i="26" s="1"/>
  <c r="BL496" i="26" s="1"/>
  <c r="BM496" i="26" s="1"/>
  <c r="BI830" i="26"/>
  <c r="BK830" i="26" s="1"/>
  <c r="BL830" i="26" s="1"/>
  <c r="BM830" i="26" s="1"/>
  <c r="BI516" i="26"/>
  <c r="BK516" i="26" s="1"/>
  <c r="BL516" i="26" s="1"/>
  <c r="BM516" i="26" s="1"/>
  <c r="BI541" i="26"/>
  <c r="BK541" i="26" s="1"/>
  <c r="BL541" i="26" s="1"/>
  <c r="BM541" i="26" s="1"/>
  <c r="BI613" i="26"/>
  <c r="BK613" i="26" s="1"/>
  <c r="BL613" i="26" s="1"/>
  <c r="BM613" i="26" s="1"/>
  <c r="BI642" i="26"/>
  <c r="BK642" i="26" s="1"/>
  <c r="BL642" i="26" s="1"/>
  <c r="BM642" i="26" s="1"/>
  <c r="BI116" i="26"/>
  <c r="BK116" i="26" s="1"/>
  <c r="BL116" i="26" s="1"/>
  <c r="BM116" i="26" s="1"/>
  <c r="BI17" i="26"/>
  <c r="BK17" i="26" s="1"/>
  <c r="BL17" i="26" s="1"/>
  <c r="BM17" i="26" s="1"/>
  <c r="BI52" i="26"/>
  <c r="BK52" i="26" s="1"/>
  <c r="BL52" i="26" s="1"/>
  <c r="BM52" i="26" s="1"/>
  <c r="BI35" i="26"/>
  <c r="BI196" i="26"/>
  <c r="BK196" i="26" s="1"/>
  <c r="BL196" i="26" s="1"/>
  <c r="BM196" i="26" s="1"/>
  <c r="BI197" i="26"/>
  <c r="BK197" i="26" s="1"/>
  <c r="BL197" i="26" s="1"/>
  <c r="BM197" i="26" s="1"/>
  <c r="BI236" i="26"/>
  <c r="BK236" i="26" s="1"/>
  <c r="BL236" i="26" s="1"/>
  <c r="BM236" i="26" s="1"/>
  <c r="BI214" i="26"/>
  <c r="BK214" i="26" s="1"/>
  <c r="BL214" i="26" s="1"/>
  <c r="BM214" i="26" s="1"/>
  <c r="BI396" i="26"/>
  <c r="BK396" i="26" s="1"/>
  <c r="BL396" i="26" s="1"/>
  <c r="BM396" i="26" s="1"/>
  <c r="BI431" i="26"/>
  <c r="BK431" i="26" s="1"/>
  <c r="BL431" i="26" s="1"/>
  <c r="BM431" i="26" s="1"/>
  <c r="BI433" i="26"/>
  <c r="BK433" i="26" s="1"/>
  <c r="BL433" i="26" s="1"/>
  <c r="BM433" i="26" s="1"/>
  <c r="BI623" i="26"/>
  <c r="BK623" i="26" s="1"/>
  <c r="BL623" i="26" s="1"/>
  <c r="BM623" i="26" s="1"/>
  <c r="BI612" i="26"/>
  <c r="BK612" i="26" s="1"/>
  <c r="BL612" i="26" s="1"/>
  <c r="BM612" i="26" s="1"/>
  <c r="BI827" i="26"/>
  <c r="BK827" i="26" s="1"/>
  <c r="BL827" i="26" s="1"/>
  <c r="BM827" i="26" s="1"/>
  <c r="BI665" i="26"/>
  <c r="BK665" i="26" s="1"/>
  <c r="BL665" i="26" s="1"/>
  <c r="BM665" i="26" s="1"/>
  <c r="BI652" i="26"/>
  <c r="BK652" i="26" s="1"/>
  <c r="BL652" i="26" s="1"/>
  <c r="BM652" i="26" s="1"/>
  <c r="BI712" i="26"/>
  <c r="BK712" i="26" s="1"/>
  <c r="BL712" i="26" s="1"/>
  <c r="BM712" i="26" s="1"/>
  <c r="BI760" i="26"/>
  <c r="BK760" i="26" s="1"/>
  <c r="BL760" i="26" s="1"/>
  <c r="BM760" i="26" s="1"/>
  <c r="BI394" i="26"/>
  <c r="BK394" i="26" s="1"/>
  <c r="BL394" i="26" s="1"/>
  <c r="BM394" i="26" s="1"/>
  <c r="AZ498" i="26"/>
  <c r="BB498" i="26" s="1"/>
  <c r="BC498" i="26" s="1"/>
  <c r="BD498" i="26" s="1"/>
  <c r="BI176" i="26"/>
  <c r="BK176" i="26" s="1"/>
  <c r="BL176" i="26" s="1"/>
  <c r="BM176" i="26" s="1"/>
  <c r="BI191" i="26"/>
  <c r="BI242" i="26"/>
  <c r="BK242" i="26" s="1"/>
  <c r="BL242" i="26" s="1"/>
  <c r="BM242" i="26" s="1"/>
  <c r="BI406" i="26"/>
  <c r="BK406" i="26" s="1"/>
  <c r="BL406" i="26" s="1"/>
  <c r="BM406" i="26" s="1"/>
  <c r="BI442" i="26"/>
  <c r="BI823" i="26"/>
  <c r="BK823" i="26" s="1"/>
  <c r="BL823" i="26" s="1"/>
  <c r="BM823" i="26" s="1"/>
  <c r="BI639" i="26"/>
  <c r="BK639" i="26" s="1"/>
  <c r="BL639" i="26" s="1"/>
  <c r="BM639" i="26" s="1"/>
  <c r="BI767" i="26"/>
  <c r="BK767" i="26" s="1"/>
  <c r="BL767" i="26" s="1"/>
  <c r="BM767" i="26" s="1"/>
  <c r="BI87" i="26"/>
  <c r="BK87" i="26" s="1"/>
  <c r="BL87" i="26" s="1"/>
  <c r="BM87" i="26" s="1"/>
  <c r="BK147" i="26"/>
  <c r="BL147" i="26" s="1"/>
  <c r="BM147" i="26" s="1"/>
  <c r="BI464" i="26"/>
  <c r="BK464" i="26" s="1"/>
  <c r="BL464" i="26" s="1"/>
  <c r="BM464" i="26" s="1"/>
  <c r="BI582" i="26"/>
  <c r="BK582" i="26" s="1"/>
  <c r="BL582" i="26" s="1"/>
  <c r="BM582" i="26" s="1"/>
  <c r="BA751" i="26"/>
  <c r="BB751" i="26" s="1"/>
  <c r="BC751" i="26" s="1"/>
  <c r="BD751" i="26" s="1"/>
  <c r="BI208" i="26"/>
  <c r="BK208" i="26" s="1"/>
  <c r="BL208" i="26" s="1"/>
  <c r="BI177" i="26"/>
  <c r="BK177" i="26" s="1"/>
  <c r="BL177" i="26" s="1"/>
  <c r="BM177" i="26" s="1"/>
  <c r="BI231" i="26"/>
  <c r="BK231" i="26" s="1"/>
  <c r="BL231" i="26" s="1"/>
  <c r="BM231" i="26" s="1"/>
  <c r="BI413" i="26"/>
  <c r="BK413" i="26" s="1"/>
  <c r="BL413" i="26" s="1"/>
  <c r="BM413" i="26" s="1"/>
  <c r="BI488" i="26"/>
  <c r="BI417" i="26"/>
  <c r="BK417" i="26" s="1"/>
  <c r="BL417" i="26" s="1"/>
  <c r="BM417" i="26" s="1"/>
  <c r="BI833" i="26"/>
  <c r="BK833" i="26" s="1"/>
  <c r="BL833" i="26" s="1"/>
  <c r="BM833" i="26" s="1"/>
  <c r="BI538" i="26"/>
  <c r="BK538" i="26" s="1"/>
  <c r="BL538" i="26" s="1"/>
  <c r="BM538" i="26" s="1"/>
  <c r="BI698" i="26"/>
  <c r="BK698" i="26" s="1"/>
  <c r="BL698" i="26" s="1"/>
  <c r="BM698" i="26" s="1"/>
  <c r="BI687" i="26"/>
  <c r="BK687" i="26" s="1"/>
  <c r="BL687" i="26" s="1"/>
  <c r="BM687" i="26" s="1"/>
  <c r="BI724" i="26"/>
  <c r="BK724" i="26" s="1"/>
  <c r="BL724" i="26" s="1"/>
  <c r="BM724" i="26" s="1"/>
  <c r="BI248" i="26"/>
  <c r="BK248" i="26" s="1"/>
  <c r="BL248" i="26" s="1"/>
  <c r="BM248" i="26" s="1"/>
  <c r="BI360" i="26"/>
  <c r="BK360" i="26" s="1"/>
  <c r="BL360" i="26" s="1"/>
  <c r="BM360" i="26" s="1"/>
  <c r="BI294" i="26"/>
  <c r="BK294" i="26" s="1"/>
  <c r="BL294" i="26" s="1"/>
  <c r="BM294" i="26" s="1"/>
  <c r="BI324" i="26"/>
  <c r="BK324" i="26" s="1"/>
  <c r="BL324" i="26" s="1"/>
  <c r="BM324" i="26" s="1"/>
  <c r="BI503" i="26"/>
  <c r="BK503" i="26" s="1"/>
  <c r="BL503" i="26" s="1"/>
  <c r="BI510" i="26"/>
  <c r="BK510" i="26" s="1"/>
  <c r="BL510" i="26" s="1"/>
  <c r="BM510" i="26" s="1"/>
  <c r="BI718" i="26"/>
  <c r="BK718" i="26" s="1"/>
  <c r="BL718" i="26" s="1"/>
  <c r="BM718" i="26" s="1"/>
  <c r="BI131" i="26"/>
  <c r="BK131" i="26" s="1"/>
  <c r="BL131" i="26" s="1"/>
  <c r="BM131" i="26" s="1"/>
  <c r="BI244" i="26"/>
  <c r="BK244" i="26" s="1"/>
  <c r="BL244" i="26" s="1"/>
  <c r="BM244" i="26" s="1"/>
  <c r="BI258" i="26"/>
  <c r="BK258" i="26" s="1"/>
  <c r="BL258" i="26" s="1"/>
  <c r="BM258" i="26" s="1"/>
  <c r="BI458" i="26"/>
  <c r="BK458" i="26" s="1"/>
  <c r="BL458" i="26" s="1"/>
  <c r="BM458" i="26" s="1"/>
  <c r="BI373" i="26"/>
  <c r="BK373" i="26" s="1"/>
  <c r="BL373" i="26" s="1"/>
  <c r="BM373" i="26" s="1"/>
  <c r="BI517" i="26"/>
  <c r="BK517" i="26" s="1"/>
  <c r="BL517" i="26" s="1"/>
  <c r="BM517" i="26" s="1"/>
  <c r="BK805" i="26"/>
  <c r="BL805" i="26" s="1"/>
  <c r="BM805" i="26" s="1"/>
  <c r="BI731" i="26"/>
  <c r="BK731" i="26" s="1"/>
  <c r="BL731" i="26" s="1"/>
  <c r="BM731" i="26" s="1"/>
  <c r="BI753" i="26"/>
  <c r="BK753" i="26" s="1"/>
  <c r="BL753" i="26" s="1"/>
  <c r="BM753" i="26" s="1"/>
  <c r="BI606" i="26"/>
  <c r="BK606" i="26" s="1"/>
  <c r="BL606" i="26" s="1"/>
  <c r="BM606" i="26" s="1"/>
  <c r="BI289" i="26"/>
  <c r="BK289" i="26" s="1"/>
  <c r="BL289" i="26" s="1"/>
  <c r="BM289" i="26" s="1"/>
  <c r="BI734" i="26"/>
  <c r="BK734" i="26" s="1"/>
  <c r="BL734" i="26" s="1"/>
  <c r="BM734" i="26" s="1"/>
  <c r="BI183" i="26"/>
  <c r="BK183" i="26" s="1"/>
  <c r="BL183" i="26" s="1"/>
  <c r="BI301" i="26"/>
  <c r="BK301" i="26" s="1"/>
  <c r="BL301" i="26" s="1"/>
  <c r="BM301" i="26" s="1"/>
  <c r="BI329" i="26"/>
  <c r="BK329" i="26" s="1"/>
  <c r="BL329" i="26" s="1"/>
  <c r="BM329" i="26" s="1"/>
  <c r="BI583" i="26"/>
  <c r="BK583" i="26" s="1"/>
  <c r="BL583" i="26" s="1"/>
  <c r="BM583" i="26" s="1"/>
  <c r="BI715" i="26"/>
  <c r="BK715" i="26" s="1"/>
  <c r="BL715" i="26" s="1"/>
  <c r="BM715" i="26" s="1"/>
  <c r="BI727" i="26"/>
  <c r="BK727" i="26" s="1"/>
  <c r="BL727" i="26" s="1"/>
  <c r="BM727" i="26" s="1"/>
  <c r="BI746" i="26"/>
  <c r="BK746" i="26" s="1"/>
  <c r="BL746" i="26" s="1"/>
  <c r="BM746" i="26" s="1"/>
  <c r="BI63" i="26"/>
  <c r="BK63" i="26" s="1"/>
  <c r="BL63" i="26" s="1"/>
  <c r="BM63" i="26" s="1"/>
  <c r="BI829" i="26"/>
  <c r="BI334" i="26"/>
  <c r="BI518" i="26"/>
  <c r="BK518" i="26" s="1"/>
  <c r="BL518" i="26" s="1"/>
  <c r="BM518" i="26" s="1"/>
  <c r="BI640" i="26"/>
  <c r="BK640" i="26" s="1"/>
  <c r="BL640" i="26" s="1"/>
  <c r="BM640" i="26" s="1"/>
  <c r="BI786" i="26"/>
  <c r="BK786" i="26" s="1"/>
  <c r="BL786" i="26" s="1"/>
  <c r="BM786" i="26" s="1"/>
  <c r="BI168" i="26"/>
  <c r="BK168" i="26" s="1"/>
  <c r="BL168" i="26" s="1"/>
  <c r="BM168" i="26" s="1"/>
  <c r="BI203" i="26"/>
  <c r="BK203" i="26" s="1"/>
  <c r="BL203" i="26" s="1"/>
  <c r="BM203" i="26" s="1"/>
  <c r="BI628" i="26"/>
  <c r="BK628" i="26" s="1"/>
  <c r="BL628" i="26" s="1"/>
  <c r="BM628" i="26" s="1"/>
  <c r="BI671" i="26"/>
  <c r="BK671" i="26" s="1"/>
  <c r="BL671" i="26" s="1"/>
  <c r="BM671" i="26" s="1"/>
  <c r="BI257" i="26"/>
  <c r="BK257" i="26" s="1"/>
  <c r="BL257" i="26" s="1"/>
  <c r="BM257" i="26" s="1"/>
  <c r="BI549" i="26"/>
  <c r="BI56" i="26"/>
  <c r="BK56" i="26" s="1"/>
  <c r="BL56" i="26" s="1"/>
  <c r="BM56" i="26" s="1"/>
  <c r="BI532" i="26"/>
  <c r="BK532" i="26" s="1"/>
  <c r="BL532" i="26" s="1"/>
  <c r="BM532" i="26" s="1"/>
  <c r="BI158" i="26"/>
  <c r="BK158" i="26" s="1"/>
  <c r="BL158" i="26" s="1"/>
  <c r="BI88" i="26"/>
  <c r="BK88" i="26" s="1"/>
  <c r="BL88" i="26" s="1"/>
  <c r="BM88" i="26" s="1"/>
  <c r="BI472" i="26"/>
  <c r="BK472" i="26" s="1"/>
  <c r="BL472" i="26" s="1"/>
  <c r="BM472" i="26" s="1"/>
  <c r="BI519" i="26"/>
  <c r="BK519" i="26" s="1"/>
  <c r="BL519" i="26" s="1"/>
  <c r="BM519" i="26" s="1"/>
  <c r="BI822" i="26"/>
  <c r="BK822" i="26" s="1"/>
  <c r="BL822" i="26" s="1"/>
  <c r="BM822" i="26" s="1"/>
  <c r="BI743" i="26"/>
  <c r="BK743" i="26" s="1"/>
  <c r="BL743" i="26" s="1"/>
  <c r="BM743" i="26" s="1"/>
  <c r="BI315" i="26"/>
  <c r="BK315" i="26" s="1"/>
  <c r="BL315" i="26" s="1"/>
  <c r="BM315" i="26" s="1"/>
  <c r="BI617" i="26"/>
  <c r="BK617" i="26" s="1"/>
  <c r="BL617" i="26" s="1"/>
  <c r="BM617" i="26" s="1"/>
  <c r="BI293" i="26"/>
  <c r="BK293" i="26" s="1"/>
  <c r="BL293" i="26" s="1"/>
  <c r="BM293" i="26" s="1"/>
  <c r="BI308" i="26"/>
  <c r="BK308" i="26" s="1"/>
  <c r="BL308" i="26" s="1"/>
  <c r="BI118" i="26"/>
  <c r="BK118" i="26" s="1"/>
  <c r="BL118" i="26" s="1"/>
  <c r="BI435" i="26"/>
  <c r="BK435" i="26" s="1"/>
  <c r="BL435" i="26" s="1"/>
  <c r="BM435" i="26" s="1"/>
  <c r="BI317" i="26"/>
  <c r="BK317" i="26" s="1"/>
  <c r="BL317" i="26" s="1"/>
  <c r="BM317" i="26" s="1"/>
  <c r="BI109" i="26"/>
  <c r="BK109" i="26" s="1"/>
  <c r="BL109" i="26" s="1"/>
  <c r="BM109" i="26" s="1"/>
  <c r="BI77" i="26"/>
  <c r="BK77" i="26" s="1"/>
  <c r="BL77" i="26" s="1"/>
  <c r="BM77" i="26" s="1"/>
  <c r="BI228" i="26"/>
  <c r="BK228" i="26" s="1"/>
  <c r="BL228" i="26" s="1"/>
  <c r="BM228" i="26" s="1"/>
  <c r="BI385" i="26"/>
  <c r="BK385" i="26" s="1"/>
  <c r="BL385" i="26" s="1"/>
  <c r="BM385" i="26" s="1"/>
  <c r="BI655" i="26"/>
  <c r="BK655" i="26" s="1"/>
  <c r="BL655" i="26" s="1"/>
  <c r="BM655" i="26" s="1"/>
  <c r="BI725" i="26"/>
  <c r="BK725" i="26" s="1"/>
  <c r="BL725" i="26" s="1"/>
  <c r="BM725" i="26" s="1"/>
  <c r="BI338" i="26"/>
  <c r="BK338" i="26" s="1"/>
  <c r="BL338" i="26" s="1"/>
  <c r="BM338" i="26" s="1"/>
  <c r="BI320" i="26"/>
  <c r="BK320" i="26" s="1"/>
  <c r="BL320" i="26" s="1"/>
  <c r="BM320" i="26" s="1"/>
  <c r="BI657" i="26"/>
  <c r="BK657" i="26" s="1"/>
  <c r="BL657" i="26" s="1"/>
  <c r="BM657" i="26" s="1"/>
  <c r="BI3" i="26"/>
  <c r="BK3" i="26" s="1"/>
  <c r="BL3" i="26" s="1"/>
  <c r="BM3" i="26" s="1"/>
  <c r="BI179" i="26"/>
  <c r="BK179" i="26" s="1"/>
  <c r="BL179" i="26" s="1"/>
  <c r="BM179" i="26" s="1"/>
  <c r="BI278" i="26"/>
  <c r="BK278" i="26" s="1"/>
  <c r="BL278" i="26" s="1"/>
  <c r="BM278" i="26" s="1"/>
  <c r="BI525" i="26"/>
  <c r="BK525" i="26" s="1"/>
  <c r="BL525" i="26" s="1"/>
  <c r="BM525" i="26" s="1"/>
  <c r="BI692" i="26"/>
  <c r="BK692" i="26" s="1"/>
  <c r="BL692" i="26" s="1"/>
  <c r="BM692" i="26" s="1"/>
  <c r="BI67" i="26"/>
  <c r="BK67" i="26" s="1"/>
  <c r="BL67" i="26" s="1"/>
  <c r="BM67" i="26" s="1"/>
  <c r="BI30" i="26"/>
  <c r="BK30" i="26" s="1"/>
  <c r="BL30" i="26" s="1"/>
  <c r="BM30" i="26" s="1"/>
  <c r="BI138" i="26"/>
  <c r="BK138" i="26" s="1"/>
  <c r="BL138" i="26" s="1"/>
  <c r="BM138" i="26" s="1"/>
  <c r="BI408" i="26"/>
  <c r="BK408" i="26" s="1"/>
  <c r="BL408" i="26" s="1"/>
  <c r="BM408" i="26" s="1"/>
  <c r="BI526" i="26"/>
  <c r="BK526" i="26" s="1"/>
  <c r="BL526" i="26" s="1"/>
  <c r="BM526" i="26" s="1"/>
  <c r="BI756" i="26"/>
  <c r="BK756" i="26" s="1"/>
  <c r="BL756" i="26" s="1"/>
  <c r="BM756" i="26" s="1"/>
  <c r="BI740" i="26"/>
  <c r="BI304" i="26"/>
  <c r="BK304" i="26" s="1"/>
  <c r="BL304" i="26" s="1"/>
  <c r="BM304" i="26" s="1"/>
  <c r="AZ801" i="26"/>
  <c r="AZ538" i="26"/>
  <c r="AZ495" i="26"/>
  <c r="BB495" i="26" s="1"/>
  <c r="BC495" i="26" s="1"/>
  <c r="BD495" i="26" s="1"/>
  <c r="BI154" i="26"/>
  <c r="BK154" i="26" s="1"/>
  <c r="BL154" i="26" s="1"/>
  <c r="BM154" i="26" s="1"/>
  <c r="BI390" i="26"/>
  <c r="BK390" i="26" s="1"/>
  <c r="BL390" i="26" s="1"/>
  <c r="BM390" i="26" s="1"/>
  <c r="BI487" i="26"/>
  <c r="BK487" i="26" s="1"/>
  <c r="BL487" i="26" s="1"/>
  <c r="BM487" i="26" s="1"/>
  <c r="BI542" i="26"/>
  <c r="BK542" i="26" s="1"/>
  <c r="BL542" i="26" s="1"/>
  <c r="BM542" i="26" s="1"/>
  <c r="BI166" i="26"/>
  <c r="BK166" i="26" s="1"/>
  <c r="BL166" i="26" s="1"/>
  <c r="BM166" i="26" s="1"/>
  <c r="BI283" i="26"/>
  <c r="BK283" i="26" s="1"/>
  <c r="BL283" i="26" s="1"/>
  <c r="BM283" i="26" s="1"/>
  <c r="BI398" i="26"/>
  <c r="BK398" i="26" s="1"/>
  <c r="BL398" i="26" s="1"/>
  <c r="BM398" i="26" s="1"/>
  <c r="BI624" i="26"/>
  <c r="BK624" i="26" s="1"/>
  <c r="BL624" i="26" s="1"/>
  <c r="BM624" i="26" s="1"/>
  <c r="BI90" i="26"/>
  <c r="BK90" i="26" s="1"/>
  <c r="BL90" i="26" s="1"/>
  <c r="BM90" i="26" s="1"/>
  <c r="BI511" i="26"/>
  <c r="BK511" i="26" s="1"/>
  <c r="BL511" i="26" s="1"/>
  <c r="BM511" i="26" s="1"/>
  <c r="BI221" i="26"/>
  <c r="BK221" i="26" s="1"/>
  <c r="BL221" i="26" s="1"/>
  <c r="BM221" i="26" s="1"/>
  <c r="BK263" i="26"/>
  <c r="BL263" i="26" s="1"/>
  <c r="BM263" i="26" s="1"/>
  <c r="BI10" i="26"/>
  <c r="BK10" i="26" s="1"/>
  <c r="BL10" i="26" s="1"/>
  <c r="BM10" i="26" s="1"/>
  <c r="BI51" i="26"/>
  <c r="BK51" i="26" s="1"/>
  <c r="BL51" i="26" s="1"/>
  <c r="BM51" i="26" s="1"/>
  <c r="BI99" i="26"/>
  <c r="BK99" i="26" s="1"/>
  <c r="BL99" i="26" s="1"/>
  <c r="BM99" i="26" s="1"/>
  <c r="BI96" i="26"/>
  <c r="BK96" i="26" s="1"/>
  <c r="BL96" i="26" s="1"/>
  <c r="BM96" i="26" s="1"/>
  <c r="BI113" i="26"/>
  <c r="BK113" i="26" s="1"/>
  <c r="BL113" i="26" s="1"/>
  <c r="BM113" i="26" s="1"/>
  <c r="BI194" i="26"/>
  <c r="BK194" i="26" s="1"/>
  <c r="BL194" i="26" s="1"/>
  <c r="BM194" i="26" s="1"/>
  <c r="BI239" i="26"/>
  <c r="BK239" i="26" s="1"/>
  <c r="BL239" i="26" s="1"/>
  <c r="BM239" i="26" s="1"/>
  <c r="BI253" i="26"/>
  <c r="BK253" i="26" s="1"/>
  <c r="BL253" i="26" s="1"/>
  <c r="BM253" i="26" s="1"/>
  <c r="BI313" i="26"/>
  <c r="BK313" i="26" s="1"/>
  <c r="BL313" i="26" s="1"/>
  <c r="BM313" i="26" s="1"/>
  <c r="BI290" i="26"/>
  <c r="BK290" i="26" s="1"/>
  <c r="BL290" i="26" s="1"/>
  <c r="BM290" i="26" s="1"/>
  <c r="BI330" i="26"/>
  <c r="BI349" i="26"/>
  <c r="BK349" i="26" s="1"/>
  <c r="BL349" i="26" s="1"/>
  <c r="BM349" i="26" s="1"/>
  <c r="BI332" i="26"/>
  <c r="BK332" i="26" s="1"/>
  <c r="BL332" i="26" s="1"/>
  <c r="BM332" i="26" s="1"/>
  <c r="BI367" i="26"/>
  <c r="BK367" i="26" s="1"/>
  <c r="BL367" i="26" s="1"/>
  <c r="BM367" i="26" s="1"/>
  <c r="BI476" i="26"/>
  <c r="BK476" i="26" s="1"/>
  <c r="BL476" i="26" s="1"/>
  <c r="BM476" i="26" s="1"/>
  <c r="BI469" i="26"/>
  <c r="BK469" i="26" s="1"/>
  <c r="BL469" i="26" s="1"/>
  <c r="BM469" i="26" s="1"/>
  <c r="BI641" i="26"/>
  <c r="BK641" i="26" s="1"/>
  <c r="BL641" i="26" s="1"/>
  <c r="BM641" i="26" s="1"/>
  <c r="BI576" i="26"/>
  <c r="BK576" i="26" s="1"/>
  <c r="BL576" i="26" s="1"/>
  <c r="BM576" i="26" s="1"/>
  <c r="BI590" i="26"/>
  <c r="BK590" i="26" s="1"/>
  <c r="BL590" i="26" s="1"/>
  <c r="BM590" i="26" s="1"/>
  <c r="BI602" i="26"/>
  <c r="BK602" i="26" s="1"/>
  <c r="BL602" i="26" s="1"/>
  <c r="BM602" i="26" s="1"/>
  <c r="BI676" i="26"/>
  <c r="BK676" i="26" s="1"/>
  <c r="BL676" i="26" s="1"/>
  <c r="BM676" i="26" s="1"/>
  <c r="BI700" i="26"/>
  <c r="BK700" i="26" s="1"/>
  <c r="BL700" i="26" s="1"/>
  <c r="BM700" i="26" s="1"/>
  <c r="BI11" i="26"/>
  <c r="BK11" i="26" s="1"/>
  <c r="BL11" i="26" s="1"/>
  <c r="BI384" i="26"/>
  <c r="BK384" i="26" s="1"/>
  <c r="BL384" i="26" s="1"/>
  <c r="BI427" i="26"/>
  <c r="BK427" i="26" s="1"/>
  <c r="BL427" i="26" s="1"/>
  <c r="BM427" i="26" s="1"/>
  <c r="BI204" i="26"/>
  <c r="BK204" i="26" s="1"/>
  <c r="BL204" i="26" s="1"/>
  <c r="BM204" i="26" s="1"/>
  <c r="BI415" i="26"/>
  <c r="BI222" i="26"/>
  <c r="BK222" i="26" s="1"/>
  <c r="BL222" i="26" s="1"/>
  <c r="BM222" i="26" s="1"/>
  <c r="BI798" i="26"/>
  <c r="BK798" i="26" s="1"/>
  <c r="BL798" i="26" s="1"/>
  <c r="BM798" i="26" s="1"/>
  <c r="BI46" i="26"/>
  <c r="BK46" i="26" s="1"/>
  <c r="BL46" i="26" s="1"/>
  <c r="BM46" i="26" s="1"/>
  <c r="BI62" i="26"/>
  <c r="BK62" i="26" s="1"/>
  <c r="BL62" i="26" s="1"/>
  <c r="BM62" i="26" s="1"/>
  <c r="BI149" i="26"/>
  <c r="BK149" i="26" s="1"/>
  <c r="BL149" i="26" s="1"/>
  <c r="BM149" i="26" s="1"/>
  <c r="BI241" i="26"/>
  <c r="BK241" i="26" s="1"/>
  <c r="BL241" i="26" s="1"/>
  <c r="BM241" i="26" s="1"/>
  <c r="BI275" i="26"/>
  <c r="BK275" i="26" s="1"/>
  <c r="BL275" i="26" s="1"/>
  <c r="BM275" i="26" s="1"/>
  <c r="BI356" i="26"/>
  <c r="BK356" i="26" s="1"/>
  <c r="BL356" i="26" s="1"/>
  <c r="BM356" i="26" s="1"/>
  <c r="BI444" i="26"/>
  <c r="BK444" i="26" s="1"/>
  <c r="BL444" i="26" s="1"/>
  <c r="BM444" i="26" s="1"/>
  <c r="BI434" i="26"/>
  <c r="BK434" i="26" s="1"/>
  <c r="BL434" i="26" s="1"/>
  <c r="BM434" i="26" s="1"/>
  <c r="BI509" i="26"/>
  <c r="BK509" i="26" s="1"/>
  <c r="BL509" i="26" s="1"/>
  <c r="BM509" i="26" s="1"/>
  <c r="BI490" i="26"/>
  <c r="BK490" i="26" s="1"/>
  <c r="BL490" i="26" s="1"/>
  <c r="BM490" i="26" s="1"/>
  <c r="BI502" i="26"/>
  <c r="BK502" i="26" s="1"/>
  <c r="BL502" i="26" s="1"/>
  <c r="BM502" i="26" s="1"/>
  <c r="BI803" i="26"/>
  <c r="BK803" i="26" s="1"/>
  <c r="BL803" i="26" s="1"/>
  <c r="BM803" i="26" s="1"/>
  <c r="BI561" i="26"/>
  <c r="BK561" i="26" s="1"/>
  <c r="BL561" i="26" s="1"/>
  <c r="BM561" i="26" s="1"/>
  <c r="BI631" i="26"/>
  <c r="BK631" i="26" s="1"/>
  <c r="BL631" i="26" s="1"/>
  <c r="BM631" i="26" s="1"/>
  <c r="BI663" i="26"/>
  <c r="BK663" i="26" s="1"/>
  <c r="BL663" i="26" s="1"/>
  <c r="BM663" i="26" s="1"/>
  <c r="BI656" i="26"/>
  <c r="BK656" i="26" s="1"/>
  <c r="BL656" i="26" s="1"/>
  <c r="BM656" i="26" s="1"/>
  <c r="BI776" i="26"/>
  <c r="BK776" i="26" s="1"/>
  <c r="BL776" i="26" s="1"/>
  <c r="BM776" i="26" s="1"/>
  <c r="BI635" i="26"/>
  <c r="BI121" i="26"/>
  <c r="BK121" i="26" s="1"/>
  <c r="BL121" i="26" s="1"/>
  <c r="BM121" i="26" s="1"/>
  <c r="BI480" i="26"/>
  <c r="BK480" i="26" s="1"/>
  <c r="BL480" i="26" s="1"/>
  <c r="BM480" i="26" s="1"/>
  <c r="BI206" i="26"/>
  <c r="BK206" i="26" s="1"/>
  <c r="BL206" i="26" s="1"/>
  <c r="BM206" i="26" s="1"/>
  <c r="BK191" i="26"/>
  <c r="BL191" i="26" s="1"/>
  <c r="BM191" i="26" s="1"/>
  <c r="BI443" i="26"/>
  <c r="BK443" i="26" s="1"/>
  <c r="BL443" i="26" s="1"/>
  <c r="BM443" i="26" s="1"/>
  <c r="BI71" i="26"/>
  <c r="BK71" i="26" s="1"/>
  <c r="BL71" i="26" s="1"/>
  <c r="BM71" i="26" s="1"/>
  <c r="BI466" i="26"/>
  <c r="BK466" i="26" s="1"/>
  <c r="BL466" i="26" s="1"/>
  <c r="BM466" i="26" s="1"/>
  <c r="BK212" i="26"/>
  <c r="BL212" i="26" s="1"/>
  <c r="BM212" i="26" s="1"/>
  <c r="BI498" i="26"/>
  <c r="BK498" i="26" s="1"/>
  <c r="BL498" i="26" s="1"/>
  <c r="BM498" i="26" s="1"/>
  <c r="BI625" i="26"/>
  <c r="BK625" i="26" s="1"/>
  <c r="BL625" i="26" s="1"/>
  <c r="BM625" i="26" s="1"/>
  <c r="BI74" i="26"/>
  <c r="BK74" i="26" s="1"/>
  <c r="BL74" i="26" s="1"/>
  <c r="BM74" i="26" s="1"/>
  <c r="BI287" i="26"/>
  <c r="BK287" i="26" s="1"/>
  <c r="BL287" i="26" s="1"/>
  <c r="BM287" i="26" s="1"/>
  <c r="BI405" i="26"/>
  <c r="BK405" i="26" s="1"/>
  <c r="BL405" i="26" s="1"/>
  <c r="BM405" i="26" s="1"/>
  <c r="BI821" i="26"/>
  <c r="BK821" i="26" s="1"/>
  <c r="BL821" i="26" s="1"/>
  <c r="BM821" i="26" s="1"/>
  <c r="BI70" i="26"/>
  <c r="BK70" i="26" s="1"/>
  <c r="BL70" i="26" s="1"/>
  <c r="BM70" i="26" s="1"/>
  <c r="BI22" i="26"/>
  <c r="BK22" i="26" s="1"/>
  <c r="BL22" i="26" s="1"/>
  <c r="BM22" i="26" s="1"/>
  <c r="BI192" i="26"/>
  <c r="BK192" i="26" s="1"/>
  <c r="BL192" i="26" s="1"/>
  <c r="BM192" i="26" s="1"/>
  <c r="BI291" i="26"/>
  <c r="BK291" i="26" s="1"/>
  <c r="BL291" i="26" s="1"/>
  <c r="BM291" i="26" s="1"/>
  <c r="BI213" i="26"/>
  <c r="BK213" i="26" s="1"/>
  <c r="BL213" i="26" s="1"/>
  <c r="BM213" i="26" s="1"/>
  <c r="BI430" i="26"/>
  <c r="BK430" i="26" s="1"/>
  <c r="BL430" i="26" s="1"/>
  <c r="BM430" i="26" s="1"/>
  <c r="BI215" i="26"/>
  <c r="BK215" i="26" s="1"/>
  <c r="BL215" i="26" s="1"/>
  <c r="BM215" i="26" s="1"/>
  <c r="BI453" i="26"/>
  <c r="BK453" i="26" s="1"/>
  <c r="BL453" i="26" s="1"/>
  <c r="BM453" i="26" s="1"/>
  <c r="BI810" i="26"/>
  <c r="BK810" i="26" s="1"/>
  <c r="BL810" i="26" s="1"/>
  <c r="BM810" i="26" s="1"/>
  <c r="BI609" i="26"/>
  <c r="BK609" i="26" s="1"/>
  <c r="BL609" i="26" s="1"/>
  <c r="BM609" i="26" s="1"/>
  <c r="AZ580" i="26"/>
  <c r="BB580" i="26" s="1"/>
  <c r="BC580" i="26" s="1"/>
  <c r="BD580" i="26" s="1"/>
  <c r="BI59" i="26"/>
  <c r="BK59" i="26" s="1"/>
  <c r="BL59" i="26" s="1"/>
  <c r="BM59" i="26" s="1"/>
  <c r="BI218" i="26"/>
  <c r="BK218" i="26" s="1"/>
  <c r="BL218" i="26" s="1"/>
  <c r="BM218" i="26" s="1"/>
  <c r="BI226" i="26"/>
  <c r="BK226" i="26" s="1"/>
  <c r="BL226" i="26" s="1"/>
  <c r="BM226" i="26" s="1"/>
  <c r="BI318" i="26"/>
  <c r="BK318" i="26" s="1"/>
  <c r="BL318" i="26" s="1"/>
  <c r="BM318" i="26" s="1"/>
  <c r="BI388" i="26"/>
  <c r="BK388" i="26" s="1"/>
  <c r="BL388" i="26" s="1"/>
  <c r="BM388" i="26" s="1"/>
  <c r="BI462" i="26"/>
  <c r="BK462" i="26" s="1"/>
  <c r="BL462" i="26" s="1"/>
  <c r="BM462" i="26" s="1"/>
  <c r="BI479" i="26"/>
  <c r="BK479" i="26" s="1"/>
  <c r="BL479" i="26" s="1"/>
  <c r="BM479" i="26" s="1"/>
  <c r="BI626" i="26"/>
  <c r="BK626" i="26" s="1"/>
  <c r="BL626" i="26" s="1"/>
  <c r="BM626" i="26" s="1"/>
  <c r="BI689" i="26"/>
  <c r="BK689" i="26" s="1"/>
  <c r="BL689" i="26" s="1"/>
  <c r="BM689" i="26" s="1"/>
  <c r="BI92" i="26"/>
  <c r="BK92" i="26" s="1"/>
  <c r="BL92" i="26" s="1"/>
  <c r="BM92" i="26" s="1"/>
  <c r="AZ416" i="26"/>
  <c r="BI31" i="26"/>
  <c r="BK31" i="26" s="1"/>
  <c r="BL31" i="26" s="1"/>
  <c r="BM31" i="26" s="1"/>
  <c r="BI58" i="26"/>
  <c r="BK58" i="26" s="1"/>
  <c r="BL58" i="26" s="1"/>
  <c r="BM58" i="26" s="1"/>
  <c r="BI100" i="26"/>
  <c r="BK100" i="26" s="1"/>
  <c r="BL100" i="26" s="1"/>
  <c r="BM100" i="26" s="1"/>
  <c r="BI186" i="26"/>
  <c r="BK186" i="26" s="1"/>
  <c r="BL186" i="26" s="1"/>
  <c r="BM186" i="26" s="1"/>
  <c r="BI187" i="26"/>
  <c r="BK187" i="26" s="1"/>
  <c r="BL187" i="26" s="1"/>
  <c r="BM187" i="26" s="1"/>
  <c r="BI252" i="26"/>
  <c r="BK252" i="26" s="1"/>
  <c r="BL252" i="26" s="1"/>
  <c r="BM252" i="26" s="1"/>
  <c r="BI234" i="26"/>
  <c r="BK234" i="26" s="1"/>
  <c r="BL234" i="26" s="1"/>
  <c r="BM234" i="26" s="1"/>
  <c r="BI286" i="26"/>
  <c r="BK286" i="26" s="1"/>
  <c r="BL286" i="26" s="1"/>
  <c r="BM286" i="26" s="1"/>
  <c r="BI339" i="26"/>
  <c r="BK339" i="26" s="1"/>
  <c r="BL339" i="26" s="1"/>
  <c r="BM339" i="26" s="1"/>
  <c r="BI438" i="26"/>
  <c r="BK438" i="26" s="1"/>
  <c r="BL438" i="26" s="1"/>
  <c r="BM438" i="26" s="1"/>
  <c r="BI484" i="26"/>
  <c r="BK484" i="26" s="1"/>
  <c r="BL484" i="26" s="1"/>
  <c r="BM484" i="26" s="1"/>
  <c r="BI505" i="26"/>
  <c r="BK505" i="26" s="1"/>
  <c r="BL505" i="26" s="1"/>
  <c r="BM505" i="26" s="1"/>
  <c r="BI554" i="26"/>
  <c r="BK554" i="26" s="1"/>
  <c r="BL554" i="26" s="1"/>
  <c r="BM554" i="26" s="1"/>
  <c r="BI804" i="26"/>
  <c r="BK804" i="26" s="1"/>
  <c r="BL804" i="26" s="1"/>
  <c r="BM804" i="26" s="1"/>
  <c r="BI575" i="26"/>
  <c r="BK575" i="26" s="1"/>
  <c r="BL575" i="26" s="1"/>
  <c r="BM575" i="26" s="1"/>
  <c r="BI673" i="26"/>
  <c r="BK673" i="26" s="1"/>
  <c r="BL673" i="26" s="1"/>
  <c r="BM673" i="26" s="1"/>
  <c r="BI707" i="26"/>
  <c r="BK707" i="26" s="1"/>
  <c r="BL707" i="26" s="1"/>
  <c r="BM707" i="26" s="1"/>
  <c r="BI800" i="26"/>
  <c r="BK800" i="26" s="1"/>
  <c r="BL800" i="26" s="1"/>
  <c r="BM800" i="26" s="1"/>
  <c r="BI745" i="26"/>
  <c r="BK745" i="26" s="1"/>
  <c r="BL745" i="26" s="1"/>
  <c r="BM745" i="26" s="1"/>
  <c r="BI134" i="26"/>
  <c r="BK134" i="26" s="1"/>
  <c r="BL134" i="26" s="1"/>
  <c r="BM134" i="26" s="1"/>
  <c r="BI54" i="26"/>
  <c r="BK54" i="26" s="1"/>
  <c r="BL54" i="26" s="1"/>
  <c r="BM54" i="26" s="1"/>
  <c r="BI43" i="26"/>
  <c r="BK43" i="26" s="1"/>
  <c r="BL43" i="26" s="1"/>
  <c r="BM43" i="26" s="1"/>
  <c r="BI180" i="26"/>
  <c r="BK180" i="26" s="1"/>
  <c r="BL180" i="26" s="1"/>
  <c r="BM180" i="26" s="1"/>
  <c r="BI198" i="26"/>
  <c r="BK198" i="26" s="1"/>
  <c r="BL198" i="26" s="1"/>
  <c r="BM198" i="26" s="1"/>
  <c r="BI190" i="26"/>
  <c r="BK190" i="26" s="1"/>
  <c r="BL190" i="26" s="1"/>
  <c r="BM190" i="26" s="1"/>
  <c r="BI284" i="26"/>
  <c r="BK284" i="26" s="1"/>
  <c r="BL284" i="26" s="1"/>
  <c r="BM284" i="26" s="1"/>
  <c r="BI274" i="26"/>
  <c r="BK274" i="26" s="1"/>
  <c r="BL274" i="26" s="1"/>
  <c r="BM274" i="26" s="1"/>
  <c r="BI296" i="26"/>
  <c r="BK296" i="26" s="1"/>
  <c r="BL296" i="26" s="1"/>
  <c r="BM296" i="26" s="1"/>
  <c r="BI288" i="26"/>
  <c r="BK288" i="26" s="1"/>
  <c r="BL288" i="26" s="1"/>
  <c r="BM288" i="26" s="1"/>
  <c r="BI368" i="26"/>
  <c r="BK368" i="26" s="1"/>
  <c r="BL368" i="26" s="1"/>
  <c r="BM368" i="26" s="1"/>
  <c r="BI295" i="26"/>
  <c r="BK295" i="26" s="1"/>
  <c r="BL295" i="26" s="1"/>
  <c r="BM295" i="26" s="1"/>
  <c r="BI414" i="26"/>
  <c r="BK414" i="26" s="1"/>
  <c r="BL414" i="26" s="1"/>
  <c r="BM414" i="26" s="1"/>
  <c r="BI471" i="26"/>
  <c r="BK471" i="26" s="1"/>
  <c r="BL471" i="26" s="1"/>
  <c r="BM471" i="26" s="1"/>
  <c r="BI407" i="26"/>
  <c r="BK407" i="26" s="1"/>
  <c r="BL407" i="26" s="1"/>
  <c r="BM407" i="26" s="1"/>
  <c r="BI492" i="26"/>
  <c r="BK492" i="26" s="1"/>
  <c r="BL492" i="26" s="1"/>
  <c r="BM492" i="26" s="1"/>
  <c r="BI527" i="26"/>
  <c r="BK527" i="26" s="1"/>
  <c r="BL527" i="26" s="1"/>
  <c r="BI514" i="26"/>
  <c r="BK514" i="26" s="1"/>
  <c r="BL514" i="26" s="1"/>
  <c r="BM514" i="26" s="1"/>
  <c r="BI504" i="26"/>
  <c r="BK504" i="26" s="1"/>
  <c r="BL504" i="26" s="1"/>
  <c r="BM504" i="26" s="1"/>
  <c r="BI818" i="26"/>
  <c r="BK818" i="26" s="1"/>
  <c r="BL818" i="26" s="1"/>
  <c r="BM818" i="26" s="1"/>
  <c r="BI533" i="26"/>
  <c r="BK533" i="26" s="1"/>
  <c r="BL533" i="26" s="1"/>
  <c r="BM533" i="26" s="1"/>
  <c r="BI596" i="26"/>
  <c r="BK596" i="26" s="1"/>
  <c r="BL596" i="26" s="1"/>
  <c r="BM596" i="26" s="1"/>
  <c r="BI813" i="26"/>
  <c r="BK813" i="26" s="1"/>
  <c r="BL813" i="26" s="1"/>
  <c r="BM813" i="26" s="1"/>
  <c r="BI587" i="26"/>
  <c r="BK587" i="26" s="1"/>
  <c r="BL587" i="26" s="1"/>
  <c r="BM587" i="26" s="1"/>
  <c r="BI647" i="26"/>
  <c r="BK647" i="26" s="1"/>
  <c r="BL647" i="26" s="1"/>
  <c r="BM647" i="26" s="1"/>
  <c r="BI649" i="26"/>
  <c r="BK649" i="26" s="1"/>
  <c r="BL649" i="26" s="1"/>
  <c r="BM649" i="26" s="1"/>
  <c r="BI601" i="26"/>
  <c r="BK601" i="26" s="1"/>
  <c r="BL601" i="26" s="1"/>
  <c r="BM601" i="26" s="1"/>
  <c r="BI820" i="26"/>
  <c r="BK820" i="26" s="1"/>
  <c r="BL820" i="26" s="1"/>
  <c r="BM820" i="26" s="1"/>
  <c r="BI684" i="26"/>
  <c r="BK684" i="26" s="1"/>
  <c r="BL684" i="26" s="1"/>
  <c r="BM684" i="26" s="1"/>
  <c r="BI735" i="26"/>
  <c r="BK735" i="26" s="1"/>
  <c r="BL735" i="26" s="1"/>
  <c r="BM735" i="26" s="1"/>
  <c r="BI769" i="26"/>
  <c r="BK769" i="26" s="1"/>
  <c r="BL769" i="26" s="1"/>
  <c r="BM769" i="26" s="1"/>
  <c r="BI783" i="26"/>
  <c r="BK783" i="26" s="1"/>
  <c r="BL783" i="26" s="1"/>
  <c r="BM783" i="26" s="1"/>
  <c r="BI774" i="26"/>
  <c r="BK774" i="26" s="1"/>
  <c r="BL774" i="26" s="1"/>
  <c r="BM774" i="26" s="1"/>
  <c r="BI787" i="26"/>
  <c r="BK787" i="26" s="1"/>
  <c r="BL787" i="26" s="1"/>
  <c r="BM787" i="26" s="1"/>
  <c r="BI7" i="26"/>
  <c r="BK7" i="26" s="1"/>
  <c r="BL7" i="26" s="1"/>
  <c r="BM7" i="26" s="1"/>
  <c r="BI643" i="26"/>
  <c r="BK643" i="26" s="1"/>
  <c r="BL643" i="26" s="1"/>
  <c r="BM643" i="26" s="1"/>
  <c r="BI298" i="26"/>
  <c r="BK298" i="26" s="1"/>
  <c r="BL298" i="26" s="1"/>
  <c r="BM298" i="26" s="1"/>
  <c r="BI459" i="26"/>
  <c r="BK459" i="26" s="1"/>
  <c r="BL459" i="26" s="1"/>
  <c r="BM459" i="26" s="1"/>
  <c r="BI697" i="26"/>
  <c r="BK697" i="26" s="1"/>
  <c r="BL697" i="26" s="1"/>
  <c r="BM697" i="26" s="1"/>
  <c r="BI171" i="26"/>
  <c r="BK171" i="26" s="1"/>
  <c r="BL171" i="26" s="1"/>
  <c r="BM171" i="26" s="1"/>
  <c r="BI579" i="26"/>
  <c r="BK579" i="26" s="1"/>
  <c r="BL579" i="26" s="1"/>
  <c r="BM579" i="26" s="1"/>
  <c r="BI249" i="26"/>
  <c r="BK249" i="26" s="1"/>
  <c r="BL249" i="26" s="1"/>
  <c r="BM249" i="26" s="1"/>
  <c r="BI245" i="26"/>
  <c r="BK245" i="26" s="1"/>
  <c r="BL245" i="26" s="1"/>
  <c r="BM245" i="26" s="1"/>
  <c r="BI422" i="26"/>
  <c r="BK422" i="26" s="1"/>
  <c r="BL422" i="26" s="1"/>
  <c r="BM422" i="26" s="1"/>
  <c r="BI460" i="26"/>
  <c r="BK460" i="26" s="1"/>
  <c r="BL460" i="26" s="1"/>
  <c r="BM460" i="26" s="1"/>
  <c r="BI467" i="26"/>
  <c r="BK467" i="26" s="1"/>
  <c r="BL467" i="26" s="1"/>
  <c r="BM467" i="26" s="1"/>
  <c r="BI162" i="26"/>
  <c r="BK162" i="26" s="1"/>
  <c r="BL162" i="26" s="1"/>
  <c r="BM162" i="26" s="1"/>
  <c r="BI217" i="26"/>
  <c r="BK217" i="26" s="1"/>
  <c r="BL217" i="26" s="1"/>
  <c r="BM217" i="26" s="1"/>
  <c r="BI354" i="26"/>
  <c r="BK354" i="26" s="1"/>
  <c r="BL354" i="26" s="1"/>
  <c r="BM354" i="26" s="1"/>
  <c r="BI399" i="26"/>
  <c r="BK399" i="26" s="1"/>
  <c r="BL399" i="26" s="1"/>
  <c r="BM399" i="26" s="1"/>
  <c r="BI493" i="26"/>
  <c r="BK493" i="26" s="1"/>
  <c r="BL493" i="26" s="1"/>
  <c r="BM493" i="26" s="1"/>
  <c r="BI524" i="26"/>
  <c r="BK524" i="26" s="1"/>
  <c r="BL524" i="26" s="1"/>
  <c r="BM524" i="26" s="1"/>
  <c r="BI591" i="26"/>
  <c r="BK591" i="26" s="1"/>
  <c r="BL591" i="26" s="1"/>
  <c r="BM591" i="26" s="1"/>
  <c r="BI654" i="26"/>
  <c r="BK654" i="26" s="1"/>
  <c r="BL654" i="26" s="1"/>
  <c r="BM654" i="26" s="1"/>
  <c r="BI644" i="26"/>
  <c r="BK644" i="26" s="1"/>
  <c r="BL644" i="26" s="1"/>
  <c r="BM644" i="26" s="1"/>
  <c r="BI703" i="26"/>
  <c r="BK703" i="26" s="1"/>
  <c r="BL703" i="26" s="1"/>
  <c r="BM703" i="26" s="1"/>
  <c r="BI713" i="26"/>
  <c r="BK713" i="26" s="1"/>
  <c r="BL713" i="26" s="1"/>
  <c r="BM713" i="26" s="1"/>
  <c r="BI764" i="26"/>
  <c r="BK764" i="26" s="1"/>
  <c r="BL764" i="26" s="1"/>
  <c r="BM764" i="26" s="1"/>
  <c r="BI14" i="26"/>
  <c r="BK14" i="26" s="1"/>
  <c r="BL14" i="26" s="1"/>
  <c r="BM14" i="26" s="1"/>
  <c r="BI6" i="26"/>
  <c r="BK6" i="26" s="1"/>
  <c r="BL6" i="26" s="1"/>
  <c r="BM6" i="26" s="1"/>
  <c r="BI66" i="26"/>
  <c r="BK66" i="26" s="1"/>
  <c r="BL66" i="26" s="1"/>
  <c r="BM66" i="26" s="1"/>
  <c r="BI81" i="26"/>
  <c r="BK81" i="26" s="1"/>
  <c r="BL81" i="26" s="1"/>
  <c r="BM81" i="26" s="1"/>
  <c r="BI127" i="26"/>
  <c r="BK127" i="26" s="1"/>
  <c r="BL127" i="26" s="1"/>
  <c r="BM127" i="26" s="1"/>
  <c r="BI23" i="26"/>
  <c r="BK23" i="26" s="1"/>
  <c r="BL23" i="26" s="1"/>
  <c r="BM23" i="26" s="1"/>
  <c r="BI55" i="26"/>
  <c r="BI124" i="26"/>
  <c r="BK124" i="26" s="1"/>
  <c r="BL124" i="26" s="1"/>
  <c r="BM124" i="26" s="1"/>
  <c r="BI153" i="26"/>
  <c r="BK153" i="26" s="1"/>
  <c r="BL153" i="26" s="1"/>
  <c r="BI202" i="26"/>
  <c r="BK202" i="26" s="1"/>
  <c r="BL202" i="26" s="1"/>
  <c r="BM202" i="26" s="1"/>
  <c r="BI297" i="26"/>
  <c r="BK297" i="26" s="1"/>
  <c r="BL297" i="26" s="1"/>
  <c r="BM297" i="26" s="1"/>
  <c r="BI282" i="26"/>
  <c r="BK282" i="26" s="1"/>
  <c r="BL282" i="26" s="1"/>
  <c r="BM282" i="26" s="1"/>
  <c r="BI235" i="26"/>
  <c r="BK235" i="26" s="1"/>
  <c r="BL235" i="26" s="1"/>
  <c r="BM235" i="26" s="1"/>
  <c r="BI292" i="26"/>
  <c r="BK292" i="26" s="1"/>
  <c r="BL292" i="26" s="1"/>
  <c r="BM292" i="26" s="1"/>
  <c r="BI307" i="26"/>
  <c r="BK307" i="26" s="1"/>
  <c r="BL307" i="26" s="1"/>
  <c r="BM307" i="26" s="1"/>
  <c r="BI364" i="26"/>
  <c r="BK364" i="26" s="1"/>
  <c r="BL364" i="26" s="1"/>
  <c r="BM364" i="26" s="1"/>
  <c r="BI410" i="26"/>
  <c r="BK410" i="26" s="1"/>
  <c r="BL410" i="26" s="1"/>
  <c r="BM410" i="26" s="1"/>
  <c r="BI425" i="26"/>
  <c r="BK425" i="26" s="1"/>
  <c r="BL425" i="26" s="1"/>
  <c r="BM425" i="26" s="1"/>
  <c r="BI312" i="26"/>
  <c r="BK312" i="26" s="1"/>
  <c r="BL312" i="26" s="1"/>
  <c r="BM312" i="26" s="1"/>
  <c r="BI494" i="26"/>
  <c r="BK494" i="26" s="1"/>
  <c r="BL494" i="26" s="1"/>
  <c r="BM494" i="26" s="1"/>
  <c r="BI555" i="26"/>
  <c r="BK555" i="26" s="1"/>
  <c r="BL555" i="26" s="1"/>
  <c r="BM555" i="26" s="1"/>
  <c r="BI621" i="26"/>
  <c r="BK621" i="26" s="1"/>
  <c r="BL621" i="26" s="1"/>
  <c r="BM621" i="26" s="1"/>
  <c r="BI605" i="26"/>
  <c r="BK605" i="26" s="1"/>
  <c r="BL605" i="26" s="1"/>
  <c r="BM605" i="26" s="1"/>
  <c r="BI650" i="26"/>
  <c r="BK650" i="26" s="1"/>
  <c r="BL650" i="26" s="1"/>
  <c r="BM650" i="26" s="1"/>
  <c r="BI682" i="26"/>
  <c r="BK682" i="26" s="1"/>
  <c r="BL682" i="26" s="1"/>
  <c r="BM682" i="26" s="1"/>
  <c r="BI709" i="26"/>
  <c r="BK709" i="26" s="1"/>
  <c r="BL709" i="26" s="1"/>
  <c r="BM709" i="26" s="1"/>
  <c r="BI699" i="26"/>
  <c r="BK699" i="26" s="1"/>
  <c r="BL699" i="26" s="1"/>
  <c r="BM699" i="26" s="1"/>
  <c r="BI667" i="26"/>
  <c r="BK667" i="26" s="1"/>
  <c r="BL667" i="26" s="1"/>
  <c r="BM667" i="26" s="1"/>
  <c r="BI751" i="26"/>
  <c r="BK751" i="26" s="1"/>
  <c r="BL751" i="26" s="1"/>
  <c r="BM751" i="26" s="1"/>
  <c r="BI733" i="26"/>
  <c r="BK733" i="26" s="1"/>
  <c r="BL733" i="26" s="1"/>
  <c r="BM733" i="26" s="1"/>
  <c r="BI18" i="26"/>
  <c r="BK18" i="26" s="1"/>
  <c r="BL18" i="26" s="1"/>
  <c r="BM18" i="26" s="1"/>
  <c r="BK765" i="26"/>
  <c r="BL765" i="26" s="1"/>
  <c r="BM765" i="26" s="1"/>
  <c r="BK716" i="26"/>
  <c r="BL716" i="26" s="1"/>
  <c r="BM716" i="26" s="1"/>
  <c r="BK415" i="26"/>
  <c r="BL415" i="26" s="1"/>
  <c r="BM415" i="26" s="1"/>
  <c r="BK738" i="26"/>
  <c r="BL738" i="26" s="1"/>
  <c r="BM738" i="26" s="1"/>
  <c r="BK497" i="26"/>
  <c r="BL497" i="26" s="1"/>
  <c r="BM497" i="26" s="1"/>
  <c r="BK281" i="26"/>
  <c r="BL281" i="26" s="1"/>
  <c r="BM281" i="26" s="1"/>
  <c r="BK740" i="26"/>
  <c r="BL740" i="26" s="1"/>
  <c r="BM740" i="26" s="1"/>
  <c r="BK439" i="26"/>
  <c r="BL439" i="26" s="1"/>
  <c r="BM439" i="26" s="1"/>
  <c r="BK834" i="26"/>
  <c r="BL834" i="26" s="1"/>
  <c r="BM834" i="26" s="1"/>
  <c r="BI588" i="26"/>
  <c r="BK588" i="26" s="1"/>
  <c r="BL588" i="26" s="1"/>
  <c r="BM588" i="26" s="1"/>
  <c r="BI331" i="26"/>
  <c r="BK331" i="26" s="1"/>
  <c r="BL331" i="26" s="1"/>
  <c r="BM331" i="26" s="1"/>
  <c r="BI565" i="26"/>
  <c r="BK565" i="26" s="1"/>
  <c r="BL565" i="26" s="1"/>
  <c r="BM565" i="26" s="1"/>
  <c r="BI616" i="26"/>
  <c r="BK616" i="26" s="1"/>
  <c r="BL616" i="26" s="1"/>
  <c r="BM616" i="26" s="1"/>
  <c r="BI807" i="26"/>
  <c r="BK807" i="26" s="1"/>
  <c r="BL807" i="26" s="1"/>
  <c r="BM807" i="26" s="1"/>
  <c r="BI759" i="26"/>
  <c r="BK759" i="26" s="1"/>
  <c r="BL759" i="26" s="1"/>
  <c r="BM759" i="26" s="1"/>
  <c r="BI732" i="26"/>
  <c r="BK732" i="26" s="1"/>
  <c r="BL732" i="26" s="1"/>
  <c r="BM732" i="26" s="1"/>
  <c r="BI772" i="26"/>
  <c r="BK772" i="26" s="1"/>
  <c r="BL772" i="26" s="1"/>
  <c r="BM772" i="26" s="1"/>
  <c r="BI419" i="26"/>
  <c r="BK419" i="26" s="1"/>
  <c r="BL419" i="26" s="1"/>
  <c r="BM419" i="26" s="1"/>
  <c r="BI826" i="26"/>
  <c r="BK826" i="26" s="1"/>
  <c r="BL826" i="26" s="1"/>
  <c r="BM826" i="26" s="1"/>
  <c r="BI573" i="26"/>
  <c r="BK573" i="26" s="1"/>
  <c r="BL573" i="26" s="1"/>
  <c r="BM573" i="26" s="1"/>
  <c r="BI808" i="26"/>
  <c r="BK808" i="26" s="1"/>
  <c r="BL808" i="26" s="1"/>
  <c r="BM808" i="26" s="1"/>
  <c r="BI327" i="26"/>
  <c r="BK327" i="26" s="1"/>
  <c r="BL327" i="26" s="1"/>
  <c r="BM327" i="26" s="1"/>
  <c r="BI83" i="26"/>
  <c r="BK83" i="26" s="1"/>
  <c r="BL83" i="26" s="1"/>
  <c r="BM83" i="26" s="1"/>
  <c r="BI600" i="26"/>
  <c r="BK600" i="26" s="1"/>
  <c r="BL600" i="26" s="1"/>
  <c r="BM600" i="26" s="1"/>
  <c r="BI636" i="26"/>
  <c r="BK636" i="26" s="1"/>
  <c r="BL636" i="26" s="1"/>
  <c r="BM636" i="26" s="1"/>
  <c r="BI436" i="26"/>
  <c r="BK436" i="26" s="1"/>
  <c r="BL436" i="26" s="1"/>
  <c r="BM436" i="26" s="1"/>
  <c r="BI507" i="26"/>
  <c r="BK507" i="26" s="1"/>
  <c r="BL507" i="26" s="1"/>
  <c r="BM507" i="26" s="1"/>
  <c r="BI645" i="26"/>
  <c r="BK645" i="26" s="1"/>
  <c r="BL645" i="26" s="1"/>
  <c r="BM645" i="26" s="1"/>
  <c r="BI593" i="26"/>
  <c r="BK593" i="26" s="1"/>
  <c r="BL593" i="26" s="1"/>
  <c r="BM593" i="26" s="1"/>
  <c r="BI824" i="26"/>
  <c r="BK824" i="26" s="1"/>
  <c r="BL824" i="26" s="1"/>
  <c r="BM824" i="26" s="1"/>
  <c r="BI589" i="26"/>
  <c r="BK589" i="26" s="1"/>
  <c r="BL589" i="26" s="1"/>
  <c r="BM589" i="26" s="1"/>
  <c r="BI567" i="26"/>
  <c r="BK567" i="26" s="1"/>
  <c r="BL567" i="26" s="1"/>
  <c r="BM567" i="26" s="1"/>
  <c r="BI387" i="26"/>
  <c r="BK387" i="26" s="1"/>
  <c r="BL387" i="26" s="1"/>
  <c r="BM387" i="26" s="1"/>
  <c r="BI547" i="26"/>
  <c r="BK547" i="26" s="1"/>
  <c r="BL547" i="26" s="1"/>
  <c r="BM547" i="26" s="1"/>
  <c r="BI762" i="26"/>
  <c r="BK762" i="26" s="1"/>
  <c r="BL762" i="26" s="1"/>
  <c r="BM762" i="26" s="1"/>
  <c r="BI668" i="26"/>
  <c r="BK668" i="26" s="1"/>
  <c r="BL668" i="26" s="1"/>
  <c r="BM668" i="26" s="1"/>
  <c r="BI646" i="26"/>
  <c r="BK646" i="26" s="1"/>
  <c r="BL646" i="26" s="1"/>
  <c r="BM646" i="26" s="1"/>
  <c r="BI550" i="26"/>
  <c r="BK550" i="26" s="1"/>
  <c r="BL550" i="26" s="1"/>
  <c r="BM550" i="26" s="1"/>
  <c r="BI558" i="26"/>
  <c r="BK558" i="26" s="1"/>
  <c r="BL558" i="26" s="1"/>
  <c r="BM558" i="26" s="1"/>
  <c r="BI610" i="26"/>
  <c r="BK610" i="26" s="1"/>
  <c r="BL610" i="26" s="1"/>
  <c r="BM610" i="26" s="1"/>
  <c r="BI534" i="26"/>
  <c r="BK534" i="26" s="1"/>
  <c r="BL534" i="26" s="1"/>
  <c r="BM534" i="26" s="1"/>
  <c r="BI566" i="26"/>
  <c r="BK566" i="26" s="1"/>
  <c r="BL566" i="26" s="1"/>
  <c r="BM566" i="26" s="1"/>
  <c r="BI685" i="26"/>
  <c r="BK685" i="26" s="1"/>
  <c r="BL685" i="26" s="1"/>
  <c r="BM685" i="26" s="1"/>
  <c r="BI742" i="26"/>
  <c r="BK742" i="26" s="1"/>
  <c r="BL742" i="26" s="1"/>
  <c r="BM742" i="26" s="1"/>
  <c r="BI84" i="26"/>
  <c r="BK84" i="26" s="1"/>
  <c r="BL84" i="26" s="1"/>
  <c r="BM84" i="26" s="1"/>
  <c r="BI660" i="26"/>
  <c r="BK660" i="26" s="1"/>
  <c r="BL660" i="26" s="1"/>
  <c r="BM660" i="26" s="1"/>
  <c r="BI128" i="26"/>
  <c r="BK128" i="26" s="1"/>
  <c r="BL128" i="26" s="1"/>
  <c r="BM128" i="26" s="1"/>
  <c r="BI619" i="26"/>
  <c r="BK619" i="26" s="1"/>
  <c r="BL619" i="26" s="1"/>
  <c r="BM619" i="26" s="1"/>
  <c r="BI353" i="26"/>
  <c r="BK353" i="26" s="1"/>
  <c r="BL353" i="26" s="1"/>
  <c r="BM353" i="26" s="1"/>
  <c r="BI478" i="26"/>
  <c r="BK478" i="26" s="1"/>
  <c r="BL478" i="26" s="1"/>
  <c r="BM478" i="26" s="1"/>
  <c r="BI691" i="26"/>
  <c r="BK691" i="26" s="1"/>
  <c r="BL691" i="26" s="1"/>
  <c r="BM691" i="26" s="1"/>
  <c r="BI75" i="26"/>
  <c r="BK75" i="26" s="1"/>
  <c r="BL75" i="26" s="1"/>
  <c r="BM75" i="26" s="1"/>
  <c r="BI495" i="26"/>
  <c r="BK495" i="26" s="1"/>
  <c r="BL495" i="26" s="1"/>
  <c r="BM495" i="26" s="1"/>
  <c r="BI749" i="26"/>
  <c r="BK749" i="26" s="1"/>
  <c r="BL749" i="26" s="1"/>
  <c r="BM749" i="26" s="1"/>
  <c r="BI393" i="26"/>
  <c r="BK393" i="26" s="1"/>
  <c r="BL393" i="26" s="1"/>
  <c r="BM393" i="26" s="1"/>
  <c r="BI358" i="26"/>
  <c r="BK358" i="26" s="1"/>
  <c r="BL358" i="26" s="1"/>
  <c r="BM358" i="26" s="1"/>
  <c r="BI380" i="26"/>
  <c r="BK380" i="26" s="1"/>
  <c r="BL380" i="26" s="1"/>
  <c r="BM380" i="26" s="1"/>
  <c r="BI119" i="26"/>
  <c r="BK119" i="26" s="1"/>
  <c r="BL119" i="26" s="1"/>
  <c r="BM119" i="26" s="1"/>
  <c r="BI584" i="26"/>
  <c r="BK584" i="26" s="1"/>
  <c r="BL584" i="26" s="1"/>
  <c r="BM584" i="26" s="1"/>
  <c r="BI101" i="26"/>
  <c r="BK101" i="26" s="1"/>
  <c r="BL101" i="26" s="1"/>
  <c r="BM101" i="26" s="1"/>
  <c r="BI570" i="26"/>
  <c r="BK570" i="26" s="1"/>
  <c r="BL570" i="26" s="1"/>
  <c r="BM570" i="26" s="1"/>
  <c r="BI543" i="26"/>
  <c r="BK543" i="26" s="1"/>
  <c r="BL543" i="26" s="1"/>
  <c r="BM543" i="26" s="1"/>
  <c r="BI815" i="26"/>
  <c r="BK815" i="26" s="1"/>
  <c r="BL815" i="26" s="1"/>
  <c r="BM815" i="26" s="1"/>
  <c r="BI375" i="26"/>
  <c r="BK375" i="26" s="1"/>
  <c r="BL375" i="26" s="1"/>
  <c r="BM375" i="26" s="1"/>
  <c r="BI336" i="26"/>
  <c r="BK336" i="26" s="1"/>
  <c r="BL336" i="26" s="1"/>
  <c r="BM336" i="26" s="1"/>
  <c r="BI548" i="26"/>
  <c r="BK548" i="26" s="1"/>
  <c r="BL548" i="26" s="1"/>
  <c r="BM548" i="26" s="1"/>
  <c r="BI189" i="26"/>
  <c r="BK189" i="26" s="1"/>
  <c r="BL189" i="26" s="1"/>
  <c r="BM189" i="26" s="1"/>
  <c r="BI172" i="26"/>
  <c r="BK172" i="26" s="1"/>
  <c r="BL172" i="26" s="1"/>
  <c r="BM172" i="26" s="1"/>
  <c r="BI674" i="26"/>
  <c r="BK674" i="26" s="1"/>
  <c r="BL674" i="26" s="1"/>
  <c r="BM674" i="26" s="1"/>
  <c r="BI739" i="26"/>
  <c r="BK739" i="26" s="1"/>
  <c r="BL739" i="26" s="1"/>
  <c r="BM739" i="26" s="1"/>
  <c r="BI255" i="26"/>
  <c r="BK255" i="26" s="1"/>
  <c r="BL255" i="26" s="1"/>
  <c r="BM255" i="26" s="1"/>
  <c r="BI402" i="26"/>
  <c r="BK402" i="26" s="1"/>
  <c r="BL402" i="26" s="1"/>
  <c r="BM402" i="26" s="1"/>
  <c r="BI702" i="26"/>
  <c r="BK702" i="26" s="1"/>
  <c r="BL702" i="26" s="1"/>
  <c r="BM702" i="26" s="1"/>
  <c r="BI185" i="26"/>
  <c r="BK185" i="26" s="1"/>
  <c r="BL185" i="26" s="1"/>
  <c r="BM185" i="26" s="1"/>
  <c r="BI477" i="26"/>
  <c r="BK477" i="26" s="1"/>
  <c r="BL477" i="26" s="1"/>
  <c r="BM477" i="26" s="1"/>
  <c r="BI614" i="26"/>
  <c r="BK614" i="26" s="1"/>
  <c r="BL614" i="26" s="1"/>
  <c r="BM614" i="26" s="1"/>
  <c r="BI491" i="26"/>
  <c r="BK491" i="26" s="1"/>
  <c r="BL491" i="26" s="1"/>
  <c r="BM491" i="26" s="1"/>
  <c r="BI736" i="26"/>
  <c r="BK736" i="26" s="1"/>
  <c r="BL736" i="26" s="1"/>
  <c r="BM736" i="26" s="1"/>
  <c r="BI229" i="26"/>
  <c r="BK229" i="26" s="1"/>
  <c r="BL229" i="26" s="1"/>
  <c r="BM229" i="26" s="1"/>
  <c r="BI451" i="26"/>
  <c r="BK451" i="26" s="1"/>
  <c r="BL451" i="26" s="1"/>
  <c r="BM451" i="26" s="1"/>
  <c r="BI379" i="26"/>
  <c r="BK379" i="26" s="1"/>
  <c r="BL379" i="26" s="1"/>
  <c r="BM379" i="26" s="1"/>
  <c r="BI79" i="26"/>
  <c r="BK79" i="26" s="1"/>
  <c r="BL79" i="26" s="1"/>
  <c r="BM79" i="26" s="1"/>
  <c r="BI455" i="26"/>
  <c r="BK455" i="26" s="1"/>
  <c r="BL455" i="26" s="1"/>
  <c r="BM455" i="26" s="1"/>
  <c r="BI211" i="26"/>
  <c r="BK211" i="26" s="1"/>
  <c r="BL211" i="26" s="1"/>
  <c r="BM211" i="26" s="1"/>
  <c r="BI456" i="26"/>
  <c r="BK456" i="26" s="1"/>
  <c r="BL456" i="26" s="1"/>
  <c r="BM456" i="26" s="1"/>
  <c r="BI580" i="26"/>
  <c r="BK580" i="26" s="1"/>
  <c r="BL580" i="26" s="1"/>
  <c r="BM580" i="26" s="1"/>
  <c r="BI106" i="26"/>
  <c r="BK106" i="26" s="1"/>
  <c r="BL106" i="26" s="1"/>
  <c r="BM106" i="26" s="1"/>
  <c r="BI693" i="26"/>
  <c r="BK693" i="26" s="1"/>
  <c r="BL693" i="26" s="1"/>
  <c r="BM693" i="26" s="1"/>
  <c r="BI207" i="26"/>
  <c r="BK207" i="26" s="1"/>
  <c r="BL207" i="26" s="1"/>
  <c r="BM207" i="26" s="1"/>
  <c r="BI335" i="26"/>
  <c r="BK335" i="26" s="1"/>
  <c r="BL335" i="26" s="1"/>
  <c r="BM335" i="26" s="1"/>
  <c r="BI150" i="26"/>
  <c r="BK150" i="26" s="1"/>
  <c r="BL150" i="26" s="1"/>
  <c r="BM150" i="26" s="1"/>
  <c r="BI704" i="26"/>
  <c r="BK704" i="26" s="1"/>
  <c r="BL704" i="26" s="1"/>
  <c r="BM704" i="26" s="1"/>
  <c r="BI706" i="26"/>
  <c r="BK706" i="26" s="1"/>
  <c r="BL706" i="26" s="1"/>
  <c r="BM706" i="26" s="1"/>
  <c r="BI314" i="26"/>
  <c r="BK314" i="26" s="1"/>
  <c r="BL314" i="26" s="1"/>
  <c r="BM314" i="26" s="1"/>
  <c r="BI552" i="26"/>
  <c r="BK552" i="26" s="1"/>
  <c r="BL552" i="26" s="1"/>
  <c r="BM552" i="26" s="1"/>
  <c r="BI123" i="26"/>
  <c r="BK123" i="26" s="1"/>
  <c r="BL123" i="26" s="1"/>
  <c r="BM123" i="26" s="1"/>
  <c r="BI141" i="26"/>
  <c r="BK141" i="26" s="1"/>
  <c r="BL141" i="26" s="1"/>
  <c r="BM141" i="26" s="1"/>
  <c r="BI721" i="26"/>
  <c r="BK721" i="26" s="1"/>
  <c r="BL721" i="26" s="1"/>
  <c r="BM721" i="26" s="1"/>
  <c r="BI105" i="26"/>
  <c r="BK105" i="26" s="1"/>
  <c r="BL105" i="26" s="1"/>
  <c r="BM105" i="26" s="1"/>
  <c r="BI233" i="26"/>
  <c r="BK233" i="26" s="1"/>
  <c r="BL233" i="26" s="1"/>
  <c r="BM233" i="26" s="1"/>
  <c r="BI251" i="26"/>
  <c r="BK251" i="26" s="1"/>
  <c r="BL251" i="26" s="1"/>
  <c r="BM251" i="26" s="1"/>
  <c r="BI259" i="26"/>
  <c r="BK259" i="26" s="1"/>
  <c r="BL259" i="26" s="1"/>
  <c r="BM259" i="26" s="1"/>
  <c r="BI401" i="26"/>
  <c r="BK401" i="26" s="1"/>
  <c r="BL401" i="26" s="1"/>
  <c r="BM401" i="26" s="1"/>
  <c r="BI752" i="26"/>
  <c r="BK752" i="26" s="1"/>
  <c r="BL752" i="26" s="1"/>
  <c r="BM752" i="26" s="1"/>
  <c r="BI145" i="26"/>
  <c r="BK145" i="26" s="1"/>
  <c r="BL145" i="26" s="1"/>
  <c r="BM145" i="26" s="1"/>
  <c r="BI273" i="26"/>
  <c r="BK273" i="26" s="1"/>
  <c r="BL273" i="26" s="1"/>
  <c r="BM273" i="26" s="1"/>
  <c r="BI632" i="26"/>
  <c r="BK632" i="26" s="1"/>
  <c r="BL632" i="26" s="1"/>
  <c r="BM632" i="26" s="1"/>
  <c r="BI781" i="26"/>
  <c r="BK781" i="26" s="1"/>
  <c r="BL781" i="26" s="1"/>
  <c r="BM781" i="26" s="1"/>
  <c r="BI556" i="26"/>
  <c r="BK556" i="26" s="1"/>
  <c r="BL556" i="26" s="1"/>
  <c r="BM556" i="26" s="1"/>
  <c r="BI163" i="26"/>
  <c r="BK163" i="26" s="1"/>
  <c r="BL163" i="26" s="1"/>
  <c r="BM163" i="26" s="1"/>
  <c r="BI499" i="26"/>
  <c r="BK499" i="26" s="1"/>
  <c r="BL499" i="26" s="1"/>
  <c r="BM499" i="26" s="1"/>
  <c r="BI441" i="26"/>
  <c r="BK441" i="26" s="1"/>
  <c r="BL441" i="26" s="1"/>
  <c r="BM441" i="26" s="1"/>
  <c r="BI305" i="26"/>
  <c r="BK305" i="26" s="1"/>
  <c r="BL305" i="26" s="1"/>
  <c r="BM305" i="26" s="1"/>
  <c r="BI216" i="26"/>
  <c r="BK216" i="26" s="1"/>
  <c r="BL216" i="26" s="1"/>
  <c r="BM216" i="26" s="1"/>
  <c r="BI167" i="26"/>
  <c r="BK167" i="26" s="1"/>
  <c r="BL167" i="26" s="1"/>
  <c r="BM167" i="26" s="1"/>
  <c r="BI357" i="26"/>
  <c r="BK357" i="26" s="1"/>
  <c r="BL357" i="26" s="1"/>
  <c r="BM357" i="26" s="1"/>
  <c r="BI423" i="26"/>
  <c r="BK423" i="26" s="1"/>
  <c r="BL423" i="26" s="1"/>
  <c r="BM423" i="26" s="1"/>
  <c r="BI819" i="26"/>
  <c r="BK819" i="26" s="1"/>
  <c r="BL819" i="26" s="1"/>
  <c r="BM819" i="26" s="1"/>
  <c r="BI701" i="26"/>
  <c r="BK701" i="26" s="1"/>
  <c r="BL701" i="26" s="1"/>
  <c r="BM701" i="26" s="1"/>
  <c r="BI193" i="26"/>
  <c r="BK193" i="26" s="1"/>
  <c r="BL193" i="26" s="1"/>
  <c r="BM193" i="26" s="1"/>
  <c r="BI539" i="26"/>
  <c r="BK539" i="26" s="1"/>
  <c r="BL539" i="26" s="1"/>
  <c r="BM539" i="26" s="1"/>
  <c r="BI521" i="26"/>
  <c r="BK521" i="26" s="1"/>
  <c r="BL521" i="26" s="1"/>
  <c r="BM521" i="26" s="1"/>
  <c r="BI675" i="26"/>
  <c r="BK675" i="26" s="1"/>
  <c r="BL675" i="26" s="1"/>
  <c r="BM675" i="26" s="1"/>
  <c r="BI544" i="26"/>
  <c r="BK544" i="26" s="1"/>
  <c r="BL544" i="26" s="1"/>
  <c r="BM544" i="26" s="1"/>
  <c r="BI784" i="26"/>
  <c r="BK784" i="26" s="1"/>
  <c r="BL784" i="26" s="1"/>
  <c r="BM784" i="26" s="1"/>
  <c r="BI437" i="26"/>
  <c r="BK437" i="26" s="1"/>
  <c r="BL437" i="26" s="1"/>
  <c r="BM437" i="26" s="1"/>
  <c r="BI599" i="26"/>
  <c r="BK599" i="26" s="1"/>
  <c r="BL599" i="26" s="1"/>
  <c r="BM599" i="26" s="1"/>
  <c r="BI677" i="26"/>
  <c r="BK677" i="26" s="1"/>
  <c r="BL677" i="26" s="1"/>
  <c r="BM677" i="26" s="1"/>
  <c r="BI690" i="26"/>
  <c r="BK690" i="26" s="1"/>
  <c r="BL690" i="26" s="1"/>
  <c r="BM690" i="26" s="1"/>
  <c r="BI277" i="26"/>
  <c r="BK277" i="26" s="1"/>
  <c r="BL277" i="26" s="1"/>
  <c r="BM277" i="26" s="1"/>
  <c r="BI750" i="26"/>
  <c r="BK750" i="26" s="1"/>
  <c r="BL750" i="26" s="1"/>
  <c r="BM750" i="26" s="1"/>
  <c r="BI260" i="26"/>
  <c r="BK260" i="26" s="1"/>
  <c r="BL260" i="26" s="1"/>
  <c r="BM260" i="26" s="1"/>
  <c r="BI309" i="26"/>
  <c r="BK309" i="26" s="1"/>
  <c r="BL309" i="26" s="1"/>
  <c r="BM309" i="26" s="1"/>
  <c r="BI424" i="26"/>
  <c r="BK424" i="26" s="1"/>
  <c r="BL424" i="26" s="1"/>
  <c r="BM424" i="26" s="1"/>
  <c r="BI500" i="26"/>
  <c r="BK500" i="26" s="1"/>
  <c r="BL500" i="26" s="1"/>
  <c r="BM500" i="26" s="1"/>
  <c r="BI557" i="26"/>
  <c r="BK557" i="26" s="1"/>
  <c r="BL557" i="26" s="1"/>
  <c r="BM557" i="26" s="1"/>
  <c r="BI598" i="26"/>
  <c r="BK598" i="26" s="1"/>
  <c r="BL598" i="26" s="1"/>
  <c r="BM598" i="26" s="1"/>
  <c r="BI679" i="26"/>
  <c r="BK679" i="26" s="1"/>
  <c r="BL679" i="26" s="1"/>
  <c r="BM679" i="26" s="1"/>
  <c r="BI754" i="26"/>
  <c r="BK754" i="26" s="1"/>
  <c r="BL754" i="26" s="1"/>
  <c r="BM754" i="26" s="1"/>
  <c r="BI768" i="26"/>
  <c r="BK768" i="26" s="1"/>
  <c r="BL768" i="26" s="1"/>
  <c r="BM768" i="26" s="1"/>
  <c r="BI97" i="26"/>
  <c r="BK97" i="26" s="1"/>
  <c r="BL97" i="26" s="1"/>
  <c r="BM97" i="26" s="1"/>
  <c r="BI447" i="26"/>
  <c r="BK447" i="26" s="1"/>
  <c r="BL447" i="26" s="1"/>
  <c r="BM447" i="26" s="1"/>
  <c r="BI522" i="26"/>
  <c r="BK522" i="26" s="1"/>
  <c r="BL522" i="26" s="1"/>
  <c r="BM522" i="26" s="1"/>
  <c r="BI720" i="26"/>
  <c r="BK720" i="26" s="1"/>
  <c r="BL720" i="26" s="1"/>
  <c r="BM720" i="26" s="1"/>
  <c r="BI473" i="26"/>
  <c r="BK473" i="26" s="1"/>
  <c r="BL473" i="26" s="1"/>
  <c r="BM473" i="26" s="1"/>
  <c r="BI695" i="26"/>
  <c r="BK695" i="26" s="1"/>
  <c r="BL695" i="26" s="1"/>
  <c r="BM695" i="26" s="1"/>
  <c r="BI737" i="26"/>
  <c r="BK737" i="26" s="1"/>
  <c r="BL737" i="26" s="1"/>
  <c r="BM737" i="26" s="1"/>
  <c r="BI811" i="26"/>
  <c r="BK811" i="26" s="1"/>
  <c r="BL811" i="26" s="1"/>
  <c r="BM811" i="26" s="1"/>
  <c r="BI802" i="26"/>
  <c r="BK802" i="26" s="1"/>
  <c r="BL802" i="26" s="1"/>
  <c r="BM802" i="26" s="1"/>
  <c r="BI814" i="26"/>
  <c r="BK814" i="26" s="1"/>
  <c r="BL814" i="26" s="1"/>
  <c r="BM814" i="26" s="1"/>
  <c r="BI661" i="26"/>
  <c r="BK661" i="26" s="1"/>
  <c r="BL661" i="26" s="1"/>
  <c r="BM661" i="26" s="1"/>
  <c r="BI722" i="26"/>
  <c r="BK722" i="26" s="1"/>
  <c r="BL722" i="26" s="1"/>
  <c r="BM722" i="26" s="1"/>
  <c r="BI719" i="26"/>
  <c r="BK719" i="26" s="1"/>
  <c r="BL719" i="26" s="1"/>
  <c r="BM719" i="26" s="1"/>
  <c r="BI763" i="26"/>
  <c r="BK763" i="26" s="1"/>
  <c r="BL763" i="26" s="1"/>
  <c r="BM763" i="26" s="1"/>
  <c r="BI777" i="26"/>
  <c r="BK777" i="26" s="1"/>
  <c r="BL777" i="26" s="1"/>
  <c r="BM777" i="26" s="1"/>
  <c r="BI726" i="26"/>
  <c r="BK726" i="26" s="1"/>
  <c r="BL726" i="26" s="1"/>
  <c r="BM726" i="26" s="1"/>
  <c r="BI744" i="26"/>
  <c r="BK744" i="26" s="1"/>
  <c r="BL744" i="26" s="1"/>
  <c r="BM744" i="26" s="1"/>
  <c r="BI741" i="26"/>
  <c r="BK741" i="26" s="1"/>
  <c r="BL741" i="26" s="1"/>
  <c r="BM741" i="26" s="1"/>
  <c r="BI658" i="26"/>
  <c r="BK658" i="26" s="1"/>
  <c r="BL658" i="26" s="1"/>
  <c r="BM658" i="26" s="1"/>
  <c r="BI748" i="26"/>
  <c r="BK748" i="26" s="1"/>
  <c r="BL748" i="26" s="1"/>
  <c r="BM748" i="26" s="1"/>
  <c r="BI683" i="26"/>
  <c r="BK683" i="26" s="1"/>
  <c r="BL683" i="26" s="1"/>
  <c r="BM683" i="26" s="1"/>
  <c r="BI770" i="26"/>
  <c r="BK770" i="26" s="1"/>
  <c r="BL770" i="26" s="1"/>
  <c r="BM770" i="26" s="1"/>
  <c r="BI785" i="26"/>
  <c r="BK785" i="26" s="1"/>
  <c r="BL785" i="26" s="1"/>
  <c r="BM785" i="26" s="1"/>
  <c r="BI680" i="26"/>
  <c r="BK680" i="26" s="1"/>
  <c r="BL680" i="26" s="1"/>
  <c r="BM680" i="26" s="1"/>
  <c r="BI766" i="26"/>
  <c r="BK766" i="26" s="1"/>
  <c r="BL766" i="26" s="1"/>
  <c r="BM766" i="26" s="1"/>
  <c r="BI799" i="26"/>
  <c r="BK799" i="26" s="1"/>
  <c r="BL799" i="26" s="1"/>
  <c r="BM799" i="26" s="1"/>
  <c r="BA765" i="26"/>
  <c r="BB440" i="26"/>
  <c r="BC440" i="26" s="1"/>
  <c r="BD440" i="26" s="1"/>
  <c r="AZ690" i="26"/>
  <c r="BB690" i="26" s="1"/>
  <c r="BC690" i="26" s="1"/>
  <c r="BD690" i="26" s="1"/>
  <c r="AZ2" i="26"/>
  <c r="BB2" i="26" s="1"/>
  <c r="BC2" i="26" s="1"/>
  <c r="BD2" i="26" s="1"/>
  <c r="AZ517" i="26"/>
  <c r="BB517" i="26" s="1"/>
  <c r="BC517" i="26" s="1"/>
  <c r="BD517" i="26" s="1"/>
  <c r="BA362" i="26"/>
  <c r="BB362" i="26" s="1"/>
  <c r="BC362" i="26" s="1"/>
  <c r="BD362" i="26" s="1"/>
  <c r="BA287" i="26"/>
  <c r="BB287" i="26" s="1"/>
  <c r="BC287" i="26" s="1"/>
  <c r="BD287" i="26" s="1"/>
  <c r="AZ606" i="26"/>
  <c r="BB606" i="26" s="1"/>
  <c r="BC606" i="26" s="1"/>
  <c r="BD606" i="26" s="1"/>
  <c r="BA635" i="26"/>
  <c r="BA586" i="26"/>
  <c r="AZ352" i="26"/>
  <c r="BB352" i="26" s="1"/>
  <c r="BC352" i="26" s="1"/>
  <c r="BD352" i="26" s="1"/>
  <c r="BA371" i="26"/>
  <c r="BB371" i="26" s="1"/>
  <c r="BC371" i="26" s="1"/>
  <c r="BD371" i="26" s="1"/>
  <c r="AZ709" i="26"/>
  <c r="BB709" i="26" s="1"/>
  <c r="BC709" i="26" s="1"/>
  <c r="BD709" i="26" s="1"/>
  <c r="AZ223" i="26"/>
  <c r="BB223" i="26" s="1"/>
  <c r="BC223" i="26" s="1"/>
  <c r="BD223" i="26" s="1"/>
  <c r="AZ241" i="26"/>
  <c r="BB241" i="26" s="1"/>
  <c r="BC241" i="26" s="1"/>
  <c r="BD241" i="26" s="1"/>
  <c r="AZ14" i="26"/>
  <c r="BB14" i="26" s="1"/>
  <c r="BC14" i="26" s="1"/>
  <c r="BD14" i="26" s="1"/>
  <c r="AZ18" i="26"/>
  <c r="BB18" i="26" s="1"/>
  <c r="BC18" i="26" s="1"/>
  <c r="BD18" i="26" s="1"/>
  <c r="AZ612" i="26"/>
  <c r="BB612" i="26" s="1"/>
  <c r="BC612" i="26" s="1"/>
  <c r="BD612" i="26" s="1"/>
  <c r="BA551" i="26"/>
  <c r="BA203" i="26"/>
  <c r="BB203" i="26" s="1"/>
  <c r="BC203" i="26" s="1"/>
  <c r="BD203" i="26" s="1"/>
  <c r="AZ112" i="26"/>
  <c r="BB112" i="26" s="1"/>
  <c r="BC112" i="26" s="1"/>
  <c r="BD112" i="26" s="1"/>
  <c r="BA578" i="26"/>
  <c r="BB578" i="26" s="1"/>
  <c r="BC578" i="26" s="1"/>
  <c r="BD578" i="26" s="1"/>
  <c r="AZ536" i="26"/>
  <c r="BB536" i="26" s="1"/>
  <c r="BC536" i="26" s="1"/>
  <c r="BD536" i="26" s="1"/>
  <c r="BA434" i="26"/>
  <c r="BB434" i="26" s="1"/>
  <c r="BC434" i="26" s="1"/>
  <c r="BD434" i="26" s="1"/>
  <c r="AZ309" i="26"/>
  <c r="BB309" i="26" s="1"/>
  <c r="BC309" i="26" s="1"/>
  <c r="BD309" i="26" s="1"/>
  <c r="AZ55" i="26"/>
  <c r="BB55" i="26" s="1"/>
  <c r="BC55" i="26" s="1"/>
  <c r="BD55" i="26" s="1"/>
  <c r="AZ64" i="26"/>
  <c r="BB64" i="26" s="1"/>
  <c r="BC64" i="26" s="1"/>
  <c r="BD64" i="26" s="1"/>
  <c r="AZ471" i="26"/>
  <c r="BB471" i="26" s="1"/>
  <c r="BC471" i="26" s="1"/>
  <c r="BD471" i="26" s="1"/>
  <c r="AZ100" i="26"/>
  <c r="BB100" i="26" s="1"/>
  <c r="BC100" i="26" s="1"/>
  <c r="BD100" i="26" s="1"/>
  <c r="AZ760" i="26"/>
  <c r="BB760" i="26" s="1"/>
  <c r="BC760" i="26" s="1"/>
  <c r="BD760" i="26" s="1"/>
  <c r="BA577" i="26"/>
  <c r="BB577" i="26" s="1"/>
  <c r="BC577" i="26" s="1"/>
  <c r="BD577" i="26" s="1"/>
  <c r="AZ717" i="26"/>
  <c r="BB717" i="26" s="1"/>
  <c r="BC717" i="26" s="1"/>
  <c r="BD717" i="26" s="1"/>
  <c r="AZ520" i="26"/>
  <c r="BB520" i="26" s="1"/>
  <c r="BC520" i="26" s="1"/>
  <c r="BD520" i="26" s="1"/>
  <c r="BA519" i="26"/>
  <c r="AZ370" i="26"/>
  <c r="BB370" i="26" s="1"/>
  <c r="BC370" i="26" s="1"/>
  <c r="BD370" i="26" s="1"/>
  <c r="AZ243" i="26"/>
  <c r="BB243" i="26" s="1"/>
  <c r="BC243" i="26" s="1"/>
  <c r="BD243" i="26" s="1"/>
  <c r="BA107" i="26"/>
  <c r="BB107" i="26" s="1"/>
  <c r="BC107" i="26" s="1"/>
  <c r="BD107" i="26" s="1"/>
  <c r="BA539" i="26"/>
  <c r="BA680" i="26"/>
  <c r="AZ358" i="26"/>
  <c r="BB358" i="26" s="1"/>
  <c r="BC358" i="26" s="1"/>
  <c r="BD358" i="26" s="1"/>
  <c r="AZ41" i="26"/>
  <c r="BB41" i="26" s="1"/>
  <c r="BC41" i="26" s="1"/>
  <c r="BD41" i="26" s="1"/>
  <c r="AZ694" i="26"/>
  <c r="BB694" i="26" s="1"/>
  <c r="BC694" i="26" s="1"/>
  <c r="BD694" i="26" s="1"/>
  <c r="AZ492" i="26"/>
  <c r="BB492" i="26" s="1"/>
  <c r="BC492" i="26" s="1"/>
  <c r="BD492" i="26" s="1"/>
  <c r="BB642" i="26"/>
  <c r="BC642" i="26" s="1"/>
  <c r="BD642" i="26" s="1"/>
  <c r="BA642" i="26"/>
  <c r="AZ470" i="26"/>
  <c r="BB470" i="26" s="1"/>
  <c r="BC470" i="26" s="1"/>
  <c r="BD470" i="26" s="1"/>
  <c r="BA345" i="26"/>
  <c r="AZ363" i="26"/>
  <c r="BB363" i="26" s="1"/>
  <c r="BC363" i="26" s="1"/>
  <c r="BD363" i="26" s="1"/>
  <c r="BA674" i="26"/>
  <c r="BA190" i="26"/>
  <c r="BB190" i="26" s="1"/>
  <c r="BC190" i="26" s="1"/>
  <c r="BD190" i="26" s="1"/>
  <c r="BA101" i="26"/>
  <c r="BB101" i="26" s="1"/>
  <c r="BC101" i="26" s="1"/>
  <c r="BD101" i="26" s="1"/>
  <c r="AZ134" i="26"/>
  <c r="BB134" i="26" s="1"/>
  <c r="BC134" i="26" s="1"/>
  <c r="BD134" i="26" s="1"/>
  <c r="AZ392" i="26"/>
  <c r="BB392" i="26" s="1"/>
  <c r="BC392" i="26" s="1"/>
  <c r="BD392" i="26" s="1"/>
  <c r="AZ398" i="26"/>
  <c r="BB398" i="26" s="1"/>
  <c r="BC398" i="26" s="1"/>
  <c r="BD398" i="26" s="1"/>
  <c r="AZ828" i="26"/>
  <c r="BB828" i="26" s="1"/>
  <c r="BC828" i="26" s="1"/>
  <c r="BD828" i="26" s="1"/>
  <c r="AZ301" i="26"/>
  <c r="BB301" i="26" s="1"/>
  <c r="BC301" i="26" s="1"/>
  <c r="BD301" i="26" s="1"/>
  <c r="AZ166" i="26"/>
  <c r="BB166" i="26" s="1"/>
  <c r="BC166" i="26" s="1"/>
  <c r="BD166" i="26" s="1"/>
  <c r="AZ293" i="26"/>
  <c r="BB293" i="26" s="1"/>
  <c r="BC293" i="26" s="1"/>
  <c r="BD293" i="26" s="1"/>
  <c r="AZ782" i="26"/>
  <c r="BB782" i="26" s="1"/>
  <c r="BC782" i="26" s="1"/>
  <c r="BD782" i="26" s="1"/>
  <c r="BA513" i="26"/>
  <c r="BB513" i="26" s="1"/>
  <c r="BC513" i="26" s="1"/>
  <c r="BD513" i="26" s="1"/>
  <c r="BA632" i="26"/>
  <c r="AZ290" i="26"/>
  <c r="BB290" i="26" s="1"/>
  <c r="BC290" i="26" s="1"/>
  <c r="BD290" i="26" s="1"/>
  <c r="BA421" i="26"/>
  <c r="BB421" i="26" s="1"/>
  <c r="BC421" i="26" s="1"/>
  <c r="BD421" i="26" s="1"/>
  <c r="BA123" i="26"/>
  <c r="BA759" i="26"/>
  <c r="BB759" i="26" s="1"/>
  <c r="BC759" i="26" s="1"/>
  <c r="BD759" i="26" s="1"/>
  <c r="BA761" i="26"/>
  <c r="BB761" i="26" s="1"/>
  <c r="BC761" i="26" s="1"/>
  <c r="BD761" i="26" s="1"/>
  <c r="BA686" i="26"/>
  <c r="BB686" i="26" s="1"/>
  <c r="BC686" i="26" s="1"/>
  <c r="BD686" i="26" s="1"/>
  <c r="AZ200" i="26"/>
  <c r="BB200" i="26" s="1"/>
  <c r="BC200" i="26" s="1"/>
  <c r="BD200" i="26" s="1"/>
  <c r="AZ490" i="26"/>
  <c r="BB490" i="26" s="1"/>
  <c r="BC490" i="26" s="1"/>
  <c r="BD490" i="26" s="1"/>
  <c r="AZ472" i="26"/>
  <c r="BB472" i="26" s="1"/>
  <c r="BC472" i="26" s="1"/>
  <c r="BD472" i="26" s="1"/>
  <c r="BA260" i="26"/>
  <c r="BB260" i="26" s="1"/>
  <c r="BC260" i="26" s="1"/>
  <c r="BD260" i="26" s="1"/>
  <c r="AZ412" i="26"/>
  <c r="BB412" i="26" s="1"/>
  <c r="BC412" i="26" s="1"/>
  <c r="BD412" i="26" s="1"/>
  <c r="BB477" i="26"/>
  <c r="BC477" i="26" s="1"/>
  <c r="BD477" i="26" s="1"/>
  <c r="AZ94" i="26"/>
  <c r="BB94" i="26" s="1"/>
  <c r="BC94" i="26" s="1"/>
  <c r="BD94" i="26" s="1"/>
  <c r="BB600" i="26"/>
  <c r="BC600" i="26" s="1"/>
  <c r="BD600" i="26" s="1"/>
  <c r="AZ181" i="26"/>
  <c r="BB181" i="26" s="1"/>
  <c r="BC181" i="26" s="1"/>
  <c r="BD181" i="26" s="1"/>
  <c r="AZ641" i="26"/>
  <c r="BB641" i="26" s="1"/>
  <c r="BC641" i="26" s="1"/>
  <c r="BD641" i="26" s="1"/>
  <c r="AZ601" i="26"/>
  <c r="BB601" i="26" s="1"/>
  <c r="BC601" i="26" s="1"/>
  <c r="BD601" i="26" s="1"/>
  <c r="BA314" i="26"/>
  <c r="BB314" i="26" s="1"/>
  <c r="BC314" i="26" s="1"/>
  <c r="BD314" i="26" s="1"/>
  <c r="AZ378" i="26"/>
  <c r="BB378" i="26" s="1"/>
  <c r="BC378" i="26" s="1"/>
  <c r="BD378" i="26" s="1"/>
  <c r="AZ234" i="26"/>
  <c r="BB234" i="26" s="1"/>
  <c r="BC234" i="26" s="1"/>
  <c r="BD234" i="26" s="1"/>
  <c r="AZ733" i="26"/>
  <c r="BB733" i="26" s="1"/>
  <c r="BC733" i="26" s="1"/>
  <c r="BD733" i="26" s="1"/>
  <c r="BB393" i="26"/>
  <c r="BC393" i="26" s="1"/>
  <c r="BD393" i="26" s="1"/>
  <c r="AZ829" i="26"/>
  <c r="BB829" i="26" s="1"/>
  <c r="BC829" i="26" s="1"/>
  <c r="BD829" i="26" s="1"/>
  <c r="AZ405" i="26"/>
  <c r="BB405" i="26" s="1"/>
  <c r="BC405" i="26" s="1"/>
  <c r="BD405" i="26" s="1"/>
  <c r="AZ24" i="26"/>
  <c r="BB24" i="26" s="1"/>
  <c r="BC24" i="26" s="1"/>
  <c r="BD24" i="26" s="1"/>
  <c r="AZ235" i="26"/>
  <c r="BB235" i="26" s="1"/>
  <c r="BC235" i="26" s="1"/>
  <c r="BD235" i="26" s="1"/>
  <c r="AZ227" i="26"/>
  <c r="BB227" i="26" s="1"/>
  <c r="BC227" i="26" s="1"/>
  <c r="BD227" i="26" s="1"/>
  <c r="AZ602" i="26"/>
  <c r="BB602" i="26" s="1"/>
  <c r="BC602" i="26" s="1"/>
  <c r="BD602" i="26" s="1"/>
  <c r="AZ280" i="26"/>
  <c r="BB280" i="26" s="1"/>
  <c r="BC280" i="26" s="1"/>
  <c r="BD280" i="26" s="1"/>
  <c r="BA440" i="26"/>
  <c r="AZ32" i="26"/>
  <c r="BB32" i="26" s="1"/>
  <c r="BC32" i="26" s="1"/>
  <c r="BD32" i="26" s="1"/>
  <c r="BA573" i="26"/>
  <c r="BB573" i="26" s="1"/>
  <c r="BC573" i="26" s="1"/>
  <c r="BD573" i="26" s="1"/>
  <c r="BA329" i="26"/>
  <c r="BB329" i="26" s="1"/>
  <c r="BC329" i="26" s="1"/>
  <c r="BD329" i="26" s="1"/>
  <c r="AZ443" i="26"/>
  <c r="BB443" i="26" s="1"/>
  <c r="BC443" i="26" s="1"/>
  <c r="BD443" i="26" s="1"/>
  <c r="BA715" i="23"/>
  <c r="AZ419" i="26"/>
  <c r="BB419" i="26" s="1"/>
  <c r="BC419" i="26" s="1"/>
  <c r="BD419" i="26" s="1"/>
  <c r="BA645" i="26"/>
  <c r="AZ693" i="26"/>
  <c r="BB693" i="26" s="1"/>
  <c r="BC693" i="26" s="1"/>
  <c r="BD693" i="26" s="1"/>
  <c r="BA79" i="26"/>
  <c r="BA431" i="26"/>
  <c r="BB431" i="26" s="1"/>
  <c r="BC431" i="26" s="1"/>
  <c r="BD431" i="26" s="1"/>
  <c r="AZ667" i="26"/>
  <c r="BB667" i="26" s="1"/>
  <c r="BC667" i="26" s="1"/>
  <c r="BD667" i="26" s="1"/>
  <c r="BA561" i="26"/>
  <c r="AZ442" i="26"/>
  <c r="BB442" i="26" s="1"/>
  <c r="BC442" i="26" s="1"/>
  <c r="BD442" i="26" s="1"/>
  <c r="AZ526" i="26"/>
  <c r="BB526" i="26" s="1"/>
  <c r="BC526" i="26" s="1"/>
  <c r="BD526" i="26" s="1"/>
  <c r="AZ136" i="26"/>
  <c r="BB136" i="26" s="1"/>
  <c r="BC136" i="26" s="1"/>
  <c r="BD136" i="26" s="1"/>
  <c r="BB458" i="26"/>
  <c r="BC458" i="26" s="1"/>
  <c r="BD458" i="26" s="1"/>
  <c r="AZ816" i="26"/>
  <c r="BB816" i="26" s="1"/>
  <c r="BC816" i="26" s="1"/>
  <c r="BD816" i="26" s="1"/>
  <c r="AZ654" i="26"/>
  <c r="BB654" i="26" s="1"/>
  <c r="BC654" i="26" s="1"/>
  <c r="BD654" i="26" s="1"/>
  <c r="BA605" i="26"/>
  <c r="BA827" i="26"/>
  <c r="AZ29" i="26"/>
  <c r="BB29" i="26" s="1"/>
  <c r="BC29" i="26" s="1"/>
  <c r="BD29" i="26" s="1"/>
  <c r="BA388" i="26"/>
  <c r="BA157" i="26"/>
  <c r="BB157" i="26" s="1"/>
  <c r="BC157" i="26" s="1"/>
  <c r="BD157" i="26" s="1"/>
  <c r="BA222" i="26"/>
  <c r="AZ386" i="26"/>
  <c r="BB386" i="26" s="1"/>
  <c r="BC386" i="26" s="1"/>
  <c r="BD386" i="26" s="1"/>
  <c r="AZ387" i="26"/>
  <c r="BB387" i="26" s="1"/>
  <c r="BC387" i="26" s="1"/>
  <c r="BD387" i="26" s="1"/>
  <c r="AZ567" i="26"/>
  <c r="BB567" i="26" s="1"/>
  <c r="BC567" i="26" s="1"/>
  <c r="BD567" i="26" s="1"/>
  <c r="AZ583" i="26"/>
  <c r="BB583" i="26" s="1"/>
  <c r="BC583" i="26" s="1"/>
  <c r="BD583" i="26" s="1"/>
  <c r="AZ737" i="26"/>
  <c r="BB737" i="26" s="1"/>
  <c r="BC737" i="26" s="1"/>
  <c r="BD737" i="26" s="1"/>
  <c r="AZ144" i="26"/>
  <c r="BB144" i="26" s="1"/>
  <c r="BC144" i="26" s="1"/>
  <c r="BD144" i="26" s="1"/>
  <c r="BA670" i="26"/>
  <c r="BB670" i="26" s="1"/>
  <c r="BC670" i="26" s="1"/>
  <c r="BD670" i="26" s="1"/>
  <c r="BA453" i="26"/>
  <c r="BA478" i="26"/>
  <c r="AZ428" i="26"/>
  <c r="BB428" i="26" s="1"/>
  <c r="BC428" i="26" s="1"/>
  <c r="BD428" i="26" s="1"/>
  <c r="BA480" i="26"/>
  <c r="AZ763" i="26"/>
  <c r="BB763" i="26" s="1"/>
  <c r="BC763" i="26" s="1"/>
  <c r="BD763" i="26" s="1"/>
  <c r="BA184" i="26"/>
  <c r="AZ61" i="26"/>
  <c r="BB61" i="26" s="1"/>
  <c r="BC61" i="26" s="1"/>
  <c r="BD61" i="26" s="1"/>
  <c r="AZ360" i="26"/>
  <c r="BB360" i="26" s="1"/>
  <c r="BC360" i="26" s="1"/>
  <c r="BD360" i="26" s="1"/>
  <c r="BA109" i="26"/>
  <c r="BA604" i="26"/>
  <c r="BA306" i="26"/>
  <c r="BB306" i="26" s="1"/>
  <c r="BC306" i="26" s="1"/>
  <c r="BD306" i="26" s="1"/>
  <c r="BA108" i="26"/>
  <c r="BB645" i="26"/>
  <c r="BC645" i="26" s="1"/>
  <c r="BD645" i="26" s="1"/>
  <c r="BA813" i="26"/>
  <c r="BB813" i="26" s="1"/>
  <c r="BC813" i="26" s="1"/>
  <c r="BD813" i="26" s="1"/>
  <c r="AZ240" i="26"/>
  <c r="BB240" i="26" s="1"/>
  <c r="BC240" i="26" s="1"/>
  <c r="BD240" i="26" s="1"/>
  <c r="AZ284" i="26"/>
  <c r="BB284" i="26" s="1"/>
  <c r="BC284" i="26" s="1"/>
  <c r="BD284" i="26" s="1"/>
  <c r="BB680" i="26"/>
  <c r="BC680" i="26" s="1"/>
  <c r="BD680" i="26" s="1"/>
  <c r="AZ562" i="26"/>
  <c r="BB562" i="26" s="1"/>
  <c r="BC562" i="26" s="1"/>
  <c r="BD562" i="26" s="1"/>
  <c r="AZ277" i="26"/>
  <c r="BB277" i="26" s="1"/>
  <c r="BC277" i="26" s="1"/>
  <c r="BD277" i="26" s="1"/>
  <c r="AZ130" i="26"/>
  <c r="BB130" i="26" s="1"/>
  <c r="BC130" i="26" s="1"/>
  <c r="BD130" i="26" s="1"/>
  <c r="BA629" i="26"/>
  <c r="AZ830" i="26"/>
  <c r="BB830" i="26" s="1"/>
  <c r="BC830" i="26" s="1"/>
  <c r="BD830" i="26" s="1"/>
  <c r="BA742" i="26"/>
  <c r="BA786" i="26"/>
  <c r="AZ787" i="26"/>
  <c r="BB787" i="26" s="1"/>
  <c r="BC787" i="26" s="1"/>
  <c r="BD787" i="26" s="1"/>
  <c r="AZ541" i="26"/>
  <c r="BB541" i="26" s="1"/>
  <c r="BC541" i="26" s="1"/>
  <c r="BD541" i="26" s="1"/>
  <c r="AZ281" i="26"/>
  <c r="BB281" i="26" s="1"/>
  <c r="BC281" i="26" s="1"/>
  <c r="BD281" i="26" s="1"/>
  <c r="AZ7" i="26"/>
  <c r="BB7" i="26" s="1"/>
  <c r="BC7" i="26" s="1"/>
  <c r="BD7" i="26" s="1"/>
  <c r="AZ636" i="26"/>
  <c r="BB636" i="26" s="1"/>
  <c r="BC636" i="26" s="1"/>
  <c r="BD636" i="26" s="1"/>
  <c r="AZ121" i="26"/>
  <c r="BB121" i="26" s="1"/>
  <c r="BC121" i="26" s="1"/>
  <c r="BD121" i="26" s="1"/>
  <c r="AZ721" i="26"/>
  <c r="BB721" i="26" s="1"/>
  <c r="BC721" i="26" s="1"/>
  <c r="BD721" i="26" s="1"/>
  <c r="BA631" i="26"/>
  <c r="BB765" i="26"/>
  <c r="BC765" i="26" s="1"/>
  <c r="BD765" i="26" s="1"/>
  <c r="BA807" i="26"/>
  <c r="BB807" i="26" s="1"/>
  <c r="BC807" i="26" s="1"/>
  <c r="BD807" i="26" s="1"/>
  <c r="AZ368" i="26"/>
  <c r="BB368" i="26" s="1"/>
  <c r="BC368" i="26" s="1"/>
  <c r="BD368" i="26" s="1"/>
  <c r="BA429" i="26"/>
  <c r="BB429" i="26" s="1"/>
  <c r="BC429" i="26" s="1"/>
  <c r="BD429" i="26" s="1"/>
  <c r="AZ375" i="26"/>
  <c r="BB375" i="26" s="1"/>
  <c r="BC375" i="26" s="1"/>
  <c r="BD375" i="26" s="1"/>
  <c r="AZ346" i="26"/>
  <c r="BB346" i="26" s="1"/>
  <c r="BC346" i="26" s="1"/>
  <c r="BD346" i="26" s="1"/>
  <c r="BA278" i="26"/>
  <c r="BB278" i="26" s="1"/>
  <c r="BC278" i="26" s="1"/>
  <c r="BD278" i="26" s="1"/>
  <c r="AZ525" i="26"/>
  <c r="BB525" i="26" s="1"/>
  <c r="BC525" i="26" s="1"/>
  <c r="BD525" i="26" s="1"/>
  <c r="AZ52" i="26"/>
  <c r="BB52" i="26" s="1"/>
  <c r="BC52" i="26" s="1"/>
  <c r="BD52" i="26" s="1"/>
  <c r="AZ688" i="26"/>
  <c r="BB688" i="26" s="1"/>
  <c r="BC688" i="26" s="1"/>
  <c r="BD688" i="26" s="1"/>
  <c r="AZ10" i="26"/>
  <c r="BB10" i="26" s="1"/>
  <c r="BC10" i="26" s="1"/>
  <c r="BD10" i="26" s="1"/>
  <c r="AZ494" i="26"/>
  <c r="BB494" i="26" s="1"/>
  <c r="BC494" i="26" s="1"/>
  <c r="BD494" i="26" s="1"/>
  <c r="AZ653" i="26"/>
  <c r="BB653" i="26" s="1"/>
  <c r="BC653" i="26" s="1"/>
  <c r="BD653" i="26" s="1"/>
  <c r="AZ469" i="26"/>
  <c r="BB469" i="26" s="1"/>
  <c r="BC469" i="26" s="1"/>
  <c r="BD469" i="26" s="1"/>
  <c r="AZ214" i="26"/>
  <c r="BB214" i="26" s="1"/>
  <c r="BC214" i="26" s="1"/>
  <c r="BD214" i="26" s="1"/>
  <c r="BB632" i="26"/>
  <c r="BC632" i="26" s="1"/>
  <c r="BD632" i="26" s="1"/>
  <c r="BB624" i="26"/>
  <c r="BC624" i="26" s="1"/>
  <c r="BD624" i="26" s="1"/>
  <c r="AZ19" i="26"/>
  <c r="BB19" i="26" s="1"/>
  <c r="BC19" i="26" s="1"/>
  <c r="BD19" i="26" s="1"/>
  <c r="BK2" i="26"/>
  <c r="BL2" i="26" s="1"/>
  <c r="BM2" i="26" s="1"/>
  <c r="AZ174" i="26"/>
  <c r="BB174" i="26" s="1"/>
  <c r="BC174" i="26" s="1"/>
  <c r="BD174" i="26" s="1"/>
  <c r="BA268" i="26"/>
  <c r="BB268" i="26" s="1"/>
  <c r="BC268" i="26" s="1"/>
  <c r="BD268" i="26" s="1"/>
  <c r="AZ244" i="26"/>
  <c r="BB244" i="26" s="1"/>
  <c r="BC244" i="26" s="1"/>
  <c r="BD244" i="26" s="1"/>
  <c r="AZ826" i="26"/>
  <c r="BB826" i="26" s="1"/>
  <c r="BC826" i="26" s="1"/>
  <c r="BD826" i="26" s="1"/>
  <c r="BA263" i="26"/>
  <c r="BB263" i="26" s="1"/>
  <c r="BC263" i="26" s="1"/>
  <c r="BD263" i="26" s="1"/>
  <c r="BA259" i="26"/>
  <c r="AZ188" i="26"/>
  <c r="BB188" i="26" s="1"/>
  <c r="BC188" i="26" s="1"/>
  <c r="BD188" i="26" s="1"/>
  <c r="AZ177" i="26"/>
  <c r="BB177" i="26" s="1"/>
  <c r="BC177" i="26" s="1"/>
  <c r="BD177" i="26" s="1"/>
  <c r="BA4" i="26"/>
  <c r="BB4" i="26" s="1"/>
  <c r="BC4" i="26" s="1"/>
  <c r="BD4" i="26" s="1"/>
  <c r="AZ511" i="26"/>
  <c r="BB511" i="26" s="1"/>
  <c r="BC511" i="26" s="1"/>
  <c r="BD511" i="26" s="1"/>
  <c r="AZ668" i="26"/>
  <c r="BB668" i="26" s="1"/>
  <c r="BC668" i="26" s="1"/>
  <c r="BD668" i="26" s="1"/>
  <c r="AZ328" i="26"/>
  <c r="BB328" i="26" s="1"/>
  <c r="BC328" i="26" s="1"/>
  <c r="BD328" i="26" s="1"/>
  <c r="AZ132" i="26"/>
  <c r="BB132" i="26" s="1"/>
  <c r="BC132" i="26" s="1"/>
  <c r="BD132" i="26" s="1"/>
  <c r="BA380" i="26"/>
  <c r="BB380" i="26" s="1"/>
  <c r="BC380" i="26" s="1"/>
  <c r="BD380" i="26" s="1"/>
  <c r="BA369" i="26"/>
  <c r="BB369" i="26" s="1"/>
  <c r="BC369" i="26" s="1"/>
  <c r="BD369" i="26" s="1"/>
  <c r="BB803" i="26"/>
  <c r="BC803" i="26" s="1"/>
  <c r="BD803" i="26" s="1"/>
  <c r="BA624" i="26"/>
  <c r="BA156" i="26"/>
  <c r="BB156" i="26" s="1"/>
  <c r="BC156" i="26" s="1"/>
  <c r="BD156" i="26" s="1"/>
  <c r="AZ741" i="26"/>
  <c r="BB741" i="26" s="1"/>
  <c r="BC741" i="26" s="1"/>
  <c r="BD741" i="26" s="1"/>
  <c r="BA821" i="26"/>
  <c r="BB821" i="26" s="1"/>
  <c r="BC821" i="26" s="1"/>
  <c r="BD821" i="26" s="1"/>
  <c r="BB272" i="26"/>
  <c r="BC272" i="26" s="1"/>
  <c r="BD272" i="26" s="1"/>
  <c r="BA758" i="26"/>
  <c r="BB758" i="26" s="1"/>
  <c r="BC758" i="26" s="1"/>
  <c r="BD758" i="26" s="1"/>
  <c r="BA643" i="26"/>
  <c r="AZ553" i="26"/>
  <c r="BB553" i="26" s="1"/>
  <c r="BC553" i="26" s="1"/>
  <c r="BD553" i="26" s="1"/>
  <c r="AZ504" i="26"/>
  <c r="BB504" i="26" s="1"/>
  <c r="BC504" i="26" s="1"/>
  <c r="BD504" i="26" s="1"/>
  <c r="AZ418" i="26"/>
  <c r="BB418" i="26" s="1"/>
  <c r="BC418" i="26" s="1"/>
  <c r="BD418" i="26" s="1"/>
  <c r="AZ51" i="26"/>
  <c r="BB51" i="26" s="1"/>
  <c r="BC51" i="26" s="1"/>
  <c r="BD51" i="26" s="1"/>
  <c r="BB674" i="26"/>
  <c r="BC674" i="26" s="1"/>
  <c r="BD674" i="26" s="1"/>
  <c r="BB629" i="26"/>
  <c r="BC629" i="26" s="1"/>
  <c r="BD629" i="26" s="1"/>
  <c r="AZ129" i="26"/>
  <c r="BB129" i="26" s="1"/>
  <c r="BC129" i="26" s="1"/>
  <c r="BD129" i="26" s="1"/>
  <c r="BA748" i="26"/>
  <c r="BB748" i="26" s="1"/>
  <c r="BC748" i="26" s="1"/>
  <c r="BD748" i="26" s="1"/>
  <c r="BA342" i="26"/>
  <c r="BB342" i="26" s="1"/>
  <c r="BC342" i="26" s="1"/>
  <c r="BD342" i="26" s="1"/>
  <c r="AZ740" i="26"/>
  <c r="BB740" i="26" s="1"/>
  <c r="BC740" i="26" s="1"/>
  <c r="BD740" i="26" s="1"/>
  <c r="BA700" i="26"/>
  <c r="BB700" i="26" s="1"/>
  <c r="BC700" i="26" s="1"/>
  <c r="BD700" i="26" s="1"/>
  <c r="AZ661" i="26"/>
  <c r="BB661" i="26" s="1"/>
  <c r="BC661" i="26" s="1"/>
  <c r="BD661" i="26" s="1"/>
  <c r="BB337" i="26"/>
  <c r="BC337" i="26" s="1"/>
  <c r="BD337" i="26" s="1"/>
  <c r="AZ432" i="26"/>
  <c r="BB432" i="26" s="1"/>
  <c r="BC432" i="26" s="1"/>
  <c r="BD432" i="26" s="1"/>
  <c r="BB800" i="26"/>
  <c r="BC800" i="26" s="1"/>
  <c r="BD800" i="26" s="1"/>
  <c r="BA477" i="26"/>
  <c r="BB483" i="26"/>
  <c r="BC483" i="26" s="1"/>
  <c r="BD483" i="26" s="1"/>
  <c r="AZ524" i="26"/>
  <c r="BB524" i="26" s="1"/>
  <c r="BC524" i="26" s="1"/>
  <c r="BD524" i="26" s="1"/>
  <c r="AZ603" i="26"/>
  <c r="BB603" i="26" s="1"/>
  <c r="BC603" i="26" s="1"/>
  <c r="BD603" i="26" s="1"/>
  <c r="BA365" i="26"/>
  <c r="BB365" i="26" s="1"/>
  <c r="BC365" i="26" s="1"/>
  <c r="BD365" i="26" s="1"/>
  <c r="AZ152" i="26"/>
  <c r="BB152" i="26" s="1"/>
  <c r="BC152" i="26" s="1"/>
  <c r="BD152" i="26" s="1"/>
  <c r="BK651" i="26"/>
  <c r="BL651" i="26" s="1"/>
  <c r="BM651" i="26" s="1"/>
  <c r="BA126" i="26"/>
  <c r="BB126" i="26" s="1"/>
  <c r="BC126" i="26" s="1"/>
  <c r="BD126" i="26" s="1"/>
  <c r="BK285" i="26"/>
  <c r="BL285" i="26" s="1"/>
  <c r="BM285" i="26" s="1"/>
  <c r="AZ592" i="26"/>
  <c r="BB592" i="26" s="1"/>
  <c r="BC592" i="26" s="1"/>
  <c r="BD592" i="26" s="1"/>
  <c r="AZ446" i="26"/>
  <c r="BB446" i="26" s="1"/>
  <c r="BC446" i="26" s="1"/>
  <c r="BD446" i="26" s="1"/>
  <c r="BA317" i="26"/>
  <c r="BB317" i="26" s="1"/>
  <c r="BC317" i="26" s="1"/>
  <c r="BD317" i="26" s="1"/>
  <c r="BA151" i="26"/>
  <c r="BA124" i="26"/>
  <c r="BK468" i="26"/>
  <c r="BL468" i="26" s="1"/>
  <c r="BM468" i="26" s="1"/>
  <c r="AZ302" i="26"/>
  <c r="BB302" i="26" s="1"/>
  <c r="BC302" i="26" s="1"/>
  <c r="BD302" i="26" s="1"/>
  <c r="BA58" i="26"/>
  <c r="BB58" i="26" s="1"/>
  <c r="BC58" i="26" s="1"/>
  <c r="BD58" i="26" s="1"/>
  <c r="AZ465" i="26"/>
  <c r="BB465" i="26" s="1"/>
  <c r="BC465" i="26" s="1"/>
  <c r="BD465" i="26" s="1"/>
  <c r="AZ563" i="26"/>
  <c r="BB563" i="26" s="1"/>
  <c r="BC563" i="26" s="1"/>
  <c r="BD563" i="26" s="1"/>
  <c r="BA322" i="26"/>
  <c r="BB322" i="26" s="1"/>
  <c r="BC322" i="26" s="1"/>
  <c r="BD322" i="26" s="1"/>
  <c r="AZ119" i="26"/>
  <c r="BB119" i="26" s="1"/>
  <c r="BC119" i="26" s="1"/>
  <c r="BD119" i="26" s="1"/>
  <c r="BK93" i="26"/>
  <c r="BL93" i="26" s="1"/>
  <c r="BM93" i="26" s="1"/>
  <c r="BK537" i="26"/>
  <c r="BL537" i="26" s="1"/>
  <c r="BM537" i="26" s="1"/>
  <c r="BB635" i="26"/>
  <c r="BC635" i="26" s="1"/>
  <c r="BD635" i="26" s="1"/>
  <c r="BK568" i="26"/>
  <c r="BL568" i="26" s="1"/>
  <c r="BM568" i="26" s="1"/>
  <c r="BB647" i="26"/>
  <c r="BC647" i="26" s="1"/>
  <c r="BD647" i="26" s="1"/>
  <c r="BA596" i="26"/>
  <c r="BB596" i="26" s="1"/>
  <c r="BC596" i="26" s="1"/>
  <c r="BD596" i="26" s="1"/>
  <c r="BA485" i="26"/>
  <c r="AZ191" i="26"/>
  <c r="BB191" i="26" s="1"/>
  <c r="BC191" i="26" s="1"/>
  <c r="BD191" i="26" s="1"/>
  <c r="BK35" i="26"/>
  <c r="BL35" i="26" s="1"/>
  <c r="BM35" i="26" s="1"/>
  <c r="BK829" i="26"/>
  <c r="BL829" i="26" s="1"/>
  <c r="BM829" i="26" s="1"/>
  <c r="BK595" i="26"/>
  <c r="BL595" i="26" s="1"/>
  <c r="BM595" i="26" s="1"/>
  <c r="AZ20" i="26"/>
  <c r="BB20" i="26" s="1"/>
  <c r="BC20" i="26" s="1"/>
  <c r="BD20" i="26" s="1"/>
  <c r="AZ749" i="26"/>
  <c r="BB749" i="26" s="1"/>
  <c r="BC749" i="26" s="1"/>
  <c r="BD749" i="26" s="1"/>
  <c r="BK481" i="26"/>
  <c r="BL481" i="26" s="1"/>
  <c r="BM481" i="26" s="1"/>
  <c r="BK747" i="26"/>
  <c r="BL747" i="26" s="1"/>
  <c r="BM747" i="26" s="1"/>
  <c r="BK267" i="26"/>
  <c r="BL267" i="26" s="1"/>
  <c r="BM267" i="26" s="1"/>
  <c r="BK771" i="26"/>
  <c r="BL771" i="26" s="1"/>
  <c r="BM771" i="26" s="1"/>
  <c r="BK175" i="26"/>
  <c r="BL175" i="26" s="1"/>
  <c r="BM175" i="26" s="1"/>
  <c r="BK369" i="26"/>
  <c r="BL369" i="26" s="1"/>
  <c r="BM369" i="26" s="1"/>
  <c r="BK608" i="26"/>
  <c r="BL608" i="26" s="1"/>
  <c r="BM608" i="26" s="1"/>
  <c r="BK773" i="26"/>
  <c r="BL773" i="26" s="1"/>
  <c r="BM773" i="26" s="1"/>
  <c r="AZ745" i="26"/>
  <c r="BB745" i="26" s="1"/>
  <c r="BC745" i="26" s="1"/>
  <c r="BD745" i="26" s="1"/>
  <c r="AZ620" i="26"/>
  <c r="BB620" i="26" s="1"/>
  <c r="BC620" i="26" s="1"/>
  <c r="BD620" i="26" s="1"/>
  <c r="BB551" i="26"/>
  <c r="BC551" i="26" s="1"/>
  <c r="BD551" i="26" s="1"/>
  <c r="AZ479" i="26"/>
  <c r="BB479" i="26" s="1"/>
  <c r="BC479" i="26" s="1"/>
  <c r="BD479" i="26" s="1"/>
  <c r="AZ514" i="26"/>
  <c r="BB514" i="26" s="1"/>
  <c r="BC514" i="26" s="1"/>
  <c r="BD514" i="26" s="1"/>
  <c r="AZ445" i="26"/>
  <c r="BB445" i="26" s="1"/>
  <c r="BC445" i="26" s="1"/>
  <c r="BD445" i="26" s="1"/>
  <c r="AZ246" i="26"/>
  <c r="BB246" i="26" s="1"/>
  <c r="BC246" i="26" s="1"/>
  <c r="BD246" i="26" s="1"/>
  <c r="BA131" i="26"/>
  <c r="BK38" i="26"/>
  <c r="BL38" i="26" s="1"/>
  <c r="BM38" i="26" s="1"/>
  <c r="BK85" i="26"/>
  <c r="BL85" i="26" s="1"/>
  <c r="BM85" i="26" s="1"/>
  <c r="BK165" i="26"/>
  <c r="BL165" i="26" s="1"/>
  <c r="BM165" i="26" s="1"/>
  <c r="BK365" i="26"/>
  <c r="BL365" i="26" s="1"/>
  <c r="BM365" i="26" s="1"/>
  <c r="BK633" i="26"/>
  <c r="BL633" i="26" s="1"/>
  <c r="BM633" i="26" s="1"/>
  <c r="BK545" i="26"/>
  <c r="BL545" i="26" s="1"/>
  <c r="BM545" i="26" s="1"/>
  <c r="BK832" i="26"/>
  <c r="BL832" i="26" s="1"/>
  <c r="BM832" i="26" s="1"/>
  <c r="BK586" i="26"/>
  <c r="BL586" i="26" s="1"/>
  <c r="BM586" i="26" s="1"/>
  <c r="BK629" i="26"/>
  <c r="BL629" i="26" s="1"/>
  <c r="BM629" i="26" s="1"/>
  <c r="AZ771" i="26"/>
  <c r="BB771" i="26" s="1"/>
  <c r="BC771" i="26" s="1"/>
  <c r="BD771" i="26" s="1"/>
  <c r="BK223" i="26"/>
  <c r="BL223" i="26" s="1"/>
  <c r="BM223" i="26" s="1"/>
  <c r="BK488" i="26"/>
  <c r="BL488" i="26" s="1"/>
  <c r="BM488" i="26" s="1"/>
  <c r="BK775" i="26"/>
  <c r="BL775" i="26" s="1"/>
  <c r="BM775" i="26" s="1"/>
  <c r="BK359" i="26"/>
  <c r="BL359" i="26" s="1"/>
  <c r="BM359" i="26" s="1"/>
  <c r="BA718" i="26"/>
  <c r="BB718" i="26" s="1"/>
  <c r="BC718" i="26" s="1"/>
  <c r="BD718" i="26" s="1"/>
  <c r="BA714" i="26"/>
  <c r="AZ308" i="26"/>
  <c r="BB308" i="26" s="1"/>
  <c r="BC308" i="26" s="1"/>
  <c r="BD308" i="26" s="1"/>
  <c r="BK156" i="26"/>
  <c r="BL156" i="26" s="1"/>
  <c r="BM156" i="26" s="1"/>
  <c r="BK452" i="26"/>
  <c r="BL452" i="26" s="1"/>
  <c r="BM452" i="26" s="1"/>
  <c r="BK508" i="26"/>
  <c r="BL508" i="26" s="1"/>
  <c r="BM508" i="26" s="1"/>
  <c r="BK603" i="26"/>
  <c r="BL603" i="26" s="1"/>
  <c r="BM603" i="26" s="1"/>
  <c r="BK635" i="26"/>
  <c r="BL635" i="26" s="1"/>
  <c r="BM635" i="26" s="1"/>
  <c r="BA83" i="26"/>
  <c r="BB83" i="26" s="1"/>
  <c r="BC83" i="26" s="1"/>
  <c r="BD83" i="26" s="1"/>
  <c r="AZ730" i="26"/>
  <c r="BB730" i="26" s="1"/>
  <c r="BC730" i="26" s="1"/>
  <c r="BD730" i="26" s="1"/>
  <c r="BA800" i="26"/>
  <c r="BA647" i="26"/>
  <c r="BA591" i="26"/>
  <c r="BA532" i="26"/>
  <c r="AZ82" i="26"/>
  <c r="BB82" i="26" s="1"/>
  <c r="BC82" i="26" s="1"/>
  <c r="BD82" i="26" s="1"/>
  <c r="AZ143" i="26"/>
  <c r="BB143" i="26" s="1"/>
  <c r="BC143" i="26" s="1"/>
  <c r="BD143" i="26" s="1"/>
  <c r="BK65" i="26"/>
  <c r="BL65" i="26" s="1"/>
  <c r="BM65" i="26" s="1"/>
  <c r="BK322" i="26"/>
  <c r="BL322" i="26" s="1"/>
  <c r="BM322" i="26" s="1"/>
  <c r="BK440" i="26"/>
  <c r="BL440" i="26" s="1"/>
  <c r="BM440" i="26" s="1"/>
  <c r="BK506" i="26"/>
  <c r="BL506" i="26" s="1"/>
  <c r="BM506" i="26" s="1"/>
  <c r="BK622" i="26"/>
  <c r="BL622" i="26" s="1"/>
  <c r="BM622" i="26" s="1"/>
  <c r="BB54" i="26"/>
  <c r="BC54" i="26" s="1"/>
  <c r="BD54" i="26" s="1"/>
  <c r="BB453" i="26"/>
  <c r="BC453" i="26" s="1"/>
  <c r="BD453" i="26" s="1"/>
  <c r="BK630" i="26"/>
  <c r="BL630" i="26" s="1"/>
  <c r="BM630" i="26" s="1"/>
  <c r="BA725" i="26"/>
  <c r="BB725" i="26" s="1"/>
  <c r="BC725" i="26" s="1"/>
  <c r="BD725" i="26" s="1"/>
  <c r="AZ832" i="26"/>
  <c r="BB832" i="26" s="1"/>
  <c r="BC832" i="26" s="1"/>
  <c r="BD832" i="26" s="1"/>
  <c r="AZ487" i="26"/>
  <c r="BB487" i="26" s="1"/>
  <c r="BC487" i="26" s="1"/>
  <c r="BD487" i="26" s="1"/>
  <c r="BA367" i="26"/>
  <c r="BB367" i="26" s="1"/>
  <c r="BC367" i="26" s="1"/>
  <c r="BD367" i="26" s="1"/>
  <c r="BA393" i="26"/>
  <c r="BA159" i="26"/>
  <c r="BB159" i="26" s="1"/>
  <c r="BC159" i="26" s="1"/>
  <c r="BD159" i="26" s="1"/>
  <c r="BK55" i="26"/>
  <c r="BL55" i="26" s="1"/>
  <c r="BM55" i="26" s="1"/>
  <c r="BK341" i="26"/>
  <c r="BL341" i="26" s="1"/>
  <c r="BM341" i="26" s="1"/>
  <c r="BK334" i="26"/>
  <c r="BL334" i="26" s="1"/>
  <c r="BM334" i="26" s="1"/>
  <c r="BK442" i="26"/>
  <c r="BL442" i="26" s="1"/>
  <c r="BM442" i="26" s="1"/>
  <c r="BK457" i="26"/>
  <c r="BL457" i="26" s="1"/>
  <c r="BM457" i="26" s="1"/>
  <c r="BK828" i="26"/>
  <c r="BL828" i="26" s="1"/>
  <c r="BM828" i="26" s="1"/>
  <c r="BK758" i="26"/>
  <c r="BL758" i="26" s="1"/>
  <c r="BM758" i="26" s="1"/>
  <c r="BB108" i="26"/>
  <c r="BC108" i="26" s="1"/>
  <c r="BD108" i="26" s="1"/>
  <c r="BK345" i="26"/>
  <c r="BL345" i="26" s="1"/>
  <c r="BM345" i="26" s="1"/>
  <c r="BK549" i="26"/>
  <c r="BL549" i="26" s="1"/>
  <c r="BM549" i="26" s="1"/>
  <c r="AZ210" i="26"/>
  <c r="BB210" i="26" s="1"/>
  <c r="BC210" i="26" s="1"/>
  <c r="BD210" i="26" s="1"/>
  <c r="AZ71" i="26"/>
  <c r="BB71" i="26" s="1"/>
  <c r="BC71" i="26" s="1"/>
  <c r="BD71" i="26" s="1"/>
  <c r="BK139" i="26"/>
  <c r="BL139" i="26" s="1"/>
  <c r="BM139" i="26" s="1"/>
  <c r="BK227" i="26"/>
  <c r="BL227" i="26" s="1"/>
  <c r="BM227" i="26" s="1"/>
  <c r="BK330" i="26"/>
  <c r="BL330" i="26" s="1"/>
  <c r="BM330" i="26" s="1"/>
  <c r="BK446" i="26"/>
  <c r="BL446" i="26" s="1"/>
  <c r="BM446" i="26" s="1"/>
  <c r="BB175" i="26"/>
  <c r="BC175" i="26" s="1"/>
  <c r="BD175" i="26" s="1"/>
  <c r="BA491" i="26"/>
  <c r="BB491" i="26" s="1"/>
  <c r="BC491" i="26" s="1"/>
  <c r="BD491" i="26" s="1"/>
  <c r="BA483" i="26"/>
  <c r="AZ158" i="26"/>
  <c r="BB158" i="26" s="1"/>
  <c r="BC158" i="26" s="1"/>
  <c r="BD158" i="26" s="1"/>
  <c r="BB805" i="26"/>
  <c r="BC805" i="26" s="1"/>
  <c r="BD805" i="26" s="1"/>
  <c r="AZ389" i="26"/>
  <c r="BB389" i="26" s="1"/>
  <c r="BC389" i="26" s="1"/>
  <c r="BD389" i="26" s="1"/>
  <c r="AZ59" i="26"/>
  <c r="BB59" i="26" s="1"/>
  <c r="BC59" i="26" s="1"/>
  <c r="BD59" i="26" s="1"/>
  <c r="AZ574" i="26"/>
  <c r="BB574" i="26" s="1"/>
  <c r="BC574" i="26" s="1"/>
  <c r="BD574" i="26" s="1"/>
  <c r="BB118" i="26"/>
  <c r="BC118" i="26" s="1"/>
  <c r="BD118" i="26" s="1"/>
  <c r="BB754" i="26"/>
  <c r="BC754" i="26" s="1"/>
  <c r="BD754" i="26" s="1"/>
  <c r="AZ425" i="26"/>
  <c r="BB425" i="26" s="1"/>
  <c r="BC425" i="26" s="1"/>
  <c r="BD425" i="26" s="1"/>
  <c r="AZ65" i="26"/>
  <c r="BB65" i="26" s="1"/>
  <c r="BC65" i="26" s="1"/>
  <c r="BD65" i="26" s="1"/>
  <c r="AZ269" i="26"/>
  <c r="BB269" i="26" s="1"/>
  <c r="BC269" i="26" s="1"/>
  <c r="BD269" i="26" s="1"/>
  <c r="AZ617" i="26"/>
  <c r="BB617" i="26" s="1"/>
  <c r="BC617" i="26" s="1"/>
  <c r="BD617" i="26" s="1"/>
  <c r="BA187" i="26"/>
  <c r="AZ568" i="26"/>
  <c r="BB568" i="26" s="1"/>
  <c r="BC568" i="26" s="1"/>
  <c r="BD568" i="26" s="1"/>
  <c r="AZ40" i="26"/>
  <c r="BB40" i="26" s="1"/>
  <c r="BC40" i="26" s="1"/>
  <c r="BD40" i="26" s="1"/>
  <c r="BB561" i="26"/>
  <c r="BC561" i="26" s="1"/>
  <c r="BD561" i="26" s="1"/>
  <c r="AZ72" i="26"/>
  <c r="BB72" i="26" s="1"/>
  <c r="BC72" i="26" s="1"/>
  <c r="BD72" i="26" s="1"/>
  <c r="BA104" i="26"/>
  <c r="BA579" i="26"/>
  <c r="BB579" i="26" s="1"/>
  <c r="BC579" i="26" s="1"/>
  <c r="BD579" i="26" s="1"/>
  <c r="BB604" i="26"/>
  <c r="BC604" i="26" s="1"/>
  <c r="BD604" i="26" s="1"/>
  <c r="BA723" i="26"/>
  <c r="BB723" i="26" s="1"/>
  <c r="BC723" i="26" s="1"/>
  <c r="BD723" i="26" s="1"/>
  <c r="BA334" i="26"/>
  <c r="BB334" i="26" s="1"/>
  <c r="BC334" i="26" s="1"/>
  <c r="BD334" i="26" s="1"/>
  <c r="AZ192" i="26"/>
  <c r="BB192" i="26" s="1"/>
  <c r="BC192" i="26" s="1"/>
  <c r="BD192" i="26" s="1"/>
  <c r="AZ350" i="26"/>
  <c r="BB350" i="26" s="1"/>
  <c r="BC350" i="26" s="1"/>
  <c r="BD350" i="26" s="1"/>
  <c r="AZ439" i="26"/>
  <c r="BB439" i="26" s="1"/>
  <c r="BC439" i="26" s="1"/>
  <c r="BD439" i="26" s="1"/>
  <c r="BA527" i="26"/>
  <c r="AZ305" i="26"/>
  <c r="BB305" i="26" s="1"/>
  <c r="BC305" i="26" s="1"/>
  <c r="BD305" i="26" s="1"/>
  <c r="AZ57" i="26"/>
  <c r="BB57" i="26" s="1"/>
  <c r="BC57" i="26" s="1"/>
  <c r="BD57" i="26" s="1"/>
  <c r="AZ587" i="26"/>
  <c r="BB587" i="26" s="1"/>
  <c r="BC587" i="26" s="1"/>
  <c r="BD587" i="26" s="1"/>
  <c r="BA657" i="26"/>
  <c r="AZ474" i="26"/>
  <c r="BB474" i="26" s="1"/>
  <c r="BC474" i="26" s="1"/>
  <c r="BD474" i="26" s="1"/>
  <c r="BA253" i="26"/>
  <c r="BB253" i="26" s="1"/>
  <c r="BC253" i="26" s="1"/>
  <c r="BD253" i="26" s="1"/>
  <c r="AZ640" i="26"/>
  <c r="BB640" i="26" s="1"/>
  <c r="BC640" i="26" s="1"/>
  <c r="BD640" i="26" s="1"/>
  <c r="AZ582" i="26"/>
  <c r="BB582" i="26" s="1"/>
  <c r="BC582" i="26" s="1"/>
  <c r="BD582" i="26" s="1"/>
  <c r="AZ89" i="26"/>
  <c r="BB89" i="26" s="1"/>
  <c r="BC89" i="26" s="1"/>
  <c r="BD89" i="26" s="1"/>
  <c r="BM681" i="26"/>
  <c r="AZ658" i="26"/>
  <c r="BB658" i="26" s="1"/>
  <c r="BC658" i="26" s="1"/>
  <c r="BD658" i="26" s="1"/>
  <c r="BA383" i="26"/>
  <c r="BB383" i="26" s="1"/>
  <c r="BC383" i="26" s="1"/>
  <c r="BD383" i="26" s="1"/>
  <c r="AZ3" i="26"/>
  <c r="BB3" i="26" s="1"/>
  <c r="BC3" i="26" s="1"/>
  <c r="BD3" i="26" s="1"/>
  <c r="AZ692" i="26"/>
  <c r="BB692" i="26" s="1"/>
  <c r="BC692" i="26" s="1"/>
  <c r="BD692" i="26" s="1"/>
  <c r="AZ316" i="26"/>
  <c r="BB316" i="26" s="1"/>
  <c r="BC316" i="26" s="1"/>
  <c r="BD316" i="26" s="1"/>
  <c r="AZ42" i="26"/>
  <c r="BB42" i="26" s="1"/>
  <c r="BC42" i="26" s="1"/>
  <c r="BD42" i="26" s="1"/>
  <c r="AZ397" i="26"/>
  <c r="BB397" i="26" s="1"/>
  <c r="BC397" i="26" s="1"/>
  <c r="BD397" i="26" s="1"/>
  <c r="AZ581" i="26"/>
  <c r="BB581" i="26" s="1"/>
  <c r="BC581" i="26" s="1"/>
  <c r="BD581" i="26" s="1"/>
  <c r="AZ502" i="26"/>
  <c r="BB502" i="26" s="1"/>
  <c r="BC502" i="26" s="1"/>
  <c r="BD502" i="26" s="1"/>
  <c r="AZ273" i="26"/>
  <c r="BB273" i="26" s="1"/>
  <c r="BC273" i="26" s="1"/>
  <c r="BD273" i="26" s="1"/>
  <c r="BA272" i="26"/>
  <c r="BM400" i="26"/>
  <c r="BA31" i="26"/>
  <c r="BB31" i="26" s="1"/>
  <c r="BC31" i="26" s="1"/>
  <c r="BD31" i="26" s="1"/>
  <c r="AZ804" i="26"/>
  <c r="BB804" i="26" s="1"/>
  <c r="BC804" i="26" s="1"/>
  <c r="BD804" i="26" s="1"/>
  <c r="BM448" i="26"/>
  <c r="BA779" i="26"/>
  <c r="BB779" i="26" s="1"/>
  <c r="BC779" i="26" s="1"/>
  <c r="BD779" i="26" s="1"/>
  <c r="AZ622" i="26"/>
  <c r="BB622" i="26" s="1"/>
  <c r="BC622" i="26" s="1"/>
  <c r="BD622" i="26" s="1"/>
  <c r="BB714" i="26"/>
  <c r="BC714" i="26" s="1"/>
  <c r="BD714" i="26" s="1"/>
  <c r="BB537" i="26"/>
  <c r="BC537" i="26" s="1"/>
  <c r="BD537" i="26" s="1"/>
  <c r="AZ251" i="26"/>
  <c r="BB251" i="26" s="1"/>
  <c r="BC251" i="26" s="1"/>
  <c r="BD251" i="26" s="1"/>
  <c r="AZ120" i="26"/>
  <c r="BB120" i="26" s="1"/>
  <c r="BC120" i="26" s="1"/>
  <c r="BD120" i="26" s="1"/>
  <c r="BA766" i="26"/>
  <c r="AZ161" i="26"/>
  <c r="BB161" i="26" s="1"/>
  <c r="BC161" i="26" s="1"/>
  <c r="BD161" i="26" s="1"/>
  <c r="BB476" i="26"/>
  <c r="BC476" i="26" s="1"/>
  <c r="BD476" i="26" s="1"/>
  <c r="BA262" i="26"/>
  <c r="BB262" i="26" s="1"/>
  <c r="BC262" i="26" s="1"/>
  <c r="BD262" i="26" s="1"/>
  <c r="AZ106" i="26"/>
  <c r="BB106" i="26" s="1"/>
  <c r="BC106" i="26" s="1"/>
  <c r="BD106" i="26" s="1"/>
  <c r="BB124" i="26"/>
  <c r="BC124" i="26" s="1"/>
  <c r="BD124" i="26" s="1"/>
  <c r="BM73" i="26"/>
  <c r="BM465" i="26"/>
  <c r="AZ103" i="26"/>
  <c r="BB103" i="26" s="1"/>
  <c r="BC103" i="26" s="1"/>
  <c r="BD103" i="26" s="1"/>
  <c r="BB634" i="26"/>
  <c r="BC634" i="26" s="1"/>
  <c r="BD634" i="26" s="1"/>
  <c r="AZ599" i="26"/>
  <c r="BB599" i="26" s="1"/>
  <c r="BC599" i="26" s="1"/>
  <c r="BD599" i="26" s="1"/>
  <c r="AZ75" i="26"/>
  <c r="BB75" i="26" s="1"/>
  <c r="BC75" i="26" s="1"/>
  <c r="BD75" i="26" s="1"/>
  <c r="BA149" i="26"/>
  <c r="BB149" i="26" s="1"/>
  <c r="BC149" i="26" s="1"/>
  <c r="BD149" i="26" s="1"/>
  <c r="BB131" i="26"/>
  <c r="BC131" i="26" s="1"/>
  <c r="BD131" i="26" s="1"/>
  <c r="AZ382" i="26"/>
  <c r="BB382" i="26" s="1"/>
  <c r="BC382" i="26" s="1"/>
  <c r="BD382" i="26" s="1"/>
  <c r="BA377" i="26"/>
  <c r="BB377" i="26" s="1"/>
  <c r="BC377" i="26" s="1"/>
  <c r="BD377" i="26" s="1"/>
  <c r="AZ505" i="26"/>
  <c r="BB505" i="26" s="1"/>
  <c r="BC505" i="26" s="1"/>
  <c r="BD505" i="26" s="1"/>
  <c r="BA823" i="26"/>
  <c r="BB823" i="26" s="1"/>
  <c r="BC823" i="26" s="1"/>
  <c r="BD823" i="26" s="1"/>
  <c r="BA452" i="26"/>
  <c r="AZ292" i="26"/>
  <c r="BB292" i="26" s="1"/>
  <c r="BC292" i="26" s="1"/>
  <c r="BD292" i="26" s="1"/>
  <c r="AZ77" i="26"/>
  <c r="BB77" i="26" s="1"/>
  <c r="BC77" i="26" s="1"/>
  <c r="BD77" i="26" s="1"/>
  <c r="BB48" i="26"/>
  <c r="BC48" i="26" s="1"/>
  <c r="BD48" i="26" s="1"/>
  <c r="BA710" i="26"/>
  <c r="AZ689" i="26"/>
  <c r="BB689" i="26" s="1"/>
  <c r="BC689" i="26" s="1"/>
  <c r="BD689" i="26" s="1"/>
  <c r="BA337" i="26"/>
  <c r="BM78" i="26"/>
  <c r="BM19" i="26"/>
  <c r="BA237" i="26"/>
  <c r="AZ598" i="26"/>
  <c r="BB598" i="26" s="1"/>
  <c r="BC598" i="26" s="1"/>
  <c r="BD598" i="26" s="1"/>
  <c r="AZ496" i="26"/>
  <c r="BB496" i="26" s="1"/>
  <c r="BC496" i="26" s="1"/>
  <c r="BD496" i="26" s="1"/>
  <c r="AZ265" i="26"/>
  <c r="BB265" i="26" s="1"/>
  <c r="BC265" i="26" s="1"/>
  <c r="BD265" i="26" s="1"/>
  <c r="BA270" i="26"/>
  <c r="BB270" i="26" s="1"/>
  <c r="BC270" i="26" s="1"/>
  <c r="BD270" i="26" s="1"/>
  <c r="BA84" i="26"/>
  <c r="BB84" i="26" s="1"/>
  <c r="BC84" i="26" s="1"/>
  <c r="BD84" i="26" s="1"/>
  <c r="AZ614" i="26"/>
  <c r="BB614" i="26" s="1"/>
  <c r="BC614" i="26" s="1"/>
  <c r="BD614" i="26" s="1"/>
  <c r="AZ576" i="26"/>
  <c r="BB576" i="26" s="1"/>
  <c r="BC576" i="26" s="1"/>
  <c r="BD576" i="26" s="1"/>
  <c r="AZ780" i="26"/>
  <c r="BB780" i="26" s="1"/>
  <c r="BC780" i="26" s="1"/>
  <c r="BD780" i="26" s="1"/>
  <c r="AZ155" i="26"/>
  <c r="BB155" i="26" s="1"/>
  <c r="BC155" i="26" s="1"/>
  <c r="BD155" i="26" s="1"/>
  <c r="BA648" i="26"/>
  <c r="BA754" i="26"/>
  <c r="AZ205" i="26"/>
  <c r="BB205" i="26" s="1"/>
  <c r="BC205" i="26" s="1"/>
  <c r="BD205" i="26" s="1"/>
  <c r="BA44" i="26"/>
  <c r="BB44" i="26" s="1"/>
  <c r="BC44" i="26" s="1"/>
  <c r="BD44" i="26" s="1"/>
  <c r="BA118" i="26"/>
  <c r="AZ335" i="26"/>
  <c r="BB335" i="26" s="1"/>
  <c r="BC335" i="26" s="1"/>
  <c r="BD335" i="26" s="1"/>
  <c r="BA175" i="26"/>
  <c r="BM132" i="26"/>
  <c r="AZ154" i="26"/>
  <c r="BB154" i="26" s="1"/>
  <c r="BC154" i="26" s="1"/>
  <c r="BD154" i="26" s="1"/>
  <c r="BM397" i="26"/>
  <c r="AZ406" i="26"/>
  <c r="BB406" i="26" s="1"/>
  <c r="BC406" i="26" s="1"/>
  <c r="BD406" i="26" s="1"/>
  <c r="BA403" i="26"/>
  <c r="BB403" i="26" s="1"/>
  <c r="BC403" i="26" s="1"/>
  <c r="BD403" i="26" s="1"/>
  <c r="AZ212" i="26"/>
  <c r="BB212" i="26" s="1"/>
  <c r="BC212" i="26" s="1"/>
  <c r="BD212" i="26" s="1"/>
  <c r="AZ189" i="26"/>
  <c r="BB189" i="26" s="1"/>
  <c r="BC189" i="26" s="1"/>
  <c r="BD189" i="26" s="1"/>
  <c r="BM125" i="26"/>
  <c r="AZ125" i="26"/>
  <c r="BB125" i="26" s="1"/>
  <c r="BC125" i="26" s="1"/>
  <c r="BD125" i="26" s="1"/>
  <c r="BB237" i="26"/>
  <c r="BC237" i="26" s="1"/>
  <c r="BD237" i="26" s="1"/>
  <c r="AZ422" i="26"/>
  <c r="BB422" i="26" s="1"/>
  <c r="BC422" i="26" s="1"/>
  <c r="BD422" i="26" s="1"/>
  <c r="AZ254" i="26"/>
  <c r="BB254" i="26" s="1"/>
  <c r="BC254" i="26" s="1"/>
  <c r="BD254" i="26" s="1"/>
  <c r="AZ618" i="26"/>
  <c r="BB618" i="26" s="1"/>
  <c r="BC618" i="26" s="1"/>
  <c r="BD618" i="26" s="1"/>
  <c r="BA634" i="26"/>
  <c r="AZ33" i="26"/>
  <c r="BB33" i="26" s="1"/>
  <c r="BC33" i="26" s="1"/>
  <c r="BD33" i="26" s="1"/>
  <c r="AZ713" i="26"/>
  <c r="BB713" i="26" s="1"/>
  <c r="BC713" i="26" s="1"/>
  <c r="BD713" i="26" s="1"/>
  <c r="AZ663" i="26"/>
  <c r="BB663" i="26" s="1"/>
  <c r="BC663" i="26" s="1"/>
  <c r="BD663" i="26" s="1"/>
  <c r="BA312" i="26"/>
  <c r="BB312" i="26" s="1"/>
  <c r="BC312" i="26" s="1"/>
  <c r="BD312" i="26" s="1"/>
  <c r="BB343" i="26"/>
  <c r="BC343" i="26" s="1"/>
  <c r="BD343" i="26" s="1"/>
  <c r="AZ682" i="26"/>
  <c r="BB682" i="26" s="1"/>
  <c r="BC682" i="26" s="1"/>
  <c r="BD682" i="26" s="1"/>
  <c r="AZ22" i="26"/>
  <c r="BB22" i="26" s="1"/>
  <c r="BC22" i="26" s="1"/>
  <c r="BD22" i="26" s="1"/>
  <c r="BM89" i="26"/>
  <c r="BA549" i="26"/>
  <c r="AZ460" i="26"/>
  <c r="BB460" i="26" s="1"/>
  <c r="BC460" i="26" s="1"/>
  <c r="BD460" i="26" s="1"/>
  <c r="BB452" i="26"/>
  <c r="BC452" i="26" s="1"/>
  <c r="BD452" i="26" s="1"/>
  <c r="AZ372" i="26"/>
  <c r="BB372" i="26" s="1"/>
  <c r="BC372" i="26" s="1"/>
  <c r="BD372" i="26" s="1"/>
  <c r="BM310" i="26"/>
  <c r="BM669" i="26"/>
  <c r="BA230" i="26"/>
  <c r="AZ299" i="26"/>
  <c r="BB299" i="26" s="1"/>
  <c r="BC299" i="26" s="1"/>
  <c r="BD299" i="26" s="1"/>
  <c r="AZ176" i="26"/>
  <c r="BB176" i="26" s="1"/>
  <c r="BC176" i="26" s="1"/>
  <c r="BD176" i="26" s="1"/>
  <c r="AZ6" i="26"/>
  <c r="BB6" i="26" s="1"/>
  <c r="BC6" i="26" s="1"/>
  <c r="BD6" i="26" s="1"/>
  <c r="AZ810" i="26"/>
  <c r="BB810" i="26" s="1"/>
  <c r="BC810" i="26" s="1"/>
  <c r="BD810" i="26" s="1"/>
  <c r="AZ433" i="26"/>
  <c r="BB433" i="26" s="1"/>
  <c r="BC433" i="26" s="1"/>
  <c r="BD433" i="26" s="1"/>
  <c r="AZ338" i="26"/>
  <c r="BB338" i="26" s="1"/>
  <c r="BC338" i="26" s="1"/>
  <c r="BD338" i="26" s="1"/>
  <c r="AZ202" i="26"/>
  <c r="BB202" i="26" s="1"/>
  <c r="BC202" i="26" s="1"/>
  <c r="BD202" i="26" s="1"/>
  <c r="AZ266" i="26"/>
  <c r="BB266" i="26" s="1"/>
  <c r="BC266" i="26" s="1"/>
  <c r="BD266" i="26" s="1"/>
  <c r="AZ179" i="26"/>
  <c r="BB179" i="26" s="1"/>
  <c r="BC179" i="26" s="1"/>
  <c r="BD179" i="26" s="1"/>
  <c r="BM120" i="26"/>
  <c r="BB104" i="26"/>
  <c r="BC104" i="26" s="1"/>
  <c r="BD104" i="26" s="1"/>
  <c r="AZ482" i="26"/>
  <c r="BB482" i="26" s="1"/>
  <c r="BC482" i="26" s="1"/>
  <c r="BD482" i="26" s="1"/>
  <c r="AZ195" i="26"/>
  <c r="BB195" i="26" s="1"/>
  <c r="BC195" i="26" s="1"/>
  <c r="BD195" i="26" s="1"/>
  <c r="BM20" i="26"/>
  <c r="BB478" i="26"/>
  <c r="BC478" i="26" s="1"/>
  <c r="BD478" i="26" s="1"/>
  <c r="BB230" i="26"/>
  <c r="BC230" i="26" s="1"/>
  <c r="BD230" i="26" s="1"/>
  <c r="AZ95" i="26"/>
  <c r="BB95" i="26" s="1"/>
  <c r="BC95" i="26" s="1"/>
  <c r="BD95" i="26" s="1"/>
  <c r="AZ374" i="26"/>
  <c r="BB374" i="26" s="1"/>
  <c r="BC374" i="26" s="1"/>
  <c r="BD374" i="26" s="1"/>
  <c r="AZ105" i="26"/>
  <c r="BB105" i="26" s="1"/>
  <c r="BC105" i="26" s="1"/>
  <c r="BD105" i="26" s="1"/>
  <c r="BA594" i="26"/>
  <c r="BM164" i="26"/>
  <c r="AZ353" i="26"/>
  <c r="BB353" i="26" s="1"/>
  <c r="BC353" i="26" s="1"/>
  <c r="BD353" i="26" s="1"/>
  <c r="AZ283" i="26"/>
  <c r="BB283" i="26" s="1"/>
  <c r="BC283" i="26" s="1"/>
  <c r="BD283" i="26" s="1"/>
  <c r="AZ38" i="26"/>
  <c r="BB38" i="26" s="1"/>
  <c r="BC38" i="26" s="1"/>
  <c r="BD38" i="26" s="1"/>
  <c r="BB416" i="26"/>
  <c r="BC416" i="26" s="1"/>
  <c r="BD416" i="26" s="1"/>
  <c r="AZ348" i="26"/>
  <c r="BB348" i="26" s="1"/>
  <c r="BC348" i="26" s="1"/>
  <c r="BD348" i="26" s="1"/>
  <c r="BM188" i="26"/>
  <c r="BB17" i="26"/>
  <c r="BC17" i="26" s="1"/>
  <c r="BD17" i="26" s="1"/>
  <c r="BA209" i="26"/>
  <c r="BB209" i="26" s="1"/>
  <c r="BC209" i="26" s="1"/>
  <c r="BD209" i="26" s="1"/>
  <c r="BB394" i="26"/>
  <c r="BC394" i="26" s="1"/>
  <c r="BD394" i="26" s="1"/>
  <c r="BB345" i="26"/>
  <c r="BC345" i="26" s="1"/>
  <c r="BD345" i="26" s="1"/>
  <c r="AZ255" i="26"/>
  <c r="BB255" i="26" s="1"/>
  <c r="BC255" i="26" s="1"/>
  <c r="BD255" i="26" s="1"/>
  <c r="BM151" i="26"/>
  <c r="AZ323" i="26"/>
  <c r="BB323" i="26" s="1"/>
  <c r="BC323" i="26" s="1"/>
  <c r="BD323" i="26" s="1"/>
  <c r="AZ637" i="26"/>
  <c r="BB637" i="26" s="1"/>
  <c r="BC637" i="26" s="1"/>
  <c r="BD637" i="26" s="1"/>
  <c r="AZ608" i="26"/>
  <c r="BB608" i="26" s="1"/>
  <c r="BC608" i="26" s="1"/>
  <c r="BD608" i="26" s="1"/>
  <c r="BM37" i="26"/>
  <c r="AZ294" i="26"/>
  <c r="BB294" i="26" s="1"/>
  <c r="BC294" i="26" s="1"/>
  <c r="BD294" i="26" s="1"/>
  <c r="BB163" i="26"/>
  <c r="BC163" i="26" s="1"/>
  <c r="BD163" i="26" s="1"/>
  <c r="AZ466" i="26"/>
  <c r="BB466" i="26" s="1"/>
  <c r="BC466" i="26" s="1"/>
  <c r="BD466" i="26" s="1"/>
  <c r="BA558" i="26"/>
  <c r="BA550" i="26"/>
  <c r="BB550" i="26" s="1"/>
  <c r="BC550" i="26" s="1"/>
  <c r="BD550" i="26" s="1"/>
  <c r="AZ507" i="26"/>
  <c r="BB507" i="26" s="1"/>
  <c r="BC507" i="26" s="1"/>
  <c r="BD507" i="26" s="1"/>
  <c r="BA394" i="26"/>
  <c r="BB643" i="26"/>
  <c r="BC643" i="26" s="1"/>
  <c r="BD643" i="26" s="1"/>
  <c r="AZ501" i="26"/>
  <c r="BB501" i="26" s="1"/>
  <c r="BC501" i="26" s="1"/>
  <c r="BD501" i="26" s="1"/>
  <c r="AZ196" i="26"/>
  <c r="BB196" i="26" s="1"/>
  <c r="BC196" i="26" s="1"/>
  <c r="BD196" i="26" s="1"/>
  <c r="AZ707" i="26"/>
  <c r="BB707" i="26" s="1"/>
  <c r="BC707" i="26" s="1"/>
  <c r="BD707" i="26" s="1"/>
  <c r="BA627" i="26"/>
  <c r="BM371" i="26"/>
  <c r="AZ13" i="26"/>
  <c r="BB13" i="26" s="1"/>
  <c r="BC13" i="26" s="1"/>
  <c r="BD13" i="26" s="1"/>
  <c r="BA54" i="26"/>
  <c r="BM155" i="26"/>
  <c r="BB480" i="26"/>
  <c r="BC480" i="26" s="1"/>
  <c r="BD480" i="26" s="1"/>
  <c r="AZ25" i="26"/>
  <c r="BB25" i="26" s="1"/>
  <c r="BC25" i="26" s="1"/>
  <c r="BD25" i="26" s="1"/>
  <c r="AZ8" i="26"/>
  <c r="BB8" i="26" s="1"/>
  <c r="BC8" i="26" s="1"/>
  <c r="BD8" i="26" s="1"/>
  <c r="BM61" i="26"/>
  <c r="BB388" i="26"/>
  <c r="BC388" i="26" s="1"/>
  <c r="BD388" i="26" s="1"/>
  <c r="BB549" i="26"/>
  <c r="BC549" i="26" s="1"/>
  <c r="BD549" i="26" s="1"/>
  <c r="BA163" i="26"/>
  <c r="AZ11" i="26"/>
  <c r="BB11" i="26" s="1"/>
  <c r="BC11" i="26" s="1"/>
  <c r="BD11" i="26" s="1"/>
  <c r="AZ326" i="26"/>
  <c r="BB326" i="26" s="1"/>
  <c r="BC326" i="26" s="1"/>
  <c r="BD326" i="26" s="1"/>
  <c r="AZ102" i="26"/>
  <c r="BB102" i="26" s="1"/>
  <c r="BC102" i="26" s="1"/>
  <c r="BD102" i="26" s="1"/>
  <c r="AZ86" i="26"/>
  <c r="BB86" i="26" s="1"/>
  <c r="BC86" i="26" s="1"/>
  <c r="BD86" i="26" s="1"/>
  <c r="BB187" i="26"/>
  <c r="BC187" i="26" s="1"/>
  <c r="BD187" i="26" s="1"/>
  <c r="AZ361" i="26"/>
  <c r="BB361" i="26" s="1"/>
  <c r="BC361" i="26" s="1"/>
  <c r="BD361" i="26" s="1"/>
  <c r="BM254" i="26"/>
  <c r="BM531" i="26"/>
  <c r="BM553" i="26"/>
  <c r="AZ140" i="26"/>
  <c r="BB140" i="26" s="1"/>
  <c r="BC140" i="26" s="1"/>
  <c r="BD140" i="26" s="1"/>
  <c r="BB139" i="26"/>
  <c r="BC139" i="26" s="1"/>
  <c r="BD139" i="26" s="1"/>
  <c r="BA476" i="26"/>
  <c r="BB151" i="26"/>
  <c r="BC151" i="26" s="1"/>
  <c r="BD151" i="26" s="1"/>
  <c r="AZ186" i="26"/>
  <c r="BB186" i="26" s="1"/>
  <c r="BC186" i="26" s="1"/>
  <c r="BD186" i="26" s="1"/>
  <c r="BA809" i="26"/>
  <c r="BB809" i="26" s="1"/>
  <c r="BC809" i="26" s="1"/>
  <c r="BD809" i="26" s="1"/>
  <c r="BM627" i="26"/>
  <c r="BM13" i="26"/>
  <c r="AZ50" i="26"/>
  <c r="BB50" i="26" s="1"/>
  <c r="BC50" i="26" s="1"/>
  <c r="BD50" i="26" s="1"/>
  <c r="BB801" i="26"/>
  <c r="BC801" i="26" s="1"/>
  <c r="BD801" i="26" s="1"/>
  <c r="BA820" i="26"/>
  <c r="BB820" i="26" s="1"/>
  <c r="BC820" i="26" s="1"/>
  <c r="BD820" i="26" s="1"/>
  <c r="AZ356" i="26"/>
  <c r="BB356" i="26" s="1"/>
  <c r="BC356" i="26" s="1"/>
  <c r="BD356" i="26" s="1"/>
  <c r="AZ165" i="26"/>
  <c r="BB165" i="26" s="1"/>
  <c r="BC165" i="26" s="1"/>
  <c r="BD165" i="26" s="1"/>
  <c r="BM4" i="26"/>
  <c r="BM69" i="26"/>
  <c r="AZ697" i="26"/>
  <c r="BB697" i="26" s="1"/>
  <c r="BC697" i="26" s="1"/>
  <c r="BD697" i="26" s="1"/>
  <c r="AZ509" i="26"/>
  <c r="BB509" i="26" s="1"/>
  <c r="BC509" i="26" s="1"/>
  <c r="BD509" i="26" s="1"/>
  <c r="AZ142" i="26"/>
  <c r="BB142" i="26" s="1"/>
  <c r="BC142" i="26" s="1"/>
  <c r="BD142" i="26" s="1"/>
  <c r="AZ60" i="26"/>
  <c r="BB60" i="26" s="1"/>
  <c r="BC60" i="26" s="1"/>
  <c r="BD60" i="26" s="1"/>
  <c r="BM404" i="26"/>
  <c r="BB409" i="26"/>
  <c r="BC409" i="26" s="1"/>
  <c r="BD409" i="26" s="1"/>
  <c r="AZ727" i="26"/>
  <c r="BB727" i="26" s="1"/>
  <c r="BC727" i="26" s="1"/>
  <c r="BD727" i="26" s="1"/>
  <c r="AZ307" i="26"/>
  <c r="BB307" i="26" s="1"/>
  <c r="BC307" i="26" s="1"/>
  <c r="BD307" i="26" s="1"/>
  <c r="BM280" i="26"/>
  <c r="BB766" i="26"/>
  <c r="BC766" i="26" s="1"/>
  <c r="BD766" i="26" s="1"/>
  <c r="AZ464" i="26"/>
  <c r="BB464" i="26" s="1"/>
  <c r="BC464" i="26" s="1"/>
  <c r="BD464" i="26" s="1"/>
  <c r="AZ295" i="26"/>
  <c r="BB295" i="26" s="1"/>
  <c r="BC295" i="26" s="1"/>
  <c r="BD295" i="26" s="1"/>
  <c r="BM27" i="26"/>
  <c r="AZ67" i="26"/>
  <c r="BB67" i="26" s="1"/>
  <c r="BC67" i="26" s="1"/>
  <c r="BD67" i="26" s="1"/>
  <c r="AZ198" i="26"/>
  <c r="BB198" i="26" s="1"/>
  <c r="BC198" i="26" s="1"/>
  <c r="BD198" i="26" s="1"/>
  <c r="BB538" i="26"/>
  <c r="BC538" i="26" s="1"/>
  <c r="BD538" i="26" s="1"/>
  <c r="BA546" i="26"/>
  <c r="AZ34" i="26"/>
  <c r="BB34" i="26" s="1"/>
  <c r="BC34" i="26" s="1"/>
  <c r="BD34" i="26" s="1"/>
  <c r="BA522" i="26"/>
  <c r="AZ619" i="26"/>
  <c r="BB619" i="26" s="1"/>
  <c r="BC619" i="26" s="1"/>
  <c r="BD619" i="26" s="1"/>
  <c r="BM140" i="26"/>
  <c r="AZ454" i="26"/>
  <c r="BB454" i="26" s="1"/>
  <c r="BC454" i="26" s="1"/>
  <c r="BD454" i="26" s="1"/>
  <c r="AZ691" i="26"/>
  <c r="BB691" i="26" s="1"/>
  <c r="BC691" i="26" s="1"/>
  <c r="BD691" i="26" s="1"/>
  <c r="AZ313" i="26"/>
  <c r="BB313" i="26" s="1"/>
  <c r="BC313" i="26" s="1"/>
  <c r="BD313" i="26" s="1"/>
  <c r="AZ15" i="26"/>
  <c r="BB15" i="26" s="1"/>
  <c r="BC15" i="26" s="1"/>
  <c r="BD15" i="26" s="1"/>
  <c r="BB590" i="26"/>
  <c r="BC590" i="26" s="1"/>
  <c r="BD590" i="26" s="1"/>
  <c r="AZ719" i="26"/>
  <c r="BB719" i="26" s="1"/>
  <c r="BC719" i="26" s="1"/>
  <c r="BD719" i="26" s="1"/>
  <c r="BB644" i="26"/>
  <c r="BC644" i="26" s="1"/>
  <c r="BD644" i="26" s="1"/>
  <c r="BB109" i="26"/>
  <c r="BC109" i="26" s="1"/>
  <c r="BD109" i="26" s="1"/>
  <c r="AZ685" i="26"/>
  <c r="BB685" i="26" s="1"/>
  <c r="BC685" i="26" s="1"/>
  <c r="BD685" i="26" s="1"/>
  <c r="AZ238" i="26"/>
  <c r="BB238" i="26" s="1"/>
  <c r="BC238" i="26" s="1"/>
  <c r="BD238" i="26" s="1"/>
  <c r="AZ194" i="26"/>
  <c r="BB194" i="26" s="1"/>
  <c r="BC194" i="26" s="1"/>
  <c r="BD194" i="26" s="1"/>
  <c r="BM57" i="26"/>
  <c r="AZ215" i="26"/>
  <c r="BB215" i="26" s="1"/>
  <c r="BC215" i="26" s="1"/>
  <c r="BD215" i="26" s="1"/>
  <c r="BA23" i="26"/>
  <c r="BB23" i="26" s="1"/>
  <c r="BC23" i="26" s="1"/>
  <c r="BD23" i="26" s="1"/>
  <c r="AZ560" i="26"/>
  <c r="BB560" i="26" s="1"/>
  <c r="BC560" i="26" s="1"/>
  <c r="BD560" i="26" s="1"/>
  <c r="AZ630" i="26"/>
  <c r="BB630" i="26" s="1"/>
  <c r="BC630" i="26" s="1"/>
  <c r="BD630" i="26" s="1"/>
  <c r="BA805" i="26"/>
  <c r="AZ824" i="26"/>
  <c r="BB824" i="26" s="1"/>
  <c r="BC824" i="26" s="1"/>
  <c r="BD824" i="26" s="1"/>
  <c r="AZ217" i="26"/>
  <c r="BB217" i="26" s="1"/>
  <c r="BC217" i="26" s="1"/>
  <c r="BD217" i="26" s="1"/>
  <c r="BM25" i="26"/>
  <c r="AZ178" i="26"/>
  <c r="BB178" i="26" s="1"/>
  <c r="BC178" i="26" s="1"/>
  <c r="BD178" i="26" s="1"/>
  <c r="BM26" i="26"/>
  <c r="BM730" i="26"/>
  <c r="BM11" i="26"/>
  <c r="AZ5" i="26"/>
  <c r="BB5" i="26" s="1"/>
  <c r="BC5" i="26" s="1"/>
  <c r="BD5" i="26" s="1"/>
  <c r="BA590" i="26"/>
  <c r="AZ415" i="26"/>
  <c r="BB415" i="26" s="1"/>
  <c r="BC415" i="26" s="1"/>
  <c r="BD415" i="26" s="1"/>
  <c r="AZ339" i="26"/>
  <c r="BB339" i="26" s="1"/>
  <c r="BC339" i="26" s="1"/>
  <c r="BD339" i="26" s="1"/>
  <c r="AZ180" i="26"/>
  <c r="BB180" i="26" s="1"/>
  <c r="BC180" i="26" s="1"/>
  <c r="BD180" i="26" s="1"/>
  <c r="BM49" i="26"/>
  <c r="AZ150" i="26"/>
  <c r="BB150" i="26" s="1"/>
  <c r="BC150" i="26" s="1"/>
  <c r="BD150" i="26" s="1"/>
  <c r="BB657" i="26"/>
  <c r="BC657" i="26" s="1"/>
  <c r="BD657" i="26" s="1"/>
  <c r="BB605" i="26"/>
  <c r="BC605" i="26" s="1"/>
  <c r="BD605" i="26" s="1"/>
  <c r="AZ677" i="26"/>
  <c r="BB677" i="26" s="1"/>
  <c r="BC677" i="26" s="1"/>
  <c r="BD677" i="26" s="1"/>
  <c r="BB485" i="26"/>
  <c r="BC485" i="26" s="1"/>
  <c r="BD485" i="26" s="1"/>
  <c r="BM112" i="26"/>
  <c r="AZ76" i="26"/>
  <c r="BB76" i="26" s="1"/>
  <c r="BC76" i="26" s="1"/>
  <c r="BD76" i="26" s="1"/>
  <c r="AZ493" i="26"/>
  <c r="BB493" i="26" s="1"/>
  <c r="BC493" i="26" s="1"/>
  <c r="BD493" i="26" s="1"/>
  <c r="BB222" i="26"/>
  <c r="BC222" i="26" s="1"/>
  <c r="BD222" i="26" s="1"/>
  <c r="BA731" i="26"/>
  <c r="BB731" i="26" s="1"/>
  <c r="BC731" i="26" s="1"/>
  <c r="BD731" i="26" s="1"/>
  <c r="BB184" i="26"/>
  <c r="BC184" i="26" s="1"/>
  <c r="BD184" i="26" s="1"/>
  <c r="AZ747" i="26"/>
  <c r="BB747" i="26" s="1"/>
  <c r="BC747" i="26" s="1"/>
  <c r="BD747" i="26" s="1"/>
  <c r="AZ411" i="26"/>
  <c r="BB411" i="26" s="1"/>
  <c r="BC411" i="26" s="1"/>
  <c r="BD411" i="26" s="1"/>
  <c r="BM68" i="26"/>
  <c r="BA16" i="26"/>
  <c r="BB16" i="26" s="1"/>
  <c r="BC16" i="26" s="1"/>
  <c r="BD16" i="26" s="1"/>
  <c r="AZ53" i="26"/>
  <c r="BB53" i="26" s="1"/>
  <c r="BC53" i="26" s="1"/>
  <c r="BD53" i="26" s="1"/>
  <c r="BB558" i="26"/>
  <c r="BC558" i="26" s="1"/>
  <c r="BD558" i="26" s="1"/>
  <c r="BA376" i="26"/>
  <c r="BB376" i="26" s="1"/>
  <c r="BC376" i="26" s="1"/>
  <c r="BD376" i="26" s="1"/>
  <c r="BA644" i="26"/>
  <c r="BB594" i="26"/>
  <c r="BC594" i="26" s="1"/>
  <c r="BD594" i="26" s="1"/>
  <c r="AZ564" i="26"/>
  <c r="BB564" i="26" s="1"/>
  <c r="BC564" i="26" s="1"/>
  <c r="BD564" i="26" s="1"/>
  <c r="BA318" i="26"/>
  <c r="AZ204" i="26"/>
  <c r="BB204" i="26" s="1"/>
  <c r="BC204" i="26" s="1"/>
  <c r="BD204" i="26" s="1"/>
  <c r="AZ193" i="26"/>
  <c r="BB193" i="26" s="1"/>
  <c r="BC193" i="26" s="1"/>
  <c r="BD193" i="26" s="1"/>
  <c r="BM103" i="26"/>
  <c r="AZ88" i="26"/>
  <c r="BB88" i="26" s="1"/>
  <c r="BC88" i="26" s="1"/>
  <c r="BD88" i="26" s="1"/>
  <c r="AZ133" i="26"/>
  <c r="BB133" i="26" s="1"/>
  <c r="BC133" i="26" s="1"/>
  <c r="BD133" i="26" s="1"/>
  <c r="AZ99" i="26"/>
  <c r="BB99" i="26" s="1"/>
  <c r="BC99" i="26" s="1"/>
  <c r="BD99" i="26" s="1"/>
  <c r="BM279" i="26"/>
  <c r="AZ49" i="26"/>
  <c r="BB49" i="26" s="1"/>
  <c r="BC49" i="26" s="1"/>
  <c r="BD49" i="26" s="1"/>
  <c r="BB400" i="26"/>
  <c r="BC400" i="26" s="1"/>
  <c r="BD400" i="26" s="1"/>
  <c r="BA267" i="26"/>
  <c r="BB267" i="26" s="1"/>
  <c r="BC267" i="26" s="1"/>
  <c r="BD267" i="26" s="1"/>
  <c r="AZ233" i="26"/>
  <c r="BB233" i="26" s="1"/>
  <c r="BC233" i="26" s="1"/>
  <c r="BD233" i="26" s="1"/>
  <c r="BA139" i="26"/>
  <c r="AZ162" i="26"/>
  <c r="BB162" i="26" s="1"/>
  <c r="BC162" i="26" s="1"/>
  <c r="BD162" i="26" s="1"/>
  <c r="AZ310" i="26"/>
  <c r="BB310" i="26" s="1"/>
  <c r="BC310" i="26" s="1"/>
  <c r="BD310" i="26" s="1"/>
  <c r="BB648" i="26"/>
  <c r="BC648" i="26" s="1"/>
  <c r="BD648" i="26" s="1"/>
  <c r="AZ683" i="26"/>
  <c r="BB683" i="26" s="1"/>
  <c r="BC683" i="26" s="1"/>
  <c r="BD683" i="26" s="1"/>
  <c r="AZ231" i="26"/>
  <c r="BB231" i="26" s="1"/>
  <c r="BC231" i="26" s="1"/>
  <c r="BD231" i="26" s="1"/>
  <c r="BM386" i="26"/>
  <c r="BM470" i="26"/>
  <c r="AZ47" i="26"/>
  <c r="BB47" i="26" s="1"/>
  <c r="BC47" i="26" s="1"/>
  <c r="BD47" i="26" s="1"/>
  <c r="AZ554" i="26"/>
  <c r="BB554" i="26" s="1"/>
  <c r="BC554" i="26" s="1"/>
  <c r="BD554" i="26" s="1"/>
  <c r="AZ467" i="26"/>
  <c r="BB467" i="26" s="1"/>
  <c r="BC467" i="26" s="1"/>
  <c r="BD467" i="26" s="1"/>
  <c r="AZ164" i="26"/>
  <c r="BB164" i="26" s="1"/>
  <c r="BC164" i="26" s="1"/>
  <c r="BD164" i="26" s="1"/>
  <c r="BB586" i="26"/>
  <c r="BC586" i="26" s="1"/>
  <c r="BD586" i="26" s="1"/>
  <c r="AZ531" i="26"/>
  <c r="BB531" i="26" s="1"/>
  <c r="BC531" i="26" s="1"/>
  <c r="BD531" i="26" s="1"/>
  <c r="BA610" i="26"/>
  <c r="AZ547" i="26"/>
  <c r="BB547" i="26" s="1"/>
  <c r="BC547" i="26" s="1"/>
  <c r="BD547" i="26" s="1"/>
  <c r="BA407" i="26"/>
  <c r="BB407" i="26" s="1"/>
  <c r="BC407" i="26" s="1"/>
  <c r="BD407" i="26" s="1"/>
  <c r="AZ232" i="26"/>
  <c r="BB232" i="26" s="1"/>
  <c r="BC232" i="26" s="1"/>
  <c r="BD232" i="26" s="1"/>
  <c r="BM445" i="26"/>
  <c r="BB123" i="26"/>
  <c r="BC123" i="26" s="1"/>
  <c r="BD123" i="26" s="1"/>
  <c r="BB532" i="26"/>
  <c r="BC532" i="26" s="1"/>
  <c r="BD532" i="26" s="1"/>
  <c r="AZ304" i="26"/>
  <c r="BB304" i="26" s="1"/>
  <c r="BC304" i="26" s="1"/>
  <c r="BD304" i="26" s="1"/>
  <c r="BA48" i="26"/>
  <c r="BB781" i="26"/>
  <c r="BC781" i="26" s="1"/>
  <c r="BD781" i="26" s="1"/>
  <c r="AZ732" i="26"/>
  <c r="BB732" i="26" s="1"/>
  <c r="BC732" i="26" s="1"/>
  <c r="BD732" i="26" s="1"/>
  <c r="BB827" i="26"/>
  <c r="BC827" i="26" s="1"/>
  <c r="BD827" i="26" s="1"/>
  <c r="AZ518" i="26"/>
  <c r="BB518" i="26" s="1"/>
  <c r="BC518" i="26" s="1"/>
  <c r="BD518" i="26" s="1"/>
  <c r="AZ459" i="26"/>
  <c r="BB459" i="26" s="1"/>
  <c r="BC459" i="26" s="1"/>
  <c r="BD459" i="26" s="1"/>
  <c r="AZ402" i="26"/>
  <c r="BB402" i="26" s="1"/>
  <c r="BC402" i="26" s="1"/>
  <c r="BD402" i="26" s="1"/>
  <c r="BM135" i="26"/>
  <c r="AZ488" i="26"/>
  <c r="BB488" i="26" s="1"/>
  <c r="BC488" i="26" s="1"/>
  <c r="BD488" i="26" s="1"/>
  <c r="AZ575" i="26"/>
  <c r="BB575" i="26" s="1"/>
  <c r="BC575" i="26" s="1"/>
  <c r="BD575" i="26" s="1"/>
  <c r="BA211" i="26"/>
  <c r="BB211" i="26" s="1"/>
  <c r="BC211" i="26" s="1"/>
  <c r="BD211" i="26" s="1"/>
  <c r="AZ257" i="26"/>
  <c r="BB257" i="26" s="1"/>
  <c r="BC257" i="26" s="1"/>
  <c r="BD257" i="26" s="1"/>
  <c r="BA803" i="26"/>
  <c r="BB519" i="26"/>
  <c r="BC519" i="26" s="1"/>
  <c r="BD519" i="26" s="1"/>
  <c r="BB591" i="26"/>
  <c r="BC591" i="26" s="1"/>
  <c r="BD591" i="26" s="1"/>
  <c r="AZ455" i="26"/>
  <c r="BB455" i="26" s="1"/>
  <c r="BC455" i="26" s="1"/>
  <c r="BD455" i="26" s="1"/>
  <c r="BM270" i="26"/>
  <c r="BM342" i="26"/>
  <c r="BM528" i="26"/>
  <c r="AZ63" i="26"/>
  <c r="BB63" i="26" s="1"/>
  <c r="BC63" i="26" s="1"/>
  <c r="BD63" i="26" s="1"/>
  <c r="AZ12" i="26"/>
  <c r="BB12" i="26" s="1"/>
  <c r="BC12" i="26" s="1"/>
  <c r="BD12" i="26" s="1"/>
  <c r="AZ646" i="26"/>
  <c r="BB646" i="26" s="1"/>
  <c r="BC646" i="26" s="1"/>
  <c r="BD646" i="26" s="1"/>
  <c r="AZ138" i="26"/>
  <c r="BB138" i="26" s="1"/>
  <c r="BC138" i="26" s="1"/>
  <c r="BD138" i="26" s="1"/>
  <c r="BA808" i="26"/>
  <c r="AZ808" i="26"/>
  <c r="AZ249" i="26"/>
  <c r="BB249" i="26" s="1"/>
  <c r="BC249" i="26" s="1"/>
  <c r="BD249" i="26" s="1"/>
  <c r="AZ767" i="26"/>
  <c r="BB767" i="26" s="1"/>
  <c r="BC767" i="26" s="1"/>
  <c r="BD767" i="26" s="1"/>
  <c r="AZ656" i="26"/>
  <c r="BB656" i="26" s="1"/>
  <c r="BC656" i="26" s="1"/>
  <c r="BD656" i="26" s="1"/>
  <c r="AZ588" i="26"/>
  <c r="BB588" i="26" s="1"/>
  <c r="BC588" i="26" s="1"/>
  <c r="BD588" i="26" s="1"/>
  <c r="AZ414" i="26"/>
  <c r="BB414" i="26" s="1"/>
  <c r="BC414" i="26" s="1"/>
  <c r="BD414" i="26" s="1"/>
  <c r="BA330" i="26"/>
  <c r="BB330" i="26" s="1"/>
  <c r="BC330" i="26" s="1"/>
  <c r="BD330" i="26" s="1"/>
  <c r="BM16" i="26"/>
  <c r="BB510" i="26"/>
  <c r="BC510" i="26" s="1"/>
  <c r="BD510" i="26" s="1"/>
  <c r="AZ399" i="26"/>
  <c r="BB399" i="26" s="1"/>
  <c r="BC399" i="26" s="1"/>
  <c r="BD399" i="26" s="1"/>
  <c r="BA669" i="26"/>
  <c r="AZ669" i="26"/>
  <c r="BA288" i="26"/>
  <c r="AZ288" i="26"/>
  <c r="BM560" i="26"/>
  <c r="BM33" i="26"/>
  <c r="AZ716" i="26"/>
  <c r="BB716" i="26" s="1"/>
  <c r="BC716" i="26" s="1"/>
  <c r="BD716" i="26" s="1"/>
  <c r="BA716" i="26"/>
  <c r="AZ628" i="26"/>
  <c r="BB628" i="26" s="1"/>
  <c r="BC628" i="26" s="1"/>
  <c r="BD628" i="26" s="1"/>
  <c r="BM199" i="26"/>
  <c r="AZ427" i="26"/>
  <c r="BA427" i="26"/>
  <c r="BB546" i="26"/>
  <c r="BC546" i="26" s="1"/>
  <c r="BD546" i="26" s="1"/>
  <c r="AZ420" i="26"/>
  <c r="BB420" i="26" s="1"/>
  <c r="BC420" i="26" s="1"/>
  <c r="BD420" i="26" s="1"/>
  <c r="AZ303" i="26"/>
  <c r="BB303" i="26" s="1"/>
  <c r="BC303" i="26" s="1"/>
  <c r="BD303" i="26" s="1"/>
  <c r="AZ113" i="26"/>
  <c r="BB113" i="26" s="1"/>
  <c r="BC113" i="26" s="1"/>
  <c r="BD113" i="26" s="1"/>
  <c r="BM153" i="26"/>
  <c r="BB631" i="26"/>
  <c r="BC631" i="26" s="1"/>
  <c r="BD631" i="26" s="1"/>
  <c r="BA781" i="26"/>
  <c r="BM503" i="26"/>
  <c r="BM708" i="26"/>
  <c r="AZ311" i="26"/>
  <c r="BB311" i="26" s="1"/>
  <c r="BC311" i="26" s="1"/>
  <c r="BD311" i="26" s="1"/>
  <c r="BA96" i="26"/>
  <c r="BB96" i="26" s="1"/>
  <c r="BC96" i="26" s="1"/>
  <c r="BD96" i="26" s="1"/>
  <c r="AZ799" i="26"/>
  <c r="BB799" i="26" s="1"/>
  <c r="BC799" i="26" s="1"/>
  <c r="BD799" i="26" s="1"/>
  <c r="BA799" i="26"/>
  <c r="AZ559" i="26"/>
  <c r="BB559" i="26" s="1"/>
  <c r="BC559" i="26" s="1"/>
  <c r="BD559" i="26" s="1"/>
  <c r="AZ652" i="26"/>
  <c r="BB652" i="26" s="1"/>
  <c r="BC652" i="26" s="1"/>
  <c r="BD652" i="26" s="1"/>
  <c r="AZ297" i="26"/>
  <c r="BB297" i="26" s="1"/>
  <c r="BC297" i="26" s="1"/>
  <c r="BD297" i="26" s="1"/>
  <c r="BA17" i="26"/>
  <c r="AZ62" i="26"/>
  <c r="BB62" i="26" s="1"/>
  <c r="BC62" i="26" s="1"/>
  <c r="BD62" i="26" s="1"/>
  <c r="BB318" i="26"/>
  <c r="BC318" i="26" s="1"/>
  <c r="BD318" i="26" s="1"/>
  <c r="BA757" i="26"/>
  <c r="AZ757" i="26"/>
  <c r="BM348" i="26"/>
  <c r="BM594" i="26"/>
  <c r="BM9" i="26"/>
  <c r="AZ21" i="26"/>
  <c r="BB21" i="26" s="1"/>
  <c r="BC21" i="26" s="1"/>
  <c r="BD21" i="26" s="1"/>
  <c r="BB786" i="26"/>
  <c r="BC786" i="26" s="1"/>
  <c r="BD786" i="26" s="1"/>
  <c r="BA343" i="26"/>
  <c r="BA770" i="26"/>
  <c r="BA413" i="26"/>
  <c r="BB413" i="26" s="1"/>
  <c r="BC413" i="26" s="1"/>
  <c r="BD413" i="26" s="1"/>
  <c r="AZ712" i="26"/>
  <c r="BB712" i="26" s="1"/>
  <c r="BC712" i="26" s="1"/>
  <c r="BD712" i="26" s="1"/>
  <c r="BB610" i="26"/>
  <c r="BC610" i="26" s="1"/>
  <c r="BD610" i="26" s="1"/>
  <c r="AZ638" i="26"/>
  <c r="BB638" i="26" s="1"/>
  <c r="BC638" i="26" s="1"/>
  <c r="BD638" i="26" s="1"/>
  <c r="BA449" i="26"/>
  <c r="BM72" i="26"/>
  <c r="AZ26" i="26"/>
  <c r="BB26" i="26" s="1"/>
  <c r="BC26" i="26" s="1"/>
  <c r="BD26" i="26" s="1"/>
  <c r="AZ228" i="26"/>
  <c r="BB228" i="26" s="1"/>
  <c r="BC228" i="26" s="1"/>
  <c r="BD228" i="26" s="1"/>
  <c r="BA228" i="26"/>
  <c r="BM272" i="26"/>
  <c r="BM346" i="26"/>
  <c r="BM615" i="26"/>
  <c r="BB770" i="26"/>
  <c r="BC770" i="26" s="1"/>
  <c r="BD770" i="26" s="1"/>
  <c r="BA85" i="26"/>
  <c r="AZ85" i="26"/>
  <c r="AZ484" i="26"/>
  <c r="BB484" i="26" s="1"/>
  <c r="BC484" i="26" s="1"/>
  <c r="BD484" i="26" s="1"/>
  <c r="BM104" i="26"/>
  <c r="BM8" i="26"/>
  <c r="BM122" i="26"/>
  <c r="AZ752" i="26"/>
  <c r="BB752" i="26" s="1"/>
  <c r="BC752" i="26" s="1"/>
  <c r="BD752" i="26" s="1"/>
  <c r="BA752" i="26"/>
  <c r="AZ744" i="26"/>
  <c r="BB744" i="26" s="1"/>
  <c r="BC744" i="26" s="1"/>
  <c r="BD744" i="26" s="1"/>
  <c r="BA744" i="26"/>
  <c r="BA822" i="26"/>
  <c r="AZ822" i="26"/>
  <c r="AZ435" i="26"/>
  <c r="BB435" i="26" s="1"/>
  <c r="BC435" i="26" s="1"/>
  <c r="BD435" i="26" s="1"/>
  <c r="BA435" i="26"/>
  <c r="BA743" i="26"/>
  <c r="AZ743" i="26"/>
  <c r="BB743" i="26" s="1"/>
  <c r="BC743" i="26" s="1"/>
  <c r="BD743" i="26" s="1"/>
  <c r="AZ473" i="26"/>
  <c r="BB473" i="26" s="1"/>
  <c r="BC473" i="26" s="1"/>
  <c r="BD473" i="26" s="1"/>
  <c r="BA473" i="26"/>
  <c r="BA98" i="26"/>
  <c r="AZ98" i="26"/>
  <c r="BA110" i="26"/>
  <c r="AZ110" i="26"/>
  <c r="BQ42" i="26"/>
  <c r="BA417" i="26"/>
  <c r="BB417" i="26" s="1"/>
  <c r="BC417" i="26" s="1"/>
  <c r="BD417" i="26" s="1"/>
  <c r="BB298" i="26"/>
  <c r="BC298" i="26" s="1"/>
  <c r="BD298" i="26" s="1"/>
  <c r="AZ783" i="26"/>
  <c r="BB783" i="26" s="1"/>
  <c r="BC783" i="26" s="1"/>
  <c r="BD783" i="26" s="1"/>
  <c r="BA510" i="26"/>
  <c r="BM152" i="26"/>
  <c r="BM563" i="26"/>
  <c r="BA777" i="26"/>
  <c r="AZ777" i="26"/>
  <c r="AZ785" i="26"/>
  <c r="BB785" i="26" s="1"/>
  <c r="BC785" i="26" s="1"/>
  <c r="BD785" i="26" s="1"/>
  <c r="BA436" i="26"/>
  <c r="BM169" i="26"/>
  <c r="BM53" i="26"/>
  <c r="AZ746" i="26"/>
  <c r="BB746" i="26" s="1"/>
  <c r="BC746" i="26" s="1"/>
  <c r="BD746" i="26" s="1"/>
  <c r="BA746" i="26"/>
  <c r="AZ381" i="26"/>
  <c r="BB381" i="26" s="1"/>
  <c r="BC381" i="26" s="1"/>
  <c r="BD381" i="26" s="1"/>
  <c r="BA381" i="26"/>
  <c r="AZ229" i="26"/>
  <c r="BB229" i="26" s="1"/>
  <c r="BC229" i="26" s="1"/>
  <c r="BD229" i="26" s="1"/>
  <c r="BA229" i="26"/>
  <c r="AZ97" i="26"/>
  <c r="BA97" i="26"/>
  <c r="BA70" i="26"/>
  <c r="AZ70" i="26"/>
  <c r="AZ172" i="26"/>
  <c r="BA172" i="26"/>
  <c r="BA201" i="26"/>
  <c r="AZ201" i="26"/>
  <c r="AZ444" i="26"/>
  <c r="BA444" i="26"/>
  <c r="AZ221" i="26"/>
  <c r="BA221" i="26"/>
  <c r="AZ208" i="26"/>
  <c r="BA208" i="26"/>
  <c r="BA720" i="26"/>
  <c r="BB720" i="26" s="1"/>
  <c r="BC720" i="26" s="1"/>
  <c r="BD720" i="26" s="1"/>
  <c r="BB710" i="26"/>
  <c r="BC710" i="26" s="1"/>
  <c r="BD710" i="26" s="1"/>
  <c r="AZ615" i="26"/>
  <c r="BB615" i="26" s="1"/>
  <c r="BC615" i="26" s="1"/>
  <c r="BD615" i="26" s="1"/>
  <c r="AZ340" i="26"/>
  <c r="BB340" i="26" s="1"/>
  <c r="BC340" i="26" s="1"/>
  <c r="BD340" i="26" s="1"/>
  <c r="BA325" i="26"/>
  <c r="BB325" i="26" s="1"/>
  <c r="BC325" i="26" s="1"/>
  <c r="BD325" i="26" s="1"/>
  <c r="BM42" i="26"/>
  <c r="BM181" i="26"/>
  <c r="AZ9" i="26"/>
  <c r="BB9" i="26" s="1"/>
  <c r="BC9" i="26" s="1"/>
  <c r="BD9" i="26" s="1"/>
  <c r="AZ798" i="26"/>
  <c r="BB798" i="26" s="1"/>
  <c r="BC798" i="26" s="1"/>
  <c r="BD798" i="26" s="1"/>
  <c r="BA798" i="26"/>
  <c r="AZ797" i="26"/>
  <c r="BB797" i="26" s="1"/>
  <c r="BC797" i="26" s="1"/>
  <c r="BD797" i="26" s="1"/>
  <c r="BA797" i="26"/>
  <c r="BA261" i="26"/>
  <c r="AZ261" i="26"/>
  <c r="AZ778" i="26"/>
  <c r="BB778" i="26" s="1"/>
  <c r="BC778" i="26" s="1"/>
  <c r="BD778" i="26" s="1"/>
  <c r="BA778" i="26"/>
  <c r="AZ461" i="26"/>
  <c r="BB461" i="26" s="1"/>
  <c r="BC461" i="26" s="1"/>
  <c r="BD461" i="26" s="1"/>
  <c r="BA461" i="26"/>
  <c r="AZ825" i="26"/>
  <c r="BB825" i="26" s="1"/>
  <c r="BC825" i="26" s="1"/>
  <c r="BD825" i="26" s="1"/>
  <c r="BA825" i="26"/>
  <c r="BA462" i="26"/>
  <c r="AZ462" i="26"/>
  <c r="BB462" i="26" s="1"/>
  <c r="BC462" i="26" s="1"/>
  <c r="BD462" i="26" s="1"/>
  <c r="AZ248" i="26"/>
  <c r="BB248" i="26" s="1"/>
  <c r="BC248" i="26" s="1"/>
  <c r="BD248" i="26" s="1"/>
  <c r="BA248" i="26"/>
  <c r="BA296" i="26"/>
  <c r="AZ296" i="26"/>
  <c r="BB296" i="26" s="1"/>
  <c r="BC296" i="26" s="1"/>
  <c r="BD296" i="26" s="1"/>
  <c r="AZ687" i="26"/>
  <c r="BB687" i="26" s="1"/>
  <c r="BC687" i="26" s="1"/>
  <c r="BD687" i="26" s="1"/>
  <c r="AZ814" i="26"/>
  <c r="BB814" i="26" s="1"/>
  <c r="BC814" i="26" s="1"/>
  <c r="BD814" i="26" s="1"/>
  <c r="BA499" i="26"/>
  <c r="BB499" i="26" s="1"/>
  <c r="BC499" i="26" s="1"/>
  <c r="BD499" i="26" s="1"/>
  <c r="BA128" i="26"/>
  <c r="BB128" i="26" s="1"/>
  <c r="BC128" i="26" s="1"/>
  <c r="BD128" i="26" s="1"/>
  <c r="BM299" i="26"/>
  <c r="BA679" i="26"/>
  <c r="AZ679" i="26"/>
  <c r="BB679" i="26" s="1"/>
  <c r="BC679" i="26" s="1"/>
  <c r="BD679" i="26" s="1"/>
  <c r="AZ548" i="26"/>
  <c r="BA548" i="26"/>
  <c r="BA264" i="26"/>
  <c r="AZ264" i="26"/>
  <c r="AZ73" i="26"/>
  <c r="BB73" i="26" s="1"/>
  <c r="BC73" i="26" s="1"/>
  <c r="BD73" i="26" s="1"/>
  <c r="BA73" i="26"/>
  <c r="AZ36" i="26"/>
  <c r="BA36" i="26"/>
  <c r="BA565" i="26"/>
  <c r="AZ565" i="26"/>
  <c r="BB565" i="26" s="1"/>
  <c r="BC565" i="26" s="1"/>
  <c r="BD565" i="26" s="1"/>
  <c r="BA213" i="26"/>
  <c r="AZ213" i="26"/>
  <c r="BA117" i="26"/>
  <c r="AZ117" i="26"/>
  <c r="BB117" i="26" s="1"/>
  <c r="BC117" i="26" s="1"/>
  <c r="BD117" i="26" s="1"/>
  <c r="BM110" i="26"/>
  <c r="AZ199" i="26"/>
  <c r="BA199" i="26"/>
  <c r="BA93" i="26"/>
  <c r="AZ93" i="26"/>
  <c r="BB93" i="26" s="1"/>
  <c r="BC93" i="26" s="1"/>
  <c r="BD93" i="26" s="1"/>
  <c r="AZ775" i="26"/>
  <c r="BB775" i="26" s="1"/>
  <c r="BC775" i="26" s="1"/>
  <c r="BD775" i="26" s="1"/>
  <c r="AZ698" i="26"/>
  <c r="BB698" i="26" s="1"/>
  <c r="BC698" i="26" s="1"/>
  <c r="BD698" i="26" s="1"/>
  <c r="BA391" i="26"/>
  <c r="BB391" i="26" s="1"/>
  <c r="BC391" i="26" s="1"/>
  <c r="BD391" i="26" s="1"/>
  <c r="BA410" i="26"/>
  <c r="BB410" i="26" s="1"/>
  <c r="BC410" i="26" s="1"/>
  <c r="BD410" i="26" s="1"/>
  <c r="AZ216" i="26"/>
  <c r="BB216" i="26" s="1"/>
  <c r="BC216" i="26" s="1"/>
  <c r="BD216" i="26" s="1"/>
  <c r="AZ27" i="26"/>
  <c r="BB27" i="26" s="1"/>
  <c r="BC27" i="26" s="1"/>
  <c r="BD27" i="26" s="1"/>
  <c r="AZ39" i="26"/>
  <c r="BB39" i="26" s="1"/>
  <c r="BC39" i="26" s="1"/>
  <c r="BD39" i="26" s="1"/>
  <c r="BA753" i="26"/>
  <c r="AZ753" i="26"/>
  <c r="BA755" i="26"/>
  <c r="AZ755" i="26"/>
  <c r="BB755" i="26" s="1"/>
  <c r="BC755" i="26" s="1"/>
  <c r="BD755" i="26" s="1"/>
  <c r="AZ197" i="26"/>
  <c r="BB197" i="26" s="1"/>
  <c r="BC197" i="26" s="1"/>
  <c r="BD197" i="26" s="1"/>
  <c r="BA197" i="26"/>
  <c r="AZ185" i="26"/>
  <c r="BB185" i="26" s="1"/>
  <c r="BC185" i="26" s="1"/>
  <c r="BD185" i="26" s="1"/>
  <c r="BA185" i="26"/>
  <c r="BA481" i="26"/>
  <c r="AZ481" i="26"/>
  <c r="BB481" i="26" s="1"/>
  <c r="BC481" i="26" s="1"/>
  <c r="BD481" i="26" s="1"/>
  <c r="BA776" i="26"/>
  <c r="BB776" i="26" s="1"/>
  <c r="BC776" i="26" s="1"/>
  <c r="BD776" i="26" s="1"/>
  <c r="AZ572" i="26"/>
  <c r="BB572" i="26" s="1"/>
  <c r="BC572" i="26" s="1"/>
  <c r="BD572" i="26" s="1"/>
  <c r="BA497" i="26"/>
  <c r="BB497" i="26" s="1"/>
  <c r="BC497" i="26" s="1"/>
  <c r="BD497" i="26" s="1"/>
  <c r="BM32" i="26"/>
  <c r="AZ521" i="26"/>
  <c r="BB521" i="26" s="1"/>
  <c r="BC521" i="26" s="1"/>
  <c r="BD521" i="26" s="1"/>
  <c r="BA521" i="26"/>
  <c r="BB539" i="26"/>
  <c r="BC539" i="26" s="1"/>
  <c r="BD539" i="26" s="1"/>
  <c r="AZ660" i="26"/>
  <c r="BB660" i="26" s="1"/>
  <c r="BC660" i="26" s="1"/>
  <c r="BD660" i="26" s="1"/>
  <c r="BA660" i="26"/>
  <c r="AZ408" i="26"/>
  <c r="BA408" i="26"/>
  <c r="BA802" i="26"/>
  <c r="AZ802" i="26"/>
  <c r="BB802" i="26" s="1"/>
  <c r="BC802" i="26" s="1"/>
  <c r="BD802" i="26" s="1"/>
  <c r="BA250" i="26"/>
  <c r="AZ250" i="26"/>
  <c r="BA566" i="26"/>
  <c r="AZ566" i="26"/>
  <c r="BB566" i="26" s="1"/>
  <c r="BC566" i="26" s="1"/>
  <c r="BD566" i="26" s="1"/>
  <c r="AZ160" i="26"/>
  <c r="BA160" i="26"/>
  <c r="AZ486" i="26"/>
  <c r="BB486" i="26" s="1"/>
  <c r="BC486" i="26" s="1"/>
  <c r="BD486" i="26" s="1"/>
  <c r="BA400" i="26"/>
  <c r="BM158" i="26"/>
  <c r="BB79" i="26"/>
  <c r="BC79" i="26" s="1"/>
  <c r="BD79" i="26" s="1"/>
  <c r="BM36" i="26"/>
  <c r="AZ706" i="26"/>
  <c r="BB706" i="26" s="1"/>
  <c r="BC706" i="26" s="1"/>
  <c r="BD706" i="26" s="1"/>
  <c r="BA706" i="26"/>
  <c r="AZ331" i="26"/>
  <c r="BA331" i="26"/>
  <c r="BA347" i="26"/>
  <c r="AZ347" i="26"/>
  <c r="BA153" i="26"/>
  <c r="AZ153" i="26"/>
  <c r="BA148" i="26"/>
  <c r="AZ148" i="26"/>
  <c r="BA173" i="26"/>
  <c r="AZ173" i="26"/>
  <c r="BB173" i="26" s="1"/>
  <c r="BC173" i="26" s="1"/>
  <c r="BD173" i="26" s="1"/>
  <c r="BA122" i="26"/>
  <c r="AZ122" i="26"/>
  <c r="BB122" i="26" s="1"/>
  <c r="BC122" i="26" s="1"/>
  <c r="BD122" i="26" s="1"/>
  <c r="AZ595" i="26"/>
  <c r="BB595" i="26" s="1"/>
  <c r="BC595" i="26" s="1"/>
  <c r="BD595" i="26" s="1"/>
  <c r="BB436" i="26"/>
  <c r="BC436" i="26" s="1"/>
  <c r="BD436" i="26" s="1"/>
  <c r="AZ315" i="26"/>
  <c r="BB315" i="26" s="1"/>
  <c r="BC315" i="26" s="1"/>
  <c r="BD315" i="26" s="1"/>
  <c r="BA298" i="26"/>
  <c r="BM392" i="26"/>
  <c r="BM723" i="26"/>
  <c r="BK797" i="26"/>
  <c r="BL797" i="26" s="1"/>
  <c r="BM797" i="26" s="1"/>
  <c r="AZ66" i="26"/>
  <c r="BB66" i="26" s="1"/>
  <c r="BC66" i="26" s="1"/>
  <c r="BD66" i="26" s="1"/>
  <c r="AZ43" i="26"/>
  <c r="BB43" i="26" s="1"/>
  <c r="BC43" i="26" s="1"/>
  <c r="BD43" i="26" s="1"/>
  <c r="BM12" i="26"/>
  <c r="BA703" i="26"/>
  <c r="AZ703" i="26"/>
  <c r="AZ239" i="26"/>
  <c r="BB239" i="26" s="1"/>
  <c r="BC239" i="26" s="1"/>
  <c r="BD239" i="26" s="1"/>
  <c r="BA239" i="26"/>
  <c r="AZ456" i="26"/>
  <c r="BA456" i="26"/>
  <c r="AZ516" i="26"/>
  <c r="BA516" i="26"/>
  <c r="AZ220" i="26"/>
  <c r="BA220" i="26"/>
  <c r="AZ664" i="26"/>
  <c r="BB664" i="26" s="1"/>
  <c r="BC664" i="26" s="1"/>
  <c r="BD664" i="26" s="1"/>
  <c r="BM82" i="26"/>
  <c r="BM86" i="26"/>
  <c r="BM102" i="26"/>
  <c r="BM352" i="26"/>
  <c r="BM391" i="26"/>
  <c r="BM412" i="26"/>
  <c r="BM527" i="26"/>
  <c r="BA530" i="26"/>
  <c r="AZ530" i="26"/>
  <c r="BB530" i="26" s="1"/>
  <c r="BC530" i="26" s="1"/>
  <c r="BD530" i="26" s="1"/>
  <c r="BA489" i="26"/>
  <c r="AZ489" i="26"/>
  <c r="BB489" i="26" s="1"/>
  <c r="BC489" i="26" s="1"/>
  <c r="BD489" i="26" s="1"/>
  <c r="BA508" i="26"/>
  <c r="AZ508" i="26"/>
  <c r="BB508" i="26" s="1"/>
  <c r="BC508" i="26" s="1"/>
  <c r="BD508" i="26" s="1"/>
  <c r="AZ659" i="26"/>
  <c r="BB659" i="26" s="1"/>
  <c r="BC659" i="26" s="1"/>
  <c r="BD659" i="26" s="1"/>
  <c r="BA659" i="26"/>
  <c r="AZ542" i="26"/>
  <c r="BB542" i="26" s="1"/>
  <c r="BC542" i="26" s="1"/>
  <c r="BD542" i="26" s="1"/>
  <c r="BA542" i="26"/>
  <c r="BA430" i="26"/>
  <c r="AZ430" i="26"/>
  <c r="BA247" i="26"/>
  <c r="AZ247" i="26"/>
  <c r="BB247" i="26" s="1"/>
  <c r="BC247" i="26" s="1"/>
  <c r="BD247" i="26" s="1"/>
  <c r="BA681" i="26"/>
  <c r="AZ681" i="26"/>
  <c r="BB681" i="26" s="1"/>
  <c r="BC681" i="26" s="1"/>
  <c r="BD681" i="26" s="1"/>
  <c r="AZ815" i="26"/>
  <c r="BA815" i="26"/>
  <c r="BA626" i="26"/>
  <c r="AZ626" i="26"/>
  <c r="BA699" i="26"/>
  <c r="AZ699" i="26"/>
  <c r="BA607" i="26"/>
  <c r="AZ607" i="26"/>
  <c r="BA589" i="26"/>
  <c r="AZ589" i="26"/>
  <c r="BB589" i="26" s="1"/>
  <c r="BC589" i="26" s="1"/>
  <c r="BD589" i="26" s="1"/>
  <c r="BA512" i="26"/>
  <c r="AZ512" i="26"/>
  <c r="BA506" i="26"/>
  <c r="AZ506" i="26"/>
  <c r="BB506" i="26" s="1"/>
  <c r="BC506" i="26" s="1"/>
  <c r="BD506" i="26" s="1"/>
  <c r="AZ424" i="26"/>
  <c r="BA424" i="26"/>
  <c r="BA320" i="26"/>
  <c r="AZ320" i="26"/>
  <c r="AZ349" i="26"/>
  <c r="BA349" i="26"/>
  <c r="BA219" i="26"/>
  <c r="AZ219" i="26"/>
  <c r="BA225" i="26"/>
  <c r="AZ225" i="26"/>
  <c r="BB225" i="26" s="1"/>
  <c r="BC225" i="26" s="1"/>
  <c r="BD225" i="26" s="1"/>
  <c r="BA78" i="26"/>
  <c r="AZ78" i="26"/>
  <c r="BB78" i="26" s="1"/>
  <c r="BC78" i="26" s="1"/>
  <c r="BD78" i="26" s="1"/>
  <c r="BM98" i="26"/>
  <c r="BM184" i="26"/>
  <c r="BM210" i="26"/>
  <c r="BM240" i="26"/>
  <c r="BM340" i="26"/>
  <c r="BM363" i="26"/>
  <c r="BM482" i="26"/>
  <c r="BM475" i="26"/>
  <c r="BM515" i="26"/>
  <c r="BM666" i="26"/>
  <c r="BA701" i="26"/>
  <c r="AZ701" i="26"/>
  <c r="BA333" i="26"/>
  <c r="AZ333" i="26"/>
  <c r="BA252" i="26"/>
  <c r="AZ252" i="26"/>
  <c r="BA357" i="26"/>
  <c r="AZ357" i="26"/>
  <c r="BA704" i="26"/>
  <c r="AZ704" i="26"/>
  <c r="BB704" i="26" s="1"/>
  <c r="BC704" i="26" s="1"/>
  <c r="BD704" i="26" s="1"/>
  <c r="BA672" i="26"/>
  <c r="AZ672" i="26"/>
  <c r="BA597" i="26"/>
  <c r="AZ597" i="26"/>
  <c r="BA633" i="26"/>
  <c r="AZ633" i="26"/>
  <c r="BB633" i="26" s="1"/>
  <c r="BC633" i="26" s="1"/>
  <c r="BD633" i="26" s="1"/>
  <c r="AZ463" i="26"/>
  <c r="BB463" i="26" s="1"/>
  <c r="BC463" i="26" s="1"/>
  <c r="BD463" i="26" s="1"/>
  <c r="BA463" i="26"/>
  <c r="AZ475" i="26"/>
  <c r="BB475" i="26" s="1"/>
  <c r="BC475" i="26" s="1"/>
  <c r="BD475" i="26" s="1"/>
  <c r="BA475" i="26"/>
  <c r="AZ503" i="26"/>
  <c r="BB503" i="26" s="1"/>
  <c r="BC503" i="26" s="1"/>
  <c r="BD503" i="26" s="1"/>
  <c r="BA503" i="26"/>
  <c r="BA404" i="26"/>
  <c r="AZ404" i="26"/>
  <c r="AZ364" i="26"/>
  <c r="BA364" i="26"/>
  <c r="BA274" i="26"/>
  <c r="AZ274" i="26"/>
  <c r="BB274" i="26" s="1"/>
  <c r="BC274" i="26" s="1"/>
  <c r="BD274" i="26" s="1"/>
  <c r="BA321" i="26"/>
  <c r="AZ321" i="26"/>
  <c r="BA327" i="26"/>
  <c r="AZ327" i="26"/>
  <c r="BA224" i="26"/>
  <c r="AZ224" i="26"/>
  <c r="BB224" i="26" s="1"/>
  <c r="BC224" i="26" s="1"/>
  <c r="BD224" i="26" s="1"/>
  <c r="BA37" i="26"/>
  <c r="AZ37" i="26"/>
  <c r="BA91" i="26"/>
  <c r="AZ91" i="26"/>
  <c r="BB91" i="26" s="1"/>
  <c r="BC91" i="26" s="1"/>
  <c r="BD91" i="26" s="1"/>
  <c r="BM45" i="26"/>
  <c r="BM5" i="26"/>
  <c r="BM117" i="26"/>
  <c r="BM232" i="26"/>
  <c r="BM133" i="26"/>
  <c r="BM321" i="26"/>
  <c r="BM250" i="26"/>
  <c r="BM378" i="26"/>
  <c r="BM308" i="26"/>
  <c r="BM319" i="26"/>
  <c r="BM529" i="26"/>
  <c r="BM778" i="26"/>
  <c r="AZ750" i="26"/>
  <c r="BB750" i="26" s="1"/>
  <c r="BC750" i="26" s="1"/>
  <c r="BD750" i="26" s="1"/>
  <c r="BA750" i="26"/>
  <c r="AZ738" i="26"/>
  <c r="BB738" i="26" s="1"/>
  <c r="BC738" i="26" s="1"/>
  <c r="BD738" i="26" s="1"/>
  <c r="BA738" i="26"/>
  <c r="AZ806" i="26"/>
  <c r="BA806" i="26"/>
  <c r="AZ529" i="26"/>
  <c r="BB529" i="26" s="1"/>
  <c r="BC529" i="26" s="1"/>
  <c r="BD529" i="26" s="1"/>
  <c r="BA529" i="26"/>
  <c r="AZ441" i="26"/>
  <c r="BB441" i="26" s="1"/>
  <c r="BC441" i="26" s="1"/>
  <c r="BD441" i="26" s="1"/>
  <c r="BA441" i="26"/>
  <c r="BA662" i="26"/>
  <c r="AZ662" i="26"/>
  <c r="BA616" i="26"/>
  <c r="AZ616" i="26"/>
  <c r="BB449" i="26"/>
  <c r="BC449" i="26" s="1"/>
  <c r="BD449" i="26" s="1"/>
  <c r="AZ279" i="26"/>
  <c r="BA279" i="26"/>
  <c r="AZ275" i="26"/>
  <c r="BB275" i="26" s="1"/>
  <c r="BC275" i="26" s="1"/>
  <c r="BD275" i="26" s="1"/>
  <c r="BA275" i="26"/>
  <c r="BA90" i="26"/>
  <c r="AZ90" i="26"/>
  <c r="BA115" i="26"/>
  <c r="AZ115" i="26"/>
  <c r="BB115" i="26" s="1"/>
  <c r="BC115" i="26" s="1"/>
  <c r="BD115" i="26" s="1"/>
  <c r="BA30" i="26"/>
  <c r="AZ30" i="26"/>
  <c r="BM118" i="26"/>
  <c r="BM208" i="26"/>
  <c r="BM300" i="26"/>
  <c r="BM449" i="26"/>
  <c r="BM370" i="26"/>
  <c r="BM536" i="26"/>
  <c r="BM592" i="26"/>
  <c r="BM714" i="26"/>
  <c r="BM41" i="26"/>
  <c r="AZ702" i="26"/>
  <c r="BA702" i="26"/>
  <c r="BA183" i="26"/>
  <c r="AZ183" i="26"/>
  <c r="BB183" i="26" s="1"/>
  <c r="BC183" i="26" s="1"/>
  <c r="BD183" i="26" s="1"/>
  <c r="BM178" i="26"/>
  <c r="BA671" i="26"/>
  <c r="AZ671" i="26"/>
  <c r="BB671" i="26" s="1"/>
  <c r="BC671" i="26" s="1"/>
  <c r="BD671" i="26" s="1"/>
  <c r="BA332" i="26"/>
  <c r="AZ332" i="26"/>
  <c r="BA291" i="26"/>
  <c r="AZ291" i="26"/>
  <c r="BA45" i="26"/>
  <c r="AZ45" i="26"/>
  <c r="BB45" i="26" s="1"/>
  <c r="BC45" i="26" s="1"/>
  <c r="BD45" i="26" s="1"/>
  <c r="BA584" i="26"/>
  <c r="AZ584" i="26"/>
  <c r="BB584" i="26" s="1"/>
  <c r="BC584" i="26" s="1"/>
  <c r="BD584" i="26" s="1"/>
  <c r="AZ625" i="26"/>
  <c r="BB625" i="26" s="1"/>
  <c r="BC625" i="26" s="1"/>
  <c r="BD625" i="26" s="1"/>
  <c r="BA625" i="26"/>
  <c r="BA768" i="26"/>
  <c r="AZ768" i="26"/>
  <c r="AZ734" i="26"/>
  <c r="BB734" i="26" s="1"/>
  <c r="BC734" i="26" s="1"/>
  <c r="BD734" i="26" s="1"/>
  <c r="BA734" i="26"/>
  <c r="BA545" i="26"/>
  <c r="AZ545" i="26"/>
  <c r="BB545" i="26" s="1"/>
  <c r="BC545" i="26" s="1"/>
  <c r="BD545" i="26" s="1"/>
  <c r="BA523" i="26"/>
  <c r="AZ523" i="26"/>
  <c r="BB523" i="26" s="1"/>
  <c r="BC523" i="26" s="1"/>
  <c r="BD523" i="26" s="1"/>
  <c r="BA437" i="26"/>
  <c r="AZ437" i="26"/>
  <c r="BB437" i="26" s="1"/>
  <c r="BC437" i="26" s="1"/>
  <c r="BD437" i="26" s="1"/>
  <c r="AZ423" i="26"/>
  <c r="BA423" i="26"/>
  <c r="BA448" i="26"/>
  <c r="AZ448" i="26"/>
  <c r="BB448" i="26" s="1"/>
  <c r="BC448" i="26" s="1"/>
  <c r="BD448" i="26" s="1"/>
  <c r="AZ236" i="26"/>
  <c r="BB236" i="26" s="1"/>
  <c r="BC236" i="26" s="1"/>
  <c r="BD236" i="26" s="1"/>
  <c r="BA236" i="26"/>
  <c r="AZ68" i="26"/>
  <c r="BA68" i="26"/>
  <c r="BA114" i="26"/>
  <c r="AZ114" i="26"/>
  <c r="BB114" i="26" s="1"/>
  <c r="BC114" i="26" s="1"/>
  <c r="BD114" i="26" s="1"/>
  <c r="BM136" i="26"/>
  <c r="BM220" i="26"/>
  <c r="BM243" i="26"/>
  <c r="BM157" i="26"/>
  <c r="BM351" i="26"/>
  <c r="BM316" i="26"/>
  <c r="BM485" i="26"/>
  <c r="BM569" i="26"/>
  <c r="BA396" i="26"/>
  <c r="AZ396" i="26"/>
  <c r="BB396" i="26" s="1"/>
  <c r="BC396" i="26" s="1"/>
  <c r="BD396" i="26" s="1"/>
  <c r="AZ242" i="26"/>
  <c r="BA242" i="26"/>
  <c r="AZ762" i="26"/>
  <c r="BA762" i="26"/>
  <c r="BA384" i="26"/>
  <c r="AZ384" i="26"/>
  <c r="BB384" i="26" s="1"/>
  <c r="BC384" i="26" s="1"/>
  <c r="BD384" i="26" s="1"/>
  <c r="BM130" i="26"/>
  <c r="BA135" i="26"/>
  <c r="AZ135" i="26"/>
  <c r="AZ56" i="26"/>
  <c r="BB56" i="26" s="1"/>
  <c r="BC56" i="26" s="1"/>
  <c r="BD56" i="26" s="1"/>
  <c r="BA56" i="26"/>
  <c r="BM143" i="26"/>
  <c r="BM183" i="26"/>
  <c r="BM264" i="26"/>
  <c r="BM201" i="26"/>
  <c r="BM230" i="26"/>
  <c r="BM303" i="26"/>
  <c r="BM266" i="26"/>
  <c r="BM377" i="26"/>
  <c r="BM463" i="26"/>
  <c r="BM311" i="26"/>
  <c r="BM366" i="26"/>
  <c r="BM620" i="26"/>
  <c r="BM812" i="26"/>
  <c r="BM577" i="26"/>
  <c r="BM648" i="26"/>
  <c r="BM653" i="26"/>
  <c r="BM637" i="26"/>
  <c r="BM662" i="26"/>
  <c r="BM761" i="26"/>
  <c r="BA256" i="26"/>
  <c r="AZ256" i="26"/>
  <c r="BB256" i="26" s="1"/>
  <c r="BC256" i="26" s="1"/>
  <c r="BD256" i="26" s="1"/>
  <c r="BA395" i="26"/>
  <c r="AZ395" i="26"/>
  <c r="BB395" i="26" s="1"/>
  <c r="BC395" i="26" s="1"/>
  <c r="BD395" i="26" s="1"/>
  <c r="AZ289" i="26"/>
  <c r="BA289" i="26"/>
  <c r="BA300" i="26"/>
  <c r="AZ300" i="26"/>
  <c r="BA137" i="26"/>
  <c r="AZ137" i="26"/>
  <c r="BB137" i="26" s="1"/>
  <c r="BC137" i="26" s="1"/>
  <c r="BD137" i="26" s="1"/>
  <c r="BM328" i="26"/>
  <c r="AZ673" i="26"/>
  <c r="BA673" i="26"/>
  <c r="BA655" i="26"/>
  <c r="AZ655" i="26"/>
  <c r="BB655" i="26" s="1"/>
  <c r="BC655" i="26" s="1"/>
  <c r="BD655" i="26" s="1"/>
  <c r="AZ722" i="26"/>
  <c r="BA722" i="26"/>
  <c r="BA715" i="26"/>
  <c r="AZ715" i="26"/>
  <c r="BB715" i="26" s="1"/>
  <c r="BC715" i="26" s="1"/>
  <c r="BD715" i="26" s="1"/>
  <c r="BB627" i="26"/>
  <c r="BC627" i="26" s="1"/>
  <c r="BD627" i="26" s="1"/>
  <c r="BA818" i="26"/>
  <c r="AZ818" i="26"/>
  <c r="BA728" i="26"/>
  <c r="AZ728" i="26"/>
  <c r="BA739" i="26"/>
  <c r="AZ739" i="26"/>
  <c r="BB739" i="26" s="1"/>
  <c r="BC739" i="26" s="1"/>
  <c r="BD739" i="26" s="1"/>
  <c r="BA729" i="26"/>
  <c r="AZ729" i="26"/>
  <c r="AZ708" i="26"/>
  <c r="BB708" i="26" s="1"/>
  <c r="BC708" i="26" s="1"/>
  <c r="BD708" i="26" s="1"/>
  <c r="BA708" i="26"/>
  <c r="AZ812" i="26"/>
  <c r="BA812" i="26"/>
  <c r="AZ609" i="26"/>
  <c r="BB609" i="26" s="1"/>
  <c r="BC609" i="26" s="1"/>
  <c r="BD609" i="26" s="1"/>
  <c r="BA609" i="26"/>
  <c r="AZ676" i="26"/>
  <c r="BB676" i="26" s="1"/>
  <c r="BC676" i="26" s="1"/>
  <c r="BD676" i="26" s="1"/>
  <c r="BA676" i="26"/>
  <c r="AZ385" i="26"/>
  <c r="BB385" i="26" s="1"/>
  <c r="BC385" i="26" s="1"/>
  <c r="BD385" i="26" s="1"/>
  <c r="BA385" i="26"/>
  <c r="BA366" i="26"/>
  <c r="AZ366" i="26"/>
  <c r="BA735" i="26"/>
  <c r="AZ735" i="26"/>
  <c r="BB735" i="26" s="1"/>
  <c r="BC735" i="26" s="1"/>
  <c r="BD735" i="26" s="1"/>
  <c r="BA773" i="26"/>
  <c r="AZ773" i="26"/>
  <c r="BB773" i="26" s="1"/>
  <c r="BC773" i="26" s="1"/>
  <c r="BD773" i="26" s="1"/>
  <c r="BA819" i="26"/>
  <c r="AZ819" i="26"/>
  <c r="BA623" i="26"/>
  <c r="AZ623" i="26"/>
  <c r="BB623" i="26" s="1"/>
  <c r="BC623" i="26" s="1"/>
  <c r="BD623" i="26" s="1"/>
  <c r="AZ649" i="26"/>
  <c r="BB649" i="26" s="1"/>
  <c r="BC649" i="26" s="1"/>
  <c r="BD649" i="26" s="1"/>
  <c r="BA649" i="26"/>
  <c r="AZ557" i="26"/>
  <c r="BA557" i="26"/>
  <c r="BA528" i="26"/>
  <c r="AZ528" i="26"/>
  <c r="BB528" i="26" s="1"/>
  <c r="BC528" i="26" s="1"/>
  <c r="BD528" i="26" s="1"/>
  <c r="BA555" i="26"/>
  <c r="AZ555" i="26"/>
  <c r="AZ515" i="26"/>
  <c r="BA515" i="26"/>
  <c r="BA543" i="26"/>
  <c r="AZ543" i="26"/>
  <c r="BB543" i="26" s="1"/>
  <c r="BC543" i="26" s="1"/>
  <c r="BD543" i="26" s="1"/>
  <c r="BA373" i="26"/>
  <c r="AZ373" i="26"/>
  <c r="BA359" i="26"/>
  <c r="AZ359" i="26"/>
  <c r="BA355" i="26"/>
  <c r="AZ355" i="26"/>
  <c r="BB259" i="26"/>
  <c r="BC259" i="26" s="1"/>
  <c r="BD259" i="26" s="1"/>
  <c r="BA207" i="26"/>
  <c r="AZ207" i="26"/>
  <c r="BA141" i="26"/>
  <c r="AZ141" i="26"/>
  <c r="BB141" i="26" s="1"/>
  <c r="BC141" i="26" s="1"/>
  <c r="BD141" i="26" s="1"/>
  <c r="BM64" i="26"/>
  <c r="BA127" i="26"/>
  <c r="AZ127" i="26"/>
  <c r="BM182" i="26"/>
  <c r="BM246" i="26"/>
  <c r="BM362" i="26"/>
  <c r="BM302" i="26"/>
  <c r="BM325" i="26"/>
  <c r="BM384" i="26"/>
  <c r="BM323" i="26"/>
  <c r="BM409" i="26"/>
  <c r="BM559" i="26"/>
  <c r="BM562" i="26"/>
  <c r="BM728" i="26"/>
  <c r="BA684" i="26"/>
  <c r="AZ684" i="26"/>
  <c r="BA556" i="26"/>
  <c r="AZ556" i="26"/>
  <c r="BA87" i="26"/>
  <c r="AZ87" i="26"/>
  <c r="BB87" i="26" s="1"/>
  <c r="BC87" i="26" s="1"/>
  <c r="BD87" i="26" s="1"/>
  <c r="BA772" i="26"/>
  <c r="AZ772" i="26"/>
  <c r="BB772" i="26" s="1"/>
  <c r="BC772" i="26" s="1"/>
  <c r="BD772" i="26" s="1"/>
  <c r="AZ696" i="26"/>
  <c r="BB696" i="26" s="1"/>
  <c r="BC696" i="26" s="1"/>
  <c r="BD696" i="26" s="1"/>
  <c r="BA696" i="26"/>
  <c r="AZ764" i="26"/>
  <c r="BB764" i="26" s="1"/>
  <c r="BC764" i="26" s="1"/>
  <c r="BD764" i="26" s="1"/>
  <c r="BA764" i="26"/>
  <c r="AZ774" i="26"/>
  <c r="BB774" i="26" s="1"/>
  <c r="BC774" i="26" s="1"/>
  <c r="BD774" i="26" s="1"/>
  <c r="BA774" i="26"/>
  <c r="BA724" i="26"/>
  <c r="AZ724" i="26"/>
  <c r="BA666" i="26"/>
  <c r="AZ666" i="26"/>
  <c r="BB666" i="26" s="1"/>
  <c r="BC666" i="26" s="1"/>
  <c r="BD666" i="26" s="1"/>
  <c r="AZ571" i="26"/>
  <c r="BA571" i="26"/>
  <c r="AZ621" i="26"/>
  <c r="BB621" i="26" s="1"/>
  <c r="BC621" i="26" s="1"/>
  <c r="BD621" i="26" s="1"/>
  <c r="BA621" i="26"/>
  <c r="BA769" i="26"/>
  <c r="AZ769" i="26"/>
  <c r="BA651" i="26"/>
  <c r="AZ651" i="26"/>
  <c r="BB651" i="26" s="1"/>
  <c r="BC651" i="26" s="1"/>
  <c r="BD651" i="26" s="1"/>
  <c r="AZ569" i="26"/>
  <c r="BB569" i="26" s="1"/>
  <c r="BC569" i="26" s="1"/>
  <c r="BD569" i="26" s="1"/>
  <c r="BA569" i="26"/>
  <c r="AZ736" i="26"/>
  <c r="BA736" i="26"/>
  <c r="BB742" i="26"/>
  <c r="BC742" i="26" s="1"/>
  <c r="BD742" i="26" s="1"/>
  <c r="BA678" i="26"/>
  <c r="AZ678" i="26"/>
  <c r="BB678" i="26" s="1"/>
  <c r="BC678" i="26" s="1"/>
  <c r="BD678" i="26" s="1"/>
  <c r="BA695" i="26"/>
  <c r="AZ695" i="26"/>
  <c r="BA650" i="26"/>
  <c r="AZ650" i="26"/>
  <c r="BB650" i="26" s="1"/>
  <c r="BC650" i="26" s="1"/>
  <c r="BD650" i="26" s="1"/>
  <c r="BA613" i="26"/>
  <c r="AZ613" i="26"/>
  <c r="BB613" i="26" s="1"/>
  <c r="BC613" i="26" s="1"/>
  <c r="BD613" i="26" s="1"/>
  <c r="AZ833" i="26"/>
  <c r="BB833" i="26" s="1"/>
  <c r="BC833" i="26" s="1"/>
  <c r="BD833" i="26" s="1"/>
  <c r="BA833" i="26"/>
  <c r="BB527" i="26"/>
  <c r="BC527" i="26" s="1"/>
  <c r="BD527" i="26" s="1"/>
  <c r="BA834" i="26"/>
  <c r="AZ834" i="26"/>
  <c r="BB834" i="26" s="1"/>
  <c r="BC834" i="26" s="1"/>
  <c r="BD834" i="26" s="1"/>
  <c r="AZ500" i="26"/>
  <c r="BA500" i="26"/>
  <c r="BA390" i="26"/>
  <c r="AZ390" i="26"/>
  <c r="BA438" i="26"/>
  <c r="AZ438" i="26"/>
  <c r="BB438" i="26" s="1"/>
  <c r="BC438" i="26" s="1"/>
  <c r="BD438" i="26" s="1"/>
  <c r="BA258" i="26"/>
  <c r="AZ258" i="26"/>
  <c r="BB258" i="26" s="1"/>
  <c r="BC258" i="26" s="1"/>
  <c r="BD258" i="26" s="1"/>
  <c r="BA285" i="26"/>
  <c r="AZ285" i="26"/>
  <c r="BB285" i="26" s="1"/>
  <c r="BC285" i="26" s="1"/>
  <c r="BD285" i="26" s="1"/>
  <c r="BA218" i="26"/>
  <c r="AZ218" i="26"/>
  <c r="AZ35" i="26"/>
  <c r="BA35" i="26"/>
  <c r="BA46" i="26"/>
  <c r="AZ46" i="26"/>
  <c r="BA74" i="26"/>
  <c r="AZ74" i="26"/>
  <c r="BB74" i="26" s="1"/>
  <c r="BC74" i="26" s="1"/>
  <c r="BD74" i="26" s="1"/>
  <c r="BM15" i="26"/>
  <c r="BM262" i="26"/>
  <c r="BM403" i="26"/>
  <c r="BM597" i="26"/>
  <c r="BM757" i="26"/>
  <c r="BA111" i="26"/>
  <c r="AZ111" i="26"/>
  <c r="AZ80" i="26"/>
  <c r="BB80" i="26" s="1"/>
  <c r="BC80" i="26" s="1"/>
  <c r="BD80" i="26" s="1"/>
  <c r="BA80" i="26"/>
  <c r="BA535" i="26"/>
  <c r="AZ535" i="26"/>
  <c r="BB535" i="26" s="1"/>
  <c r="BC535" i="26" s="1"/>
  <c r="BD535" i="26" s="1"/>
  <c r="BA450" i="26"/>
  <c r="AZ450" i="26"/>
  <c r="BB450" i="26" s="1"/>
  <c r="BC450" i="26" s="1"/>
  <c r="BD450" i="26" s="1"/>
  <c r="BA811" i="26"/>
  <c r="AZ811" i="26"/>
  <c r="AZ817" i="26"/>
  <c r="BA817" i="26"/>
  <c r="BA784" i="26"/>
  <c r="AZ784" i="26"/>
  <c r="BB784" i="26" s="1"/>
  <c r="BC784" i="26" s="1"/>
  <c r="BD784" i="26" s="1"/>
  <c r="BA705" i="26"/>
  <c r="AZ705" i="26"/>
  <c r="BB705" i="26" s="1"/>
  <c r="BC705" i="26" s="1"/>
  <c r="BD705" i="26" s="1"/>
  <c r="BA585" i="26"/>
  <c r="AZ585" i="26"/>
  <c r="BB585" i="26" s="1"/>
  <c r="BC585" i="26" s="1"/>
  <c r="BD585" i="26" s="1"/>
  <c r="BA457" i="26"/>
  <c r="AZ457" i="26"/>
  <c r="BA354" i="26"/>
  <c r="AZ354" i="26"/>
  <c r="BA276" i="26"/>
  <c r="AZ276" i="26"/>
  <c r="BB276" i="26" s="1"/>
  <c r="BC276" i="26" s="1"/>
  <c r="BD276" i="26" s="1"/>
  <c r="BA341" i="26"/>
  <c r="AZ341" i="26"/>
  <c r="BB341" i="26" s="1"/>
  <c r="BC341" i="26" s="1"/>
  <c r="BD341" i="26" s="1"/>
  <c r="BA282" i="26"/>
  <c r="AZ282" i="26"/>
  <c r="BB282" i="26" s="1"/>
  <c r="BC282" i="26" s="1"/>
  <c r="BD282" i="26" s="1"/>
  <c r="BA171" i="26"/>
  <c r="AZ171" i="26"/>
  <c r="BB171" i="26" s="1"/>
  <c r="BC171" i="26" s="1"/>
  <c r="BD171" i="26" s="1"/>
  <c r="BA170" i="26"/>
  <c r="AZ170" i="26"/>
  <c r="BB170" i="26" s="1"/>
  <c r="BC170" i="26" s="1"/>
  <c r="BD170" i="26" s="1"/>
  <c r="BM34" i="26"/>
  <c r="BM108" i="26"/>
  <c r="BM195" i="26"/>
  <c r="BM205" i="26"/>
  <c r="BM333" i="26"/>
  <c r="BM337" i="26"/>
  <c r="BM483" i="26"/>
  <c r="BM501" i="26"/>
  <c r="BM486" i="26"/>
  <c r="BM686" i="26"/>
  <c r="BM782" i="26"/>
  <c r="BA324" i="26"/>
  <c r="AZ324" i="26"/>
  <c r="BA344" i="26"/>
  <c r="AZ344" i="26"/>
  <c r="BB344" i="26" s="1"/>
  <c r="BC344" i="26" s="1"/>
  <c r="BD344" i="26" s="1"/>
  <c r="BA711" i="26"/>
  <c r="AZ711" i="26"/>
  <c r="BB711" i="26" s="1"/>
  <c r="BC711" i="26" s="1"/>
  <c r="BD711" i="26" s="1"/>
  <c r="BA206" i="26"/>
  <c r="AZ206" i="26"/>
  <c r="AZ147" i="26"/>
  <c r="BA147" i="26"/>
  <c r="BA756" i="26"/>
  <c r="AZ756" i="26"/>
  <c r="BB756" i="26" s="1"/>
  <c r="BC756" i="26" s="1"/>
  <c r="BD756" i="26" s="1"/>
  <c r="AZ726" i="26"/>
  <c r="BA726" i="26"/>
  <c r="BA533" i="26"/>
  <c r="AZ533" i="26"/>
  <c r="BB533" i="26" s="1"/>
  <c r="BC533" i="26" s="1"/>
  <c r="BD533" i="26" s="1"/>
  <c r="BA540" i="26"/>
  <c r="AZ540" i="26"/>
  <c r="BB540" i="26" s="1"/>
  <c r="BC540" i="26" s="1"/>
  <c r="BD540" i="26" s="1"/>
  <c r="BA675" i="26"/>
  <c r="AZ675" i="26"/>
  <c r="BB675" i="26" s="1"/>
  <c r="BC675" i="26" s="1"/>
  <c r="BD675" i="26" s="1"/>
  <c r="BA570" i="26"/>
  <c r="AZ570" i="26"/>
  <c r="BB570" i="26" s="1"/>
  <c r="BC570" i="26" s="1"/>
  <c r="BD570" i="26" s="1"/>
  <c r="BA831" i="26"/>
  <c r="AZ831" i="26"/>
  <c r="BB831" i="26" s="1"/>
  <c r="BC831" i="26" s="1"/>
  <c r="BD831" i="26" s="1"/>
  <c r="BA593" i="26"/>
  <c r="AZ593" i="26"/>
  <c r="BB593" i="26" s="1"/>
  <c r="BC593" i="26" s="1"/>
  <c r="BD593" i="26" s="1"/>
  <c r="BA534" i="26"/>
  <c r="AZ534" i="26"/>
  <c r="BB534" i="26" s="1"/>
  <c r="BC534" i="26" s="1"/>
  <c r="BD534" i="26" s="1"/>
  <c r="AZ451" i="26"/>
  <c r="BB451" i="26" s="1"/>
  <c r="BC451" i="26" s="1"/>
  <c r="BD451" i="26" s="1"/>
  <c r="BA451" i="26"/>
  <c r="BA447" i="26"/>
  <c r="AZ447" i="26"/>
  <c r="AZ468" i="26"/>
  <c r="BB468" i="26" s="1"/>
  <c r="BC468" i="26" s="1"/>
  <c r="BD468" i="26" s="1"/>
  <c r="BA468" i="26"/>
  <c r="BA336" i="26"/>
  <c r="AZ336" i="26"/>
  <c r="AZ319" i="26"/>
  <c r="BB319" i="26" s="1"/>
  <c r="BC319" i="26" s="1"/>
  <c r="BD319" i="26" s="1"/>
  <c r="BA319" i="26"/>
  <c r="BA351" i="26"/>
  <c r="AZ351" i="26"/>
  <c r="AZ379" i="26"/>
  <c r="BA379" i="26"/>
  <c r="BA169" i="26"/>
  <c r="AZ169" i="26"/>
  <c r="BB169" i="26" s="1"/>
  <c r="BC169" i="26" s="1"/>
  <c r="BD169" i="26" s="1"/>
  <c r="BA146" i="26"/>
  <c r="AZ146" i="26"/>
  <c r="BB146" i="26" s="1"/>
  <c r="BC146" i="26" s="1"/>
  <c r="BD146" i="26" s="1"/>
  <c r="AZ92" i="26"/>
  <c r="BB92" i="26" s="1"/>
  <c r="BC92" i="26" s="1"/>
  <c r="BD92" i="26" s="1"/>
  <c r="BA92" i="26"/>
  <c r="BA182" i="26"/>
  <c r="AZ182" i="26"/>
  <c r="BA28" i="26"/>
  <c r="AZ28" i="26"/>
  <c r="BB28" i="26" s="1"/>
  <c r="BC28" i="26" s="1"/>
  <c r="BD28" i="26" s="1"/>
  <c r="BA81" i="26"/>
  <c r="AZ81" i="26"/>
  <c r="BM95" i="26"/>
  <c r="BM137" i="26"/>
  <c r="BM265" i="26"/>
  <c r="BM344" i="26"/>
  <c r="BM426" i="26"/>
  <c r="BM540" i="26"/>
  <c r="BM607" i="26"/>
  <c r="BM611" i="26"/>
  <c r="BM780" i="26"/>
  <c r="BA69" i="26"/>
  <c r="AZ69" i="26"/>
  <c r="BA426" i="26"/>
  <c r="AZ426" i="26"/>
  <c r="BA245" i="26"/>
  <c r="AZ245" i="26"/>
  <c r="BB245" i="26" s="1"/>
  <c r="BC245" i="26" s="1"/>
  <c r="BD245" i="26" s="1"/>
  <c r="BA665" i="26"/>
  <c r="AZ665" i="26"/>
  <c r="BB665" i="26" s="1"/>
  <c r="BC665" i="26" s="1"/>
  <c r="BD665" i="26" s="1"/>
  <c r="BA639" i="26"/>
  <c r="AZ639" i="26"/>
  <c r="BA544" i="26"/>
  <c r="AZ544" i="26"/>
  <c r="BB544" i="26" s="1"/>
  <c r="BC544" i="26" s="1"/>
  <c r="BD544" i="26" s="1"/>
  <c r="BA611" i="26"/>
  <c r="AZ611" i="26"/>
  <c r="BB611" i="26" s="1"/>
  <c r="BC611" i="26" s="1"/>
  <c r="BD611" i="26" s="1"/>
  <c r="BA552" i="26"/>
  <c r="AZ552" i="26"/>
  <c r="BB552" i="26" s="1"/>
  <c r="BC552" i="26" s="1"/>
  <c r="BD552" i="26" s="1"/>
  <c r="BA401" i="26"/>
  <c r="AZ401" i="26"/>
  <c r="BB401" i="26" s="1"/>
  <c r="BC401" i="26" s="1"/>
  <c r="BD401" i="26" s="1"/>
  <c r="BA286" i="26"/>
  <c r="AZ286" i="26"/>
  <c r="BB286" i="26" s="1"/>
  <c r="BC286" i="26" s="1"/>
  <c r="BD286" i="26" s="1"/>
  <c r="BA271" i="26"/>
  <c r="AZ271" i="26"/>
  <c r="BA168" i="26"/>
  <c r="AZ168" i="26"/>
  <c r="BB168" i="26" s="1"/>
  <c r="BC168" i="26" s="1"/>
  <c r="BD168" i="26" s="1"/>
  <c r="BA226" i="26"/>
  <c r="AZ226" i="26"/>
  <c r="BB226" i="26" s="1"/>
  <c r="BC226" i="26" s="1"/>
  <c r="BD226" i="26" s="1"/>
  <c r="BA145" i="26"/>
  <c r="AZ145" i="26"/>
  <c r="BB145" i="26" s="1"/>
  <c r="BC145" i="26" s="1"/>
  <c r="BD145" i="26" s="1"/>
  <c r="AZ116" i="26"/>
  <c r="BB116" i="26" s="1"/>
  <c r="BC116" i="26" s="1"/>
  <c r="BD116" i="26" s="1"/>
  <c r="BA116" i="26"/>
  <c r="BM80" i="26"/>
  <c r="BM219" i="26"/>
  <c r="BM144" i="26"/>
  <c r="BM224" i="26"/>
  <c r="BM450" i="26"/>
  <c r="BA167" i="26"/>
  <c r="AZ167" i="26"/>
  <c r="BB167" i="26" s="1"/>
  <c r="BC167" i="26" s="1"/>
  <c r="BD167" i="26" s="1"/>
  <c r="BK2" i="23"/>
  <c r="BJ2" i="23"/>
  <c r="BA725" i="23"/>
  <c r="BB725" i="23" s="1"/>
  <c r="BC725" i="23" s="1"/>
  <c r="BD725" i="23" s="1"/>
  <c r="BA810" i="23"/>
  <c r="BA655" i="23"/>
  <c r="BA742" i="23"/>
  <c r="AZ781" i="23"/>
  <c r="BB781" i="23" s="1"/>
  <c r="BC781" i="23" s="1"/>
  <c r="BD781" i="23" s="1"/>
  <c r="AZ674" i="23"/>
  <c r="BB674" i="23" s="1"/>
  <c r="BC674" i="23" s="1"/>
  <c r="BD674" i="23" s="1"/>
  <c r="BA782" i="23"/>
  <c r="BB782" i="23" s="1"/>
  <c r="BC782" i="23" s="1"/>
  <c r="BD782" i="23" s="1"/>
  <c r="AZ639" i="23"/>
  <c r="BB639" i="23" s="1"/>
  <c r="BC639" i="23" s="1"/>
  <c r="BD639" i="23" s="1"/>
  <c r="BA805" i="23"/>
  <c r="BB805" i="23" s="1"/>
  <c r="BC805" i="23" s="1"/>
  <c r="BD805" i="23" s="1"/>
  <c r="AZ685" i="23"/>
  <c r="BB685" i="23" s="1"/>
  <c r="BC685" i="23" s="1"/>
  <c r="BD685" i="23" s="1"/>
  <c r="BA727" i="23"/>
  <c r="BB727" i="23" s="1"/>
  <c r="BC727" i="23" s="1"/>
  <c r="BD727" i="23" s="1"/>
  <c r="BB738" i="23"/>
  <c r="BC738" i="23" s="1"/>
  <c r="BD738" i="23" s="1"/>
  <c r="BA704" i="23"/>
  <c r="BA798" i="23"/>
  <c r="BB798" i="23" s="1"/>
  <c r="BC798" i="23" s="1"/>
  <c r="BD798" i="23" s="1"/>
  <c r="BA763" i="23"/>
  <c r="BB763" i="23" s="1"/>
  <c r="BC763" i="23" s="1"/>
  <c r="BD763" i="23" s="1"/>
  <c r="BA729" i="23"/>
  <c r="BB729" i="23" s="1"/>
  <c r="BC729" i="23" s="1"/>
  <c r="BD729" i="23" s="1"/>
  <c r="BB749" i="23"/>
  <c r="BC749" i="23" s="1"/>
  <c r="BD749" i="23" s="1"/>
  <c r="AZ802" i="23"/>
  <c r="BB802" i="23" s="1"/>
  <c r="BC802" i="23" s="1"/>
  <c r="BD802" i="23" s="1"/>
  <c r="BA654" i="23"/>
  <c r="BA697" i="23"/>
  <c r="BB713" i="23"/>
  <c r="BC713" i="23" s="1"/>
  <c r="BD713" i="23" s="1"/>
  <c r="AZ658" i="23"/>
  <c r="BB658" i="23" s="1"/>
  <c r="BC658" i="23" s="1"/>
  <c r="BD658" i="23" s="1"/>
  <c r="BB649" i="23"/>
  <c r="BC649" i="23" s="1"/>
  <c r="BD649" i="23" s="1"/>
  <c r="BA767" i="23"/>
  <c r="BB767" i="23" s="1"/>
  <c r="BC767" i="23" s="1"/>
  <c r="BD767" i="23" s="1"/>
  <c r="BB786" i="23"/>
  <c r="BC786" i="23" s="1"/>
  <c r="BD786" i="23" s="1"/>
  <c r="BA787" i="23"/>
  <c r="BB787" i="23" s="1"/>
  <c r="BC787" i="23" s="1"/>
  <c r="BD787" i="23" s="1"/>
  <c r="BA749" i="23"/>
  <c r="BA649" i="23"/>
  <c r="BA751" i="23"/>
  <c r="BB751" i="23" s="1"/>
  <c r="BC751" i="23" s="1"/>
  <c r="BD751" i="23" s="1"/>
  <c r="BA823" i="23"/>
  <c r="AZ776" i="23"/>
  <c r="BB776" i="23" s="1"/>
  <c r="BC776" i="23" s="1"/>
  <c r="BD776" i="23" s="1"/>
  <c r="AZ719" i="23"/>
  <c r="BB719" i="23" s="1"/>
  <c r="BC719" i="23" s="1"/>
  <c r="BD719" i="23" s="1"/>
  <c r="BA668" i="23"/>
  <c r="BB668" i="23" s="1"/>
  <c r="BC668" i="23" s="1"/>
  <c r="BD668" i="23" s="1"/>
  <c r="BA723" i="23"/>
  <c r="BB723" i="23" s="1"/>
  <c r="BC723" i="23" s="1"/>
  <c r="BD723" i="23" s="1"/>
  <c r="AZ743" i="23"/>
  <c r="BB743" i="23" s="1"/>
  <c r="BC743" i="23" s="1"/>
  <c r="BD743" i="23" s="1"/>
  <c r="AZ774" i="23"/>
  <c r="BB774" i="23" s="1"/>
  <c r="BC774" i="23" s="1"/>
  <c r="BD774" i="23" s="1"/>
  <c r="AZ709" i="23"/>
  <c r="BB709" i="23" s="1"/>
  <c r="BC709" i="23" s="1"/>
  <c r="BD709" i="23" s="1"/>
  <c r="BB705" i="23"/>
  <c r="BC705" i="23" s="1"/>
  <c r="BD705" i="23" s="1"/>
  <c r="BA724" i="23"/>
  <c r="BB724" i="23" s="1"/>
  <c r="BC724" i="23" s="1"/>
  <c r="BD724" i="23" s="1"/>
  <c r="AZ737" i="23"/>
  <c r="BB737" i="23" s="1"/>
  <c r="BC737" i="23" s="1"/>
  <c r="BD737" i="23" s="1"/>
  <c r="BA705" i="23"/>
  <c r="BB707" i="23"/>
  <c r="BC707" i="23" s="1"/>
  <c r="BD707" i="23" s="1"/>
  <c r="BA646" i="23"/>
  <c r="BA692" i="23"/>
  <c r="BA698" i="23"/>
  <c r="BB715" i="23"/>
  <c r="BC715" i="23" s="1"/>
  <c r="BD715" i="23" s="1"/>
  <c r="BA648" i="23"/>
  <c r="BA660" i="23"/>
  <c r="BB650" i="23"/>
  <c r="BC650" i="23" s="1"/>
  <c r="BD650" i="23" s="1"/>
  <c r="AZ720" i="23"/>
  <c r="BB720" i="23" s="1"/>
  <c r="BC720" i="23" s="1"/>
  <c r="BD720" i="23" s="1"/>
  <c r="BA681" i="23"/>
  <c r="AZ744" i="23"/>
  <c r="BB744" i="23" s="1"/>
  <c r="BC744" i="23" s="1"/>
  <c r="BD744" i="23" s="1"/>
  <c r="BB696" i="23"/>
  <c r="BC696" i="23" s="1"/>
  <c r="BD696" i="23" s="1"/>
  <c r="BA800" i="23"/>
  <c r="BB800" i="23" s="1"/>
  <c r="BC800" i="23" s="1"/>
  <c r="BD800" i="23" s="1"/>
  <c r="BB754" i="23"/>
  <c r="BC754" i="23" s="1"/>
  <c r="BD754" i="23" s="1"/>
  <c r="BB712" i="23"/>
  <c r="BC712" i="23" s="1"/>
  <c r="BD712" i="23" s="1"/>
  <c r="BA707" i="23"/>
  <c r="BB741" i="23"/>
  <c r="BC741" i="23" s="1"/>
  <c r="BD741" i="23" s="1"/>
  <c r="AZ645" i="23"/>
  <c r="BB645" i="23" s="1"/>
  <c r="BC645" i="23" s="1"/>
  <c r="BD645" i="23" s="1"/>
  <c r="BA756" i="23"/>
  <c r="BA713" i="23"/>
  <c r="AZ711" i="23"/>
  <c r="BB711" i="23" s="1"/>
  <c r="BC711" i="23" s="1"/>
  <c r="BD711" i="23" s="1"/>
  <c r="BA755" i="23"/>
  <c r="BA819" i="23"/>
  <c r="BB819" i="23" s="1"/>
  <c r="BC819" i="23" s="1"/>
  <c r="BD819" i="23" s="1"/>
  <c r="BB742" i="23"/>
  <c r="BC742" i="23" s="1"/>
  <c r="BD742" i="23" s="1"/>
  <c r="BB823" i="23"/>
  <c r="BC823" i="23" s="1"/>
  <c r="BD823" i="23" s="1"/>
  <c r="BA690" i="23"/>
  <c r="BA647" i="23"/>
  <c r="BA718" i="23"/>
  <c r="BB718" i="23" s="1"/>
  <c r="BC718" i="23" s="1"/>
  <c r="BD718" i="23" s="1"/>
  <c r="BA748" i="23"/>
  <c r="BB748" i="23" s="1"/>
  <c r="BC748" i="23" s="1"/>
  <c r="BD748" i="23" s="1"/>
  <c r="AZ721" i="23"/>
  <c r="BB721" i="23" s="1"/>
  <c r="BC721" i="23" s="1"/>
  <c r="BD721" i="23" s="1"/>
  <c r="AZ662" i="23"/>
  <c r="BB662" i="23" s="1"/>
  <c r="BC662" i="23" s="1"/>
  <c r="BD662" i="23" s="1"/>
  <c r="AZ745" i="23"/>
  <c r="BB745" i="23" s="1"/>
  <c r="BC745" i="23" s="1"/>
  <c r="BD745" i="23" s="1"/>
  <c r="BA797" i="23"/>
  <c r="BB797" i="23" s="1"/>
  <c r="BC797" i="23" s="1"/>
  <c r="BD797" i="23" s="1"/>
  <c r="BA650" i="23"/>
  <c r="AZ777" i="23"/>
  <c r="BB777" i="23" s="1"/>
  <c r="BC777" i="23" s="1"/>
  <c r="BD777" i="23" s="1"/>
  <c r="BB648" i="23"/>
  <c r="BC648" i="23" s="1"/>
  <c r="BD648" i="23" s="1"/>
  <c r="BA801" i="23"/>
  <c r="BB801" i="23" s="1"/>
  <c r="BC801" i="23" s="1"/>
  <c r="BD801" i="23" s="1"/>
  <c r="BA770" i="23"/>
  <c r="BB770" i="23"/>
  <c r="BC770" i="23" s="1"/>
  <c r="BD770" i="23" s="1"/>
  <c r="BA732" i="23"/>
  <c r="BB732" i="23" s="1"/>
  <c r="BC732" i="23" s="1"/>
  <c r="BD732" i="23" s="1"/>
  <c r="BB772" i="23"/>
  <c r="BC772" i="23" s="1"/>
  <c r="BD772" i="23" s="1"/>
  <c r="BA712" i="23"/>
  <c r="BA710" i="23"/>
  <c r="AZ700" i="23"/>
  <c r="BB700" i="23" s="1"/>
  <c r="BC700" i="23" s="1"/>
  <c r="BD700" i="23" s="1"/>
  <c r="AZ682" i="23"/>
  <c r="BB682" i="23" s="1"/>
  <c r="BC682" i="23" s="1"/>
  <c r="BD682" i="23" s="1"/>
  <c r="AZ671" i="23"/>
  <c r="BB671" i="23" s="1"/>
  <c r="BC671" i="23" s="1"/>
  <c r="BD671" i="23" s="1"/>
  <c r="BA696" i="23"/>
  <c r="BA759" i="23"/>
  <c r="BB759" i="23" s="1"/>
  <c r="BC759" i="23" s="1"/>
  <c r="BD759" i="23" s="1"/>
  <c r="BA730" i="23"/>
  <c r="BB730" i="23" s="1"/>
  <c r="BC730" i="23" s="1"/>
  <c r="BD730" i="23" s="1"/>
  <c r="BA702" i="23"/>
  <c r="BB702" i="23" s="1"/>
  <c r="BC702" i="23" s="1"/>
  <c r="BD702" i="23" s="1"/>
  <c r="AZ739" i="23"/>
  <c r="BB739" i="23" s="1"/>
  <c r="BC739" i="23" s="1"/>
  <c r="BD739" i="23" s="1"/>
  <c r="BB756" i="23"/>
  <c r="BC756" i="23" s="1"/>
  <c r="BD756" i="23" s="1"/>
  <c r="BB679" i="23"/>
  <c r="BC679" i="23" s="1"/>
  <c r="BD679" i="23" s="1"/>
  <c r="BA678" i="23"/>
  <c r="AZ771" i="23"/>
  <c r="BB771" i="23" s="1"/>
  <c r="BC771" i="23" s="1"/>
  <c r="BD771" i="23" s="1"/>
  <c r="BB810" i="23"/>
  <c r="BC810" i="23" s="1"/>
  <c r="BD810" i="23" s="1"/>
  <c r="BA734" i="23"/>
  <c r="BA778" i="23"/>
  <c r="BA765" i="23"/>
  <c r="BA761" i="23"/>
  <c r="BB761" i="23" s="1"/>
  <c r="BC761" i="23" s="1"/>
  <c r="BD761" i="23" s="1"/>
  <c r="BB657" i="23"/>
  <c r="BC657" i="23" s="1"/>
  <c r="BD657" i="23" s="1"/>
  <c r="BA741" i="23"/>
  <c r="BA733" i="23"/>
  <c r="BB698" i="23"/>
  <c r="BC698" i="23" s="1"/>
  <c r="BD698" i="23" s="1"/>
  <c r="BB733" i="23"/>
  <c r="BC733" i="23" s="1"/>
  <c r="BD733" i="23" s="1"/>
  <c r="BA679" i="23"/>
  <c r="BA694" i="23"/>
  <c r="BB694" i="23" s="1"/>
  <c r="BC694" i="23" s="1"/>
  <c r="BD694" i="23" s="1"/>
  <c r="BB734" i="23"/>
  <c r="BC734" i="23" s="1"/>
  <c r="BD734" i="23" s="1"/>
  <c r="BB680" i="23"/>
  <c r="BC680" i="23" s="1"/>
  <c r="BD680" i="23" s="1"/>
  <c r="BA717" i="23"/>
  <c r="BB717" i="23" s="1"/>
  <c r="BC717" i="23" s="1"/>
  <c r="BD717" i="23" s="1"/>
  <c r="BA726" i="23"/>
  <c r="BB726" i="23" s="1"/>
  <c r="BC726" i="23" s="1"/>
  <c r="BD726" i="23" s="1"/>
  <c r="AZ809" i="23"/>
  <c r="BB809" i="23" s="1"/>
  <c r="BC809" i="23" s="1"/>
  <c r="BD809" i="23" s="1"/>
  <c r="AZ687" i="23"/>
  <c r="BB687" i="23" s="1"/>
  <c r="BC687" i="23" s="1"/>
  <c r="BD687" i="23" s="1"/>
  <c r="BA666" i="23"/>
  <c r="BA684" i="23"/>
  <c r="BB684" i="23" s="1"/>
  <c r="BC684" i="23" s="1"/>
  <c r="BD684" i="23" s="1"/>
  <c r="AZ688" i="23"/>
  <c r="BB688" i="23" s="1"/>
  <c r="BC688" i="23" s="1"/>
  <c r="BD688" i="23" s="1"/>
  <c r="BA795" i="23"/>
  <c r="BA754" i="23"/>
  <c r="BB795" i="23"/>
  <c r="BC795" i="23" s="1"/>
  <c r="BD795" i="23" s="1"/>
  <c r="BA680" i="23"/>
  <c r="BB697" i="23"/>
  <c r="BC697" i="23" s="1"/>
  <c r="BD697" i="23" s="1"/>
  <c r="BA657" i="23"/>
  <c r="AZ686" i="23"/>
  <c r="BB686" i="23" s="1"/>
  <c r="BC686" i="23" s="1"/>
  <c r="BD686" i="23" s="1"/>
  <c r="BA786" i="23"/>
  <c r="AZ769" i="23"/>
  <c r="BA769" i="23"/>
  <c r="BA803" i="23"/>
  <c r="BB803" i="23" s="1"/>
  <c r="BC803" i="23" s="1"/>
  <c r="BD803" i="23" s="1"/>
  <c r="BA689" i="23"/>
  <c r="AZ768" i="23"/>
  <c r="BB768" i="23" s="1"/>
  <c r="BC768" i="23" s="1"/>
  <c r="BD768" i="23" s="1"/>
  <c r="BB704" i="23"/>
  <c r="BC704" i="23" s="1"/>
  <c r="BD704" i="23" s="1"/>
  <c r="BB765" i="23"/>
  <c r="BC765" i="23" s="1"/>
  <c r="BD765" i="23" s="1"/>
  <c r="BA722" i="23"/>
  <c r="BB722" i="23" s="1"/>
  <c r="BC722" i="23" s="1"/>
  <c r="BD722" i="23" s="1"/>
  <c r="BB652" i="23"/>
  <c r="BC652" i="23" s="1"/>
  <c r="BD652" i="23" s="1"/>
  <c r="BB666" i="23"/>
  <c r="BC666" i="23" s="1"/>
  <c r="BD666" i="23" s="1"/>
  <c r="BB710" i="23"/>
  <c r="BC710" i="23" s="1"/>
  <c r="BD710" i="23" s="1"/>
  <c r="AZ735" i="23"/>
  <c r="BB735" i="23" s="1"/>
  <c r="BC735" i="23" s="1"/>
  <c r="BD735" i="23" s="1"/>
  <c r="BA758" i="23"/>
  <c r="AZ758" i="23"/>
  <c r="BA673" i="23"/>
  <c r="BB673" i="23" s="1"/>
  <c r="BC673" i="23" s="1"/>
  <c r="BD673" i="23" s="1"/>
  <c r="BA799" i="23"/>
  <c r="BB799" i="23" s="1"/>
  <c r="BC799" i="23" s="1"/>
  <c r="BD799" i="23" s="1"/>
  <c r="AZ814" i="23"/>
  <c r="BA814" i="23"/>
  <c r="AZ818" i="23"/>
  <c r="BB818" i="23" s="1"/>
  <c r="BC818" i="23" s="1"/>
  <c r="BD818" i="23" s="1"/>
  <c r="BA716" i="23"/>
  <c r="AZ780" i="23"/>
  <c r="BB780" i="23" s="1"/>
  <c r="BC780" i="23" s="1"/>
  <c r="BD780" i="23" s="1"/>
  <c r="BA784" i="23"/>
  <c r="AZ784" i="23"/>
  <c r="BB784" i="23" s="1"/>
  <c r="BC784" i="23" s="1"/>
  <c r="BD784" i="23" s="1"/>
  <c r="BA738" i="23"/>
  <c r="BB677" i="23"/>
  <c r="BC677" i="23" s="1"/>
  <c r="BD677" i="23" s="1"/>
  <c r="BA652" i="23"/>
  <c r="AZ731" i="23"/>
  <c r="BB731" i="23" s="1"/>
  <c r="BC731" i="23" s="1"/>
  <c r="BD731" i="23" s="1"/>
  <c r="BB643" i="23"/>
  <c r="BC643" i="23" s="1"/>
  <c r="BD643" i="23" s="1"/>
  <c r="AZ664" i="23"/>
  <c r="BB664" i="23" s="1"/>
  <c r="BC664" i="23" s="1"/>
  <c r="BD664" i="23" s="1"/>
  <c r="BA773" i="23"/>
  <c r="BA703" i="23"/>
  <c r="BB703" i="23" s="1"/>
  <c r="BC703" i="23" s="1"/>
  <c r="BD703" i="23" s="1"/>
  <c r="BA757" i="23"/>
  <c r="BB757" i="23" s="1"/>
  <c r="BC757" i="23" s="1"/>
  <c r="BD757" i="23" s="1"/>
  <c r="BB755" i="23"/>
  <c r="BC755" i="23" s="1"/>
  <c r="BD755" i="23" s="1"/>
  <c r="BA714" i="23"/>
  <c r="AZ815" i="23"/>
  <c r="BA815" i="23"/>
  <c r="BB785" i="23"/>
  <c r="BC785" i="23" s="1"/>
  <c r="BD785" i="23" s="1"/>
  <c r="AZ808" i="23"/>
  <c r="BB808" i="23" s="1"/>
  <c r="BC808" i="23" s="1"/>
  <c r="BD808" i="23" s="1"/>
  <c r="AZ807" i="23"/>
  <c r="BB807" i="23" s="1"/>
  <c r="BC807" i="23" s="1"/>
  <c r="BD807" i="23" s="1"/>
  <c r="BA701" i="23"/>
  <c r="BB701" i="23" s="1"/>
  <c r="BC701" i="23" s="1"/>
  <c r="BD701" i="23" s="1"/>
  <c r="BA804" i="23"/>
  <c r="BB804" i="23" s="1"/>
  <c r="BC804" i="23" s="1"/>
  <c r="BD804" i="23" s="1"/>
  <c r="BA813" i="23"/>
  <c r="BB813" i="23" s="1"/>
  <c r="BC813" i="23" s="1"/>
  <c r="BD813" i="23" s="1"/>
  <c r="BA643" i="23"/>
  <c r="AZ670" i="23"/>
  <c r="BB670" i="23" s="1"/>
  <c r="BC670" i="23" s="1"/>
  <c r="BD670" i="23" s="1"/>
  <c r="BB646" i="23"/>
  <c r="BC646" i="23" s="1"/>
  <c r="BD646" i="23" s="1"/>
  <c r="BA821" i="23"/>
  <c r="BA728" i="23"/>
  <c r="BB728" i="23" s="1"/>
  <c r="BC728" i="23" s="1"/>
  <c r="BD728" i="23" s="1"/>
  <c r="BB689" i="23"/>
  <c r="BC689" i="23" s="1"/>
  <c r="BD689" i="23" s="1"/>
  <c r="BA772" i="23"/>
  <c r="AZ779" i="23"/>
  <c r="BA779" i="23"/>
  <c r="AZ641" i="23"/>
  <c r="BB641" i="23" s="1"/>
  <c r="BC641" i="23" s="1"/>
  <c r="BD641" i="23" s="1"/>
  <c r="BA641" i="23"/>
  <c r="AZ683" i="23"/>
  <c r="BA683" i="23"/>
  <c r="AZ766" i="23"/>
  <c r="BB766" i="23" s="1"/>
  <c r="BC766" i="23" s="1"/>
  <c r="BD766" i="23" s="1"/>
  <c r="BA766" i="23"/>
  <c r="AZ691" i="23"/>
  <c r="BA691" i="23"/>
  <c r="AZ812" i="23"/>
  <c r="BA812" i="23"/>
  <c r="BA806" i="23"/>
  <c r="BB806" i="23" s="1"/>
  <c r="BC806" i="23" s="1"/>
  <c r="BD806" i="23" s="1"/>
  <c r="BA667" i="23"/>
  <c r="BA760" i="23"/>
  <c r="BB760" i="23" s="1"/>
  <c r="BC760" i="23" s="1"/>
  <c r="BD760" i="23" s="1"/>
  <c r="BB773" i="23"/>
  <c r="BC773" i="23" s="1"/>
  <c r="BD773" i="23" s="1"/>
  <c r="BA785" i="23"/>
  <c r="AZ644" i="23"/>
  <c r="BB644" i="23" s="1"/>
  <c r="BC644" i="23" s="1"/>
  <c r="BD644" i="23" s="1"/>
  <c r="BA644" i="23"/>
  <c r="BB821" i="23"/>
  <c r="BC821" i="23" s="1"/>
  <c r="BD821" i="23" s="1"/>
  <c r="BB678" i="23"/>
  <c r="BC678" i="23" s="1"/>
  <c r="BD678" i="23" s="1"/>
  <c r="BA676" i="23"/>
  <c r="BA669" i="23"/>
  <c r="BB669" i="23" s="1"/>
  <c r="BC669" i="23" s="1"/>
  <c r="BD669" i="23" s="1"/>
  <c r="AZ640" i="23"/>
  <c r="BA640" i="23"/>
  <c r="AZ816" i="23"/>
  <c r="BB816" i="23" s="1"/>
  <c r="BC816" i="23" s="1"/>
  <c r="BD816" i="23" s="1"/>
  <c r="BB778" i="23"/>
  <c r="BC778" i="23" s="1"/>
  <c r="BD778" i="23" s="1"/>
  <c r="AZ822" i="23"/>
  <c r="BB822" i="23" s="1"/>
  <c r="BC822" i="23" s="1"/>
  <c r="BD822" i="23" s="1"/>
  <c r="BA822" i="23"/>
  <c r="AZ653" i="23"/>
  <c r="BB653" i="23" s="1"/>
  <c r="BC653" i="23" s="1"/>
  <c r="BD653" i="23" s="1"/>
  <c r="BA653" i="23"/>
  <c r="AZ695" i="23"/>
  <c r="BA695" i="23"/>
  <c r="AZ708" i="23"/>
  <c r="BB708" i="23" s="1"/>
  <c r="BC708" i="23" s="1"/>
  <c r="BD708" i="23" s="1"/>
  <c r="BA708" i="23"/>
  <c r="BA746" i="23"/>
  <c r="AZ746" i="23"/>
  <c r="BB746" i="23" s="1"/>
  <c r="BC746" i="23" s="1"/>
  <c r="BD746" i="23" s="1"/>
  <c r="BA752" i="23"/>
  <c r="AZ752" i="23"/>
  <c r="BB752" i="23" s="1"/>
  <c r="BC752" i="23" s="1"/>
  <c r="BD752" i="23" s="1"/>
  <c r="BB654" i="23"/>
  <c r="BC654" i="23" s="1"/>
  <c r="BD654" i="23" s="1"/>
  <c r="AZ659" i="23"/>
  <c r="BB659" i="23" s="1"/>
  <c r="BC659" i="23" s="1"/>
  <c r="BD659" i="23" s="1"/>
  <c r="BA677" i="23"/>
  <c r="BA665" i="23"/>
  <c r="AZ665" i="23"/>
  <c r="BB665" i="23" s="1"/>
  <c r="BC665" i="23" s="1"/>
  <c r="BD665" i="23" s="1"/>
  <c r="BB692" i="23"/>
  <c r="BC692" i="23" s="1"/>
  <c r="BD692" i="23" s="1"/>
  <c r="AZ656" i="23"/>
  <c r="BB656" i="23" s="1"/>
  <c r="BC656" i="23" s="1"/>
  <c r="BD656" i="23" s="1"/>
  <c r="BA656" i="23"/>
  <c r="AZ642" i="23"/>
  <c r="BB642" i="23" s="1"/>
  <c r="BC642" i="23" s="1"/>
  <c r="BD642" i="23" s="1"/>
  <c r="BA642" i="23"/>
  <c r="AZ651" i="23"/>
  <c r="BB651" i="23" s="1"/>
  <c r="BC651" i="23" s="1"/>
  <c r="BD651" i="23" s="1"/>
  <c r="BA651" i="23"/>
  <c r="AZ811" i="23"/>
  <c r="BA811" i="23"/>
  <c r="BB667" i="23"/>
  <c r="BC667" i="23" s="1"/>
  <c r="BD667" i="23" s="1"/>
  <c r="AZ675" i="23"/>
  <c r="BB675" i="23" s="1"/>
  <c r="BC675" i="23" s="1"/>
  <c r="BD675" i="23" s="1"/>
  <c r="BA675" i="23"/>
  <c r="AZ672" i="23"/>
  <c r="BA672" i="23"/>
  <c r="AZ750" i="23"/>
  <c r="BB750" i="23" s="1"/>
  <c r="BC750" i="23" s="1"/>
  <c r="BD750" i="23" s="1"/>
  <c r="BA750" i="23"/>
  <c r="AZ736" i="23"/>
  <c r="BA736" i="23"/>
  <c r="AZ663" i="23"/>
  <c r="BA663" i="23"/>
  <c r="BB676" i="23"/>
  <c r="BC676" i="23" s="1"/>
  <c r="BD676" i="23" s="1"/>
  <c r="AZ699" i="23"/>
  <c r="BA699" i="23"/>
  <c r="AZ796" i="23"/>
  <c r="BB796" i="23" s="1"/>
  <c r="BC796" i="23" s="1"/>
  <c r="BD796" i="23" s="1"/>
  <c r="BA796" i="23"/>
  <c r="AZ820" i="23"/>
  <c r="BB820" i="23" s="1"/>
  <c r="BC820" i="23" s="1"/>
  <c r="BD820" i="23" s="1"/>
  <c r="BA820" i="23"/>
  <c r="AZ706" i="23"/>
  <c r="BB706" i="23" s="1"/>
  <c r="BC706" i="23" s="1"/>
  <c r="BD706" i="23" s="1"/>
  <c r="BA706" i="23"/>
  <c r="BB716" i="23"/>
  <c r="BC716" i="23" s="1"/>
  <c r="BD716" i="23" s="1"/>
  <c r="BA740" i="23"/>
  <c r="AZ740" i="23"/>
  <c r="BB740" i="23" s="1"/>
  <c r="BC740" i="23" s="1"/>
  <c r="BD740" i="23" s="1"/>
  <c r="BA764" i="23"/>
  <c r="AZ764" i="23"/>
  <c r="BB764" i="23" s="1"/>
  <c r="BC764" i="23" s="1"/>
  <c r="BD764" i="23" s="1"/>
  <c r="BB647" i="23"/>
  <c r="BC647" i="23" s="1"/>
  <c r="BD647" i="23" s="1"/>
  <c r="BB655" i="23"/>
  <c r="BC655" i="23" s="1"/>
  <c r="BD655" i="23" s="1"/>
  <c r="BB714" i="23"/>
  <c r="BC714" i="23" s="1"/>
  <c r="BD714" i="23" s="1"/>
  <c r="BB660" i="23"/>
  <c r="BC660" i="23" s="1"/>
  <c r="BD660" i="23" s="1"/>
  <c r="AZ753" i="23"/>
  <c r="BA753" i="23"/>
  <c r="AZ817" i="23"/>
  <c r="BA817" i="23"/>
  <c r="AZ693" i="23"/>
  <c r="BB693" i="23" s="1"/>
  <c r="BC693" i="23" s="1"/>
  <c r="BD693" i="23" s="1"/>
  <c r="BA693" i="23"/>
  <c r="BB681" i="23"/>
  <c r="BC681" i="23" s="1"/>
  <c r="BD681" i="23" s="1"/>
  <c r="AZ762" i="23"/>
  <c r="BA762" i="23"/>
  <c r="BA783" i="23"/>
  <c r="AZ783" i="23"/>
  <c r="BB690" i="23"/>
  <c r="BC690" i="23" s="1"/>
  <c r="BD690" i="23" s="1"/>
  <c r="AZ661" i="23"/>
  <c r="BB661" i="23" s="1"/>
  <c r="BC661" i="23" s="1"/>
  <c r="BD661" i="23" s="1"/>
  <c r="BA661" i="23"/>
  <c r="AZ747" i="23"/>
  <c r="BB747" i="23" s="1"/>
  <c r="BC747" i="23" s="1"/>
  <c r="BD747" i="23" s="1"/>
  <c r="BA747" i="23"/>
  <c r="BA775" i="23"/>
  <c r="AZ775" i="23"/>
  <c r="AQ810" i="23"/>
  <c r="AQ809" i="23"/>
  <c r="AQ808" i="23"/>
  <c r="F807" i="23"/>
  <c r="AQ804" i="23"/>
  <c r="F804" i="23"/>
  <c r="E804" i="23"/>
  <c r="AQ803" i="23"/>
  <c r="AQ802" i="23"/>
  <c r="AQ801" i="23"/>
  <c r="F801" i="23"/>
  <c r="E801" i="23"/>
  <c r="AQ800" i="23"/>
  <c r="F800" i="23"/>
  <c r="E800" i="23"/>
  <c r="AQ799" i="23"/>
  <c r="F799" i="23"/>
  <c r="E799" i="23"/>
  <c r="AQ798" i="23"/>
  <c r="F798" i="23"/>
  <c r="E798" i="23"/>
  <c r="AQ797" i="23"/>
  <c r="F797" i="23"/>
  <c r="E797" i="23"/>
  <c r="BJ638" i="23"/>
  <c r="AV638" i="23"/>
  <c r="AU638" i="23"/>
  <c r="AT638" i="23"/>
  <c r="AS638" i="23"/>
  <c r="AR638" i="23"/>
  <c r="F638" i="23"/>
  <c r="E638" i="23"/>
  <c r="BJ637" i="23"/>
  <c r="AV637" i="23"/>
  <c r="AU637" i="23"/>
  <c r="AT637" i="23"/>
  <c r="AS637" i="23"/>
  <c r="AR637" i="23"/>
  <c r="F637" i="23"/>
  <c r="E637" i="23"/>
  <c r="BK636" i="23"/>
  <c r="AV636" i="23"/>
  <c r="AU636" i="23"/>
  <c r="AT636" i="23"/>
  <c r="AS636" i="23"/>
  <c r="AR636" i="23"/>
  <c r="BJ635" i="23"/>
  <c r="AV635" i="23"/>
  <c r="AU635" i="23"/>
  <c r="AT635" i="23"/>
  <c r="AS635" i="23"/>
  <c r="AR635" i="23"/>
  <c r="F635" i="23"/>
  <c r="E635" i="23"/>
  <c r="AV634" i="23"/>
  <c r="AU634" i="23"/>
  <c r="AT634" i="23"/>
  <c r="AS634" i="23"/>
  <c r="AR634" i="23"/>
  <c r="F634" i="23"/>
  <c r="E634" i="23"/>
  <c r="AV633" i="23"/>
  <c r="AU633" i="23"/>
  <c r="AT633" i="23"/>
  <c r="AS633" i="23"/>
  <c r="AR633" i="23"/>
  <c r="AV632" i="23"/>
  <c r="AU632" i="23"/>
  <c r="AT632" i="23"/>
  <c r="AS632" i="23"/>
  <c r="AR632" i="23"/>
  <c r="F632" i="23"/>
  <c r="E632" i="23"/>
  <c r="BJ631" i="23"/>
  <c r="AV631" i="23"/>
  <c r="AU631" i="23"/>
  <c r="AT631" i="23"/>
  <c r="AS631" i="23"/>
  <c r="AR631" i="23"/>
  <c r="F631" i="23"/>
  <c r="E631" i="23"/>
  <c r="AV630" i="23"/>
  <c r="AU630" i="23"/>
  <c r="AT630" i="23"/>
  <c r="AS630" i="23"/>
  <c r="AR630" i="23"/>
  <c r="F630" i="23"/>
  <c r="E630" i="23"/>
  <c r="BK629" i="23"/>
  <c r="AV629" i="23"/>
  <c r="AU629" i="23"/>
  <c r="AT629" i="23"/>
  <c r="AS629" i="23"/>
  <c r="AR629" i="23"/>
  <c r="F629" i="23"/>
  <c r="E629" i="23"/>
  <c r="AV628" i="23"/>
  <c r="AU628" i="23"/>
  <c r="AT628" i="23"/>
  <c r="AS628" i="23"/>
  <c r="AR628" i="23"/>
  <c r="F628" i="23"/>
  <c r="E628" i="23"/>
  <c r="BK627" i="23"/>
  <c r="AV627" i="23"/>
  <c r="AU627" i="23"/>
  <c r="AT627" i="23"/>
  <c r="AS627" i="23"/>
  <c r="AR627" i="23"/>
  <c r="F627" i="23"/>
  <c r="E627" i="23"/>
  <c r="AU625" i="23"/>
  <c r="AS625" i="23"/>
  <c r="AV624" i="23"/>
  <c r="AU624" i="23"/>
  <c r="AT624" i="23"/>
  <c r="AS624" i="23"/>
  <c r="AR624" i="23"/>
  <c r="F624" i="23"/>
  <c r="E624" i="23"/>
  <c r="BJ623" i="23"/>
  <c r="AV623" i="23"/>
  <c r="AU623" i="23"/>
  <c r="AT623" i="23"/>
  <c r="AS623" i="23"/>
  <c r="AR623" i="23"/>
  <c r="F623" i="23"/>
  <c r="E623" i="23"/>
  <c r="BJ621" i="23"/>
  <c r="AV621" i="23"/>
  <c r="AU621" i="23"/>
  <c r="AT621" i="23"/>
  <c r="AS621" i="23"/>
  <c r="AR621" i="23"/>
  <c r="F621" i="23"/>
  <c r="E621" i="23"/>
  <c r="BJ620" i="23"/>
  <c r="AV620" i="23"/>
  <c r="AU620" i="23"/>
  <c r="AT620" i="23"/>
  <c r="AS620" i="23"/>
  <c r="AR620" i="23"/>
  <c r="F620" i="23"/>
  <c r="E620" i="23"/>
  <c r="AS619" i="23"/>
  <c r="BJ618" i="23"/>
  <c r="AV618" i="23"/>
  <c r="AU618" i="23"/>
  <c r="AT618" i="23"/>
  <c r="AS618" i="23"/>
  <c r="AR618" i="23"/>
  <c r="F618" i="23"/>
  <c r="E618" i="23"/>
  <c r="AV617" i="23"/>
  <c r="AU617" i="23"/>
  <c r="AT617" i="23"/>
  <c r="AS617" i="23"/>
  <c r="AR617" i="23"/>
  <c r="F617" i="23"/>
  <c r="E617" i="23"/>
  <c r="BK616" i="23"/>
  <c r="AV616" i="23"/>
  <c r="AU616" i="23"/>
  <c r="AT616" i="23"/>
  <c r="AS616" i="23"/>
  <c r="AR616" i="23"/>
  <c r="F616" i="23"/>
  <c r="E616" i="23"/>
  <c r="AV615" i="23"/>
  <c r="AU615" i="23"/>
  <c r="AT615" i="23"/>
  <c r="AS615" i="23"/>
  <c r="AR615" i="23"/>
  <c r="F615" i="23"/>
  <c r="E615" i="23"/>
  <c r="AV614" i="23"/>
  <c r="AU614" i="23"/>
  <c r="AT614" i="23"/>
  <c r="AS614" i="23"/>
  <c r="AR614" i="23"/>
  <c r="F614" i="23"/>
  <c r="E614" i="23"/>
  <c r="BJ613" i="23"/>
  <c r="AV613" i="23"/>
  <c r="AU613" i="23"/>
  <c r="AT613" i="23"/>
  <c r="AS613" i="23"/>
  <c r="AR613" i="23"/>
  <c r="AS612" i="23"/>
  <c r="BJ611" i="23"/>
  <c r="AV611" i="23"/>
  <c r="AU611" i="23"/>
  <c r="AT611" i="23"/>
  <c r="AS611" i="23"/>
  <c r="AR611" i="23"/>
  <c r="F611" i="23"/>
  <c r="E611" i="23"/>
  <c r="BJ610" i="23"/>
  <c r="AV610" i="23"/>
  <c r="AU610" i="23"/>
  <c r="AT610" i="23"/>
  <c r="AS610" i="23"/>
  <c r="AR610" i="23"/>
  <c r="AS609" i="23"/>
  <c r="AS608" i="23"/>
  <c r="AV607" i="23"/>
  <c r="AU607" i="23"/>
  <c r="AT607" i="23"/>
  <c r="AS607" i="23"/>
  <c r="AR607" i="23"/>
  <c r="F607" i="23"/>
  <c r="E607" i="23"/>
  <c r="AU606" i="23"/>
  <c r="AS606" i="23"/>
  <c r="E606" i="23"/>
  <c r="BK605" i="23"/>
  <c r="AV605" i="23"/>
  <c r="AU605" i="23"/>
  <c r="AT605" i="23"/>
  <c r="AS605" i="23"/>
  <c r="AR605" i="23"/>
  <c r="F605" i="23"/>
  <c r="E605" i="23"/>
  <c r="AV604" i="23"/>
  <c r="AU604" i="23"/>
  <c r="AT604" i="23"/>
  <c r="AS604" i="23"/>
  <c r="AR604" i="23"/>
  <c r="F604" i="23"/>
  <c r="E604" i="23"/>
  <c r="AU603" i="23"/>
  <c r="AS603" i="23"/>
  <c r="AR603" i="23"/>
  <c r="BK602" i="23"/>
  <c r="AV602" i="23"/>
  <c r="AU602" i="23"/>
  <c r="AT602" i="23"/>
  <c r="AS602" i="23"/>
  <c r="AR602" i="23"/>
  <c r="F602" i="23"/>
  <c r="E602" i="23"/>
  <c r="AV601" i="23"/>
  <c r="AU601" i="23"/>
  <c r="AT601" i="23"/>
  <c r="AS601" i="23"/>
  <c r="AR601" i="23"/>
  <c r="F601" i="23"/>
  <c r="E601" i="23"/>
  <c r="AV600" i="23"/>
  <c r="AU600" i="23"/>
  <c r="AT600" i="23"/>
  <c r="AS600" i="23"/>
  <c r="AR600" i="23"/>
  <c r="F600" i="23"/>
  <c r="E600" i="23"/>
  <c r="BJ599" i="23"/>
  <c r="AV599" i="23"/>
  <c r="AU599" i="23"/>
  <c r="AT599" i="23"/>
  <c r="AS599" i="23"/>
  <c r="AR599" i="23"/>
  <c r="F599" i="23"/>
  <c r="E599" i="23"/>
  <c r="AV598" i="23"/>
  <c r="AU598" i="23"/>
  <c r="AT598" i="23"/>
  <c r="AS598" i="23"/>
  <c r="AR598" i="23"/>
  <c r="F598" i="23"/>
  <c r="E598" i="23"/>
  <c r="AV597" i="23"/>
  <c r="AU597" i="23"/>
  <c r="AT597" i="23"/>
  <c r="AS597" i="23"/>
  <c r="AR597" i="23"/>
  <c r="F597" i="23"/>
  <c r="E597" i="23"/>
  <c r="AV596" i="23"/>
  <c r="AU596" i="23"/>
  <c r="AT596" i="23"/>
  <c r="AS596" i="23"/>
  <c r="AR596" i="23"/>
  <c r="F596" i="23"/>
  <c r="E596" i="23"/>
  <c r="AV595" i="23"/>
  <c r="AU595" i="23"/>
  <c r="AT595" i="23"/>
  <c r="AS595" i="23"/>
  <c r="AR595" i="23"/>
  <c r="BJ594" i="23"/>
  <c r="AV594" i="23"/>
  <c r="AU594" i="23"/>
  <c r="AT594" i="23"/>
  <c r="AS594" i="23"/>
  <c r="AR594" i="23"/>
  <c r="F594" i="23"/>
  <c r="E594" i="23"/>
  <c r="AV593" i="23"/>
  <c r="AU593" i="23"/>
  <c r="AT593" i="23"/>
  <c r="AS593" i="23"/>
  <c r="AR593" i="23"/>
  <c r="F593" i="23"/>
  <c r="E593" i="23"/>
  <c r="AS592" i="23"/>
  <c r="BK591" i="23"/>
  <c r="AU591" i="23"/>
  <c r="AT591" i="23"/>
  <c r="AS591" i="23"/>
  <c r="AR591" i="23"/>
  <c r="AV591" i="23"/>
  <c r="F591" i="23"/>
  <c r="E591" i="23"/>
  <c r="AS590" i="23"/>
  <c r="AV589" i="23"/>
  <c r="AU589" i="23"/>
  <c r="AT589" i="23"/>
  <c r="AS589" i="23"/>
  <c r="AR589" i="23"/>
  <c r="F589" i="23"/>
  <c r="E589" i="23"/>
  <c r="AV588" i="23"/>
  <c r="AU588" i="23"/>
  <c r="AT588" i="23"/>
  <c r="AS588" i="23"/>
  <c r="AR588" i="23"/>
  <c r="F588" i="23"/>
  <c r="E588" i="23"/>
  <c r="AU587" i="23"/>
  <c r="AS587" i="23"/>
  <c r="BJ584" i="23"/>
  <c r="AV584" i="23"/>
  <c r="AU584" i="23"/>
  <c r="AT584" i="23"/>
  <c r="AS584" i="23"/>
  <c r="AR584" i="23"/>
  <c r="F584" i="23"/>
  <c r="E584" i="23"/>
  <c r="BJ583" i="23"/>
  <c r="AV583" i="23"/>
  <c r="AU583" i="23"/>
  <c r="AT583" i="23"/>
  <c r="AS583" i="23"/>
  <c r="AR583" i="23"/>
  <c r="F583" i="23"/>
  <c r="E583" i="23"/>
  <c r="AU582" i="23"/>
  <c r="AS582" i="23"/>
  <c r="AV581" i="23"/>
  <c r="AU581" i="23"/>
  <c r="AT581" i="23"/>
  <c r="AS581" i="23"/>
  <c r="AR581" i="23"/>
  <c r="F581" i="23"/>
  <c r="E581" i="23"/>
  <c r="AU580" i="23"/>
  <c r="AS580" i="23"/>
  <c r="E580" i="23"/>
  <c r="AV579" i="23"/>
  <c r="AU579" i="23"/>
  <c r="AT579" i="23"/>
  <c r="AS579" i="23"/>
  <c r="AR579" i="23"/>
  <c r="F579" i="23"/>
  <c r="E579" i="23"/>
  <c r="BK578" i="23"/>
  <c r="AV578" i="23"/>
  <c r="AU578" i="23"/>
  <c r="AT578" i="23"/>
  <c r="AS578" i="23"/>
  <c r="AR578" i="23"/>
  <c r="F578" i="23"/>
  <c r="E578" i="23"/>
  <c r="BK577" i="23"/>
  <c r="AV577" i="23"/>
  <c r="AU577" i="23"/>
  <c r="AT577" i="23"/>
  <c r="AS577" i="23"/>
  <c r="E577" i="23"/>
  <c r="F577" i="23"/>
  <c r="BJ576" i="23"/>
  <c r="AV576" i="23"/>
  <c r="AU576" i="23"/>
  <c r="AT576" i="23"/>
  <c r="AS576" i="23"/>
  <c r="AR576" i="23"/>
  <c r="F576" i="23"/>
  <c r="E576" i="23"/>
  <c r="BK575" i="23"/>
  <c r="AV575" i="23"/>
  <c r="AU575" i="23"/>
  <c r="AT575" i="23"/>
  <c r="AS575" i="23"/>
  <c r="AR575" i="23"/>
  <c r="F575" i="23"/>
  <c r="E575" i="23"/>
  <c r="BK574" i="23"/>
  <c r="AV574" i="23"/>
  <c r="AU574" i="23"/>
  <c r="AT574" i="23"/>
  <c r="AS574" i="23"/>
  <c r="AR574" i="23"/>
  <c r="F574" i="23"/>
  <c r="E574" i="23"/>
  <c r="AV573" i="23"/>
  <c r="AU573" i="23"/>
  <c r="AT573" i="23"/>
  <c r="AS573" i="23"/>
  <c r="AR573" i="23"/>
  <c r="F573" i="23"/>
  <c r="E573" i="23"/>
  <c r="AV572" i="23"/>
  <c r="AU572" i="23"/>
  <c r="AT572" i="23"/>
  <c r="AS572" i="23"/>
  <c r="AR572" i="23"/>
  <c r="F572" i="23"/>
  <c r="E572" i="23"/>
  <c r="BJ571" i="23"/>
  <c r="AV571" i="23"/>
  <c r="AU571" i="23"/>
  <c r="AT571" i="23"/>
  <c r="AS571" i="23"/>
  <c r="AR571" i="23"/>
  <c r="BJ570" i="23"/>
  <c r="AV570" i="23"/>
  <c r="AU570" i="23"/>
  <c r="AT570" i="23"/>
  <c r="AS570" i="23"/>
  <c r="AR570" i="23"/>
  <c r="F570" i="23"/>
  <c r="E570" i="23"/>
  <c r="AV569" i="23"/>
  <c r="AU569" i="23"/>
  <c r="AT569" i="23"/>
  <c r="AS569" i="23"/>
  <c r="AR569" i="23"/>
  <c r="F569" i="23"/>
  <c r="E569" i="23"/>
  <c r="AU568" i="23"/>
  <c r="AS568" i="23"/>
  <c r="AV568" i="23"/>
  <c r="AS567" i="23"/>
  <c r="BK566" i="23"/>
  <c r="AV566" i="23"/>
  <c r="AU566" i="23"/>
  <c r="AT566" i="23"/>
  <c r="AS566" i="23"/>
  <c r="AR566" i="23"/>
  <c r="F566" i="23"/>
  <c r="E566" i="23"/>
  <c r="BK565" i="23"/>
  <c r="AV565" i="23"/>
  <c r="AU565" i="23"/>
  <c r="AT565" i="23"/>
  <c r="AS565" i="23"/>
  <c r="AR565" i="23"/>
  <c r="F565" i="23"/>
  <c r="E565" i="23"/>
  <c r="BK564" i="23"/>
  <c r="AV564" i="23"/>
  <c r="AU564" i="23"/>
  <c r="AT564" i="23"/>
  <c r="AS564" i="23"/>
  <c r="AR564" i="23"/>
  <c r="F564" i="23"/>
  <c r="E564" i="23"/>
  <c r="AS563" i="23"/>
  <c r="AU562" i="23"/>
  <c r="AS562" i="23"/>
  <c r="AV562" i="23"/>
  <c r="BK561" i="23"/>
  <c r="AV561" i="23"/>
  <c r="AU561" i="23"/>
  <c r="AT561" i="23"/>
  <c r="AS561" i="23"/>
  <c r="AR561" i="23"/>
  <c r="F561" i="23"/>
  <c r="BJ560" i="23"/>
  <c r="AV560" i="23"/>
  <c r="AU560" i="23"/>
  <c r="AT560" i="23"/>
  <c r="AS560" i="23"/>
  <c r="AR560" i="23"/>
  <c r="F560" i="23"/>
  <c r="E560" i="23"/>
  <c r="AS559" i="23"/>
  <c r="AU558" i="23"/>
  <c r="AS558" i="23"/>
  <c r="E558" i="23"/>
  <c r="BK557" i="23"/>
  <c r="AV557" i="23"/>
  <c r="AU557" i="23"/>
  <c r="AT557" i="23"/>
  <c r="AS557" i="23"/>
  <c r="AR557" i="23"/>
  <c r="F557" i="23"/>
  <c r="E557" i="23"/>
  <c r="AV556" i="23"/>
  <c r="AU556" i="23"/>
  <c r="AT556" i="23"/>
  <c r="AS556" i="23"/>
  <c r="AR556" i="23"/>
  <c r="F556" i="23"/>
  <c r="E556" i="23"/>
  <c r="AV555" i="23"/>
  <c r="AU555" i="23"/>
  <c r="AT555" i="23"/>
  <c r="AS555" i="23"/>
  <c r="AR555" i="23"/>
  <c r="F555" i="23"/>
  <c r="E555" i="23"/>
  <c r="AS554" i="23"/>
  <c r="AV553" i="23"/>
  <c r="AU553" i="23"/>
  <c r="AT553" i="23"/>
  <c r="AS553" i="23"/>
  <c r="AR553" i="23"/>
  <c r="F553" i="23"/>
  <c r="E553" i="23"/>
  <c r="AU551" i="23"/>
  <c r="AS551" i="23"/>
  <c r="AV551" i="23"/>
  <c r="BJ550" i="23"/>
  <c r="AV550" i="23"/>
  <c r="AU550" i="23"/>
  <c r="AT550" i="23"/>
  <c r="AS550" i="23"/>
  <c r="AR550" i="23"/>
  <c r="F550" i="23"/>
  <c r="E550" i="23"/>
  <c r="AV549" i="23"/>
  <c r="AU549" i="23"/>
  <c r="AT549" i="23"/>
  <c r="AS549" i="23"/>
  <c r="AR549" i="23"/>
  <c r="F549" i="23"/>
  <c r="E549" i="23"/>
  <c r="AV548" i="23"/>
  <c r="BK547" i="23"/>
  <c r="AV547" i="23"/>
  <c r="AU547" i="23"/>
  <c r="AT547" i="23"/>
  <c r="AS547" i="23"/>
  <c r="AR547" i="23"/>
  <c r="F547" i="23"/>
  <c r="E547" i="23"/>
  <c r="BK832" i="23"/>
  <c r="AV832" i="23"/>
  <c r="AU832" i="23"/>
  <c r="AT832" i="23"/>
  <c r="AS832" i="23"/>
  <c r="AR832" i="23"/>
  <c r="F832" i="23"/>
  <c r="E832" i="23"/>
  <c r="BJ831" i="23"/>
  <c r="AV831" i="23"/>
  <c r="AU831" i="23"/>
  <c r="AT831" i="23"/>
  <c r="AS831" i="23"/>
  <c r="AR831" i="23"/>
  <c r="F831" i="23"/>
  <c r="E831" i="23"/>
  <c r="BK830" i="23"/>
  <c r="AV830" i="23"/>
  <c r="AU830" i="23"/>
  <c r="AT830" i="23"/>
  <c r="AS830" i="23"/>
  <c r="AR830" i="23"/>
  <c r="F830" i="23"/>
  <c r="E830" i="23"/>
  <c r="AS829" i="23"/>
  <c r="AS828" i="23"/>
  <c r="BK827" i="23"/>
  <c r="AV827" i="23"/>
  <c r="AU827" i="23"/>
  <c r="AT827" i="23"/>
  <c r="AS827" i="23"/>
  <c r="AR827" i="23"/>
  <c r="F827" i="23"/>
  <c r="E827" i="23"/>
  <c r="AU826" i="23"/>
  <c r="AS826" i="23"/>
  <c r="AV826" i="23"/>
  <c r="AV825" i="23"/>
  <c r="AU825" i="23"/>
  <c r="AT825" i="23"/>
  <c r="AS825" i="23"/>
  <c r="AR825" i="23"/>
  <c r="F825" i="23"/>
  <c r="E825" i="23"/>
  <c r="AV824" i="23"/>
  <c r="AU824" i="23"/>
  <c r="AT824" i="23"/>
  <c r="AS824" i="23"/>
  <c r="AR824" i="23"/>
  <c r="F824" i="23"/>
  <c r="E824" i="23"/>
  <c r="BK546" i="23"/>
  <c r="AV546" i="23"/>
  <c r="AU546" i="23"/>
  <c r="AT546" i="23"/>
  <c r="AS546" i="23"/>
  <c r="AR546" i="23"/>
  <c r="F546" i="23"/>
  <c r="E546" i="23"/>
  <c r="BK545" i="23"/>
  <c r="AV545" i="23"/>
  <c r="AU545" i="23"/>
  <c r="AT545" i="23"/>
  <c r="AS545" i="23"/>
  <c r="AR545" i="23"/>
  <c r="F545" i="23"/>
  <c r="E545" i="23"/>
  <c r="AS544" i="23"/>
  <c r="AV543" i="23"/>
  <c r="AU543" i="23"/>
  <c r="AT543" i="23"/>
  <c r="AS543" i="23"/>
  <c r="AR543" i="23"/>
  <c r="F543" i="23"/>
  <c r="E543" i="23"/>
  <c r="AV542" i="23"/>
  <c r="AV541" i="23"/>
  <c r="AU541" i="23"/>
  <c r="AT541" i="23"/>
  <c r="AS541" i="23"/>
  <c r="AR541" i="23"/>
  <c r="F541" i="23"/>
  <c r="E541" i="23"/>
  <c r="AV540" i="23"/>
  <c r="AU540" i="23"/>
  <c r="AT540" i="23"/>
  <c r="AS540" i="23"/>
  <c r="AR540" i="23"/>
  <c r="F540" i="23"/>
  <c r="E540" i="23"/>
  <c r="BJ539" i="23"/>
  <c r="AV539" i="23"/>
  <c r="AU539" i="23"/>
  <c r="AT539" i="23"/>
  <c r="AS539" i="23"/>
  <c r="AR539" i="23"/>
  <c r="F539" i="23"/>
  <c r="E539" i="23"/>
  <c r="AV538" i="23"/>
  <c r="AU538" i="23"/>
  <c r="AT538" i="23"/>
  <c r="AS538" i="23"/>
  <c r="AR538" i="23"/>
  <c r="F538" i="23"/>
  <c r="E538" i="23"/>
  <c r="BJ537" i="23"/>
  <c r="AV537" i="23"/>
  <c r="AU537" i="23"/>
  <c r="AT537" i="23"/>
  <c r="AS537" i="23"/>
  <c r="E537" i="23"/>
  <c r="F537" i="23"/>
  <c r="AV536" i="23"/>
  <c r="AU535" i="23"/>
  <c r="AS535" i="23"/>
  <c r="AU534" i="23"/>
  <c r="AS534" i="23"/>
  <c r="AS533" i="23"/>
  <c r="BK532" i="23"/>
  <c r="AV532" i="23"/>
  <c r="AU532" i="23"/>
  <c r="AT532" i="23"/>
  <c r="AS532" i="23"/>
  <c r="AR532" i="23"/>
  <c r="F532" i="23"/>
  <c r="E532" i="23"/>
  <c r="AV531" i="23"/>
  <c r="AU531" i="23"/>
  <c r="AT531" i="23"/>
  <c r="AS531" i="23"/>
  <c r="AR531" i="23"/>
  <c r="F531" i="23"/>
  <c r="E531" i="23"/>
  <c r="AV530" i="23"/>
  <c r="AU530" i="23"/>
  <c r="AT530" i="23"/>
  <c r="AS530" i="23"/>
  <c r="AR530" i="23"/>
  <c r="F530" i="23"/>
  <c r="E530" i="23"/>
  <c r="BK529" i="23"/>
  <c r="AV529" i="23"/>
  <c r="AU529" i="23"/>
  <c r="AT529" i="23"/>
  <c r="AS529" i="23"/>
  <c r="AR529" i="23"/>
  <c r="F529" i="23"/>
  <c r="E529" i="23"/>
  <c r="BJ528" i="23"/>
  <c r="AV528" i="23"/>
  <c r="AU528" i="23"/>
  <c r="AT528" i="23"/>
  <c r="AS528" i="23"/>
  <c r="AR528" i="23"/>
  <c r="F528" i="23"/>
  <c r="E528" i="23"/>
  <c r="BJ527" i="23"/>
  <c r="AV527" i="23"/>
  <c r="AU527" i="23"/>
  <c r="AT527" i="23"/>
  <c r="AS527" i="23"/>
  <c r="AR527" i="23"/>
  <c r="F527" i="23"/>
  <c r="E527" i="23"/>
  <c r="BK526" i="23"/>
  <c r="AV526" i="23"/>
  <c r="AU526" i="23"/>
  <c r="AT526" i="23"/>
  <c r="AS526" i="23"/>
  <c r="AR526" i="23"/>
  <c r="F526" i="23"/>
  <c r="E526" i="23"/>
  <c r="AV525" i="23"/>
  <c r="AU525" i="23"/>
  <c r="AT525" i="23"/>
  <c r="AS525" i="23"/>
  <c r="AR525" i="23"/>
  <c r="F525" i="23"/>
  <c r="E525" i="23"/>
  <c r="AU524" i="23"/>
  <c r="AS524" i="23"/>
  <c r="AV523" i="23"/>
  <c r="AR523" i="23"/>
  <c r="BK522" i="23"/>
  <c r="AV522" i="23"/>
  <c r="AU522" i="23"/>
  <c r="AT522" i="23"/>
  <c r="AS522" i="23"/>
  <c r="AR522" i="23"/>
  <c r="F522" i="23"/>
  <c r="E522" i="23"/>
  <c r="AV521" i="23"/>
  <c r="AU521" i="23"/>
  <c r="AT521" i="23"/>
  <c r="AS521" i="23"/>
  <c r="AR521" i="23"/>
  <c r="F521" i="23"/>
  <c r="E521" i="23"/>
  <c r="AV520" i="23"/>
  <c r="AU520" i="23"/>
  <c r="AT520" i="23"/>
  <c r="AS520" i="23"/>
  <c r="AR520" i="23"/>
  <c r="F520" i="23"/>
  <c r="E520" i="23"/>
  <c r="BK519" i="23"/>
  <c r="AV519" i="23"/>
  <c r="AU519" i="23"/>
  <c r="AT519" i="23"/>
  <c r="AS519" i="23"/>
  <c r="AR519" i="23"/>
  <c r="F519" i="23"/>
  <c r="E519" i="23"/>
  <c r="AV518" i="23"/>
  <c r="AU518" i="23"/>
  <c r="AT518" i="23"/>
  <c r="AS518" i="23"/>
  <c r="AR518" i="23"/>
  <c r="F518" i="23"/>
  <c r="E518" i="23"/>
  <c r="BJ517" i="23"/>
  <c r="AV517" i="23"/>
  <c r="AU517" i="23"/>
  <c r="AT517" i="23"/>
  <c r="AS517" i="23"/>
  <c r="AR517" i="23"/>
  <c r="F517" i="23"/>
  <c r="E517" i="23"/>
  <c r="AU516" i="23"/>
  <c r="AS516" i="23"/>
  <c r="AS514" i="23"/>
  <c r="AV513" i="23"/>
  <c r="AU513" i="23"/>
  <c r="AT513" i="23"/>
  <c r="AS513" i="23"/>
  <c r="AR513" i="23"/>
  <c r="F513" i="23"/>
  <c r="E513" i="23"/>
  <c r="AU512" i="23"/>
  <c r="AS512" i="23"/>
  <c r="AU511" i="23"/>
  <c r="AS511" i="23"/>
  <c r="AR511" i="23"/>
  <c r="BK510" i="23"/>
  <c r="AV510" i="23"/>
  <c r="AU510" i="23"/>
  <c r="AT510" i="23"/>
  <c r="AS510" i="23"/>
  <c r="AR510" i="23"/>
  <c r="F510" i="23"/>
  <c r="E510" i="23"/>
  <c r="AV509" i="23"/>
  <c r="AU508" i="23"/>
  <c r="AS508" i="23"/>
  <c r="AV507" i="23"/>
  <c r="AU507" i="23"/>
  <c r="AT507" i="23"/>
  <c r="AS507" i="23"/>
  <c r="AR507" i="23"/>
  <c r="F507" i="23"/>
  <c r="E507" i="23"/>
  <c r="BK506" i="23"/>
  <c r="AV506" i="23"/>
  <c r="AU506" i="23"/>
  <c r="AT506" i="23"/>
  <c r="AS506" i="23"/>
  <c r="AR506" i="23"/>
  <c r="F506" i="23"/>
  <c r="E506" i="23"/>
  <c r="BK505" i="23"/>
  <c r="AV505" i="23"/>
  <c r="AU505" i="23"/>
  <c r="AT505" i="23"/>
  <c r="AS505" i="23"/>
  <c r="AR505" i="23"/>
  <c r="F505" i="23"/>
  <c r="E505" i="23"/>
  <c r="BK504" i="23"/>
  <c r="AV504" i="23"/>
  <c r="AU504" i="23"/>
  <c r="AT504" i="23"/>
  <c r="AS504" i="23"/>
  <c r="AR504" i="23"/>
  <c r="F504" i="23"/>
  <c r="E504" i="23"/>
  <c r="AV503" i="23"/>
  <c r="AR503" i="23"/>
  <c r="BJ502" i="23"/>
  <c r="AV502" i="23"/>
  <c r="AU502" i="23"/>
  <c r="AT502" i="23"/>
  <c r="AS502" i="23"/>
  <c r="AR502" i="23"/>
  <c r="F502" i="23"/>
  <c r="E502" i="23"/>
  <c r="AV501" i="23"/>
  <c r="AU501" i="23"/>
  <c r="AT501" i="23"/>
  <c r="AS501" i="23"/>
  <c r="AR501" i="23"/>
  <c r="F501" i="23"/>
  <c r="E501" i="23"/>
  <c r="AS500" i="23"/>
  <c r="AV499" i="23"/>
  <c r="AU499" i="23"/>
  <c r="AT499" i="23"/>
  <c r="AS499" i="23"/>
  <c r="AR499" i="23"/>
  <c r="F499" i="23"/>
  <c r="E499" i="23"/>
  <c r="AV498" i="23"/>
  <c r="AU498" i="23"/>
  <c r="AT498" i="23"/>
  <c r="AS498" i="23"/>
  <c r="AR498" i="23"/>
  <c r="F498" i="23"/>
  <c r="E498" i="23"/>
  <c r="BJ497" i="23"/>
  <c r="AV497" i="23"/>
  <c r="AU497" i="23"/>
  <c r="AT497" i="23"/>
  <c r="AS497" i="23"/>
  <c r="AR497" i="23"/>
  <c r="F497" i="23"/>
  <c r="E497" i="23"/>
  <c r="BJ496" i="23"/>
  <c r="AV496" i="23"/>
  <c r="AU496" i="23"/>
  <c r="AT496" i="23"/>
  <c r="AS496" i="23"/>
  <c r="AR496" i="23"/>
  <c r="F496" i="23"/>
  <c r="E496" i="23"/>
  <c r="AV495" i="23"/>
  <c r="AU495" i="23"/>
  <c r="AT495" i="23"/>
  <c r="AS495" i="23"/>
  <c r="AR495" i="23"/>
  <c r="F495" i="23"/>
  <c r="E495" i="23"/>
  <c r="AV494" i="23"/>
  <c r="AU494" i="23"/>
  <c r="AT494" i="23"/>
  <c r="AS494" i="23"/>
  <c r="AR494" i="23"/>
  <c r="F494" i="23"/>
  <c r="E494" i="23"/>
  <c r="AS493" i="23"/>
  <c r="BJ492" i="23"/>
  <c r="AV492" i="23"/>
  <c r="AU492" i="23"/>
  <c r="AT492" i="23"/>
  <c r="AS492" i="23"/>
  <c r="AR492" i="23"/>
  <c r="F492" i="23"/>
  <c r="E492" i="23"/>
  <c r="AV491" i="23"/>
  <c r="AU491" i="23"/>
  <c r="AT491" i="23"/>
  <c r="AS491" i="23"/>
  <c r="AR491" i="23"/>
  <c r="F491" i="23"/>
  <c r="E491" i="23"/>
  <c r="BK490" i="23"/>
  <c r="AV490" i="23"/>
  <c r="AU490" i="23"/>
  <c r="AT490" i="23"/>
  <c r="AS490" i="23"/>
  <c r="AR490" i="23"/>
  <c r="F490" i="23"/>
  <c r="E490" i="23"/>
  <c r="AV489" i="23"/>
  <c r="AU489" i="23"/>
  <c r="AT489" i="23"/>
  <c r="AS489" i="23"/>
  <c r="AR489" i="23"/>
  <c r="F489" i="23"/>
  <c r="E489" i="23"/>
  <c r="AV487" i="23"/>
  <c r="AR487" i="23"/>
  <c r="BK486" i="23"/>
  <c r="AV486" i="23"/>
  <c r="AU486" i="23"/>
  <c r="AT486" i="23"/>
  <c r="AS486" i="23"/>
  <c r="AR486" i="23"/>
  <c r="F486" i="23"/>
  <c r="E486" i="23"/>
  <c r="AV485" i="23"/>
  <c r="AU485" i="23"/>
  <c r="AT485" i="23"/>
  <c r="AS485" i="23"/>
  <c r="AR485" i="23"/>
  <c r="F485" i="23"/>
  <c r="E485" i="23"/>
  <c r="AV484" i="23"/>
  <c r="AU484" i="23"/>
  <c r="AT484" i="23"/>
  <c r="AS484" i="23"/>
  <c r="AR484" i="23"/>
  <c r="F484" i="23"/>
  <c r="E484" i="23"/>
  <c r="BJ483" i="23"/>
  <c r="AV483" i="23"/>
  <c r="AU483" i="23"/>
  <c r="AT483" i="23"/>
  <c r="AS483" i="23"/>
  <c r="AR483" i="23"/>
  <c r="F483" i="23"/>
  <c r="E483" i="23"/>
  <c r="AV482" i="23"/>
  <c r="AS482" i="23"/>
  <c r="BJ481" i="23"/>
  <c r="AU481" i="23"/>
  <c r="AT481" i="23"/>
  <c r="AS481" i="23"/>
  <c r="AR481" i="23"/>
  <c r="F481" i="23"/>
  <c r="E481" i="23"/>
  <c r="AV480" i="23"/>
  <c r="AU480" i="23"/>
  <c r="AT480" i="23"/>
  <c r="AS480" i="23"/>
  <c r="AR480" i="23"/>
  <c r="F480" i="23"/>
  <c r="E480" i="23"/>
  <c r="BK479" i="23"/>
  <c r="AV479" i="23"/>
  <c r="AU479" i="23"/>
  <c r="AT479" i="23"/>
  <c r="AS479" i="23"/>
  <c r="AR479" i="23"/>
  <c r="F479" i="23"/>
  <c r="E479" i="23"/>
  <c r="AV478" i="23"/>
  <c r="AU478" i="23"/>
  <c r="AT478" i="23"/>
  <c r="AS478" i="23"/>
  <c r="AR478" i="23"/>
  <c r="F478" i="23"/>
  <c r="E478" i="23"/>
  <c r="AV477" i="23"/>
  <c r="AU477" i="23"/>
  <c r="AT477" i="23"/>
  <c r="AS477" i="23"/>
  <c r="AR477" i="23"/>
  <c r="F477" i="23"/>
  <c r="E477" i="23"/>
  <c r="BJ476" i="23"/>
  <c r="AV476" i="23"/>
  <c r="AU476" i="23"/>
  <c r="AT476" i="23"/>
  <c r="AS476" i="23"/>
  <c r="AR476" i="23"/>
  <c r="F476" i="23"/>
  <c r="E476" i="23"/>
  <c r="BJ475" i="23"/>
  <c r="AV475" i="23"/>
  <c r="AU475" i="23"/>
  <c r="AT475" i="23"/>
  <c r="AS475" i="23"/>
  <c r="AR475" i="23"/>
  <c r="F475" i="23"/>
  <c r="E475" i="23"/>
  <c r="AV474" i="23"/>
  <c r="AU474" i="23"/>
  <c r="AT474" i="23"/>
  <c r="AS474" i="23"/>
  <c r="AR474" i="23"/>
  <c r="F474" i="23"/>
  <c r="E474" i="23"/>
  <c r="AV473" i="23"/>
  <c r="AU473" i="23"/>
  <c r="AT473" i="23"/>
  <c r="AS473" i="23"/>
  <c r="AR473" i="23"/>
  <c r="F473" i="23"/>
  <c r="E473" i="23"/>
  <c r="AS472" i="23"/>
  <c r="BK471" i="23"/>
  <c r="AV471" i="23"/>
  <c r="AU471" i="23"/>
  <c r="AT471" i="23"/>
  <c r="AS471" i="23"/>
  <c r="AR471" i="23"/>
  <c r="F471" i="23"/>
  <c r="E471" i="23"/>
  <c r="BK470" i="23"/>
  <c r="AV470" i="23"/>
  <c r="AU470" i="23"/>
  <c r="AT470" i="23"/>
  <c r="AS470" i="23"/>
  <c r="AR470" i="23"/>
  <c r="F470" i="23"/>
  <c r="E470" i="23"/>
  <c r="BJ469" i="23"/>
  <c r="AV469" i="23"/>
  <c r="AU469" i="23"/>
  <c r="AT469" i="23"/>
  <c r="AS469" i="23"/>
  <c r="AR469" i="23"/>
  <c r="F469" i="23"/>
  <c r="E469" i="23"/>
  <c r="AV468" i="23"/>
  <c r="AV467" i="23"/>
  <c r="AU467" i="23"/>
  <c r="AS467" i="23"/>
  <c r="AR467" i="23"/>
  <c r="E467" i="23"/>
  <c r="AV466" i="23"/>
  <c r="AS465" i="23"/>
  <c r="BK464" i="23"/>
  <c r="AV464" i="23"/>
  <c r="AU464" i="23"/>
  <c r="AT464" i="23"/>
  <c r="AS464" i="23"/>
  <c r="AR464" i="23"/>
  <c r="F464" i="23"/>
  <c r="E464" i="23"/>
  <c r="AV463" i="23"/>
  <c r="BJ462" i="23"/>
  <c r="AV462" i="23"/>
  <c r="AU462" i="23"/>
  <c r="AT462" i="23"/>
  <c r="AS462" i="23"/>
  <c r="AR462" i="23"/>
  <c r="F462" i="23"/>
  <c r="E462" i="23"/>
  <c r="BK461" i="23"/>
  <c r="AV461" i="23"/>
  <c r="AU461" i="23"/>
  <c r="AT461" i="23"/>
  <c r="AS461" i="23"/>
  <c r="AR461" i="23"/>
  <c r="F461" i="23"/>
  <c r="E461" i="23"/>
  <c r="AV460" i="23"/>
  <c r="AV459" i="23"/>
  <c r="AS459" i="23"/>
  <c r="BK458" i="23"/>
  <c r="AV458" i="23"/>
  <c r="AU458" i="23"/>
  <c r="AT458" i="23"/>
  <c r="AS458" i="23"/>
  <c r="AR458" i="23"/>
  <c r="F458" i="23"/>
  <c r="E458" i="23"/>
  <c r="AV457" i="23"/>
  <c r="AU457" i="23"/>
  <c r="AT457" i="23"/>
  <c r="AS457" i="23"/>
  <c r="AR457" i="23"/>
  <c r="F457" i="23"/>
  <c r="E457" i="23"/>
  <c r="AV456" i="23"/>
  <c r="AU456" i="23"/>
  <c r="AT456" i="23"/>
  <c r="AS456" i="23"/>
  <c r="AR456" i="23"/>
  <c r="F456" i="23"/>
  <c r="E456" i="23"/>
  <c r="BK455" i="23"/>
  <c r="AV455" i="23"/>
  <c r="AU455" i="23"/>
  <c r="AT455" i="23"/>
  <c r="AS455" i="23"/>
  <c r="AR455" i="23"/>
  <c r="F455" i="23"/>
  <c r="E455" i="23"/>
  <c r="AV454" i="23"/>
  <c r="AU454" i="23"/>
  <c r="AS454" i="23"/>
  <c r="AV453" i="23"/>
  <c r="AU453" i="23"/>
  <c r="AT453" i="23"/>
  <c r="AS453" i="23"/>
  <c r="AR453" i="23"/>
  <c r="F453" i="23"/>
  <c r="E453" i="23"/>
  <c r="AS452" i="23"/>
  <c r="AS451" i="23"/>
  <c r="AS450" i="23"/>
  <c r="AV449" i="23"/>
  <c r="AR449" i="23"/>
  <c r="BK448" i="23"/>
  <c r="AV448" i="23"/>
  <c r="AU448" i="23"/>
  <c r="AT448" i="23"/>
  <c r="AS448" i="23"/>
  <c r="AR448" i="23"/>
  <c r="F448" i="23"/>
  <c r="BK447" i="23"/>
  <c r="AV447" i="23"/>
  <c r="AU447" i="23"/>
  <c r="AT447" i="23"/>
  <c r="AS447" i="23"/>
  <c r="F447" i="23"/>
  <c r="AU446" i="23"/>
  <c r="AS446" i="23"/>
  <c r="AS445" i="23"/>
  <c r="AV444" i="23"/>
  <c r="AU444" i="23"/>
  <c r="AT444" i="23"/>
  <c r="AS444" i="23"/>
  <c r="AR444" i="23"/>
  <c r="F444" i="23"/>
  <c r="E444" i="23"/>
  <c r="AV443" i="23"/>
  <c r="AU443" i="23"/>
  <c r="AT443" i="23"/>
  <c r="AS443" i="23"/>
  <c r="AR443" i="23"/>
  <c r="F443" i="23"/>
  <c r="E443" i="23"/>
  <c r="BK442" i="23"/>
  <c r="AV442" i="23"/>
  <c r="AU442" i="23"/>
  <c r="AT442" i="23"/>
  <c r="AS442" i="23"/>
  <c r="AR442" i="23"/>
  <c r="AV441" i="23"/>
  <c r="AR441" i="23"/>
  <c r="BK440" i="23"/>
  <c r="AV440" i="23"/>
  <c r="AU440" i="23"/>
  <c r="AT440" i="23"/>
  <c r="AS440" i="23"/>
  <c r="AR440" i="23"/>
  <c r="F440" i="23"/>
  <c r="E440" i="23"/>
  <c r="AU439" i="23"/>
  <c r="AS439" i="23"/>
  <c r="AS438" i="23"/>
  <c r="BJ437" i="23"/>
  <c r="AV437" i="23"/>
  <c r="AU437" i="23"/>
  <c r="AT437" i="23"/>
  <c r="AS437" i="23"/>
  <c r="AR437" i="23"/>
  <c r="F437" i="23"/>
  <c r="E437" i="23"/>
  <c r="AS436" i="23"/>
  <c r="AV435" i="23"/>
  <c r="AU435" i="23"/>
  <c r="AT435" i="23"/>
  <c r="AS435" i="23"/>
  <c r="AR435" i="23"/>
  <c r="F435" i="23"/>
  <c r="E435" i="23"/>
  <c r="AS434" i="23"/>
  <c r="AV433" i="23"/>
  <c r="AV432" i="23"/>
  <c r="AR432" i="23"/>
  <c r="AV431" i="23"/>
  <c r="AU431" i="23"/>
  <c r="AS431" i="23"/>
  <c r="AR431" i="23"/>
  <c r="E431" i="23"/>
  <c r="BK430" i="23"/>
  <c r="AV430" i="23"/>
  <c r="AU430" i="23"/>
  <c r="AT430" i="23"/>
  <c r="AS430" i="23"/>
  <c r="AR430" i="23"/>
  <c r="F430" i="23"/>
  <c r="E430" i="23"/>
  <c r="AV429" i="23"/>
  <c r="AS429" i="23"/>
  <c r="AU428" i="23"/>
  <c r="AS428" i="23"/>
  <c r="AV428" i="23"/>
  <c r="AU427" i="23"/>
  <c r="AS427" i="23"/>
  <c r="AV426" i="23"/>
  <c r="AU426" i="23"/>
  <c r="AT426" i="23"/>
  <c r="AS426" i="23"/>
  <c r="AR426" i="23"/>
  <c r="F426" i="23"/>
  <c r="E426" i="23"/>
  <c r="BK425" i="23"/>
  <c r="AV425" i="23"/>
  <c r="AU425" i="23"/>
  <c r="AT425" i="23"/>
  <c r="AS425" i="23"/>
  <c r="AR425" i="23"/>
  <c r="F425" i="23"/>
  <c r="E425" i="23"/>
  <c r="AS424" i="23"/>
  <c r="AV423" i="23"/>
  <c r="AU423" i="23"/>
  <c r="AT423" i="23"/>
  <c r="AS423" i="23"/>
  <c r="AR423" i="23"/>
  <c r="F423" i="23"/>
  <c r="E423" i="23"/>
  <c r="BK422" i="23"/>
  <c r="AV422" i="23"/>
  <c r="AU422" i="23"/>
  <c r="AT422" i="23"/>
  <c r="AS422" i="23"/>
  <c r="AR422" i="23"/>
  <c r="F422" i="23"/>
  <c r="E422" i="23"/>
  <c r="AU421" i="23"/>
  <c r="AS421" i="23"/>
  <c r="BK420" i="23"/>
  <c r="AU420" i="23"/>
  <c r="AT420" i="23"/>
  <c r="AS420" i="23"/>
  <c r="AR420" i="23"/>
  <c r="AV420" i="23"/>
  <c r="F420" i="23"/>
  <c r="E420" i="23"/>
  <c r="BK419" i="23"/>
  <c r="AV419" i="23"/>
  <c r="AU419" i="23"/>
  <c r="AT419" i="23"/>
  <c r="AS419" i="23"/>
  <c r="AR419" i="23"/>
  <c r="F419" i="23"/>
  <c r="E419" i="23"/>
  <c r="AV418" i="23"/>
  <c r="AU418" i="23"/>
  <c r="AT418" i="23"/>
  <c r="AS418" i="23"/>
  <c r="AR418" i="23"/>
  <c r="F418" i="23"/>
  <c r="E418" i="23"/>
  <c r="BJ417" i="23"/>
  <c r="AV417" i="23"/>
  <c r="AU417" i="23"/>
  <c r="AT417" i="23"/>
  <c r="AS417" i="23"/>
  <c r="AR417" i="23"/>
  <c r="F417" i="23"/>
  <c r="E417" i="23"/>
  <c r="BK416" i="23"/>
  <c r="AV416" i="23"/>
  <c r="AU416" i="23"/>
  <c r="AT416" i="23"/>
  <c r="AS416" i="23"/>
  <c r="AR416" i="23"/>
  <c r="F416" i="23"/>
  <c r="E416" i="23"/>
  <c r="AV415" i="23"/>
  <c r="AU415" i="23"/>
  <c r="AT415" i="23"/>
  <c r="AS415" i="23"/>
  <c r="AR415" i="23"/>
  <c r="F415" i="23"/>
  <c r="E415" i="23"/>
  <c r="AV414" i="23"/>
  <c r="AU414" i="23"/>
  <c r="AT414" i="23"/>
  <c r="AS414" i="23"/>
  <c r="AR414" i="23"/>
  <c r="F414" i="23"/>
  <c r="E414" i="23"/>
  <c r="AS413" i="23"/>
  <c r="BK412" i="23"/>
  <c r="AV412" i="23"/>
  <c r="AU412" i="23"/>
  <c r="AT412" i="23"/>
  <c r="AS412" i="23"/>
  <c r="AR412" i="23"/>
  <c r="F412" i="23"/>
  <c r="E412" i="23"/>
  <c r="BJ411" i="23"/>
  <c r="AV411" i="23"/>
  <c r="AU411" i="23"/>
  <c r="AT411" i="23"/>
  <c r="AS411" i="23"/>
  <c r="AR411" i="23"/>
  <c r="F411" i="23"/>
  <c r="E411" i="23"/>
  <c r="BK410" i="23"/>
  <c r="AU410" i="23"/>
  <c r="AT410" i="23"/>
  <c r="AS410" i="23"/>
  <c r="AR410" i="23"/>
  <c r="F410" i="23"/>
  <c r="E410" i="23"/>
  <c r="AV409" i="23"/>
  <c r="AU409" i="23"/>
  <c r="AS409" i="23"/>
  <c r="AV408" i="23"/>
  <c r="AU408" i="23"/>
  <c r="AS408" i="23"/>
  <c r="BJ407" i="23"/>
  <c r="AV407" i="23"/>
  <c r="AU407" i="23"/>
  <c r="AT407" i="23"/>
  <c r="AS407" i="23"/>
  <c r="AR407" i="23"/>
  <c r="F407" i="23"/>
  <c r="E407" i="23"/>
  <c r="BJ406" i="23"/>
  <c r="AV406" i="23"/>
  <c r="AU406" i="23"/>
  <c r="AT406" i="23"/>
  <c r="AS406" i="23"/>
  <c r="F406" i="23"/>
  <c r="BK405" i="23"/>
  <c r="AV405" i="23"/>
  <c r="AU405" i="23"/>
  <c r="AT405" i="23"/>
  <c r="AS405" i="23"/>
  <c r="AR405" i="23"/>
  <c r="F405" i="23"/>
  <c r="E405" i="23"/>
  <c r="AV404" i="23"/>
  <c r="AU404" i="23"/>
  <c r="AT404" i="23"/>
  <c r="AS404" i="23"/>
  <c r="AR404" i="23"/>
  <c r="F404" i="23"/>
  <c r="E404" i="23"/>
  <c r="AV403" i="23"/>
  <c r="AU403" i="23"/>
  <c r="AT403" i="23"/>
  <c r="AS403" i="23"/>
  <c r="AR403" i="23"/>
  <c r="F403" i="23"/>
  <c r="E403" i="23"/>
  <c r="BK402" i="23"/>
  <c r="AV402" i="23"/>
  <c r="AU402" i="23"/>
  <c r="AT402" i="23"/>
  <c r="AS402" i="23"/>
  <c r="AR402" i="23"/>
  <c r="F402" i="23"/>
  <c r="E402" i="23"/>
  <c r="AU401" i="23"/>
  <c r="AS401" i="23"/>
  <c r="AV401" i="23"/>
  <c r="BJ400" i="23"/>
  <c r="AV400" i="23"/>
  <c r="AU400" i="23"/>
  <c r="AT400" i="23"/>
  <c r="AS400" i="23"/>
  <c r="AR400" i="23"/>
  <c r="F400" i="23"/>
  <c r="E400" i="23"/>
  <c r="AU399" i="23"/>
  <c r="AS399" i="23"/>
  <c r="AV399" i="23"/>
  <c r="AS398" i="23"/>
  <c r="BK397" i="23"/>
  <c r="AV397" i="23"/>
  <c r="AU397" i="23"/>
  <c r="AT397" i="23"/>
  <c r="AS397" i="23"/>
  <c r="AR397" i="23"/>
  <c r="F397" i="23"/>
  <c r="E397" i="23"/>
  <c r="AS396" i="23"/>
  <c r="BK395" i="23"/>
  <c r="AV395" i="23"/>
  <c r="AU395" i="23"/>
  <c r="AT395" i="23"/>
  <c r="AS395" i="23"/>
  <c r="AR395" i="23"/>
  <c r="F395" i="23"/>
  <c r="E395" i="23"/>
  <c r="AU394" i="23"/>
  <c r="AS394" i="23"/>
  <c r="AR394" i="23"/>
  <c r="BJ393" i="23"/>
  <c r="AV393" i="23"/>
  <c r="AU393" i="23"/>
  <c r="AT393" i="23"/>
  <c r="AS393" i="23"/>
  <c r="AR393" i="23"/>
  <c r="F393" i="23"/>
  <c r="E393" i="23"/>
  <c r="AV392" i="23"/>
  <c r="AU392" i="23"/>
  <c r="AS392" i="23"/>
  <c r="AR392" i="23"/>
  <c r="E392" i="23"/>
  <c r="BJ391" i="23"/>
  <c r="AV391" i="23"/>
  <c r="AU391" i="23"/>
  <c r="AT391" i="23"/>
  <c r="AS391" i="23"/>
  <c r="AR391" i="23"/>
  <c r="F391" i="23"/>
  <c r="E391" i="23"/>
  <c r="AV390" i="23"/>
  <c r="AU390" i="23"/>
  <c r="AT390" i="23"/>
  <c r="AS390" i="23"/>
  <c r="AR390" i="23"/>
  <c r="F390" i="23"/>
  <c r="E390" i="23"/>
  <c r="BJ389" i="23"/>
  <c r="AV389" i="23"/>
  <c r="AU389" i="23"/>
  <c r="AT389" i="23"/>
  <c r="AS389" i="23"/>
  <c r="AR389" i="23"/>
  <c r="F389" i="23"/>
  <c r="E389" i="23"/>
  <c r="BK388" i="23"/>
  <c r="AV388" i="23"/>
  <c r="AU388" i="23"/>
  <c r="AT388" i="23"/>
  <c r="AS388" i="23"/>
  <c r="AR388" i="23"/>
  <c r="F388" i="23"/>
  <c r="E388" i="23"/>
  <c r="AV387" i="23"/>
  <c r="AV386" i="23"/>
  <c r="AU386" i="23"/>
  <c r="AT386" i="23"/>
  <c r="AS386" i="23"/>
  <c r="AR386" i="23"/>
  <c r="F386" i="23"/>
  <c r="E386" i="23"/>
  <c r="BK385" i="23"/>
  <c r="AV385" i="23"/>
  <c r="AU385" i="23"/>
  <c r="AT385" i="23"/>
  <c r="AS385" i="23"/>
  <c r="AR385" i="23"/>
  <c r="F385" i="23"/>
  <c r="E385" i="23"/>
  <c r="AV384" i="23"/>
  <c r="AU384" i="23"/>
  <c r="AT384" i="23"/>
  <c r="AS384" i="23"/>
  <c r="AR384" i="23"/>
  <c r="F384" i="23"/>
  <c r="E384" i="23"/>
  <c r="BK383" i="23"/>
  <c r="AV383" i="23"/>
  <c r="AU383" i="23"/>
  <c r="AT383" i="23"/>
  <c r="AS383" i="23"/>
  <c r="AR383" i="23"/>
  <c r="F383" i="23"/>
  <c r="E383" i="23"/>
  <c r="AV382" i="23"/>
  <c r="AV381" i="23"/>
  <c r="AU381" i="23"/>
  <c r="AT381" i="23"/>
  <c r="AS381" i="23"/>
  <c r="AR381" i="23"/>
  <c r="F381" i="23"/>
  <c r="E381" i="23"/>
  <c r="BK380" i="23"/>
  <c r="AV380" i="23"/>
  <c r="AU380" i="23"/>
  <c r="AT380" i="23"/>
  <c r="AS380" i="23"/>
  <c r="AR380" i="23"/>
  <c r="F380" i="23"/>
  <c r="E380" i="23"/>
  <c r="AV379" i="23"/>
  <c r="AR379" i="23"/>
  <c r="BK378" i="23"/>
  <c r="AU378" i="23"/>
  <c r="AT378" i="23"/>
  <c r="AS378" i="23"/>
  <c r="AR378" i="23"/>
  <c r="F378" i="23"/>
  <c r="E378" i="23"/>
  <c r="BK377" i="23"/>
  <c r="AV377" i="23"/>
  <c r="AU377" i="23"/>
  <c r="AT377" i="23"/>
  <c r="AS377" i="23"/>
  <c r="AR377" i="23"/>
  <c r="F377" i="23"/>
  <c r="E377" i="23"/>
  <c r="BJ376" i="23"/>
  <c r="AV376" i="23"/>
  <c r="AU376" i="23"/>
  <c r="AT376" i="23"/>
  <c r="AS376" i="23"/>
  <c r="AR376" i="23"/>
  <c r="F376" i="23"/>
  <c r="E376" i="23"/>
  <c r="AV375" i="23"/>
  <c r="AU375" i="23"/>
  <c r="AT375" i="23"/>
  <c r="AS375" i="23"/>
  <c r="AR375" i="23"/>
  <c r="F375" i="23"/>
  <c r="E375" i="23"/>
  <c r="BK374" i="23"/>
  <c r="AV374" i="23"/>
  <c r="AU374" i="23"/>
  <c r="AT374" i="23"/>
  <c r="AS374" i="23"/>
  <c r="AR374" i="23"/>
  <c r="F374" i="23"/>
  <c r="E374" i="23"/>
  <c r="AV373" i="23"/>
  <c r="AU373" i="23"/>
  <c r="AT373" i="23"/>
  <c r="AS373" i="23"/>
  <c r="AR373" i="23"/>
  <c r="F373" i="23"/>
  <c r="E373" i="23"/>
  <c r="BJ372" i="23"/>
  <c r="AU372" i="23"/>
  <c r="AT372" i="23"/>
  <c r="AS372" i="23"/>
  <c r="AR372" i="23"/>
  <c r="F372" i="23"/>
  <c r="E372" i="23"/>
  <c r="BJ371" i="23"/>
  <c r="AV371" i="23"/>
  <c r="AU371" i="23"/>
  <c r="AT371" i="23"/>
  <c r="AS371" i="23"/>
  <c r="F371" i="23"/>
  <c r="AV370" i="23"/>
  <c r="BJ369" i="23"/>
  <c r="AV369" i="23"/>
  <c r="AU369" i="23"/>
  <c r="AT369" i="23"/>
  <c r="AS369" i="23"/>
  <c r="AR369" i="23"/>
  <c r="F369" i="23"/>
  <c r="E369" i="23"/>
  <c r="BK368" i="23"/>
  <c r="AV368" i="23"/>
  <c r="AU368" i="23"/>
  <c r="AT368" i="23"/>
  <c r="AS368" i="23"/>
  <c r="AR368" i="23"/>
  <c r="F368" i="23"/>
  <c r="E368" i="23"/>
  <c r="AS367" i="23"/>
  <c r="AS366" i="23"/>
  <c r="BJ365" i="23"/>
  <c r="AV365" i="23"/>
  <c r="AU365" i="23"/>
  <c r="AT365" i="23"/>
  <c r="AS365" i="23"/>
  <c r="AR365" i="23"/>
  <c r="F365" i="23"/>
  <c r="E365" i="23"/>
  <c r="BK364" i="23"/>
  <c r="AV364" i="23"/>
  <c r="AU364" i="23"/>
  <c r="AT364" i="23"/>
  <c r="AS364" i="23"/>
  <c r="AR364" i="23"/>
  <c r="F364" i="23"/>
  <c r="E364" i="23"/>
  <c r="BK363" i="23"/>
  <c r="AV363" i="23"/>
  <c r="AU363" i="23"/>
  <c r="AT363" i="23"/>
  <c r="AS363" i="23"/>
  <c r="AR363" i="23"/>
  <c r="F363" i="23"/>
  <c r="E363" i="23"/>
  <c r="AV362" i="23"/>
  <c r="BJ361" i="23"/>
  <c r="AV361" i="23"/>
  <c r="AU361" i="23"/>
  <c r="AT361" i="23"/>
  <c r="AS361" i="23"/>
  <c r="AR361" i="23"/>
  <c r="F361" i="23"/>
  <c r="E361" i="23"/>
  <c r="AV360" i="23"/>
  <c r="AU360" i="23"/>
  <c r="AT360" i="23"/>
  <c r="AS360" i="23"/>
  <c r="AR360" i="23"/>
  <c r="F360" i="23"/>
  <c r="E360" i="23"/>
  <c r="AS359" i="23"/>
  <c r="AS358" i="23"/>
  <c r="BK357" i="23"/>
  <c r="AV357" i="23"/>
  <c r="AU357" i="23"/>
  <c r="AT357" i="23"/>
  <c r="AS357" i="23"/>
  <c r="AR357" i="23"/>
  <c r="F357" i="23"/>
  <c r="E357" i="23"/>
  <c r="AV356" i="23"/>
  <c r="AS356" i="23"/>
  <c r="AS355" i="23"/>
  <c r="BK354" i="23"/>
  <c r="AV354" i="23"/>
  <c r="AU354" i="23"/>
  <c r="AT354" i="23"/>
  <c r="AS354" i="23"/>
  <c r="AR354" i="23"/>
  <c r="F354" i="23"/>
  <c r="E354" i="23"/>
  <c r="AV353" i="23"/>
  <c r="AU353" i="23"/>
  <c r="AT353" i="23"/>
  <c r="AS353" i="23"/>
  <c r="AR353" i="23"/>
  <c r="F353" i="23"/>
  <c r="E353" i="23"/>
  <c r="AV352" i="23"/>
  <c r="AU352" i="23"/>
  <c r="AT352" i="23"/>
  <c r="AS352" i="23"/>
  <c r="AR352" i="23"/>
  <c r="F352" i="23"/>
  <c r="E352" i="23"/>
  <c r="AV351" i="23"/>
  <c r="AU351" i="23"/>
  <c r="AT351" i="23"/>
  <c r="AS351" i="23"/>
  <c r="AR351" i="23"/>
  <c r="F351" i="23"/>
  <c r="E351" i="23"/>
  <c r="AU350" i="23"/>
  <c r="AS350" i="23"/>
  <c r="AR350" i="23"/>
  <c r="AV349" i="23"/>
  <c r="AU349" i="23"/>
  <c r="AT349" i="23"/>
  <c r="AS349" i="23"/>
  <c r="AR349" i="23"/>
  <c r="F349" i="23"/>
  <c r="E349" i="23"/>
  <c r="AS348" i="23"/>
  <c r="AV347" i="23"/>
  <c r="AU347" i="23"/>
  <c r="AT347" i="23"/>
  <c r="AS347" i="23"/>
  <c r="AR347" i="23"/>
  <c r="F347" i="23"/>
  <c r="E347" i="23"/>
  <c r="AS346" i="23"/>
  <c r="AV345" i="23"/>
  <c r="AU344" i="23"/>
  <c r="AS344" i="23"/>
  <c r="AV344" i="23"/>
  <c r="BK343" i="23"/>
  <c r="AV343" i="23"/>
  <c r="AU343" i="23"/>
  <c r="AT343" i="23"/>
  <c r="AS343" i="23"/>
  <c r="AR343" i="23"/>
  <c r="F343" i="23"/>
  <c r="E343" i="23"/>
  <c r="BK342" i="23"/>
  <c r="AV342" i="23"/>
  <c r="AU342" i="23"/>
  <c r="AT342" i="23"/>
  <c r="AS342" i="23"/>
  <c r="AR342" i="23"/>
  <c r="F342" i="23"/>
  <c r="E342" i="23"/>
  <c r="AS341" i="23"/>
  <c r="AS340" i="23"/>
  <c r="AV339" i="23"/>
  <c r="AR339" i="23"/>
  <c r="AS338" i="23"/>
  <c r="AS337" i="23"/>
  <c r="AU336" i="23"/>
  <c r="AT336" i="23"/>
  <c r="AS336" i="23"/>
  <c r="AR336" i="23"/>
  <c r="F336" i="23"/>
  <c r="E336" i="23"/>
  <c r="AU335" i="23"/>
  <c r="AS335" i="23"/>
  <c r="AV335" i="23"/>
  <c r="AV334" i="23"/>
  <c r="AU334" i="23"/>
  <c r="AT334" i="23"/>
  <c r="AS334" i="23"/>
  <c r="AR334" i="23"/>
  <c r="F334" i="23"/>
  <c r="AU333" i="23"/>
  <c r="AS333" i="23"/>
  <c r="AU332" i="23"/>
  <c r="AS332" i="23"/>
  <c r="AV331" i="23"/>
  <c r="AU330" i="23"/>
  <c r="AS330" i="23"/>
  <c r="AV330" i="23"/>
  <c r="AS329" i="23"/>
  <c r="AS328" i="23"/>
  <c r="AS327" i="23"/>
  <c r="AS326" i="23"/>
  <c r="BK325" i="23"/>
  <c r="AV325" i="23"/>
  <c r="AU325" i="23"/>
  <c r="AT325" i="23"/>
  <c r="AS325" i="23"/>
  <c r="AR325" i="23"/>
  <c r="F325" i="23"/>
  <c r="E325" i="23"/>
  <c r="AS324" i="23"/>
  <c r="AS323" i="23"/>
  <c r="AV322" i="23"/>
  <c r="AU322" i="23"/>
  <c r="AT322" i="23"/>
  <c r="AS322" i="23"/>
  <c r="AR322" i="23"/>
  <c r="F322" i="23"/>
  <c r="E322" i="23"/>
  <c r="AS321" i="23"/>
  <c r="BJ320" i="23"/>
  <c r="AV320" i="23"/>
  <c r="AU320" i="23"/>
  <c r="AT320" i="23"/>
  <c r="AS320" i="23"/>
  <c r="AR320" i="23"/>
  <c r="F320" i="23"/>
  <c r="E320" i="23"/>
  <c r="BK319" i="23"/>
  <c r="AV319" i="23"/>
  <c r="AU319" i="23"/>
  <c r="AT319" i="23"/>
  <c r="AS319" i="23"/>
  <c r="AR319" i="23"/>
  <c r="F319" i="23"/>
  <c r="E319" i="23"/>
  <c r="AU318" i="23"/>
  <c r="AS318" i="23"/>
  <c r="AU317" i="23"/>
  <c r="AS317" i="23"/>
  <c r="AV316" i="23"/>
  <c r="AU316" i="23"/>
  <c r="AS316" i="23"/>
  <c r="AU315" i="23"/>
  <c r="AS315" i="23"/>
  <c r="AV315" i="23"/>
  <c r="AU314" i="23"/>
  <c r="AS314" i="23"/>
  <c r="AV314" i="23"/>
  <c r="BJ313" i="23"/>
  <c r="AV313" i="23"/>
  <c r="AU313" i="23"/>
  <c r="AT313" i="23"/>
  <c r="AS313" i="23"/>
  <c r="AR313" i="23"/>
  <c r="F313" i="23"/>
  <c r="E313" i="23"/>
  <c r="BK312" i="23"/>
  <c r="AV312" i="23"/>
  <c r="AU312" i="23"/>
  <c r="AT312" i="23"/>
  <c r="AS312" i="23"/>
  <c r="AR312" i="23"/>
  <c r="F312" i="23"/>
  <c r="E312" i="23"/>
  <c r="AV311" i="23"/>
  <c r="AS310" i="23"/>
  <c r="BK309" i="23"/>
  <c r="AU309" i="23"/>
  <c r="AT309" i="23"/>
  <c r="AS309" i="23"/>
  <c r="AR309" i="23"/>
  <c r="F309" i="23"/>
  <c r="E309" i="23"/>
  <c r="AS308" i="23"/>
  <c r="AU307" i="23"/>
  <c r="AS307" i="23"/>
  <c r="AS306" i="23"/>
  <c r="AV305" i="23"/>
  <c r="AU305" i="23"/>
  <c r="AS305" i="23"/>
  <c r="AR305" i="23"/>
  <c r="E305" i="23"/>
  <c r="BK304" i="23"/>
  <c r="AV304" i="23"/>
  <c r="AU304" i="23"/>
  <c r="AT304" i="23"/>
  <c r="AS304" i="23"/>
  <c r="AR304" i="23"/>
  <c r="F304" i="23"/>
  <c r="E304" i="23"/>
  <c r="AS303" i="23"/>
  <c r="BK302" i="23"/>
  <c r="AV302" i="23"/>
  <c r="AU302" i="23"/>
  <c r="AT302" i="23"/>
  <c r="AS302" i="23"/>
  <c r="AR302" i="23"/>
  <c r="F302" i="23"/>
  <c r="E302" i="23"/>
  <c r="BJ301" i="23"/>
  <c r="AV301" i="23"/>
  <c r="AU301" i="23"/>
  <c r="AT301" i="23"/>
  <c r="AS301" i="23"/>
  <c r="AR301" i="23"/>
  <c r="F301" i="23"/>
  <c r="E301" i="23"/>
  <c r="AS300" i="23"/>
  <c r="BJ299" i="23"/>
  <c r="AV299" i="23"/>
  <c r="AU299" i="23"/>
  <c r="AT299" i="23"/>
  <c r="AS299" i="23"/>
  <c r="AR299" i="23"/>
  <c r="F299" i="23"/>
  <c r="E299" i="23"/>
  <c r="BK298" i="23"/>
  <c r="AV298" i="23"/>
  <c r="AU298" i="23"/>
  <c r="AT298" i="23"/>
  <c r="AS298" i="23"/>
  <c r="AR298" i="23"/>
  <c r="F298" i="23"/>
  <c r="E298" i="23"/>
  <c r="AS297" i="23"/>
  <c r="AV296" i="23"/>
  <c r="AS295" i="23"/>
  <c r="BJ294" i="23"/>
  <c r="AV294" i="23"/>
  <c r="AU294" i="23"/>
  <c r="AT294" i="23"/>
  <c r="AS294" i="23"/>
  <c r="AR294" i="23"/>
  <c r="F294" i="23"/>
  <c r="E294" i="23"/>
  <c r="AV293" i="23"/>
  <c r="AU293" i="23"/>
  <c r="AT293" i="23"/>
  <c r="AS293" i="23"/>
  <c r="AR293" i="23"/>
  <c r="AS292" i="23"/>
  <c r="AV291" i="23"/>
  <c r="AS291" i="23"/>
  <c r="AV290" i="23"/>
  <c r="AU290" i="23"/>
  <c r="AT290" i="23"/>
  <c r="AS290" i="23"/>
  <c r="AR290" i="23"/>
  <c r="F290" i="23"/>
  <c r="E290" i="23"/>
  <c r="BJ289" i="23"/>
  <c r="AU289" i="23"/>
  <c r="AT289" i="23"/>
  <c r="AS289" i="23"/>
  <c r="AR289" i="23"/>
  <c r="F289" i="23"/>
  <c r="E289" i="23"/>
  <c r="AV288" i="23"/>
  <c r="AU288" i="23"/>
  <c r="AT288" i="23"/>
  <c r="AS288" i="23"/>
  <c r="AR288" i="23"/>
  <c r="F288" i="23"/>
  <c r="E288" i="23"/>
  <c r="AS287" i="23"/>
  <c r="AS286" i="23"/>
  <c r="AV285" i="23"/>
  <c r="AU285" i="23"/>
  <c r="AT285" i="23"/>
  <c r="AS285" i="23"/>
  <c r="AR285" i="23"/>
  <c r="F285" i="23"/>
  <c r="E285" i="23"/>
  <c r="BK284" i="23"/>
  <c r="AV284" i="23"/>
  <c r="AU284" i="23"/>
  <c r="AT284" i="23"/>
  <c r="AS284" i="23"/>
  <c r="AR284" i="23"/>
  <c r="F284" i="23"/>
  <c r="E284" i="23"/>
  <c r="AV283" i="23"/>
  <c r="AU283" i="23"/>
  <c r="AT283" i="23"/>
  <c r="AS283" i="23"/>
  <c r="AR283" i="23"/>
  <c r="F283" i="23"/>
  <c r="E283" i="23"/>
  <c r="AS282" i="23"/>
  <c r="AU281" i="23"/>
  <c r="AS281" i="23"/>
  <c r="AV280" i="23"/>
  <c r="AS280" i="23"/>
  <c r="BK279" i="23"/>
  <c r="AV279" i="23"/>
  <c r="AU279" i="23"/>
  <c r="AT279" i="23"/>
  <c r="AS279" i="23"/>
  <c r="AR279" i="23"/>
  <c r="F279" i="23"/>
  <c r="E279" i="23"/>
  <c r="AV278" i="23"/>
  <c r="AU278" i="23"/>
  <c r="AT278" i="23"/>
  <c r="AS278" i="23"/>
  <c r="AR278" i="23"/>
  <c r="F278" i="23"/>
  <c r="E278" i="23"/>
  <c r="AV277" i="23"/>
  <c r="AU277" i="23"/>
  <c r="AT277" i="23"/>
  <c r="AS277" i="23"/>
  <c r="AR277" i="23"/>
  <c r="F277" i="23"/>
  <c r="E277" i="23"/>
  <c r="AV276" i="23"/>
  <c r="AU276" i="23"/>
  <c r="AT276" i="23"/>
  <c r="AS276" i="23"/>
  <c r="AR276" i="23"/>
  <c r="F276" i="23"/>
  <c r="E276" i="23"/>
  <c r="BK275" i="23"/>
  <c r="AV275" i="23"/>
  <c r="AU275" i="23"/>
  <c r="AT275" i="23"/>
  <c r="AS275" i="23"/>
  <c r="AR275" i="23"/>
  <c r="F275" i="23"/>
  <c r="E275" i="23"/>
  <c r="BJ274" i="23"/>
  <c r="AV274" i="23"/>
  <c r="AU274" i="23"/>
  <c r="AT274" i="23"/>
  <c r="AS274" i="23"/>
  <c r="AR274" i="23"/>
  <c r="F274" i="23"/>
  <c r="E274" i="23"/>
  <c r="BK273" i="23"/>
  <c r="AV273" i="23"/>
  <c r="AU273" i="23"/>
  <c r="AT273" i="23"/>
  <c r="AS273" i="23"/>
  <c r="AR273" i="23"/>
  <c r="F273" i="23"/>
  <c r="E273" i="23"/>
  <c r="AV272" i="23"/>
  <c r="AU272" i="23"/>
  <c r="AS272" i="23"/>
  <c r="AR272" i="23"/>
  <c r="F272" i="23"/>
  <c r="E272" i="23"/>
  <c r="AV271" i="23"/>
  <c r="AU271" i="23"/>
  <c r="AT271" i="23"/>
  <c r="AS271" i="23"/>
  <c r="AR271" i="23"/>
  <c r="E271" i="23"/>
  <c r="BK270" i="23"/>
  <c r="AV270" i="23"/>
  <c r="AU270" i="23"/>
  <c r="AT270" i="23"/>
  <c r="AS270" i="23"/>
  <c r="AR270" i="23"/>
  <c r="F270" i="23"/>
  <c r="E270" i="23"/>
  <c r="AV269" i="23"/>
  <c r="AU269" i="23"/>
  <c r="AT269" i="23"/>
  <c r="AS269" i="23"/>
  <c r="AR269" i="23"/>
  <c r="F269" i="23"/>
  <c r="E269" i="23"/>
  <c r="BK268" i="23"/>
  <c r="AV268" i="23"/>
  <c r="AU268" i="23"/>
  <c r="AT268" i="23"/>
  <c r="AS268" i="23"/>
  <c r="AR268" i="23"/>
  <c r="F268" i="23"/>
  <c r="E268" i="23"/>
  <c r="BJ267" i="23"/>
  <c r="AV267" i="23"/>
  <c r="AU267" i="23"/>
  <c r="AT267" i="23"/>
  <c r="AS267" i="23"/>
  <c r="AR267" i="23"/>
  <c r="F267" i="23"/>
  <c r="E267" i="23"/>
  <c r="AV266" i="23"/>
  <c r="AV265" i="23"/>
  <c r="AU265" i="23"/>
  <c r="AT265" i="23"/>
  <c r="AS265" i="23"/>
  <c r="AR265" i="23"/>
  <c r="F265" i="23"/>
  <c r="E265" i="23"/>
  <c r="BJ264" i="23"/>
  <c r="AV264" i="23"/>
  <c r="AU264" i="23"/>
  <c r="AT264" i="23"/>
  <c r="AS264" i="23"/>
  <c r="AR264" i="23"/>
  <c r="F264" i="23"/>
  <c r="E264" i="23"/>
  <c r="BK263" i="23"/>
  <c r="AV263" i="23"/>
  <c r="AU263" i="23"/>
  <c r="AT263" i="23"/>
  <c r="AS263" i="23"/>
  <c r="AR263" i="23"/>
  <c r="F263" i="23"/>
  <c r="E263" i="23"/>
  <c r="BK262" i="23"/>
  <c r="AV262" i="23"/>
  <c r="AU262" i="23"/>
  <c r="AT262" i="23"/>
  <c r="AS262" i="23"/>
  <c r="AR262" i="23"/>
  <c r="F262" i="23"/>
  <c r="E262" i="23"/>
  <c r="BK261" i="23"/>
  <c r="AV261" i="23"/>
  <c r="AU261" i="23"/>
  <c r="AT261" i="23"/>
  <c r="AS261" i="23"/>
  <c r="AR261" i="23"/>
  <c r="F261" i="23"/>
  <c r="E261" i="23"/>
  <c r="BJ260" i="23"/>
  <c r="AV260" i="23"/>
  <c r="AU260" i="23"/>
  <c r="AT260" i="23"/>
  <c r="AS260" i="23"/>
  <c r="AR260" i="23"/>
  <c r="F260" i="23"/>
  <c r="E260" i="23"/>
  <c r="BK259" i="23"/>
  <c r="AV259" i="23"/>
  <c r="AU259" i="23"/>
  <c r="AT259" i="23"/>
  <c r="AS259" i="23"/>
  <c r="AR259" i="23"/>
  <c r="F259" i="23"/>
  <c r="E259" i="23"/>
  <c r="AV258" i="23"/>
  <c r="AS258" i="23"/>
  <c r="BK257" i="23"/>
  <c r="AV257" i="23"/>
  <c r="AU257" i="23"/>
  <c r="AT257" i="23"/>
  <c r="AS257" i="23"/>
  <c r="AR257" i="23"/>
  <c r="F257" i="23"/>
  <c r="E257" i="23"/>
  <c r="BK256" i="23"/>
  <c r="AV256" i="23"/>
  <c r="AU256" i="23"/>
  <c r="AT256" i="23"/>
  <c r="AS256" i="23"/>
  <c r="AR256" i="23"/>
  <c r="F256" i="23"/>
  <c r="E256" i="23"/>
  <c r="AS255" i="23"/>
  <c r="BK254" i="23"/>
  <c r="AV254" i="23"/>
  <c r="AU254" i="23"/>
  <c r="AT254" i="23"/>
  <c r="AS254" i="23"/>
  <c r="AR254" i="23"/>
  <c r="F254" i="23"/>
  <c r="E254" i="23"/>
  <c r="BK253" i="23"/>
  <c r="AV253" i="23"/>
  <c r="AU253" i="23"/>
  <c r="AT253" i="23"/>
  <c r="AS253" i="23"/>
  <c r="AR253" i="23"/>
  <c r="F253" i="23"/>
  <c r="E253" i="23"/>
  <c r="AV252" i="23"/>
  <c r="AU252" i="23"/>
  <c r="AT252" i="23"/>
  <c r="AS252" i="23"/>
  <c r="AR252" i="23"/>
  <c r="F252" i="23"/>
  <c r="E252" i="23"/>
  <c r="AS251" i="23"/>
  <c r="AS250" i="23"/>
  <c r="AS249" i="23"/>
  <c r="AS248" i="23"/>
  <c r="AV247" i="23"/>
  <c r="AU247" i="23"/>
  <c r="AT247" i="23"/>
  <c r="AS247" i="23"/>
  <c r="AR247" i="23"/>
  <c r="F247" i="23"/>
  <c r="E247" i="23"/>
  <c r="BK245" i="23"/>
  <c r="AU245" i="23"/>
  <c r="AT245" i="23"/>
  <c r="AS245" i="23"/>
  <c r="AR245" i="23"/>
  <c r="F245" i="23"/>
  <c r="E245" i="23"/>
  <c r="AS244" i="23"/>
  <c r="BJ243" i="23"/>
  <c r="AV243" i="23"/>
  <c r="AU243" i="23"/>
  <c r="AT243" i="23"/>
  <c r="AS243" i="23"/>
  <c r="AR243" i="23"/>
  <c r="F243" i="23"/>
  <c r="E243" i="23"/>
  <c r="BJ242" i="23"/>
  <c r="AV242" i="23"/>
  <c r="AU242" i="23"/>
  <c r="AT242" i="23"/>
  <c r="AS242" i="23"/>
  <c r="AR242" i="23"/>
  <c r="F242" i="23"/>
  <c r="E242" i="23"/>
  <c r="AS241" i="23"/>
  <c r="BJ240" i="23"/>
  <c r="AV240" i="23"/>
  <c r="AU240" i="23"/>
  <c r="AT240" i="23"/>
  <c r="AS240" i="23"/>
  <c r="AR240" i="23"/>
  <c r="F240" i="23"/>
  <c r="E240" i="23"/>
  <c r="AU239" i="23"/>
  <c r="AT239" i="23"/>
  <c r="AS239" i="23"/>
  <c r="AR239" i="23"/>
  <c r="F239" i="23"/>
  <c r="E239" i="23"/>
  <c r="BJ238" i="23"/>
  <c r="AV238" i="23"/>
  <c r="AU238" i="23"/>
  <c r="AT238" i="23"/>
  <c r="AS238" i="23"/>
  <c r="AR238" i="23"/>
  <c r="F238" i="23"/>
  <c r="E238" i="23"/>
  <c r="BJ237" i="23"/>
  <c r="AV237" i="23"/>
  <c r="AU237" i="23"/>
  <c r="AT237" i="23"/>
  <c r="AS237" i="23"/>
  <c r="AR237" i="23"/>
  <c r="F237" i="23"/>
  <c r="E237" i="23"/>
  <c r="BJ236" i="23"/>
  <c r="AV236" i="23"/>
  <c r="AU236" i="23"/>
  <c r="AT236" i="23"/>
  <c r="AS236" i="23"/>
  <c r="AR236" i="23"/>
  <c r="F236" i="23"/>
  <c r="E236" i="23"/>
  <c r="AV235" i="23"/>
  <c r="AU235" i="23"/>
  <c r="AT235" i="23"/>
  <c r="AS235" i="23"/>
  <c r="AR235" i="23"/>
  <c r="F235" i="23"/>
  <c r="E235" i="23"/>
  <c r="AV234" i="23"/>
  <c r="AU234" i="23"/>
  <c r="AT234" i="23"/>
  <c r="AS234" i="23"/>
  <c r="AR234" i="23"/>
  <c r="F234" i="23"/>
  <c r="E234" i="23"/>
  <c r="AS233" i="23"/>
  <c r="AS232" i="23"/>
  <c r="BK231" i="23"/>
  <c r="AV231" i="23"/>
  <c r="AU231" i="23"/>
  <c r="AT231" i="23"/>
  <c r="AS231" i="23"/>
  <c r="AR231" i="23"/>
  <c r="F231" i="23"/>
  <c r="E231" i="23"/>
  <c r="AV230" i="23"/>
  <c r="AU230" i="23"/>
  <c r="AT230" i="23"/>
  <c r="AS230" i="23"/>
  <c r="AR230" i="23"/>
  <c r="F230" i="23"/>
  <c r="E230" i="23"/>
  <c r="AV229" i="23"/>
  <c r="AU229" i="23"/>
  <c r="AT229" i="23"/>
  <c r="AS229" i="23"/>
  <c r="AR229" i="23"/>
  <c r="F229" i="23"/>
  <c r="E229" i="23"/>
  <c r="AS228" i="23"/>
  <c r="BK227" i="23"/>
  <c r="AV227" i="23"/>
  <c r="AU227" i="23"/>
  <c r="AT227" i="23"/>
  <c r="AS227" i="23"/>
  <c r="AR227" i="23"/>
  <c r="F227" i="23"/>
  <c r="E227" i="23"/>
  <c r="AV226" i="23"/>
  <c r="AU226" i="23"/>
  <c r="AT226" i="23"/>
  <c r="AS226" i="23"/>
  <c r="AR226" i="23"/>
  <c r="F226" i="23"/>
  <c r="E226" i="23"/>
  <c r="BK225" i="23"/>
  <c r="AV225" i="23"/>
  <c r="AU225" i="23"/>
  <c r="AT225" i="23"/>
  <c r="AS225" i="23"/>
  <c r="AR225" i="23"/>
  <c r="F225" i="23"/>
  <c r="E225" i="23"/>
  <c r="AV224" i="23"/>
  <c r="AV223" i="23"/>
  <c r="AU223" i="23"/>
  <c r="AT223" i="23"/>
  <c r="AS223" i="23"/>
  <c r="AR223" i="23"/>
  <c r="F223" i="23"/>
  <c r="E223" i="23"/>
  <c r="BK222" i="23"/>
  <c r="AV222" i="23"/>
  <c r="AU222" i="23"/>
  <c r="AT222" i="23"/>
  <c r="AS222" i="23"/>
  <c r="AR222" i="23"/>
  <c r="F222" i="23"/>
  <c r="E222" i="23"/>
  <c r="AS221" i="23"/>
  <c r="AU220" i="23"/>
  <c r="AT220" i="23"/>
  <c r="AS220" i="23"/>
  <c r="AR220" i="23"/>
  <c r="F220" i="23"/>
  <c r="E220" i="23"/>
  <c r="AU219" i="23"/>
  <c r="AS219" i="23"/>
  <c r="AV219" i="23"/>
  <c r="AS218" i="23"/>
  <c r="AS217" i="23"/>
  <c r="AV216" i="23"/>
  <c r="AU216" i="23"/>
  <c r="AT216" i="23"/>
  <c r="AS216" i="23"/>
  <c r="AR216" i="23"/>
  <c r="F216" i="23"/>
  <c r="E216" i="23"/>
  <c r="AS215" i="23"/>
  <c r="AS214" i="23"/>
  <c r="AS213" i="23"/>
  <c r="AV212" i="23"/>
  <c r="AU212" i="23"/>
  <c r="AT212" i="23"/>
  <c r="AS212" i="23"/>
  <c r="AR212" i="23"/>
  <c r="F212" i="23"/>
  <c r="E212" i="23"/>
  <c r="AV211" i="23"/>
  <c r="AU211" i="23"/>
  <c r="AT211" i="23"/>
  <c r="AS211" i="23"/>
  <c r="AR211" i="23"/>
  <c r="F211" i="23"/>
  <c r="E211" i="23"/>
  <c r="AU210" i="23"/>
  <c r="AS210" i="23"/>
  <c r="AV209" i="23"/>
  <c r="AU209" i="23"/>
  <c r="AT209" i="23"/>
  <c r="AS209" i="23"/>
  <c r="AR209" i="23"/>
  <c r="F209" i="23"/>
  <c r="E209" i="23"/>
  <c r="AS208" i="23"/>
  <c r="BK207" i="23"/>
  <c r="AV207" i="23"/>
  <c r="AU207" i="23"/>
  <c r="AT207" i="23"/>
  <c r="AS207" i="23"/>
  <c r="AR207" i="23"/>
  <c r="F207" i="23"/>
  <c r="E207" i="23"/>
  <c r="BK206" i="23"/>
  <c r="AV206" i="23"/>
  <c r="AU206" i="23"/>
  <c r="AT206" i="23"/>
  <c r="AS206" i="23"/>
  <c r="E206" i="23"/>
  <c r="F206" i="23"/>
  <c r="AV205" i="23"/>
  <c r="AU205" i="23"/>
  <c r="AT205" i="23"/>
  <c r="AS205" i="23"/>
  <c r="AR205" i="23"/>
  <c r="F205" i="23"/>
  <c r="E205" i="23"/>
  <c r="AU204" i="23"/>
  <c r="AS204" i="23"/>
  <c r="AV204" i="23"/>
  <c r="AS203" i="23"/>
  <c r="AV202" i="23"/>
  <c r="AU202" i="23"/>
  <c r="AT202" i="23"/>
  <c r="AS202" i="23"/>
  <c r="AR202" i="23"/>
  <c r="F202" i="23"/>
  <c r="E202" i="23"/>
  <c r="AS201" i="23"/>
  <c r="AS200" i="23"/>
  <c r="AS199" i="23"/>
  <c r="BK198" i="23"/>
  <c r="AV198" i="23"/>
  <c r="AU198" i="23"/>
  <c r="AT198" i="23"/>
  <c r="AS198" i="23"/>
  <c r="AR198" i="23"/>
  <c r="F198" i="23"/>
  <c r="E198" i="23"/>
  <c r="AS197" i="23"/>
  <c r="AS196" i="23"/>
  <c r="AV195" i="23"/>
  <c r="AU195" i="23"/>
  <c r="AT195" i="23"/>
  <c r="AS195" i="23"/>
  <c r="AR195" i="23"/>
  <c r="F195" i="23"/>
  <c r="E195" i="23"/>
  <c r="BK194" i="23"/>
  <c r="AV194" i="23"/>
  <c r="AU194" i="23"/>
  <c r="AT194" i="23"/>
  <c r="AS194" i="23"/>
  <c r="AR194" i="23"/>
  <c r="F194" i="23"/>
  <c r="E194" i="23"/>
  <c r="AV193" i="23"/>
  <c r="AU193" i="23"/>
  <c r="AT193" i="23"/>
  <c r="AS193" i="23"/>
  <c r="AR193" i="23"/>
  <c r="F193" i="23"/>
  <c r="E193" i="23"/>
  <c r="BK192" i="23"/>
  <c r="AV192" i="23"/>
  <c r="AU192" i="23"/>
  <c r="AT192" i="23"/>
  <c r="AS192" i="23"/>
  <c r="AR192" i="23"/>
  <c r="F192" i="23"/>
  <c r="E192" i="23"/>
  <c r="BK191" i="23"/>
  <c r="AV191" i="23"/>
  <c r="AU191" i="23"/>
  <c r="AT191" i="23"/>
  <c r="AS191" i="23"/>
  <c r="AR191" i="23"/>
  <c r="F191" i="23"/>
  <c r="E191" i="23"/>
  <c r="AU190" i="23"/>
  <c r="AS190" i="23"/>
  <c r="AV190" i="23"/>
  <c r="AU189" i="23"/>
  <c r="AS189" i="23"/>
  <c r="AV189" i="23"/>
  <c r="BK188" i="23"/>
  <c r="AV188" i="23"/>
  <c r="AU188" i="23"/>
  <c r="AT188" i="23"/>
  <c r="AS188" i="23"/>
  <c r="AR188" i="23"/>
  <c r="F188" i="23"/>
  <c r="E188" i="23"/>
  <c r="BJ187" i="23"/>
  <c r="AV187" i="23"/>
  <c r="AU187" i="23"/>
  <c r="AT187" i="23"/>
  <c r="AS187" i="23"/>
  <c r="AR187" i="23"/>
  <c r="F187" i="23"/>
  <c r="E187" i="23"/>
  <c r="AS186" i="23"/>
  <c r="BJ185" i="23"/>
  <c r="AV185" i="23"/>
  <c r="AU185" i="23"/>
  <c r="AT185" i="23"/>
  <c r="AS185" i="23"/>
  <c r="AR185" i="23"/>
  <c r="F185" i="23"/>
  <c r="E185" i="23"/>
  <c r="AV184" i="23"/>
  <c r="AU184" i="23"/>
  <c r="AT184" i="23"/>
  <c r="AS184" i="23"/>
  <c r="AR184" i="23"/>
  <c r="F184" i="23"/>
  <c r="E184" i="23"/>
  <c r="AV183" i="23"/>
  <c r="AS183" i="23"/>
  <c r="BK182" i="23"/>
  <c r="AU182" i="23"/>
  <c r="AT182" i="23"/>
  <c r="AS182" i="23"/>
  <c r="AR182" i="23"/>
  <c r="F182" i="23"/>
  <c r="E182" i="23"/>
  <c r="AS181" i="23"/>
  <c r="AU180" i="23"/>
  <c r="AS180" i="23"/>
  <c r="AS179" i="23"/>
  <c r="BK178" i="23"/>
  <c r="AV178" i="23"/>
  <c r="AU178" i="23"/>
  <c r="AT178" i="23"/>
  <c r="AS178" i="23"/>
  <c r="AR178" i="23"/>
  <c r="F178" i="23"/>
  <c r="E178" i="23"/>
  <c r="AU177" i="23"/>
  <c r="AS177" i="23"/>
  <c r="BJ176" i="23"/>
  <c r="AV176" i="23"/>
  <c r="AU176" i="23"/>
  <c r="AT176" i="23"/>
  <c r="AS176" i="23"/>
  <c r="AR176" i="23"/>
  <c r="F176" i="23"/>
  <c r="E176" i="23"/>
  <c r="AU175" i="23"/>
  <c r="AS175" i="23"/>
  <c r="AV175" i="23"/>
  <c r="AR175" i="23"/>
  <c r="BK174" i="23"/>
  <c r="AV174" i="23"/>
  <c r="AU174" i="23"/>
  <c r="AT174" i="23"/>
  <c r="AS174" i="23"/>
  <c r="AR174" i="23"/>
  <c r="F174" i="23"/>
  <c r="E174" i="23"/>
  <c r="AV173" i="23"/>
  <c r="AU173" i="23"/>
  <c r="AT173" i="23"/>
  <c r="AS173" i="23"/>
  <c r="AR173" i="23"/>
  <c r="F173" i="23"/>
  <c r="E173" i="23"/>
  <c r="AV172" i="23"/>
  <c r="AU172" i="23"/>
  <c r="AS172" i="23"/>
  <c r="AS171" i="23"/>
  <c r="AV170" i="23"/>
  <c r="BK169" i="23"/>
  <c r="AV169" i="23"/>
  <c r="AU169" i="23"/>
  <c r="AT169" i="23"/>
  <c r="AS169" i="23"/>
  <c r="AR169" i="23"/>
  <c r="F169" i="23"/>
  <c r="E169" i="23"/>
  <c r="AV168" i="23"/>
  <c r="AU168" i="23"/>
  <c r="AT168" i="23"/>
  <c r="AS168" i="23"/>
  <c r="AR168" i="23"/>
  <c r="F168" i="23"/>
  <c r="E168" i="23"/>
  <c r="BK167" i="23"/>
  <c r="AV167" i="23"/>
  <c r="AU167" i="23"/>
  <c r="AT167" i="23"/>
  <c r="AS167" i="23"/>
  <c r="AR167" i="23"/>
  <c r="F167" i="23"/>
  <c r="E167" i="23"/>
  <c r="AU166" i="23"/>
  <c r="AS166" i="23"/>
  <c r="AR166" i="23"/>
  <c r="BJ165" i="23"/>
  <c r="AV165" i="23"/>
  <c r="AU165" i="23"/>
  <c r="AT165" i="23"/>
  <c r="AS165" i="23"/>
  <c r="AR165" i="23"/>
  <c r="F165" i="23"/>
  <c r="E165" i="23"/>
  <c r="AV164" i="23"/>
  <c r="AU164" i="23"/>
  <c r="AT164" i="23"/>
  <c r="AS164" i="23"/>
  <c r="AR164" i="23"/>
  <c r="F164" i="23"/>
  <c r="E164" i="23"/>
  <c r="BK163" i="23"/>
  <c r="AV163" i="23"/>
  <c r="AU163" i="23"/>
  <c r="AT163" i="23"/>
  <c r="AS163" i="23"/>
  <c r="AR163" i="23"/>
  <c r="F163" i="23"/>
  <c r="E163" i="23"/>
  <c r="AV162" i="23"/>
  <c r="AU162" i="23"/>
  <c r="AT162" i="23"/>
  <c r="AS162" i="23"/>
  <c r="AR162" i="23"/>
  <c r="F162" i="23"/>
  <c r="E162" i="23"/>
  <c r="AV161" i="23"/>
  <c r="AU161" i="23"/>
  <c r="AT161" i="23"/>
  <c r="AS161" i="23"/>
  <c r="AR161" i="23"/>
  <c r="F161" i="23"/>
  <c r="E161" i="23"/>
  <c r="AU160" i="23"/>
  <c r="AS160" i="23"/>
  <c r="AV160" i="23"/>
  <c r="AU159" i="23"/>
  <c r="AS159" i="23"/>
  <c r="AV159" i="23"/>
  <c r="AU158" i="23"/>
  <c r="AS158" i="23"/>
  <c r="AV158" i="23"/>
  <c r="AU157" i="23"/>
  <c r="AS157" i="23"/>
  <c r="AV157" i="23"/>
  <c r="AU156" i="23"/>
  <c r="AS156" i="23"/>
  <c r="AV156" i="23"/>
  <c r="AS155" i="23"/>
  <c r="AS154" i="23"/>
  <c r="AS153" i="23"/>
  <c r="AS152" i="23"/>
  <c r="AS151" i="23"/>
  <c r="AS150" i="23"/>
  <c r="AS149" i="23"/>
  <c r="AU148" i="23"/>
  <c r="AS148" i="23"/>
  <c r="AV148" i="23"/>
  <c r="AU147" i="23"/>
  <c r="AS147" i="23"/>
  <c r="AV147" i="23"/>
  <c r="AU146" i="23"/>
  <c r="AS146" i="23"/>
  <c r="AV146" i="23"/>
  <c r="AU145" i="23"/>
  <c r="AS145" i="23"/>
  <c r="AV145" i="23"/>
  <c r="AS144" i="23"/>
  <c r="BJ143" i="23"/>
  <c r="AV143" i="23"/>
  <c r="AU143" i="23"/>
  <c r="AT143" i="23"/>
  <c r="AS143" i="23"/>
  <c r="AR143" i="23"/>
  <c r="F143" i="23"/>
  <c r="E143" i="23"/>
  <c r="AS142" i="23"/>
  <c r="AS141" i="23"/>
  <c r="AS140" i="23"/>
  <c r="AU139" i="23"/>
  <c r="AS139" i="23"/>
  <c r="BJ138" i="23"/>
  <c r="AV138" i="23"/>
  <c r="AU138" i="23"/>
  <c r="AT138" i="23"/>
  <c r="AS138" i="23"/>
  <c r="AR138" i="23"/>
  <c r="F138" i="23"/>
  <c r="E138" i="23"/>
  <c r="BK137" i="23"/>
  <c r="AV137" i="23"/>
  <c r="AU137" i="23"/>
  <c r="AT137" i="23"/>
  <c r="AS137" i="23"/>
  <c r="AR137" i="23"/>
  <c r="F137" i="23"/>
  <c r="E137" i="23"/>
  <c r="AS136" i="23"/>
  <c r="AV135" i="23"/>
  <c r="AU135" i="23"/>
  <c r="AT135" i="23"/>
  <c r="AS135" i="23"/>
  <c r="AR135" i="23"/>
  <c r="F135" i="23"/>
  <c r="E135" i="23"/>
  <c r="BJ134" i="23"/>
  <c r="AV134" i="23"/>
  <c r="AU134" i="23"/>
  <c r="AT134" i="23"/>
  <c r="AS134" i="23"/>
  <c r="AR134" i="23"/>
  <c r="F134" i="23"/>
  <c r="E134" i="23"/>
  <c r="BK133" i="23"/>
  <c r="AV133" i="23"/>
  <c r="AU133" i="23"/>
  <c r="AT133" i="23"/>
  <c r="AS133" i="23"/>
  <c r="AR133" i="23"/>
  <c r="F133" i="23"/>
  <c r="E133" i="23"/>
  <c r="BK132" i="23"/>
  <c r="AV132" i="23"/>
  <c r="AU132" i="23"/>
  <c r="AT132" i="23"/>
  <c r="AS132" i="23"/>
  <c r="AR132" i="23"/>
  <c r="F132" i="23"/>
  <c r="E132" i="23"/>
  <c r="AS131" i="23"/>
  <c r="AV130" i="23"/>
  <c r="AV129" i="23"/>
  <c r="AS129" i="23"/>
  <c r="BJ128" i="23"/>
  <c r="AV128" i="23"/>
  <c r="AU128" i="23"/>
  <c r="AT128" i="23"/>
  <c r="AS128" i="23"/>
  <c r="AR128" i="23"/>
  <c r="F128" i="23"/>
  <c r="E128" i="23"/>
  <c r="AS127" i="23"/>
  <c r="BK126" i="23"/>
  <c r="AV126" i="23"/>
  <c r="AU126" i="23"/>
  <c r="AT126" i="23"/>
  <c r="AS126" i="23"/>
  <c r="AR126" i="23"/>
  <c r="F126" i="23"/>
  <c r="E126" i="23"/>
  <c r="AV125" i="23"/>
  <c r="AU125" i="23"/>
  <c r="AS125" i="23"/>
  <c r="AR125" i="23"/>
  <c r="E125" i="23"/>
  <c r="AU124" i="23"/>
  <c r="AS124" i="23"/>
  <c r="AV124" i="23"/>
  <c r="AU123" i="23"/>
  <c r="AS123" i="23"/>
  <c r="AS122" i="23"/>
  <c r="AU121" i="23"/>
  <c r="AS121" i="23"/>
  <c r="AR121" i="23"/>
  <c r="AU120" i="23"/>
  <c r="AS120" i="23"/>
  <c r="AV119" i="23"/>
  <c r="AU119" i="23"/>
  <c r="AT119" i="23"/>
  <c r="AS119" i="23"/>
  <c r="AR119" i="23"/>
  <c r="F119" i="23"/>
  <c r="E119" i="23"/>
  <c r="BJ118" i="23"/>
  <c r="AV118" i="23"/>
  <c r="AU118" i="23"/>
  <c r="AT118" i="23"/>
  <c r="AS118" i="23"/>
  <c r="AR118" i="23"/>
  <c r="F118" i="23"/>
  <c r="E118" i="23"/>
  <c r="AU117" i="23"/>
  <c r="AS117" i="23"/>
  <c r="AV117" i="23"/>
  <c r="AR117" i="23"/>
  <c r="E117" i="23"/>
  <c r="AV116" i="23"/>
  <c r="AU116" i="23"/>
  <c r="AT116" i="23"/>
  <c r="AS116" i="23"/>
  <c r="AR116" i="23"/>
  <c r="F116" i="23"/>
  <c r="E116" i="23"/>
  <c r="BJ115" i="23"/>
  <c r="AV115" i="23"/>
  <c r="AU115" i="23"/>
  <c r="AT115" i="23"/>
  <c r="AS115" i="23"/>
  <c r="AR115" i="23"/>
  <c r="F115" i="23"/>
  <c r="E115" i="23"/>
  <c r="AV114" i="23"/>
  <c r="AU114" i="23"/>
  <c r="AT114" i="23"/>
  <c r="AS114" i="23"/>
  <c r="AR114" i="23"/>
  <c r="F114" i="23"/>
  <c r="E114" i="23"/>
  <c r="BK113" i="23"/>
  <c r="AV113" i="23"/>
  <c r="AU113" i="23"/>
  <c r="AT113" i="23"/>
  <c r="AS113" i="23"/>
  <c r="AR113" i="23"/>
  <c r="F113" i="23"/>
  <c r="E113" i="23"/>
  <c r="AS112" i="23"/>
  <c r="AS111" i="23"/>
  <c r="AS110" i="23"/>
  <c r="BJ109" i="23"/>
  <c r="AV109" i="23"/>
  <c r="AU109" i="23"/>
  <c r="AT109" i="23"/>
  <c r="AS109" i="23"/>
  <c r="AR109" i="23"/>
  <c r="F109" i="23"/>
  <c r="E109" i="23"/>
  <c r="AS108" i="23"/>
  <c r="AS107" i="23"/>
  <c r="BJ106" i="23"/>
  <c r="AV106" i="23"/>
  <c r="AU106" i="23"/>
  <c r="AT106" i="23"/>
  <c r="AS106" i="23"/>
  <c r="AR106" i="23"/>
  <c r="F106" i="23"/>
  <c r="AU105" i="23"/>
  <c r="AS105" i="23"/>
  <c r="AU104" i="23"/>
  <c r="AS104" i="23"/>
  <c r="AV104" i="23"/>
  <c r="AR104" i="23"/>
  <c r="BK103" i="23"/>
  <c r="AV103" i="23"/>
  <c r="AU103" i="23"/>
  <c r="AT103" i="23"/>
  <c r="AS103" i="23"/>
  <c r="AR103" i="23"/>
  <c r="F103" i="23"/>
  <c r="E103" i="23"/>
  <c r="BJ102" i="23"/>
  <c r="AV102" i="23"/>
  <c r="AU102" i="23"/>
  <c r="AT102" i="23"/>
  <c r="AS102" i="23"/>
  <c r="AR102" i="23"/>
  <c r="F102" i="23"/>
  <c r="E102" i="23"/>
  <c r="BK101" i="23"/>
  <c r="AV101" i="23"/>
  <c r="AU101" i="23"/>
  <c r="AT101" i="23"/>
  <c r="AS101" i="23"/>
  <c r="AR101" i="23"/>
  <c r="F101" i="23"/>
  <c r="E101" i="23"/>
  <c r="AS100" i="23"/>
  <c r="BJ99" i="23"/>
  <c r="AV99" i="23"/>
  <c r="AU99" i="23"/>
  <c r="AT99" i="23"/>
  <c r="AS99" i="23"/>
  <c r="AR99" i="23"/>
  <c r="F99" i="23"/>
  <c r="E99" i="23"/>
  <c r="AU98" i="23"/>
  <c r="AS98" i="23"/>
  <c r="AU97" i="23"/>
  <c r="AS97" i="23"/>
  <c r="BJ96" i="23"/>
  <c r="AV96" i="23"/>
  <c r="AU96" i="23"/>
  <c r="AT96" i="23"/>
  <c r="AS96" i="23"/>
  <c r="AR96" i="23"/>
  <c r="F96" i="23"/>
  <c r="E96" i="23"/>
  <c r="BJ95" i="23"/>
  <c r="AV95" i="23"/>
  <c r="AU95" i="23"/>
  <c r="AT95" i="23"/>
  <c r="AS95" i="23"/>
  <c r="AR95" i="23"/>
  <c r="F95" i="23"/>
  <c r="E95" i="23"/>
  <c r="AU94" i="23"/>
  <c r="AS94" i="23"/>
  <c r="E94" i="23"/>
  <c r="AS93" i="23"/>
  <c r="AS92" i="23"/>
  <c r="BK91" i="23"/>
  <c r="AV91" i="23"/>
  <c r="AU91" i="23"/>
  <c r="AT91" i="23"/>
  <c r="AS91" i="23"/>
  <c r="AR91" i="23"/>
  <c r="F91" i="23"/>
  <c r="E91" i="23"/>
  <c r="AS90" i="23"/>
  <c r="AU89" i="23"/>
  <c r="AS89" i="23"/>
  <c r="BJ88" i="23"/>
  <c r="AV88" i="23"/>
  <c r="AU88" i="23"/>
  <c r="AT88" i="23"/>
  <c r="AS88" i="23"/>
  <c r="AR88" i="23"/>
  <c r="F88" i="23"/>
  <c r="E88" i="23"/>
  <c r="AV87" i="23"/>
  <c r="AU87" i="23"/>
  <c r="AT87" i="23"/>
  <c r="AS87" i="23"/>
  <c r="AR87" i="23"/>
  <c r="F87" i="23"/>
  <c r="E87" i="23"/>
  <c r="AS86" i="23"/>
  <c r="AS85" i="23"/>
  <c r="AU84" i="23"/>
  <c r="AS84" i="23"/>
  <c r="AV84" i="23"/>
  <c r="AU83" i="23"/>
  <c r="AS83" i="23"/>
  <c r="AV83" i="23"/>
  <c r="AS82" i="23"/>
  <c r="AS81" i="23"/>
  <c r="AS80" i="23"/>
  <c r="AS79" i="23"/>
  <c r="AS78" i="23"/>
  <c r="AS77" i="23"/>
  <c r="AS76" i="23"/>
  <c r="BJ75" i="23"/>
  <c r="AV75" i="23"/>
  <c r="AU75" i="23"/>
  <c r="AT75" i="23"/>
  <c r="AS75" i="23"/>
  <c r="AR75" i="23"/>
  <c r="F75" i="23"/>
  <c r="E75" i="23"/>
  <c r="AS74" i="23"/>
  <c r="AU73" i="23"/>
  <c r="AS73" i="23"/>
  <c r="BJ72" i="23"/>
  <c r="AV72" i="23"/>
  <c r="AU72" i="23"/>
  <c r="AT72" i="23"/>
  <c r="AS72" i="23"/>
  <c r="AR72" i="23"/>
  <c r="F72" i="23"/>
  <c r="AS71" i="23"/>
  <c r="BJ70" i="23"/>
  <c r="AV70" i="23"/>
  <c r="AU70" i="23"/>
  <c r="AT70" i="23"/>
  <c r="AS70" i="23"/>
  <c r="AR70" i="23"/>
  <c r="F70" i="23"/>
  <c r="E70" i="23"/>
  <c r="AS69" i="23"/>
  <c r="BJ68" i="23"/>
  <c r="AV68" i="23"/>
  <c r="AU68" i="23"/>
  <c r="AT68" i="23"/>
  <c r="AS68" i="23"/>
  <c r="AR68" i="23"/>
  <c r="F68" i="23"/>
  <c r="E68" i="23"/>
  <c r="AV67" i="23"/>
  <c r="AU67" i="23"/>
  <c r="AT67" i="23"/>
  <c r="AS67" i="23"/>
  <c r="AR67" i="23"/>
  <c r="F67" i="23"/>
  <c r="E67" i="23"/>
  <c r="BJ66" i="23"/>
  <c r="AV66" i="23"/>
  <c r="AU66" i="23"/>
  <c r="AT66" i="23"/>
  <c r="AS66" i="23"/>
  <c r="AR66" i="23"/>
  <c r="F66" i="23"/>
  <c r="E66" i="23"/>
  <c r="AS65" i="23"/>
  <c r="AV64" i="23"/>
  <c r="AU64" i="23"/>
  <c r="AS64" i="23"/>
  <c r="AS63" i="23"/>
  <c r="AV62" i="23"/>
  <c r="AU62" i="23"/>
  <c r="AT62" i="23"/>
  <c r="AS62" i="23"/>
  <c r="AR62" i="23"/>
  <c r="F62" i="23"/>
  <c r="E62" i="23"/>
  <c r="AV61" i="23"/>
  <c r="AU61" i="23"/>
  <c r="AT61" i="23"/>
  <c r="AS61" i="23"/>
  <c r="AR61" i="23"/>
  <c r="F61" i="23"/>
  <c r="E61" i="23"/>
  <c r="BK60" i="23"/>
  <c r="AV60" i="23"/>
  <c r="AU60" i="23"/>
  <c r="AT60" i="23"/>
  <c r="AS60" i="23"/>
  <c r="AR60" i="23"/>
  <c r="F60" i="23"/>
  <c r="E60" i="23"/>
  <c r="AS59" i="23"/>
  <c r="BK58" i="23"/>
  <c r="AV58" i="23"/>
  <c r="AU58" i="23"/>
  <c r="AT58" i="23"/>
  <c r="AS58" i="23"/>
  <c r="AR58" i="23"/>
  <c r="F58" i="23"/>
  <c r="E58" i="23"/>
  <c r="AS57" i="23"/>
  <c r="AS56" i="23"/>
  <c r="BJ55" i="23"/>
  <c r="AV55" i="23"/>
  <c r="AU55" i="23"/>
  <c r="AT55" i="23"/>
  <c r="AS55" i="23"/>
  <c r="AR55" i="23"/>
  <c r="F55" i="23"/>
  <c r="E55" i="23"/>
  <c r="AS54" i="23"/>
  <c r="AS53" i="23"/>
  <c r="AS52" i="23"/>
  <c r="AV51" i="23"/>
  <c r="AU51" i="23"/>
  <c r="AT51" i="23"/>
  <c r="AS51" i="23"/>
  <c r="AR51" i="23"/>
  <c r="F51" i="23"/>
  <c r="E51" i="23"/>
  <c r="AS50" i="23"/>
  <c r="AS49" i="23"/>
  <c r="BJ48" i="23"/>
  <c r="AV48" i="23"/>
  <c r="AU48" i="23"/>
  <c r="AT48" i="23"/>
  <c r="AS48" i="23"/>
  <c r="AR48" i="23"/>
  <c r="F48" i="23"/>
  <c r="E48" i="23"/>
  <c r="AS47" i="23"/>
  <c r="AV46" i="23"/>
  <c r="AU46" i="23"/>
  <c r="AT46" i="23"/>
  <c r="AS46" i="23"/>
  <c r="AR46" i="23"/>
  <c r="F46" i="23"/>
  <c r="E46" i="23"/>
  <c r="BK45" i="23"/>
  <c r="AV45" i="23"/>
  <c r="AU45" i="23"/>
  <c r="AT45" i="23"/>
  <c r="AS45" i="23"/>
  <c r="AR45" i="23"/>
  <c r="F45" i="23"/>
  <c r="E45" i="23"/>
  <c r="AV44" i="23"/>
  <c r="AU44" i="23"/>
  <c r="AT44" i="23"/>
  <c r="AS44" i="23"/>
  <c r="AR44" i="23"/>
  <c r="F44" i="23"/>
  <c r="E44" i="23"/>
  <c r="AU43" i="23"/>
  <c r="AS43" i="23"/>
  <c r="AV43" i="23"/>
  <c r="E43" i="23"/>
  <c r="AV42" i="23"/>
  <c r="AU42" i="23"/>
  <c r="AT42" i="23"/>
  <c r="AS42" i="23"/>
  <c r="AR42" i="23"/>
  <c r="F42" i="23"/>
  <c r="E42" i="23"/>
  <c r="AS41" i="23"/>
  <c r="AS40" i="23"/>
  <c r="BK39" i="23"/>
  <c r="AV39" i="23"/>
  <c r="AU39" i="23"/>
  <c r="AT39" i="23"/>
  <c r="AS39" i="23"/>
  <c r="AR39" i="23"/>
  <c r="F39" i="23"/>
  <c r="E39" i="23"/>
  <c r="AU38" i="23"/>
  <c r="AS38" i="23"/>
  <c r="AU37" i="23"/>
  <c r="AS37" i="23"/>
  <c r="AV37" i="23"/>
  <c r="BJ36" i="23"/>
  <c r="AV36" i="23"/>
  <c r="AU36" i="23"/>
  <c r="AT36" i="23"/>
  <c r="AS36" i="23"/>
  <c r="AR36" i="23"/>
  <c r="F36" i="23"/>
  <c r="E36" i="23"/>
  <c r="BK35" i="23"/>
  <c r="AV35" i="23"/>
  <c r="AU35" i="23"/>
  <c r="AT35" i="23"/>
  <c r="AS35" i="23"/>
  <c r="AR35" i="23"/>
  <c r="F35" i="23"/>
  <c r="E35" i="23"/>
  <c r="AS34" i="23"/>
  <c r="AV33" i="23"/>
  <c r="AU33" i="23"/>
  <c r="AT33" i="23"/>
  <c r="AS33" i="23"/>
  <c r="AR33" i="23"/>
  <c r="F33" i="23"/>
  <c r="E33" i="23"/>
  <c r="BJ32" i="23"/>
  <c r="AV32" i="23"/>
  <c r="AU32" i="23"/>
  <c r="AT32" i="23"/>
  <c r="AS32" i="23"/>
  <c r="AR32" i="23"/>
  <c r="F32" i="23"/>
  <c r="E32" i="23"/>
  <c r="AS31" i="23"/>
  <c r="AV30" i="23"/>
  <c r="AS29" i="23"/>
  <c r="AS28" i="23"/>
  <c r="BK27" i="23"/>
  <c r="AV27" i="23"/>
  <c r="AU27" i="23"/>
  <c r="AT27" i="23"/>
  <c r="AS27" i="23"/>
  <c r="AR27" i="23"/>
  <c r="F27" i="23"/>
  <c r="E27" i="23"/>
  <c r="BJ26" i="23"/>
  <c r="AV26" i="23"/>
  <c r="AU26" i="23"/>
  <c r="AT26" i="23"/>
  <c r="AS26" i="23"/>
  <c r="AR26" i="23"/>
  <c r="F26" i="23"/>
  <c r="E26" i="23"/>
  <c r="AS25" i="23"/>
  <c r="AV24" i="23"/>
  <c r="AU24" i="23"/>
  <c r="AT24" i="23"/>
  <c r="AS24" i="23"/>
  <c r="AR24" i="23"/>
  <c r="F24" i="23"/>
  <c r="E24" i="23"/>
  <c r="BR30" i="23"/>
  <c r="AU23" i="23"/>
  <c r="AS23" i="23"/>
  <c r="AV23" i="23"/>
  <c r="BR29" i="23"/>
  <c r="BJ22" i="23"/>
  <c r="AV22" i="23"/>
  <c r="AU22" i="23"/>
  <c r="AT22" i="23"/>
  <c r="AS22" i="23"/>
  <c r="AR22" i="23"/>
  <c r="F22" i="23"/>
  <c r="E22" i="23"/>
  <c r="BR28" i="23"/>
  <c r="AS21" i="23"/>
  <c r="BR26" i="23"/>
  <c r="BK20" i="23"/>
  <c r="AV20" i="23"/>
  <c r="AU20" i="23"/>
  <c r="AT20" i="23"/>
  <c r="AS20" i="23"/>
  <c r="AR20" i="23"/>
  <c r="F20" i="23"/>
  <c r="E20" i="23"/>
  <c r="BR25" i="23"/>
  <c r="AS19" i="23"/>
  <c r="BR24" i="23"/>
  <c r="AU18" i="23"/>
  <c r="AS18" i="23"/>
  <c r="BR23" i="23"/>
  <c r="BK17" i="23"/>
  <c r="AV17" i="23"/>
  <c r="AU17" i="23"/>
  <c r="AT17" i="23"/>
  <c r="AS17" i="23"/>
  <c r="AR17" i="23"/>
  <c r="F17" i="23"/>
  <c r="E17" i="23"/>
  <c r="BR22" i="23"/>
  <c r="AS16" i="23"/>
  <c r="BR21" i="23"/>
  <c r="AU15" i="23"/>
  <c r="AS15" i="23"/>
  <c r="AV15" i="23"/>
  <c r="BR20" i="23"/>
  <c r="AU14" i="23"/>
  <c r="AS14" i="23"/>
  <c r="AV14" i="23"/>
  <c r="BR19" i="23"/>
  <c r="AV13" i="23"/>
  <c r="AU13" i="23"/>
  <c r="AS13" i="23"/>
  <c r="AR13" i="23"/>
  <c r="E13" i="23"/>
  <c r="BR18" i="23"/>
  <c r="AU12" i="23"/>
  <c r="AS12" i="23"/>
  <c r="AV12" i="23"/>
  <c r="BR17" i="23"/>
  <c r="AU11" i="23"/>
  <c r="AS11" i="23"/>
  <c r="AV11" i="23"/>
  <c r="AS10" i="23"/>
  <c r="AS9" i="23"/>
  <c r="AS8" i="23"/>
  <c r="AS7" i="23"/>
  <c r="AS6" i="23"/>
  <c r="AS5" i="23"/>
  <c r="AS4" i="23"/>
  <c r="AS3" i="23"/>
  <c r="AS2" i="23"/>
  <c r="BR41" i="26" l="1"/>
  <c r="BR43" i="26" s="1"/>
  <c r="BQ41" i="26"/>
  <c r="BQ43" i="26" s="1"/>
  <c r="BB208" i="26"/>
  <c r="BC208" i="26" s="1"/>
  <c r="BD208" i="26" s="1"/>
  <c r="BB97" i="26"/>
  <c r="BC97" i="26" s="1"/>
  <c r="BD97" i="26" s="1"/>
  <c r="BB672" i="26"/>
  <c r="BC672" i="26" s="1"/>
  <c r="BD672" i="26" s="1"/>
  <c r="BB81" i="26"/>
  <c r="BC81" i="26" s="1"/>
  <c r="BD81" i="26" s="1"/>
  <c r="BB777" i="26"/>
  <c r="BC777" i="26" s="1"/>
  <c r="BD777" i="26" s="1"/>
  <c r="BB457" i="26"/>
  <c r="BC457" i="26" s="1"/>
  <c r="BD457" i="26" s="1"/>
  <c r="BB218" i="26"/>
  <c r="BC218" i="26" s="1"/>
  <c r="BD218" i="26" s="1"/>
  <c r="BB321" i="26"/>
  <c r="BC321" i="26" s="1"/>
  <c r="BD321" i="26" s="1"/>
  <c r="BB207" i="26"/>
  <c r="BC207" i="26" s="1"/>
  <c r="BD207" i="26" s="1"/>
  <c r="BB669" i="26"/>
  <c r="BC669" i="26" s="1"/>
  <c r="BD669" i="26" s="1"/>
  <c r="BB722" i="26"/>
  <c r="BC722" i="26" s="1"/>
  <c r="BD722" i="26" s="1"/>
  <c r="BB172" i="26"/>
  <c r="BC172" i="26" s="1"/>
  <c r="BD172" i="26" s="1"/>
  <c r="BB408" i="26"/>
  <c r="BC408" i="26" s="1"/>
  <c r="BD408" i="26" s="1"/>
  <c r="BB70" i="26"/>
  <c r="BC70" i="26" s="1"/>
  <c r="BD70" i="26" s="1"/>
  <c r="BB111" i="26"/>
  <c r="BC111" i="26" s="1"/>
  <c r="BD111" i="26" s="1"/>
  <c r="BB626" i="26"/>
  <c r="BC626" i="26" s="1"/>
  <c r="BD626" i="26" s="1"/>
  <c r="BB703" i="26"/>
  <c r="BC703" i="26" s="1"/>
  <c r="BD703" i="26" s="1"/>
  <c r="BB213" i="26"/>
  <c r="BC213" i="26" s="1"/>
  <c r="BD213" i="26" s="1"/>
  <c r="BB110" i="26"/>
  <c r="BC110" i="26" s="1"/>
  <c r="BD110" i="26" s="1"/>
  <c r="BB219" i="26"/>
  <c r="BC219" i="26" s="1"/>
  <c r="BD219" i="26" s="1"/>
  <c r="BB288" i="26"/>
  <c r="BC288" i="26" s="1"/>
  <c r="BD288" i="26" s="1"/>
  <c r="BB447" i="26"/>
  <c r="BC447" i="26" s="1"/>
  <c r="BD447" i="26" s="1"/>
  <c r="BB456" i="26"/>
  <c r="BC456" i="26" s="1"/>
  <c r="BD456" i="26" s="1"/>
  <c r="BB182" i="26"/>
  <c r="BC182" i="26" s="1"/>
  <c r="BD182" i="26" s="1"/>
  <c r="BB616" i="26"/>
  <c r="BC616" i="26" s="1"/>
  <c r="BD616" i="26" s="1"/>
  <c r="BB702" i="26"/>
  <c r="BC702" i="26" s="1"/>
  <c r="BD702" i="26" s="1"/>
  <c r="BB331" i="26"/>
  <c r="BC331" i="26" s="1"/>
  <c r="BD331" i="26" s="1"/>
  <c r="BB85" i="26"/>
  <c r="BC85" i="26" s="1"/>
  <c r="BD85" i="26" s="1"/>
  <c r="BB684" i="26"/>
  <c r="BC684" i="26" s="1"/>
  <c r="BD684" i="26" s="1"/>
  <c r="BB762" i="26"/>
  <c r="BC762" i="26" s="1"/>
  <c r="BD762" i="26" s="1"/>
  <c r="BB333" i="26"/>
  <c r="BC333" i="26" s="1"/>
  <c r="BD333" i="26" s="1"/>
  <c r="BB815" i="26"/>
  <c r="BC815" i="26" s="1"/>
  <c r="BD815" i="26" s="1"/>
  <c r="BB753" i="26"/>
  <c r="BC753" i="26" s="1"/>
  <c r="BD753" i="26" s="1"/>
  <c r="BB264" i="26"/>
  <c r="BC264" i="26" s="1"/>
  <c r="BD264" i="26" s="1"/>
  <c r="BB757" i="26"/>
  <c r="BC757" i="26" s="1"/>
  <c r="BD757" i="26" s="1"/>
  <c r="BB135" i="26"/>
  <c r="BC135" i="26" s="1"/>
  <c r="BD135" i="26" s="1"/>
  <c r="BB662" i="26"/>
  <c r="BC662" i="26" s="1"/>
  <c r="BD662" i="26" s="1"/>
  <c r="BB35" i="26"/>
  <c r="BC35" i="26" s="1"/>
  <c r="BD35" i="26" s="1"/>
  <c r="BB555" i="26"/>
  <c r="BC555" i="26" s="1"/>
  <c r="BD555" i="26" s="1"/>
  <c r="BB819" i="26"/>
  <c r="BC819" i="26" s="1"/>
  <c r="BD819" i="26" s="1"/>
  <c r="BB357" i="26"/>
  <c r="BC357" i="26" s="1"/>
  <c r="BD357" i="26" s="1"/>
  <c r="BB46" i="26"/>
  <c r="BC46" i="26" s="1"/>
  <c r="BD46" i="26" s="1"/>
  <c r="BB423" i="26"/>
  <c r="BC423" i="26" s="1"/>
  <c r="BD423" i="26" s="1"/>
  <c r="BB427" i="26"/>
  <c r="BC427" i="26" s="1"/>
  <c r="BD427" i="26" s="1"/>
  <c r="BB701" i="26"/>
  <c r="BC701" i="26" s="1"/>
  <c r="BD701" i="26" s="1"/>
  <c r="BB512" i="26"/>
  <c r="BC512" i="26" s="1"/>
  <c r="BD512" i="26" s="1"/>
  <c r="BB221" i="26"/>
  <c r="BC221" i="26" s="1"/>
  <c r="BD221" i="26" s="1"/>
  <c r="BB571" i="26"/>
  <c r="BC571" i="26" s="1"/>
  <c r="BD571" i="26" s="1"/>
  <c r="BB90" i="26"/>
  <c r="BC90" i="26" s="1"/>
  <c r="BD90" i="26" s="1"/>
  <c r="BB220" i="26"/>
  <c r="BC220" i="26" s="1"/>
  <c r="BD220" i="26" s="1"/>
  <c r="BB148" i="26"/>
  <c r="BC148" i="26" s="1"/>
  <c r="BD148" i="26" s="1"/>
  <c r="BB68" i="26"/>
  <c r="BC68" i="26" s="1"/>
  <c r="BD68" i="26" s="1"/>
  <c r="BB500" i="26"/>
  <c r="BC500" i="26" s="1"/>
  <c r="BD500" i="26" s="1"/>
  <c r="BB699" i="26"/>
  <c r="BC699" i="26" s="1"/>
  <c r="BD699" i="26" s="1"/>
  <c r="BB516" i="26"/>
  <c r="BC516" i="26" s="1"/>
  <c r="BD516" i="26" s="1"/>
  <c r="BB548" i="26"/>
  <c r="BC548" i="26" s="1"/>
  <c r="BD548" i="26" s="1"/>
  <c r="BB556" i="26"/>
  <c r="BC556" i="26" s="1"/>
  <c r="BD556" i="26" s="1"/>
  <c r="BB359" i="26"/>
  <c r="BC359" i="26" s="1"/>
  <c r="BD359" i="26" s="1"/>
  <c r="BB261" i="26"/>
  <c r="BC261" i="26" s="1"/>
  <c r="BD261" i="26" s="1"/>
  <c r="BB808" i="26"/>
  <c r="BC808" i="26" s="1"/>
  <c r="BD808" i="26" s="1"/>
  <c r="BB769" i="26"/>
  <c r="BC769" i="26" s="1"/>
  <c r="BD769" i="26" s="1"/>
  <c r="BB373" i="26"/>
  <c r="BC373" i="26" s="1"/>
  <c r="BD373" i="26" s="1"/>
  <c r="BB127" i="26"/>
  <c r="BC127" i="26" s="1"/>
  <c r="BD127" i="26" s="1"/>
  <c r="BB728" i="26"/>
  <c r="BC728" i="26" s="1"/>
  <c r="BD728" i="26" s="1"/>
  <c r="BB289" i="26"/>
  <c r="BC289" i="26" s="1"/>
  <c r="BD289" i="26" s="1"/>
  <c r="BB327" i="26"/>
  <c r="BC327" i="26" s="1"/>
  <c r="BD327" i="26" s="1"/>
  <c r="BB250" i="26"/>
  <c r="BC250" i="26" s="1"/>
  <c r="BD250" i="26" s="1"/>
  <c r="BB201" i="26"/>
  <c r="BC201" i="26" s="1"/>
  <c r="BD201" i="26" s="1"/>
  <c r="BB673" i="26"/>
  <c r="BC673" i="26" s="1"/>
  <c r="BD673" i="26" s="1"/>
  <c r="BB98" i="26"/>
  <c r="BC98" i="26" s="1"/>
  <c r="BD98" i="26" s="1"/>
  <c r="BB818" i="26"/>
  <c r="BC818" i="26" s="1"/>
  <c r="BD818" i="26" s="1"/>
  <c r="BB36" i="26"/>
  <c r="BC36" i="26" s="1"/>
  <c r="BD36" i="26" s="1"/>
  <c r="BB736" i="26"/>
  <c r="BC736" i="26" s="1"/>
  <c r="BD736" i="26" s="1"/>
  <c r="BB379" i="26"/>
  <c r="BC379" i="26" s="1"/>
  <c r="BD379" i="26" s="1"/>
  <c r="BB390" i="26"/>
  <c r="BC390" i="26" s="1"/>
  <c r="BD390" i="26" s="1"/>
  <c r="BB812" i="26"/>
  <c r="BC812" i="26" s="1"/>
  <c r="BD812" i="26" s="1"/>
  <c r="BB199" i="26"/>
  <c r="BC199" i="26" s="1"/>
  <c r="BD199" i="26" s="1"/>
  <c r="BB291" i="26"/>
  <c r="BC291" i="26" s="1"/>
  <c r="BD291" i="26" s="1"/>
  <c r="BB279" i="26"/>
  <c r="BC279" i="26" s="1"/>
  <c r="BD279" i="26" s="1"/>
  <c r="BB324" i="26"/>
  <c r="BC324" i="26" s="1"/>
  <c r="BD324" i="26" s="1"/>
  <c r="BB811" i="26"/>
  <c r="BC811" i="26" s="1"/>
  <c r="BD811" i="26" s="1"/>
  <c r="BB366" i="26"/>
  <c r="BC366" i="26" s="1"/>
  <c r="BD366" i="26" s="1"/>
  <c r="BB30" i="26"/>
  <c r="BC30" i="26" s="1"/>
  <c r="BD30" i="26" s="1"/>
  <c r="BB37" i="26"/>
  <c r="BC37" i="26" s="1"/>
  <c r="BD37" i="26" s="1"/>
  <c r="BB252" i="26"/>
  <c r="BC252" i="26" s="1"/>
  <c r="BD252" i="26" s="1"/>
  <c r="BB271" i="26"/>
  <c r="BC271" i="26" s="1"/>
  <c r="BD271" i="26" s="1"/>
  <c r="BB426" i="26"/>
  <c r="BC426" i="26" s="1"/>
  <c r="BD426" i="26" s="1"/>
  <c r="BB729" i="26"/>
  <c r="BC729" i="26" s="1"/>
  <c r="BD729" i="26" s="1"/>
  <c r="BB332" i="26"/>
  <c r="BC332" i="26" s="1"/>
  <c r="BD332" i="26" s="1"/>
  <c r="BB404" i="26"/>
  <c r="BC404" i="26" s="1"/>
  <c r="BD404" i="26" s="1"/>
  <c r="BB320" i="26"/>
  <c r="BC320" i="26" s="1"/>
  <c r="BD320" i="26" s="1"/>
  <c r="BB153" i="26"/>
  <c r="BC153" i="26" s="1"/>
  <c r="BD153" i="26" s="1"/>
  <c r="BB160" i="26"/>
  <c r="BC160" i="26" s="1"/>
  <c r="BD160" i="26" s="1"/>
  <c r="BB69" i="26"/>
  <c r="BC69" i="26" s="1"/>
  <c r="BD69" i="26" s="1"/>
  <c r="BB336" i="26"/>
  <c r="BC336" i="26" s="1"/>
  <c r="BD336" i="26" s="1"/>
  <c r="BB206" i="26"/>
  <c r="BC206" i="26" s="1"/>
  <c r="BD206" i="26" s="1"/>
  <c r="BB355" i="26"/>
  <c r="BC355" i="26" s="1"/>
  <c r="BD355" i="26" s="1"/>
  <c r="BB515" i="26"/>
  <c r="BC515" i="26" s="1"/>
  <c r="BD515" i="26" s="1"/>
  <c r="BB242" i="26"/>
  <c r="BC242" i="26" s="1"/>
  <c r="BD242" i="26" s="1"/>
  <c r="BB597" i="26"/>
  <c r="BC597" i="26" s="1"/>
  <c r="BD597" i="26" s="1"/>
  <c r="BB347" i="26"/>
  <c r="BC347" i="26" s="1"/>
  <c r="BD347" i="26" s="1"/>
  <c r="BB444" i="26"/>
  <c r="BC444" i="26" s="1"/>
  <c r="BD444" i="26" s="1"/>
  <c r="BB822" i="26"/>
  <c r="BC822" i="26" s="1"/>
  <c r="BD822" i="26" s="1"/>
  <c r="BB695" i="26"/>
  <c r="BC695" i="26" s="1"/>
  <c r="BD695" i="26" s="1"/>
  <c r="BB364" i="26"/>
  <c r="BC364" i="26" s="1"/>
  <c r="BD364" i="26" s="1"/>
  <c r="BB726" i="26"/>
  <c r="BC726" i="26" s="1"/>
  <c r="BD726" i="26" s="1"/>
  <c r="BB430" i="26"/>
  <c r="BC430" i="26" s="1"/>
  <c r="BD430" i="26" s="1"/>
  <c r="BB351" i="26"/>
  <c r="BC351" i="26" s="1"/>
  <c r="BD351" i="26" s="1"/>
  <c r="BB354" i="26"/>
  <c r="BC354" i="26" s="1"/>
  <c r="BD354" i="26" s="1"/>
  <c r="BB724" i="26"/>
  <c r="BC724" i="26" s="1"/>
  <c r="BD724" i="26" s="1"/>
  <c r="BB768" i="26"/>
  <c r="BC768" i="26" s="1"/>
  <c r="BD768" i="26" s="1"/>
  <c r="BB639" i="26"/>
  <c r="BC639" i="26" s="1"/>
  <c r="BD639" i="26" s="1"/>
  <c r="BB817" i="26"/>
  <c r="BC817" i="26" s="1"/>
  <c r="BD817" i="26" s="1"/>
  <c r="BB349" i="26"/>
  <c r="BC349" i="26" s="1"/>
  <c r="BD349" i="26" s="1"/>
  <c r="BB147" i="26"/>
  <c r="BC147" i="26" s="1"/>
  <c r="BD147" i="26" s="1"/>
  <c r="BB607" i="26"/>
  <c r="BC607" i="26" s="1"/>
  <c r="BD607" i="26" s="1"/>
  <c r="BB300" i="26"/>
  <c r="BC300" i="26" s="1"/>
  <c r="BD300" i="26" s="1"/>
  <c r="BB557" i="26"/>
  <c r="BC557" i="26" s="1"/>
  <c r="BD557" i="26" s="1"/>
  <c r="BB806" i="26"/>
  <c r="BC806" i="26" s="1"/>
  <c r="BD806" i="26" s="1"/>
  <c r="BB424" i="26"/>
  <c r="BC424" i="26" s="1"/>
  <c r="BD424" i="26" s="1"/>
  <c r="BG12" i="23"/>
  <c r="BI12" i="23" s="1"/>
  <c r="BG24" i="23"/>
  <c r="BI24" i="23" s="1"/>
  <c r="BG36" i="23"/>
  <c r="BI36" i="23" s="1"/>
  <c r="BG48" i="23"/>
  <c r="BI48" i="23" s="1"/>
  <c r="BG60" i="23"/>
  <c r="BI60" i="23" s="1"/>
  <c r="BG72" i="23"/>
  <c r="BI72" i="23" s="1"/>
  <c r="BL72" i="23" s="1"/>
  <c r="BM72" i="23" s="1"/>
  <c r="BN72" i="23" s="1"/>
  <c r="BG84" i="23"/>
  <c r="BI84" i="23" s="1"/>
  <c r="BG96" i="23"/>
  <c r="BI96" i="23" s="1"/>
  <c r="BG108" i="23"/>
  <c r="BI108" i="23" s="1"/>
  <c r="BG120" i="23"/>
  <c r="BI120" i="23" s="1"/>
  <c r="BG132" i="23"/>
  <c r="BI132" i="23" s="1"/>
  <c r="BG144" i="23"/>
  <c r="BI144" i="23" s="1"/>
  <c r="BG156" i="23"/>
  <c r="BI156" i="23" s="1"/>
  <c r="BG168" i="23"/>
  <c r="BI168" i="23" s="1"/>
  <c r="BG180" i="23"/>
  <c r="BI180" i="23" s="1"/>
  <c r="BG13" i="23"/>
  <c r="BI13" i="23" s="1"/>
  <c r="BG25" i="23"/>
  <c r="BI25" i="23" s="1"/>
  <c r="BG37" i="23"/>
  <c r="BI37" i="23" s="1"/>
  <c r="BG49" i="23"/>
  <c r="BI49" i="23" s="1"/>
  <c r="BG61" i="23"/>
  <c r="BI61" i="23" s="1"/>
  <c r="BG73" i="23"/>
  <c r="BI73" i="23" s="1"/>
  <c r="BG85" i="23"/>
  <c r="BI85" i="23" s="1"/>
  <c r="BG97" i="23"/>
  <c r="BI97" i="23" s="1"/>
  <c r="BG109" i="23"/>
  <c r="BI109" i="23" s="1"/>
  <c r="BL109" i="23" s="1"/>
  <c r="BM109" i="23" s="1"/>
  <c r="BN109" i="23" s="1"/>
  <c r="BG121" i="23"/>
  <c r="BI121" i="23" s="1"/>
  <c r="BG133" i="23"/>
  <c r="BI133" i="23" s="1"/>
  <c r="BG145" i="23"/>
  <c r="BI145" i="23" s="1"/>
  <c r="BG157" i="23"/>
  <c r="BI157" i="23" s="1"/>
  <c r="BG169" i="23"/>
  <c r="BI169" i="23" s="1"/>
  <c r="BG181" i="23"/>
  <c r="BI181" i="23" s="1"/>
  <c r="BG193" i="23"/>
  <c r="BI193" i="23" s="1"/>
  <c r="BG205" i="23"/>
  <c r="BI205" i="23" s="1"/>
  <c r="BG2" i="23"/>
  <c r="BI2" i="23" s="1"/>
  <c r="BL2" i="23" s="1"/>
  <c r="BM2" i="23" s="1"/>
  <c r="BN2" i="23" s="1"/>
  <c r="BG14" i="23"/>
  <c r="BI14" i="23" s="1"/>
  <c r="BG26" i="23"/>
  <c r="BI26" i="23" s="1"/>
  <c r="BG38" i="23"/>
  <c r="BI38" i="23" s="1"/>
  <c r="BG50" i="23"/>
  <c r="BI50" i="23" s="1"/>
  <c r="BG62" i="23"/>
  <c r="BI62" i="23" s="1"/>
  <c r="BG74" i="23"/>
  <c r="BI74" i="23" s="1"/>
  <c r="BG86" i="23"/>
  <c r="BI86" i="23" s="1"/>
  <c r="BG98" i="23"/>
  <c r="BI98" i="23" s="1"/>
  <c r="BG110" i="23"/>
  <c r="BI110" i="23" s="1"/>
  <c r="BG122" i="23"/>
  <c r="BI122" i="23" s="1"/>
  <c r="BG134" i="23"/>
  <c r="BI134" i="23" s="1"/>
  <c r="BG146" i="23"/>
  <c r="BI146" i="23" s="1"/>
  <c r="BG158" i="23"/>
  <c r="BI158" i="23" s="1"/>
  <c r="BG170" i="23"/>
  <c r="BI170" i="23" s="1"/>
  <c r="BG11" i="23"/>
  <c r="BI11" i="23" s="1"/>
  <c r="BG29" i="23"/>
  <c r="BI29" i="23" s="1"/>
  <c r="BG44" i="23"/>
  <c r="BI44" i="23" s="1"/>
  <c r="BG59" i="23"/>
  <c r="BI59" i="23" s="1"/>
  <c r="BG77" i="23"/>
  <c r="BI77" i="23" s="1"/>
  <c r="BG92" i="23"/>
  <c r="BI92" i="23" s="1"/>
  <c r="BG107" i="23"/>
  <c r="BI107" i="23" s="1"/>
  <c r="BG125" i="23"/>
  <c r="BI125" i="23" s="1"/>
  <c r="BG140" i="23"/>
  <c r="BI140" i="23" s="1"/>
  <c r="BG155" i="23"/>
  <c r="BI155" i="23" s="1"/>
  <c r="BG173" i="23"/>
  <c r="BI173" i="23" s="1"/>
  <c r="BG187" i="23"/>
  <c r="BI187" i="23" s="1"/>
  <c r="BL187" i="23" s="1"/>
  <c r="BM187" i="23" s="1"/>
  <c r="BN187" i="23" s="1"/>
  <c r="BG200" i="23"/>
  <c r="BI200" i="23" s="1"/>
  <c r="BG213" i="23"/>
  <c r="BI213" i="23" s="1"/>
  <c r="BG225" i="23"/>
  <c r="BI225" i="23" s="1"/>
  <c r="BG237" i="23"/>
  <c r="BI237" i="23" s="1"/>
  <c r="BL237" i="23" s="1"/>
  <c r="BM237" i="23" s="1"/>
  <c r="BN237" i="23" s="1"/>
  <c r="BG249" i="23"/>
  <c r="BI249" i="23" s="1"/>
  <c r="BG261" i="23"/>
  <c r="BI261" i="23" s="1"/>
  <c r="BG273" i="23"/>
  <c r="BI273" i="23" s="1"/>
  <c r="BG285" i="23"/>
  <c r="BI285" i="23" s="1"/>
  <c r="BG297" i="23"/>
  <c r="BI297" i="23" s="1"/>
  <c r="BG309" i="23"/>
  <c r="BI309" i="23" s="1"/>
  <c r="BG321" i="23"/>
  <c r="BI321" i="23" s="1"/>
  <c r="BG333" i="23"/>
  <c r="BI333" i="23" s="1"/>
  <c r="BG345" i="23"/>
  <c r="BI345" i="23" s="1"/>
  <c r="BG357" i="23"/>
  <c r="BI357" i="23" s="1"/>
  <c r="BG369" i="23"/>
  <c r="BI369" i="23" s="1"/>
  <c r="BG381" i="23"/>
  <c r="BI381" i="23" s="1"/>
  <c r="BG393" i="23"/>
  <c r="BI393" i="23" s="1"/>
  <c r="BL393" i="23" s="1"/>
  <c r="BM393" i="23" s="1"/>
  <c r="BN393" i="23" s="1"/>
  <c r="BG405" i="23"/>
  <c r="BI405" i="23" s="1"/>
  <c r="BG417" i="23"/>
  <c r="BI417" i="23" s="1"/>
  <c r="BG429" i="23"/>
  <c r="BI429" i="23" s="1"/>
  <c r="BG441" i="23"/>
  <c r="BI441" i="23" s="1"/>
  <c r="BG453" i="23"/>
  <c r="BI453" i="23" s="1"/>
  <c r="BG465" i="23"/>
  <c r="BI465" i="23" s="1"/>
  <c r="BG477" i="23"/>
  <c r="BI477" i="23" s="1"/>
  <c r="BG489" i="23"/>
  <c r="BI489" i="23" s="1"/>
  <c r="BG501" i="23"/>
  <c r="BI501" i="23" s="1"/>
  <c r="BG513" i="23"/>
  <c r="BI513" i="23" s="1"/>
  <c r="BG525" i="23"/>
  <c r="BI525" i="23" s="1"/>
  <c r="BG537" i="23"/>
  <c r="BI537" i="23" s="1"/>
  <c r="BL537" i="23" s="1"/>
  <c r="BM537" i="23" s="1"/>
  <c r="BN537" i="23" s="1"/>
  <c r="BG826" i="23"/>
  <c r="BI826" i="23" s="1"/>
  <c r="BG552" i="23"/>
  <c r="BI552" i="23" s="1"/>
  <c r="BG564" i="23"/>
  <c r="BI564" i="23" s="1"/>
  <c r="BG576" i="23"/>
  <c r="BI576" i="23" s="1"/>
  <c r="BG588" i="23"/>
  <c r="BI588" i="23" s="1"/>
  <c r="BG600" i="23"/>
  <c r="BI600" i="23" s="1"/>
  <c r="BG612" i="23"/>
  <c r="BI612" i="23" s="1"/>
  <c r="BG624" i="23"/>
  <c r="BI624" i="23" s="1"/>
  <c r="BG15" i="23"/>
  <c r="BI15" i="23" s="1"/>
  <c r="BG30" i="23"/>
  <c r="BI30" i="23" s="1"/>
  <c r="BG45" i="23"/>
  <c r="BI45" i="23" s="1"/>
  <c r="BG63" i="23"/>
  <c r="BI63" i="23" s="1"/>
  <c r="BG78" i="23"/>
  <c r="BI78" i="23" s="1"/>
  <c r="BG93" i="23"/>
  <c r="BI93" i="23" s="1"/>
  <c r="BG111" i="23"/>
  <c r="BI111" i="23" s="1"/>
  <c r="BG126" i="23"/>
  <c r="BI126" i="23" s="1"/>
  <c r="BG141" i="23"/>
  <c r="BI141" i="23" s="1"/>
  <c r="BG159" i="23"/>
  <c r="BI159" i="23" s="1"/>
  <c r="BG174" i="23"/>
  <c r="BI174" i="23" s="1"/>
  <c r="BG188" i="23"/>
  <c r="BI188" i="23" s="1"/>
  <c r="BG201" i="23"/>
  <c r="BI201" i="23" s="1"/>
  <c r="BG214" i="23"/>
  <c r="BI214" i="23" s="1"/>
  <c r="BG226" i="23"/>
  <c r="BI226" i="23" s="1"/>
  <c r="BG238" i="23"/>
  <c r="BI238" i="23" s="1"/>
  <c r="BL238" i="23" s="1"/>
  <c r="BM238" i="23" s="1"/>
  <c r="BN238" i="23" s="1"/>
  <c r="BG250" i="23"/>
  <c r="BI250" i="23" s="1"/>
  <c r="BG18" i="23"/>
  <c r="BI18" i="23" s="1"/>
  <c r="BG33" i="23"/>
  <c r="BI33" i="23" s="1"/>
  <c r="BG51" i="23"/>
  <c r="BI51" i="23" s="1"/>
  <c r="BG66" i="23"/>
  <c r="BI66" i="23" s="1"/>
  <c r="BG81" i="23"/>
  <c r="BI81" i="23" s="1"/>
  <c r="BG99" i="23"/>
  <c r="BI99" i="23" s="1"/>
  <c r="BL99" i="23" s="1"/>
  <c r="BM99" i="23" s="1"/>
  <c r="BN99" i="23" s="1"/>
  <c r="BG114" i="23"/>
  <c r="BI114" i="23" s="1"/>
  <c r="BG129" i="23"/>
  <c r="BI129" i="23" s="1"/>
  <c r="BG147" i="23"/>
  <c r="BI147" i="23" s="1"/>
  <c r="BG162" i="23"/>
  <c r="BI162" i="23" s="1"/>
  <c r="BG177" i="23"/>
  <c r="BI177" i="23" s="1"/>
  <c r="BG191" i="23"/>
  <c r="BI191" i="23" s="1"/>
  <c r="BG204" i="23"/>
  <c r="BI204" i="23" s="1"/>
  <c r="BG217" i="23"/>
  <c r="BI217" i="23" s="1"/>
  <c r="BG229" i="23"/>
  <c r="BI229" i="23" s="1"/>
  <c r="BG241" i="23"/>
  <c r="BI241" i="23" s="1"/>
  <c r="BG253" i="23"/>
  <c r="BI253" i="23" s="1"/>
  <c r="BG265" i="23"/>
  <c r="BI265" i="23" s="1"/>
  <c r="BG277" i="23"/>
  <c r="BI277" i="23" s="1"/>
  <c r="BG289" i="23"/>
  <c r="BI289" i="23" s="1"/>
  <c r="BG301" i="23"/>
  <c r="BI301" i="23" s="1"/>
  <c r="BG313" i="23"/>
  <c r="BI313" i="23" s="1"/>
  <c r="BG325" i="23"/>
  <c r="BI325" i="23" s="1"/>
  <c r="BG337" i="23"/>
  <c r="BI337" i="23" s="1"/>
  <c r="BG349" i="23"/>
  <c r="BI349" i="23" s="1"/>
  <c r="BG361" i="23"/>
  <c r="BI361" i="23" s="1"/>
  <c r="BG373" i="23"/>
  <c r="BI373" i="23" s="1"/>
  <c r="BG385" i="23"/>
  <c r="BI385" i="23" s="1"/>
  <c r="BG397" i="23"/>
  <c r="BI397" i="23" s="1"/>
  <c r="BG409" i="23"/>
  <c r="BI409" i="23" s="1"/>
  <c r="BG421" i="23"/>
  <c r="BI421" i="23" s="1"/>
  <c r="BG433" i="23"/>
  <c r="BI433" i="23" s="1"/>
  <c r="BG445" i="23"/>
  <c r="BI445" i="23" s="1"/>
  <c r="BG457" i="23"/>
  <c r="BI457" i="23" s="1"/>
  <c r="BG469" i="23"/>
  <c r="BI469" i="23" s="1"/>
  <c r="BL469" i="23" s="1"/>
  <c r="BM469" i="23" s="1"/>
  <c r="BN469" i="23" s="1"/>
  <c r="BG481" i="23"/>
  <c r="BI481" i="23" s="1"/>
  <c r="BL481" i="23" s="1"/>
  <c r="BM481" i="23" s="1"/>
  <c r="BG493" i="23"/>
  <c r="BI493" i="23" s="1"/>
  <c r="BG505" i="23"/>
  <c r="BI505" i="23" s="1"/>
  <c r="BG517" i="23"/>
  <c r="BI517" i="23" s="1"/>
  <c r="BG529" i="23"/>
  <c r="BI529" i="23" s="1"/>
  <c r="BG541" i="23"/>
  <c r="BI541" i="23" s="1"/>
  <c r="BG830" i="23"/>
  <c r="BI830" i="23" s="1"/>
  <c r="BG556" i="23"/>
  <c r="BI556" i="23" s="1"/>
  <c r="BG568" i="23"/>
  <c r="BI568" i="23" s="1"/>
  <c r="BG19" i="23"/>
  <c r="BI19" i="23" s="1"/>
  <c r="BG34" i="23"/>
  <c r="BI34" i="23" s="1"/>
  <c r="BG52" i="23"/>
  <c r="BI52" i="23" s="1"/>
  <c r="BG67" i="23"/>
  <c r="BI67" i="23" s="1"/>
  <c r="BG82" i="23"/>
  <c r="BI82" i="23" s="1"/>
  <c r="BG100" i="23"/>
  <c r="BI100" i="23" s="1"/>
  <c r="BG115" i="23"/>
  <c r="BI115" i="23" s="1"/>
  <c r="BL115" i="23" s="1"/>
  <c r="BM115" i="23" s="1"/>
  <c r="BN115" i="23" s="1"/>
  <c r="BG130" i="23"/>
  <c r="BI130" i="23" s="1"/>
  <c r="BG148" i="23"/>
  <c r="BI148" i="23" s="1"/>
  <c r="BG163" i="23"/>
  <c r="BI163" i="23" s="1"/>
  <c r="BG178" i="23"/>
  <c r="BI178" i="23" s="1"/>
  <c r="BG192" i="23"/>
  <c r="BI192" i="23" s="1"/>
  <c r="BG206" i="23"/>
  <c r="BI206" i="23" s="1"/>
  <c r="BG218" i="23"/>
  <c r="BI218" i="23" s="1"/>
  <c r="BG230" i="23"/>
  <c r="BI230" i="23" s="1"/>
  <c r="BG242" i="23"/>
  <c r="BI242" i="23" s="1"/>
  <c r="BG254" i="23"/>
  <c r="BI254" i="23" s="1"/>
  <c r="BG266" i="23"/>
  <c r="BI266" i="23" s="1"/>
  <c r="BG278" i="23"/>
  <c r="BI278" i="23" s="1"/>
  <c r="BG290" i="23"/>
  <c r="BI290" i="23" s="1"/>
  <c r="BG302" i="23"/>
  <c r="BI302" i="23" s="1"/>
  <c r="BG314" i="23"/>
  <c r="BI314" i="23" s="1"/>
  <c r="BG326" i="23"/>
  <c r="BI326" i="23" s="1"/>
  <c r="BG5" i="23"/>
  <c r="BI5" i="23" s="1"/>
  <c r="BG20" i="23"/>
  <c r="BI20" i="23" s="1"/>
  <c r="BG35" i="23"/>
  <c r="BI35" i="23" s="1"/>
  <c r="BG53" i="23"/>
  <c r="BI53" i="23" s="1"/>
  <c r="BG68" i="23"/>
  <c r="BI68" i="23" s="1"/>
  <c r="BL68" i="23" s="1"/>
  <c r="BM68" i="23" s="1"/>
  <c r="BN68" i="23" s="1"/>
  <c r="BG83" i="23"/>
  <c r="BI83" i="23" s="1"/>
  <c r="BG101" i="23"/>
  <c r="BI101" i="23" s="1"/>
  <c r="BG116" i="23"/>
  <c r="BI116" i="23" s="1"/>
  <c r="BG131" i="23"/>
  <c r="BI131" i="23" s="1"/>
  <c r="BG149" i="23"/>
  <c r="BI149" i="23" s="1"/>
  <c r="BG164" i="23"/>
  <c r="BI164" i="23" s="1"/>
  <c r="BG179" i="23"/>
  <c r="BI179" i="23" s="1"/>
  <c r="BG194" i="23"/>
  <c r="BI194" i="23" s="1"/>
  <c r="BG207" i="23"/>
  <c r="BI207" i="23" s="1"/>
  <c r="BG219" i="23"/>
  <c r="BI219" i="23" s="1"/>
  <c r="BG231" i="23"/>
  <c r="BI231" i="23" s="1"/>
  <c r="BG243" i="23"/>
  <c r="BI243" i="23" s="1"/>
  <c r="BG255" i="23"/>
  <c r="BI255" i="23" s="1"/>
  <c r="BG267" i="23"/>
  <c r="BI267" i="23" s="1"/>
  <c r="BG279" i="23"/>
  <c r="BI279" i="23" s="1"/>
  <c r="BG291" i="23"/>
  <c r="BI291" i="23" s="1"/>
  <c r="BG303" i="23"/>
  <c r="BI303" i="23" s="1"/>
  <c r="BG315" i="23"/>
  <c r="BI315" i="23" s="1"/>
  <c r="BG327" i="23"/>
  <c r="BI327" i="23" s="1"/>
  <c r="BG339" i="23"/>
  <c r="BI339" i="23" s="1"/>
  <c r="BG7" i="23"/>
  <c r="BI7" i="23" s="1"/>
  <c r="BG32" i="23"/>
  <c r="BI32" i="23" s="1"/>
  <c r="BG58" i="23"/>
  <c r="BI58" i="23" s="1"/>
  <c r="BG89" i="23"/>
  <c r="BI89" i="23" s="1"/>
  <c r="BG117" i="23"/>
  <c r="BI117" i="23" s="1"/>
  <c r="BG142" i="23"/>
  <c r="BI142" i="23" s="1"/>
  <c r="BG171" i="23"/>
  <c r="BI171" i="23" s="1"/>
  <c r="BG196" i="23"/>
  <c r="BI196" i="23" s="1"/>
  <c r="BG216" i="23"/>
  <c r="BI216" i="23" s="1"/>
  <c r="BG236" i="23"/>
  <c r="BI236" i="23" s="1"/>
  <c r="BL236" i="23" s="1"/>
  <c r="BM236" i="23" s="1"/>
  <c r="BN236" i="23" s="1"/>
  <c r="BG258" i="23"/>
  <c r="BI258" i="23" s="1"/>
  <c r="BG275" i="23"/>
  <c r="BI275" i="23" s="1"/>
  <c r="BG294" i="23"/>
  <c r="BI294" i="23" s="1"/>
  <c r="BG311" i="23"/>
  <c r="BI311" i="23" s="1"/>
  <c r="BG330" i="23"/>
  <c r="BI330" i="23" s="1"/>
  <c r="BG346" i="23"/>
  <c r="BI346" i="23" s="1"/>
  <c r="BG360" i="23"/>
  <c r="BI360" i="23" s="1"/>
  <c r="BG375" i="23"/>
  <c r="BI375" i="23" s="1"/>
  <c r="BG389" i="23"/>
  <c r="BI389" i="23" s="1"/>
  <c r="BL389" i="23" s="1"/>
  <c r="BM389" i="23" s="1"/>
  <c r="BN389" i="23" s="1"/>
  <c r="BG403" i="23"/>
  <c r="BI403" i="23" s="1"/>
  <c r="BG418" i="23"/>
  <c r="BI418" i="23" s="1"/>
  <c r="BG432" i="23"/>
  <c r="BI432" i="23" s="1"/>
  <c r="BG447" i="23"/>
  <c r="BI447" i="23" s="1"/>
  <c r="BG461" i="23"/>
  <c r="BI461" i="23" s="1"/>
  <c r="BG475" i="23"/>
  <c r="BI475" i="23" s="1"/>
  <c r="BL475" i="23" s="1"/>
  <c r="BM475" i="23" s="1"/>
  <c r="BN475" i="23" s="1"/>
  <c r="BG490" i="23"/>
  <c r="BI490" i="23" s="1"/>
  <c r="BG504" i="23"/>
  <c r="BI504" i="23" s="1"/>
  <c r="BG519" i="23"/>
  <c r="BI519" i="23" s="1"/>
  <c r="BG533" i="23"/>
  <c r="BI533" i="23" s="1"/>
  <c r="BG824" i="23"/>
  <c r="BI824" i="23" s="1"/>
  <c r="BG553" i="23"/>
  <c r="BI553" i="23" s="1"/>
  <c r="BG567" i="23"/>
  <c r="BI567" i="23" s="1"/>
  <c r="BG581" i="23"/>
  <c r="BI581" i="23" s="1"/>
  <c r="BG594" i="23"/>
  <c r="BI594" i="23" s="1"/>
  <c r="BL594" i="23" s="1"/>
  <c r="BM594" i="23" s="1"/>
  <c r="BN594" i="23" s="1"/>
  <c r="BG607" i="23"/>
  <c r="BI607" i="23" s="1"/>
  <c r="BG620" i="23"/>
  <c r="BI620" i="23" s="1"/>
  <c r="BL620" i="23" s="1"/>
  <c r="BM620" i="23" s="1"/>
  <c r="BN620" i="23" s="1"/>
  <c r="BG633" i="23"/>
  <c r="BI633" i="23" s="1"/>
  <c r="BG802" i="23"/>
  <c r="BI802" i="23" s="1"/>
  <c r="BL802" i="23" s="1"/>
  <c r="BM802" i="23" s="1"/>
  <c r="BN802" i="23" s="1"/>
  <c r="BG814" i="23"/>
  <c r="BI814" i="23" s="1"/>
  <c r="BL814" i="23" s="1"/>
  <c r="BM814" i="23" s="1"/>
  <c r="BN814" i="23" s="1"/>
  <c r="BG646" i="23"/>
  <c r="BI646" i="23" s="1"/>
  <c r="BL646" i="23" s="1"/>
  <c r="BM646" i="23" s="1"/>
  <c r="BN646" i="23" s="1"/>
  <c r="BG658" i="23"/>
  <c r="BI658" i="23" s="1"/>
  <c r="BL658" i="23" s="1"/>
  <c r="BM658" i="23" s="1"/>
  <c r="BN658" i="23" s="1"/>
  <c r="BG670" i="23"/>
  <c r="BI670" i="23" s="1"/>
  <c r="BL670" i="23" s="1"/>
  <c r="BM670" i="23" s="1"/>
  <c r="BN670" i="23" s="1"/>
  <c r="BG682" i="23"/>
  <c r="BI682" i="23" s="1"/>
  <c r="BL682" i="23" s="1"/>
  <c r="BM682" i="23" s="1"/>
  <c r="BN682" i="23" s="1"/>
  <c r="BG694" i="23"/>
  <c r="BI694" i="23" s="1"/>
  <c r="BL694" i="23" s="1"/>
  <c r="BM694" i="23" s="1"/>
  <c r="BN694" i="23" s="1"/>
  <c r="BG701" i="23"/>
  <c r="BI701" i="23" s="1"/>
  <c r="BL701" i="23" s="1"/>
  <c r="BM701" i="23" s="1"/>
  <c r="BN701" i="23" s="1"/>
  <c r="BG713" i="23"/>
  <c r="BI713" i="23" s="1"/>
  <c r="BL713" i="23" s="1"/>
  <c r="BM713" i="23" s="1"/>
  <c r="BN713" i="23" s="1"/>
  <c r="BG725" i="23"/>
  <c r="BI725" i="23" s="1"/>
  <c r="BL725" i="23" s="1"/>
  <c r="BM725" i="23" s="1"/>
  <c r="BN725" i="23" s="1"/>
  <c r="BG737" i="23"/>
  <c r="BI737" i="23" s="1"/>
  <c r="BL737" i="23" s="1"/>
  <c r="BM737" i="23" s="1"/>
  <c r="BN737" i="23" s="1"/>
  <c r="BG749" i="23"/>
  <c r="BI749" i="23" s="1"/>
  <c r="BL749" i="23" s="1"/>
  <c r="BM749" i="23" s="1"/>
  <c r="BN749" i="23" s="1"/>
  <c r="BG761" i="23"/>
  <c r="BI761" i="23" s="1"/>
  <c r="BL761" i="23" s="1"/>
  <c r="BM761" i="23" s="1"/>
  <c r="BN761" i="23" s="1"/>
  <c r="BG773" i="23"/>
  <c r="BI773" i="23" s="1"/>
  <c r="BL773" i="23" s="1"/>
  <c r="BM773" i="23" s="1"/>
  <c r="BN773" i="23" s="1"/>
  <c r="BG785" i="23"/>
  <c r="BI785" i="23" s="1"/>
  <c r="BL785" i="23" s="1"/>
  <c r="BM785" i="23" s="1"/>
  <c r="BN785" i="23" s="1"/>
  <c r="BG195" i="23"/>
  <c r="BI195" i="23" s="1"/>
  <c r="BG8" i="23"/>
  <c r="BI8" i="23" s="1"/>
  <c r="BG39" i="23"/>
  <c r="BI39" i="23" s="1"/>
  <c r="BG64" i="23"/>
  <c r="BI64" i="23" s="1"/>
  <c r="BG90" i="23"/>
  <c r="BI90" i="23" s="1"/>
  <c r="BG118" i="23"/>
  <c r="BI118" i="23" s="1"/>
  <c r="BL118" i="23" s="1"/>
  <c r="BM118" i="23" s="1"/>
  <c r="BN118" i="23" s="1"/>
  <c r="BG143" i="23"/>
  <c r="BI143" i="23" s="1"/>
  <c r="BL143" i="23" s="1"/>
  <c r="BM143" i="23" s="1"/>
  <c r="BN143" i="23" s="1"/>
  <c r="BG172" i="23"/>
  <c r="BI172" i="23" s="1"/>
  <c r="BG197" i="23"/>
  <c r="BI197" i="23" s="1"/>
  <c r="BG220" i="23"/>
  <c r="BI220" i="23" s="1"/>
  <c r="BG239" i="23"/>
  <c r="BI239" i="23" s="1"/>
  <c r="BG259" i="23"/>
  <c r="BI259" i="23" s="1"/>
  <c r="BG276" i="23"/>
  <c r="BI276" i="23" s="1"/>
  <c r="BG295" i="23"/>
  <c r="BI295" i="23" s="1"/>
  <c r="BG312" i="23"/>
  <c r="BI312" i="23" s="1"/>
  <c r="BG331" i="23"/>
  <c r="BI331" i="23" s="1"/>
  <c r="BG347" i="23"/>
  <c r="BI347" i="23" s="1"/>
  <c r="BG362" i="23"/>
  <c r="BI362" i="23" s="1"/>
  <c r="BG376" i="23"/>
  <c r="BI376" i="23" s="1"/>
  <c r="BG390" i="23"/>
  <c r="BI390" i="23" s="1"/>
  <c r="BG404" i="23"/>
  <c r="BI404" i="23" s="1"/>
  <c r="BG419" i="23"/>
  <c r="BI419" i="23" s="1"/>
  <c r="BG434" i="23"/>
  <c r="BI434" i="23" s="1"/>
  <c r="BG448" i="23"/>
  <c r="BI448" i="23" s="1"/>
  <c r="BG462" i="23"/>
  <c r="BI462" i="23" s="1"/>
  <c r="BL462" i="23" s="1"/>
  <c r="BM462" i="23" s="1"/>
  <c r="BN462" i="23" s="1"/>
  <c r="BG476" i="23"/>
  <c r="BI476" i="23" s="1"/>
  <c r="BL476" i="23" s="1"/>
  <c r="BM476" i="23" s="1"/>
  <c r="BN476" i="23" s="1"/>
  <c r="BG491" i="23"/>
  <c r="BI491" i="23" s="1"/>
  <c r="BG506" i="23"/>
  <c r="BI506" i="23" s="1"/>
  <c r="BG520" i="23"/>
  <c r="BI520" i="23" s="1"/>
  <c r="BG534" i="23"/>
  <c r="BI534" i="23" s="1"/>
  <c r="BG825" i="23"/>
  <c r="BI825" i="23" s="1"/>
  <c r="BG554" i="23"/>
  <c r="BI554" i="23" s="1"/>
  <c r="BG569" i="23"/>
  <c r="BI569" i="23" s="1"/>
  <c r="BG582" i="23"/>
  <c r="BI582" i="23" s="1"/>
  <c r="BG595" i="23"/>
  <c r="BI595" i="23" s="1"/>
  <c r="BG608" i="23"/>
  <c r="BI608" i="23" s="1"/>
  <c r="BG621" i="23"/>
  <c r="BI621" i="23" s="1"/>
  <c r="BL621" i="23" s="1"/>
  <c r="BM621" i="23" s="1"/>
  <c r="BN621" i="23" s="1"/>
  <c r="BG634" i="23"/>
  <c r="BI634" i="23" s="1"/>
  <c r="BG803" i="23"/>
  <c r="BI803" i="23" s="1"/>
  <c r="BL803" i="23" s="1"/>
  <c r="BM803" i="23" s="1"/>
  <c r="BN803" i="23" s="1"/>
  <c r="BG815" i="23"/>
  <c r="BI815" i="23" s="1"/>
  <c r="BL815" i="23" s="1"/>
  <c r="BM815" i="23" s="1"/>
  <c r="BN815" i="23" s="1"/>
  <c r="BG647" i="23"/>
  <c r="BI647" i="23" s="1"/>
  <c r="BL647" i="23" s="1"/>
  <c r="BM647" i="23" s="1"/>
  <c r="BN647" i="23" s="1"/>
  <c r="BG659" i="23"/>
  <c r="BI659" i="23" s="1"/>
  <c r="BL659" i="23" s="1"/>
  <c r="BM659" i="23" s="1"/>
  <c r="BN659" i="23" s="1"/>
  <c r="BG671" i="23"/>
  <c r="BI671" i="23" s="1"/>
  <c r="BL671" i="23" s="1"/>
  <c r="BM671" i="23" s="1"/>
  <c r="BN671" i="23" s="1"/>
  <c r="BG683" i="23"/>
  <c r="BI683" i="23" s="1"/>
  <c r="BL683" i="23" s="1"/>
  <c r="BM683" i="23" s="1"/>
  <c r="BN683" i="23" s="1"/>
  <c r="BG695" i="23"/>
  <c r="BI695" i="23" s="1"/>
  <c r="BL695" i="23" s="1"/>
  <c r="BM695" i="23" s="1"/>
  <c r="BN695" i="23" s="1"/>
  <c r="BG702" i="23"/>
  <c r="BI702" i="23" s="1"/>
  <c r="BL702" i="23" s="1"/>
  <c r="BM702" i="23" s="1"/>
  <c r="BN702" i="23" s="1"/>
  <c r="BG714" i="23"/>
  <c r="BI714" i="23" s="1"/>
  <c r="BL714" i="23" s="1"/>
  <c r="BM714" i="23" s="1"/>
  <c r="BN714" i="23" s="1"/>
  <c r="BG726" i="23"/>
  <c r="BI726" i="23" s="1"/>
  <c r="BL726" i="23" s="1"/>
  <c r="BM726" i="23" s="1"/>
  <c r="BN726" i="23" s="1"/>
  <c r="BG738" i="23"/>
  <c r="BI738" i="23" s="1"/>
  <c r="BL738" i="23" s="1"/>
  <c r="BM738" i="23" s="1"/>
  <c r="BN738" i="23" s="1"/>
  <c r="BG750" i="23"/>
  <c r="BI750" i="23" s="1"/>
  <c r="BL750" i="23" s="1"/>
  <c r="BM750" i="23" s="1"/>
  <c r="BN750" i="23" s="1"/>
  <c r="BG762" i="23"/>
  <c r="BI762" i="23" s="1"/>
  <c r="BL762" i="23" s="1"/>
  <c r="BM762" i="23" s="1"/>
  <c r="BN762" i="23" s="1"/>
  <c r="BG774" i="23"/>
  <c r="BI774" i="23" s="1"/>
  <c r="BL774" i="23" s="1"/>
  <c r="BM774" i="23" s="1"/>
  <c r="BN774" i="23" s="1"/>
  <c r="BG786" i="23"/>
  <c r="BI786" i="23" s="1"/>
  <c r="BL786" i="23" s="1"/>
  <c r="BM786" i="23" s="1"/>
  <c r="BN786" i="23" s="1"/>
  <c r="BG329" i="23"/>
  <c r="BI329" i="23" s="1"/>
  <c r="BG9" i="23"/>
  <c r="BI9" i="23" s="1"/>
  <c r="BG40" i="23"/>
  <c r="BI40" i="23" s="1"/>
  <c r="BG65" i="23"/>
  <c r="BI65" i="23" s="1"/>
  <c r="BG91" i="23"/>
  <c r="BI91" i="23" s="1"/>
  <c r="BG119" i="23"/>
  <c r="BI119" i="23" s="1"/>
  <c r="BG150" i="23"/>
  <c r="BI150" i="23" s="1"/>
  <c r="BG175" i="23"/>
  <c r="BI175" i="23" s="1"/>
  <c r="BG198" i="23"/>
  <c r="BI198" i="23" s="1"/>
  <c r="BG221" i="23"/>
  <c r="BI221" i="23" s="1"/>
  <c r="BG240" i="23"/>
  <c r="BI240" i="23" s="1"/>
  <c r="BG260" i="23"/>
  <c r="BI260" i="23" s="1"/>
  <c r="BG280" i="23"/>
  <c r="BI280" i="23" s="1"/>
  <c r="BG296" i="23"/>
  <c r="BI296" i="23" s="1"/>
  <c r="BG316" i="23"/>
  <c r="BI316" i="23" s="1"/>
  <c r="BG332" i="23"/>
  <c r="BI332" i="23" s="1"/>
  <c r="BG348" i="23"/>
  <c r="BI348" i="23" s="1"/>
  <c r="BG363" i="23"/>
  <c r="BI363" i="23" s="1"/>
  <c r="BG377" i="23"/>
  <c r="BI377" i="23" s="1"/>
  <c r="BG391" i="23"/>
  <c r="BI391" i="23" s="1"/>
  <c r="BL391" i="23" s="1"/>
  <c r="BM391" i="23" s="1"/>
  <c r="BN391" i="23" s="1"/>
  <c r="BG406" i="23"/>
  <c r="BI406" i="23" s="1"/>
  <c r="BG420" i="23"/>
  <c r="BI420" i="23" s="1"/>
  <c r="BG435" i="23"/>
  <c r="BI435" i="23" s="1"/>
  <c r="BG449" i="23"/>
  <c r="BI449" i="23" s="1"/>
  <c r="BG463" i="23"/>
  <c r="BI463" i="23" s="1"/>
  <c r="BG478" i="23"/>
  <c r="BI478" i="23" s="1"/>
  <c r="BG492" i="23"/>
  <c r="BI492" i="23" s="1"/>
  <c r="BL492" i="23" s="1"/>
  <c r="BM492" i="23" s="1"/>
  <c r="BN492" i="23" s="1"/>
  <c r="BG507" i="23"/>
  <c r="BI507" i="23" s="1"/>
  <c r="BG521" i="23"/>
  <c r="BI521" i="23" s="1"/>
  <c r="BG535" i="23"/>
  <c r="BI535" i="23" s="1"/>
  <c r="BG827" i="23"/>
  <c r="BI827" i="23" s="1"/>
  <c r="BG555" i="23"/>
  <c r="BI555" i="23" s="1"/>
  <c r="BG570" i="23"/>
  <c r="BI570" i="23" s="1"/>
  <c r="BG583" i="23"/>
  <c r="BI583" i="23" s="1"/>
  <c r="BL583" i="23" s="1"/>
  <c r="BM583" i="23" s="1"/>
  <c r="BN583" i="23" s="1"/>
  <c r="BG596" i="23"/>
  <c r="BI596" i="23" s="1"/>
  <c r="BG609" i="23"/>
  <c r="BI609" i="23" s="1"/>
  <c r="BG622" i="23"/>
  <c r="BI622" i="23" s="1"/>
  <c r="BG635" i="23"/>
  <c r="BI635" i="23" s="1"/>
  <c r="BL635" i="23" s="1"/>
  <c r="BM635" i="23" s="1"/>
  <c r="BN635" i="23" s="1"/>
  <c r="BG804" i="23"/>
  <c r="BI804" i="23" s="1"/>
  <c r="BL804" i="23" s="1"/>
  <c r="BM804" i="23" s="1"/>
  <c r="BN804" i="23" s="1"/>
  <c r="BG816" i="23"/>
  <c r="BI816" i="23" s="1"/>
  <c r="BL816" i="23" s="1"/>
  <c r="BM816" i="23" s="1"/>
  <c r="BN816" i="23" s="1"/>
  <c r="BG648" i="23"/>
  <c r="BI648" i="23" s="1"/>
  <c r="BL648" i="23" s="1"/>
  <c r="BM648" i="23" s="1"/>
  <c r="BN648" i="23" s="1"/>
  <c r="BG660" i="23"/>
  <c r="BI660" i="23" s="1"/>
  <c r="BL660" i="23" s="1"/>
  <c r="BM660" i="23" s="1"/>
  <c r="BN660" i="23" s="1"/>
  <c r="BG672" i="23"/>
  <c r="BI672" i="23" s="1"/>
  <c r="BL672" i="23" s="1"/>
  <c r="BM672" i="23" s="1"/>
  <c r="BN672" i="23" s="1"/>
  <c r="BG684" i="23"/>
  <c r="BI684" i="23" s="1"/>
  <c r="BL684" i="23" s="1"/>
  <c r="BM684" i="23" s="1"/>
  <c r="BN684" i="23" s="1"/>
  <c r="BG696" i="23"/>
  <c r="BI696" i="23" s="1"/>
  <c r="BL696" i="23" s="1"/>
  <c r="BM696" i="23" s="1"/>
  <c r="BN696" i="23" s="1"/>
  <c r="BG703" i="23"/>
  <c r="BI703" i="23" s="1"/>
  <c r="BL703" i="23" s="1"/>
  <c r="BM703" i="23" s="1"/>
  <c r="BN703" i="23" s="1"/>
  <c r="BG715" i="23"/>
  <c r="BI715" i="23" s="1"/>
  <c r="BL715" i="23" s="1"/>
  <c r="BM715" i="23" s="1"/>
  <c r="BN715" i="23" s="1"/>
  <c r="BG727" i="23"/>
  <c r="BI727" i="23" s="1"/>
  <c r="BL727" i="23" s="1"/>
  <c r="BM727" i="23" s="1"/>
  <c r="BN727" i="23" s="1"/>
  <c r="BG739" i="23"/>
  <c r="BI739" i="23" s="1"/>
  <c r="BL739" i="23" s="1"/>
  <c r="BM739" i="23" s="1"/>
  <c r="BN739" i="23" s="1"/>
  <c r="BG751" i="23"/>
  <c r="BI751" i="23" s="1"/>
  <c r="BL751" i="23" s="1"/>
  <c r="BM751" i="23" s="1"/>
  <c r="BN751" i="23" s="1"/>
  <c r="BG763" i="23"/>
  <c r="BI763" i="23" s="1"/>
  <c r="BL763" i="23" s="1"/>
  <c r="BM763" i="23" s="1"/>
  <c r="BN763" i="23" s="1"/>
  <c r="BG775" i="23"/>
  <c r="BI775" i="23" s="1"/>
  <c r="BL775" i="23" s="1"/>
  <c r="BM775" i="23" s="1"/>
  <c r="BN775" i="23" s="1"/>
  <c r="BG787" i="23"/>
  <c r="BI787" i="23" s="1"/>
  <c r="BL787" i="23" s="1"/>
  <c r="BM787" i="23" s="1"/>
  <c r="BN787" i="23" s="1"/>
  <c r="BG113" i="23"/>
  <c r="BI113" i="23" s="1"/>
  <c r="BG416" i="23"/>
  <c r="BI416" i="23" s="1"/>
  <c r="BG10" i="23"/>
  <c r="BI10" i="23" s="1"/>
  <c r="BG41" i="23"/>
  <c r="BI41" i="23" s="1"/>
  <c r="BG69" i="23"/>
  <c r="BI69" i="23" s="1"/>
  <c r="BG94" i="23"/>
  <c r="BI94" i="23" s="1"/>
  <c r="BG123" i="23"/>
  <c r="BI123" i="23" s="1"/>
  <c r="BG151" i="23"/>
  <c r="BI151" i="23" s="1"/>
  <c r="BG176" i="23"/>
  <c r="BI176" i="23" s="1"/>
  <c r="BL176" i="23" s="1"/>
  <c r="BM176" i="23" s="1"/>
  <c r="BN176" i="23" s="1"/>
  <c r="BG199" i="23"/>
  <c r="BI199" i="23" s="1"/>
  <c r="BG222" i="23"/>
  <c r="BI222" i="23" s="1"/>
  <c r="BG244" i="23"/>
  <c r="BI244" i="23" s="1"/>
  <c r="BG262" i="23"/>
  <c r="BI262" i="23" s="1"/>
  <c r="BG281" i="23"/>
  <c r="BI281" i="23" s="1"/>
  <c r="BG298" i="23"/>
  <c r="BI298" i="23" s="1"/>
  <c r="BG317" i="23"/>
  <c r="BI317" i="23" s="1"/>
  <c r="BG334" i="23"/>
  <c r="BI334" i="23" s="1"/>
  <c r="BG350" i="23"/>
  <c r="BI350" i="23" s="1"/>
  <c r="BG364" i="23"/>
  <c r="BI364" i="23" s="1"/>
  <c r="BG378" i="23"/>
  <c r="BI378" i="23" s="1"/>
  <c r="BG392" i="23"/>
  <c r="BI392" i="23" s="1"/>
  <c r="BG407" i="23"/>
  <c r="BI407" i="23" s="1"/>
  <c r="BG422" i="23"/>
  <c r="BI422" i="23" s="1"/>
  <c r="BG436" i="23"/>
  <c r="BI436" i="23" s="1"/>
  <c r="BG450" i="23"/>
  <c r="BI450" i="23" s="1"/>
  <c r="BG464" i="23"/>
  <c r="BI464" i="23" s="1"/>
  <c r="BG479" i="23"/>
  <c r="BI479" i="23" s="1"/>
  <c r="BG494" i="23"/>
  <c r="BI494" i="23" s="1"/>
  <c r="BG508" i="23"/>
  <c r="BI508" i="23" s="1"/>
  <c r="BG522" i="23"/>
  <c r="BI522" i="23" s="1"/>
  <c r="BG536" i="23"/>
  <c r="BI536" i="23" s="1"/>
  <c r="BG828" i="23"/>
  <c r="BI828" i="23" s="1"/>
  <c r="BG557" i="23"/>
  <c r="BI557" i="23" s="1"/>
  <c r="BG571" i="23"/>
  <c r="BI571" i="23" s="1"/>
  <c r="BG584" i="23"/>
  <c r="BI584" i="23" s="1"/>
  <c r="BL584" i="23" s="1"/>
  <c r="BM584" i="23" s="1"/>
  <c r="BN584" i="23" s="1"/>
  <c r="BG597" i="23"/>
  <c r="BI597" i="23" s="1"/>
  <c r="BG610" i="23"/>
  <c r="BI610" i="23" s="1"/>
  <c r="BL610" i="23" s="1"/>
  <c r="BM610" i="23" s="1"/>
  <c r="BN610" i="23" s="1"/>
  <c r="BG623" i="23"/>
  <c r="BI623" i="23" s="1"/>
  <c r="BL623" i="23" s="1"/>
  <c r="BM623" i="23" s="1"/>
  <c r="BN623" i="23" s="1"/>
  <c r="BG636" i="23"/>
  <c r="BI636" i="23" s="1"/>
  <c r="BG805" i="23"/>
  <c r="BI805" i="23" s="1"/>
  <c r="BL805" i="23" s="1"/>
  <c r="BM805" i="23" s="1"/>
  <c r="BN805" i="23" s="1"/>
  <c r="BG817" i="23"/>
  <c r="BI817" i="23" s="1"/>
  <c r="BL817" i="23" s="1"/>
  <c r="BM817" i="23" s="1"/>
  <c r="BN817" i="23" s="1"/>
  <c r="BG649" i="23"/>
  <c r="BI649" i="23" s="1"/>
  <c r="BL649" i="23" s="1"/>
  <c r="BM649" i="23" s="1"/>
  <c r="BN649" i="23" s="1"/>
  <c r="BG661" i="23"/>
  <c r="BI661" i="23" s="1"/>
  <c r="BL661" i="23" s="1"/>
  <c r="BM661" i="23" s="1"/>
  <c r="BN661" i="23" s="1"/>
  <c r="BG673" i="23"/>
  <c r="BI673" i="23" s="1"/>
  <c r="BL673" i="23" s="1"/>
  <c r="BM673" i="23" s="1"/>
  <c r="BN673" i="23" s="1"/>
  <c r="BG685" i="23"/>
  <c r="BI685" i="23" s="1"/>
  <c r="BL685" i="23" s="1"/>
  <c r="BM685" i="23" s="1"/>
  <c r="BN685" i="23" s="1"/>
  <c r="BG697" i="23"/>
  <c r="BI697" i="23" s="1"/>
  <c r="BL697" i="23" s="1"/>
  <c r="BM697" i="23" s="1"/>
  <c r="BN697" i="23" s="1"/>
  <c r="BG704" i="23"/>
  <c r="BI704" i="23" s="1"/>
  <c r="BL704" i="23" s="1"/>
  <c r="BM704" i="23" s="1"/>
  <c r="BN704" i="23" s="1"/>
  <c r="BG716" i="23"/>
  <c r="BI716" i="23" s="1"/>
  <c r="BL716" i="23" s="1"/>
  <c r="BM716" i="23" s="1"/>
  <c r="BN716" i="23" s="1"/>
  <c r="BG728" i="23"/>
  <c r="BI728" i="23" s="1"/>
  <c r="BL728" i="23" s="1"/>
  <c r="BM728" i="23" s="1"/>
  <c r="BN728" i="23" s="1"/>
  <c r="BG740" i="23"/>
  <c r="BI740" i="23" s="1"/>
  <c r="BL740" i="23" s="1"/>
  <c r="BM740" i="23" s="1"/>
  <c r="BN740" i="23" s="1"/>
  <c r="BG752" i="23"/>
  <c r="BI752" i="23" s="1"/>
  <c r="BL752" i="23" s="1"/>
  <c r="BM752" i="23" s="1"/>
  <c r="BN752" i="23" s="1"/>
  <c r="BG764" i="23"/>
  <c r="BI764" i="23" s="1"/>
  <c r="BL764" i="23" s="1"/>
  <c r="BM764" i="23" s="1"/>
  <c r="BN764" i="23" s="1"/>
  <c r="BG776" i="23"/>
  <c r="BI776" i="23" s="1"/>
  <c r="BL776" i="23" s="1"/>
  <c r="BM776" i="23" s="1"/>
  <c r="BN776" i="23" s="1"/>
  <c r="BG139" i="23"/>
  <c r="BI139" i="23" s="1"/>
  <c r="BG374" i="23"/>
  <c r="BI374" i="23" s="1"/>
  <c r="BG16" i="23"/>
  <c r="BI16" i="23" s="1"/>
  <c r="BG42" i="23"/>
  <c r="BI42" i="23" s="1"/>
  <c r="BG70" i="23"/>
  <c r="BI70" i="23" s="1"/>
  <c r="BL70" i="23" s="1"/>
  <c r="BM70" i="23" s="1"/>
  <c r="BN70" i="23" s="1"/>
  <c r="BG95" i="23"/>
  <c r="BI95" i="23" s="1"/>
  <c r="BG124" i="23"/>
  <c r="BI124" i="23" s="1"/>
  <c r="BG152" i="23"/>
  <c r="BI152" i="23" s="1"/>
  <c r="BG182" i="23"/>
  <c r="BI182" i="23" s="1"/>
  <c r="BG202" i="23"/>
  <c r="BI202" i="23" s="1"/>
  <c r="BG223" i="23"/>
  <c r="BI223" i="23" s="1"/>
  <c r="BG245" i="23"/>
  <c r="BI245" i="23" s="1"/>
  <c r="BG263" i="23"/>
  <c r="BI263" i="23" s="1"/>
  <c r="BG282" i="23"/>
  <c r="BI282" i="23" s="1"/>
  <c r="BG299" i="23"/>
  <c r="BI299" i="23" s="1"/>
  <c r="BG318" i="23"/>
  <c r="BI318" i="23" s="1"/>
  <c r="BG335" i="23"/>
  <c r="BI335" i="23" s="1"/>
  <c r="BG351" i="23"/>
  <c r="BI351" i="23" s="1"/>
  <c r="BG365" i="23"/>
  <c r="BI365" i="23" s="1"/>
  <c r="BG379" i="23"/>
  <c r="BI379" i="23" s="1"/>
  <c r="BG394" i="23"/>
  <c r="BI394" i="23" s="1"/>
  <c r="BG408" i="23"/>
  <c r="BI408" i="23" s="1"/>
  <c r="BG423" i="23"/>
  <c r="BI423" i="23" s="1"/>
  <c r="BG437" i="23"/>
  <c r="BI437" i="23" s="1"/>
  <c r="BL437" i="23" s="1"/>
  <c r="BM437" i="23" s="1"/>
  <c r="BN437" i="23" s="1"/>
  <c r="BG451" i="23"/>
  <c r="BI451" i="23" s="1"/>
  <c r="BG466" i="23"/>
  <c r="BI466" i="23" s="1"/>
  <c r="BG480" i="23"/>
  <c r="BI480" i="23" s="1"/>
  <c r="BG495" i="23"/>
  <c r="BI495" i="23" s="1"/>
  <c r="BG509" i="23"/>
  <c r="BI509" i="23" s="1"/>
  <c r="BG523" i="23"/>
  <c r="BI523" i="23" s="1"/>
  <c r="BG538" i="23"/>
  <c r="BI538" i="23" s="1"/>
  <c r="BG829" i="23"/>
  <c r="BI829" i="23" s="1"/>
  <c r="BG558" i="23"/>
  <c r="BI558" i="23" s="1"/>
  <c r="BG572" i="23"/>
  <c r="BI572" i="23" s="1"/>
  <c r="BG585" i="23"/>
  <c r="BI585" i="23" s="1"/>
  <c r="BG598" i="23"/>
  <c r="BI598" i="23" s="1"/>
  <c r="BG611" i="23"/>
  <c r="BI611" i="23" s="1"/>
  <c r="BG625" i="23"/>
  <c r="BI625" i="23" s="1"/>
  <c r="BG637" i="23"/>
  <c r="BI637" i="23" s="1"/>
  <c r="BL637" i="23" s="1"/>
  <c r="BM637" i="23" s="1"/>
  <c r="BN637" i="23" s="1"/>
  <c r="BG806" i="23"/>
  <c r="BI806" i="23" s="1"/>
  <c r="BL806" i="23" s="1"/>
  <c r="BM806" i="23" s="1"/>
  <c r="BN806" i="23" s="1"/>
  <c r="BG818" i="23"/>
  <c r="BI818" i="23" s="1"/>
  <c r="BL818" i="23" s="1"/>
  <c r="BM818" i="23" s="1"/>
  <c r="BN818" i="23" s="1"/>
  <c r="BG650" i="23"/>
  <c r="BI650" i="23" s="1"/>
  <c r="BL650" i="23" s="1"/>
  <c r="BM650" i="23" s="1"/>
  <c r="BN650" i="23" s="1"/>
  <c r="BG662" i="23"/>
  <c r="BI662" i="23" s="1"/>
  <c r="BL662" i="23" s="1"/>
  <c r="BM662" i="23" s="1"/>
  <c r="BN662" i="23" s="1"/>
  <c r="BG674" i="23"/>
  <c r="BI674" i="23" s="1"/>
  <c r="BL674" i="23" s="1"/>
  <c r="BM674" i="23" s="1"/>
  <c r="BN674" i="23" s="1"/>
  <c r="BG686" i="23"/>
  <c r="BI686" i="23" s="1"/>
  <c r="BL686" i="23" s="1"/>
  <c r="BM686" i="23" s="1"/>
  <c r="BN686" i="23" s="1"/>
  <c r="BG698" i="23"/>
  <c r="BI698" i="23" s="1"/>
  <c r="BL698" i="23" s="1"/>
  <c r="BM698" i="23" s="1"/>
  <c r="BN698" i="23" s="1"/>
  <c r="BG705" i="23"/>
  <c r="BI705" i="23" s="1"/>
  <c r="BL705" i="23" s="1"/>
  <c r="BM705" i="23" s="1"/>
  <c r="BN705" i="23" s="1"/>
  <c r="BG717" i="23"/>
  <c r="BI717" i="23" s="1"/>
  <c r="BL717" i="23" s="1"/>
  <c r="BM717" i="23" s="1"/>
  <c r="BN717" i="23" s="1"/>
  <c r="BG729" i="23"/>
  <c r="BI729" i="23" s="1"/>
  <c r="BL729" i="23" s="1"/>
  <c r="BM729" i="23" s="1"/>
  <c r="BN729" i="23" s="1"/>
  <c r="BG741" i="23"/>
  <c r="BI741" i="23" s="1"/>
  <c r="BL741" i="23" s="1"/>
  <c r="BM741" i="23" s="1"/>
  <c r="BN741" i="23" s="1"/>
  <c r="BG753" i="23"/>
  <c r="BI753" i="23" s="1"/>
  <c r="BL753" i="23" s="1"/>
  <c r="BM753" i="23" s="1"/>
  <c r="BN753" i="23" s="1"/>
  <c r="BG765" i="23"/>
  <c r="BI765" i="23" s="1"/>
  <c r="BL765" i="23" s="1"/>
  <c r="BM765" i="23" s="1"/>
  <c r="BN765" i="23" s="1"/>
  <c r="BG777" i="23"/>
  <c r="BI777" i="23" s="1"/>
  <c r="BL777" i="23" s="1"/>
  <c r="BM777" i="23" s="1"/>
  <c r="BN777" i="23" s="1"/>
  <c r="BG3" i="23"/>
  <c r="BI3" i="23" s="1"/>
  <c r="BG235" i="23"/>
  <c r="BI235" i="23" s="1"/>
  <c r="BG17" i="23"/>
  <c r="BI17" i="23" s="1"/>
  <c r="BG43" i="23"/>
  <c r="BI43" i="23" s="1"/>
  <c r="BG71" i="23"/>
  <c r="BI71" i="23" s="1"/>
  <c r="BG102" i="23"/>
  <c r="BI102" i="23" s="1"/>
  <c r="BL102" i="23" s="1"/>
  <c r="BM102" i="23" s="1"/>
  <c r="BN102" i="23" s="1"/>
  <c r="BG127" i="23"/>
  <c r="BI127" i="23" s="1"/>
  <c r="BG153" i="23"/>
  <c r="BI153" i="23" s="1"/>
  <c r="BG183" i="23"/>
  <c r="BI183" i="23" s="1"/>
  <c r="BG203" i="23"/>
  <c r="BI203" i="23" s="1"/>
  <c r="BG224" i="23"/>
  <c r="BI224" i="23" s="1"/>
  <c r="BG246" i="23"/>
  <c r="BI246" i="23" s="1"/>
  <c r="BG264" i="23"/>
  <c r="BI264" i="23" s="1"/>
  <c r="BG283" i="23"/>
  <c r="BI283" i="23" s="1"/>
  <c r="BG300" i="23"/>
  <c r="BI300" i="23" s="1"/>
  <c r="BG319" i="23"/>
  <c r="BI319" i="23" s="1"/>
  <c r="BG336" i="23"/>
  <c r="BI336" i="23" s="1"/>
  <c r="BG352" i="23"/>
  <c r="BI352" i="23" s="1"/>
  <c r="BG366" i="23"/>
  <c r="BI366" i="23" s="1"/>
  <c r="BG380" i="23"/>
  <c r="BI380" i="23" s="1"/>
  <c r="BG395" i="23"/>
  <c r="BI395" i="23" s="1"/>
  <c r="BG410" i="23"/>
  <c r="BI410" i="23" s="1"/>
  <c r="BG424" i="23"/>
  <c r="BI424" i="23" s="1"/>
  <c r="BG438" i="23"/>
  <c r="BI438" i="23" s="1"/>
  <c r="BG452" i="23"/>
  <c r="BI452" i="23" s="1"/>
  <c r="BG467" i="23"/>
  <c r="BI467" i="23" s="1"/>
  <c r="BG482" i="23"/>
  <c r="BI482" i="23" s="1"/>
  <c r="BG496" i="23"/>
  <c r="BI496" i="23" s="1"/>
  <c r="BG510" i="23"/>
  <c r="BI510" i="23" s="1"/>
  <c r="BG524" i="23"/>
  <c r="BI524" i="23" s="1"/>
  <c r="BG539" i="23"/>
  <c r="BI539" i="23" s="1"/>
  <c r="BL539" i="23" s="1"/>
  <c r="BM539" i="23" s="1"/>
  <c r="BN539" i="23" s="1"/>
  <c r="BG831" i="23"/>
  <c r="BI831" i="23" s="1"/>
  <c r="BG559" i="23"/>
  <c r="BI559" i="23" s="1"/>
  <c r="BG573" i="23"/>
  <c r="BI573" i="23" s="1"/>
  <c r="BG586" i="23"/>
  <c r="BI586" i="23" s="1"/>
  <c r="BG599" i="23"/>
  <c r="BI599" i="23" s="1"/>
  <c r="BL599" i="23" s="1"/>
  <c r="BM599" i="23" s="1"/>
  <c r="BN599" i="23" s="1"/>
  <c r="BG613" i="23"/>
  <c r="BI613" i="23" s="1"/>
  <c r="BL613" i="23" s="1"/>
  <c r="BM613" i="23" s="1"/>
  <c r="BN613" i="23" s="1"/>
  <c r="BG626" i="23"/>
  <c r="BI626" i="23" s="1"/>
  <c r="BG638" i="23"/>
  <c r="BI638" i="23" s="1"/>
  <c r="BL638" i="23" s="1"/>
  <c r="BM638" i="23" s="1"/>
  <c r="BN638" i="23" s="1"/>
  <c r="BG807" i="23"/>
  <c r="BI807" i="23" s="1"/>
  <c r="BL807" i="23" s="1"/>
  <c r="BM807" i="23" s="1"/>
  <c r="BN807" i="23" s="1"/>
  <c r="BG819" i="23"/>
  <c r="BI819" i="23" s="1"/>
  <c r="BL819" i="23" s="1"/>
  <c r="BM819" i="23" s="1"/>
  <c r="BN819" i="23" s="1"/>
  <c r="BG651" i="23"/>
  <c r="BI651" i="23" s="1"/>
  <c r="BL651" i="23" s="1"/>
  <c r="BM651" i="23" s="1"/>
  <c r="BN651" i="23" s="1"/>
  <c r="BG663" i="23"/>
  <c r="BI663" i="23" s="1"/>
  <c r="BL663" i="23" s="1"/>
  <c r="BM663" i="23" s="1"/>
  <c r="BN663" i="23" s="1"/>
  <c r="BG675" i="23"/>
  <c r="BI675" i="23" s="1"/>
  <c r="BL675" i="23" s="1"/>
  <c r="BM675" i="23" s="1"/>
  <c r="BN675" i="23" s="1"/>
  <c r="BG687" i="23"/>
  <c r="BI687" i="23" s="1"/>
  <c r="BL687" i="23" s="1"/>
  <c r="BM687" i="23" s="1"/>
  <c r="BN687" i="23" s="1"/>
  <c r="BG699" i="23"/>
  <c r="BI699" i="23" s="1"/>
  <c r="BL699" i="23" s="1"/>
  <c r="BM699" i="23" s="1"/>
  <c r="BN699" i="23" s="1"/>
  <c r="BG706" i="23"/>
  <c r="BI706" i="23" s="1"/>
  <c r="BL706" i="23" s="1"/>
  <c r="BM706" i="23" s="1"/>
  <c r="BN706" i="23" s="1"/>
  <c r="BG718" i="23"/>
  <c r="BI718" i="23" s="1"/>
  <c r="BL718" i="23" s="1"/>
  <c r="BM718" i="23" s="1"/>
  <c r="BN718" i="23" s="1"/>
  <c r="BG730" i="23"/>
  <c r="BI730" i="23" s="1"/>
  <c r="BL730" i="23" s="1"/>
  <c r="BM730" i="23" s="1"/>
  <c r="BN730" i="23" s="1"/>
  <c r="BG742" i="23"/>
  <c r="BI742" i="23" s="1"/>
  <c r="BL742" i="23" s="1"/>
  <c r="BM742" i="23" s="1"/>
  <c r="BN742" i="23" s="1"/>
  <c r="BG754" i="23"/>
  <c r="BI754" i="23" s="1"/>
  <c r="BL754" i="23" s="1"/>
  <c r="BM754" i="23" s="1"/>
  <c r="BN754" i="23" s="1"/>
  <c r="BG766" i="23"/>
  <c r="BI766" i="23" s="1"/>
  <c r="BL766" i="23" s="1"/>
  <c r="BM766" i="23" s="1"/>
  <c r="BN766" i="23" s="1"/>
  <c r="BG778" i="23"/>
  <c r="BI778" i="23" s="1"/>
  <c r="BL778" i="23" s="1"/>
  <c r="BM778" i="23" s="1"/>
  <c r="BN778" i="23" s="1"/>
  <c r="BG4" i="23"/>
  <c r="BI4" i="23" s="1"/>
  <c r="BG167" i="23"/>
  <c r="BI167" i="23" s="1"/>
  <c r="BG388" i="23"/>
  <c r="BI388" i="23" s="1"/>
  <c r="BG21" i="23"/>
  <c r="BI21" i="23" s="1"/>
  <c r="BG46" i="23"/>
  <c r="BI46" i="23" s="1"/>
  <c r="BG75" i="23"/>
  <c r="BI75" i="23" s="1"/>
  <c r="BL75" i="23" s="1"/>
  <c r="BM75" i="23" s="1"/>
  <c r="BN75" i="23" s="1"/>
  <c r="BG103" i="23"/>
  <c r="BI103" i="23" s="1"/>
  <c r="BG128" i="23"/>
  <c r="BI128" i="23" s="1"/>
  <c r="BG154" i="23"/>
  <c r="BI154" i="23" s="1"/>
  <c r="BG184" i="23"/>
  <c r="BI184" i="23" s="1"/>
  <c r="BG208" i="23"/>
  <c r="BI208" i="23" s="1"/>
  <c r="BG227" i="23"/>
  <c r="BI227" i="23" s="1"/>
  <c r="BG247" i="23"/>
  <c r="BI247" i="23" s="1"/>
  <c r="BG268" i="23"/>
  <c r="BI268" i="23" s="1"/>
  <c r="BG284" i="23"/>
  <c r="BI284" i="23" s="1"/>
  <c r="BG304" i="23"/>
  <c r="BI304" i="23" s="1"/>
  <c r="BG320" i="23"/>
  <c r="BI320" i="23" s="1"/>
  <c r="BG338" i="23"/>
  <c r="BI338" i="23" s="1"/>
  <c r="BG353" i="23"/>
  <c r="BI353" i="23" s="1"/>
  <c r="BG367" i="23"/>
  <c r="BI367" i="23" s="1"/>
  <c r="BG382" i="23"/>
  <c r="BI382" i="23" s="1"/>
  <c r="BG396" i="23"/>
  <c r="BI396" i="23" s="1"/>
  <c r="BG411" i="23"/>
  <c r="BI411" i="23" s="1"/>
  <c r="BG425" i="23"/>
  <c r="BI425" i="23" s="1"/>
  <c r="BG439" i="23"/>
  <c r="BI439" i="23" s="1"/>
  <c r="BG454" i="23"/>
  <c r="BI454" i="23" s="1"/>
  <c r="BG468" i="23"/>
  <c r="BI468" i="23" s="1"/>
  <c r="BG483" i="23"/>
  <c r="BI483" i="23" s="1"/>
  <c r="BL483" i="23" s="1"/>
  <c r="BM483" i="23" s="1"/>
  <c r="BN483" i="23" s="1"/>
  <c r="BG497" i="23"/>
  <c r="BI497" i="23" s="1"/>
  <c r="BG511" i="23"/>
  <c r="BI511" i="23" s="1"/>
  <c r="BG526" i="23"/>
  <c r="BI526" i="23" s="1"/>
  <c r="BG540" i="23"/>
  <c r="BI540" i="23" s="1"/>
  <c r="BG832" i="23"/>
  <c r="BI832" i="23" s="1"/>
  <c r="BG560" i="23"/>
  <c r="BI560" i="23" s="1"/>
  <c r="BG574" i="23"/>
  <c r="BI574" i="23" s="1"/>
  <c r="BG587" i="23"/>
  <c r="BI587" i="23" s="1"/>
  <c r="BG601" i="23"/>
  <c r="BI601" i="23" s="1"/>
  <c r="BG614" i="23"/>
  <c r="BI614" i="23" s="1"/>
  <c r="BG627" i="23"/>
  <c r="BI627" i="23" s="1"/>
  <c r="BG639" i="23"/>
  <c r="BI639" i="23" s="1"/>
  <c r="BL639" i="23" s="1"/>
  <c r="BM639" i="23" s="1"/>
  <c r="BN639" i="23" s="1"/>
  <c r="BG808" i="23"/>
  <c r="BI808" i="23" s="1"/>
  <c r="BL808" i="23" s="1"/>
  <c r="BM808" i="23" s="1"/>
  <c r="BN808" i="23" s="1"/>
  <c r="BG640" i="23"/>
  <c r="BI640" i="23" s="1"/>
  <c r="BL640" i="23" s="1"/>
  <c r="BM640" i="23" s="1"/>
  <c r="BN640" i="23" s="1"/>
  <c r="BG652" i="23"/>
  <c r="BI652" i="23" s="1"/>
  <c r="BL652" i="23" s="1"/>
  <c r="BM652" i="23" s="1"/>
  <c r="BN652" i="23" s="1"/>
  <c r="BG664" i="23"/>
  <c r="BI664" i="23" s="1"/>
  <c r="BL664" i="23" s="1"/>
  <c r="BM664" i="23" s="1"/>
  <c r="BN664" i="23" s="1"/>
  <c r="BG676" i="23"/>
  <c r="BI676" i="23" s="1"/>
  <c r="BL676" i="23" s="1"/>
  <c r="BM676" i="23" s="1"/>
  <c r="BN676" i="23" s="1"/>
  <c r="BG688" i="23"/>
  <c r="BI688" i="23" s="1"/>
  <c r="BL688" i="23" s="1"/>
  <c r="BM688" i="23" s="1"/>
  <c r="BN688" i="23" s="1"/>
  <c r="BG700" i="23"/>
  <c r="BI700" i="23" s="1"/>
  <c r="BL700" i="23" s="1"/>
  <c r="BM700" i="23" s="1"/>
  <c r="BN700" i="23" s="1"/>
  <c r="BG707" i="23"/>
  <c r="BI707" i="23" s="1"/>
  <c r="BL707" i="23" s="1"/>
  <c r="BM707" i="23" s="1"/>
  <c r="BN707" i="23" s="1"/>
  <c r="BG719" i="23"/>
  <c r="BI719" i="23" s="1"/>
  <c r="BL719" i="23" s="1"/>
  <c r="BM719" i="23" s="1"/>
  <c r="BN719" i="23" s="1"/>
  <c r="BG731" i="23"/>
  <c r="BI731" i="23" s="1"/>
  <c r="BL731" i="23" s="1"/>
  <c r="BM731" i="23" s="1"/>
  <c r="BN731" i="23" s="1"/>
  <c r="BG743" i="23"/>
  <c r="BI743" i="23" s="1"/>
  <c r="BL743" i="23" s="1"/>
  <c r="BM743" i="23" s="1"/>
  <c r="BN743" i="23" s="1"/>
  <c r="BG755" i="23"/>
  <c r="BI755" i="23" s="1"/>
  <c r="BL755" i="23" s="1"/>
  <c r="BM755" i="23" s="1"/>
  <c r="BN755" i="23" s="1"/>
  <c r="BG767" i="23"/>
  <c r="BI767" i="23" s="1"/>
  <c r="BL767" i="23" s="1"/>
  <c r="BM767" i="23" s="1"/>
  <c r="BN767" i="23" s="1"/>
  <c r="BG779" i="23"/>
  <c r="BI779" i="23" s="1"/>
  <c r="BL779" i="23" s="1"/>
  <c r="BM779" i="23" s="1"/>
  <c r="BN779" i="23" s="1"/>
  <c r="BG31" i="23"/>
  <c r="BI31" i="23" s="1"/>
  <c r="BG402" i="23"/>
  <c r="BI402" i="23" s="1"/>
  <c r="BG22" i="23"/>
  <c r="BI22" i="23" s="1"/>
  <c r="BL22" i="23" s="1"/>
  <c r="BM22" i="23" s="1"/>
  <c r="BN22" i="23" s="1"/>
  <c r="BG47" i="23"/>
  <c r="BI47" i="23" s="1"/>
  <c r="BG76" i="23"/>
  <c r="BI76" i="23" s="1"/>
  <c r="BG104" i="23"/>
  <c r="BI104" i="23" s="1"/>
  <c r="BG135" i="23"/>
  <c r="BI135" i="23" s="1"/>
  <c r="BG160" i="23"/>
  <c r="BI160" i="23" s="1"/>
  <c r="BG185" i="23"/>
  <c r="BI185" i="23" s="1"/>
  <c r="BL185" i="23" s="1"/>
  <c r="BM185" i="23" s="1"/>
  <c r="BN185" i="23" s="1"/>
  <c r="BG209" i="23"/>
  <c r="BI209" i="23" s="1"/>
  <c r="BG228" i="23"/>
  <c r="BI228" i="23" s="1"/>
  <c r="BG248" i="23"/>
  <c r="BI248" i="23" s="1"/>
  <c r="BG269" i="23"/>
  <c r="BI269" i="23" s="1"/>
  <c r="BG286" i="23"/>
  <c r="BI286" i="23" s="1"/>
  <c r="BG305" i="23"/>
  <c r="BI305" i="23" s="1"/>
  <c r="BG322" i="23"/>
  <c r="BI322" i="23" s="1"/>
  <c r="BG340" i="23"/>
  <c r="BI340" i="23" s="1"/>
  <c r="BG354" i="23"/>
  <c r="BI354" i="23" s="1"/>
  <c r="BG368" i="23"/>
  <c r="BI368" i="23" s="1"/>
  <c r="BG383" i="23"/>
  <c r="BI383" i="23" s="1"/>
  <c r="BG398" i="23"/>
  <c r="BI398" i="23" s="1"/>
  <c r="BG412" i="23"/>
  <c r="BI412" i="23" s="1"/>
  <c r="BG426" i="23"/>
  <c r="BI426" i="23" s="1"/>
  <c r="BG440" i="23"/>
  <c r="BI440" i="23" s="1"/>
  <c r="BG455" i="23"/>
  <c r="BI455" i="23" s="1"/>
  <c r="BG470" i="23"/>
  <c r="BI470" i="23" s="1"/>
  <c r="BG484" i="23"/>
  <c r="BI484" i="23" s="1"/>
  <c r="BG498" i="23"/>
  <c r="BI498" i="23" s="1"/>
  <c r="BG512" i="23"/>
  <c r="BI512" i="23" s="1"/>
  <c r="BG527" i="23"/>
  <c r="BI527" i="23" s="1"/>
  <c r="BL527" i="23" s="1"/>
  <c r="BM527" i="23" s="1"/>
  <c r="BN527" i="23" s="1"/>
  <c r="BG542" i="23"/>
  <c r="BI542" i="23" s="1"/>
  <c r="BG547" i="23"/>
  <c r="BI547" i="23" s="1"/>
  <c r="BG561" i="23"/>
  <c r="BI561" i="23" s="1"/>
  <c r="BG575" i="23"/>
  <c r="BI575" i="23" s="1"/>
  <c r="BG589" i="23"/>
  <c r="BI589" i="23" s="1"/>
  <c r="BG602" i="23"/>
  <c r="BI602" i="23" s="1"/>
  <c r="BG615" i="23"/>
  <c r="BI615" i="23" s="1"/>
  <c r="BG628" i="23"/>
  <c r="BI628" i="23" s="1"/>
  <c r="BG797" i="23"/>
  <c r="BI797" i="23" s="1"/>
  <c r="BL797" i="23" s="1"/>
  <c r="BM797" i="23" s="1"/>
  <c r="BN797" i="23" s="1"/>
  <c r="BG809" i="23"/>
  <c r="BI809" i="23" s="1"/>
  <c r="BL809" i="23" s="1"/>
  <c r="BM809" i="23" s="1"/>
  <c r="BN809" i="23" s="1"/>
  <c r="BG641" i="23"/>
  <c r="BI641" i="23" s="1"/>
  <c r="BL641" i="23" s="1"/>
  <c r="BM641" i="23" s="1"/>
  <c r="BN641" i="23" s="1"/>
  <c r="BG653" i="23"/>
  <c r="BI653" i="23" s="1"/>
  <c r="BL653" i="23" s="1"/>
  <c r="BM653" i="23" s="1"/>
  <c r="BN653" i="23" s="1"/>
  <c r="BG665" i="23"/>
  <c r="BI665" i="23" s="1"/>
  <c r="BL665" i="23" s="1"/>
  <c r="BM665" i="23" s="1"/>
  <c r="BN665" i="23" s="1"/>
  <c r="BG677" i="23"/>
  <c r="BI677" i="23" s="1"/>
  <c r="BL677" i="23" s="1"/>
  <c r="BM677" i="23" s="1"/>
  <c r="BN677" i="23" s="1"/>
  <c r="BG689" i="23"/>
  <c r="BI689" i="23" s="1"/>
  <c r="BL689" i="23" s="1"/>
  <c r="BM689" i="23" s="1"/>
  <c r="BN689" i="23" s="1"/>
  <c r="BG796" i="23"/>
  <c r="BI796" i="23" s="1"/>
  <c r="BL796" i="23" s="1"/>
  <c r="BM796" i="23" s="1"/>
  <c r="BN796" i="23" s="1"/>
  <c r="BG708" i="23"/>
  <c r="BI708" i="23" s="1"/>
  <c r="BL708" i="23" s="1"/>
  <c r="BM708" i="23" s="1"/>
  <c r="BN708" i="23" s="1"/>
  <c r="BG720" i="23"/>
  <c r="BI720" i="23" s="1"/>
  <c r="BL720" i="23" s="1"/>
  <c r="BM720" i="23" s="1"/>
  <c r="BN720" i="23" s="1"/>
  <c r="BG732" i="23"/>
  <c r="BI732" i="23" s="1"/>
  <c r="BL732" i="23" s="1"/>
  <c r="BM732" i="23" s="1"/>
  <c r="BN732" i="23" s="1"/>
  <c r="BG744" i="23"/>
  <c r="BI744" i="23" s="1"/>
  <c r="BL744" i="23" s="1"/>
  <c r="BM744" i="23" s="1"/>
  <c r="BN744" i="23" s="1"/>
  <c r="BG756" i="23"/>
  <c r="BI756" i="23" s="1"/>
  <c r="BL756" i="23" s="1"/>
  <c r="BM756" i="23" s="1"/>
  <c r="BN756" i="23" s="1"/>
  <c r="BG768" i="23"/>
  <c r="BI768" i="23" s="1"/>
  <c r="BL768" i="23" s="1"/>
  <c r="BM768" i="23" s="1"/>
  <c r="BN768" i="23" s="1"/>
  <c r="BG780" i="23"/>
  <c r="BI780" i="23" s="1"/>
  <c r="BL780" i="23" s="1"/>
  <c r="BM780" i="23" s="1"/>
  <c r="BN780" i="23" s="1"/>
  <c r="BG88" i="23"/>
  <c r="BI88" i="23" s="1"/>
  <c r="BL88" i="23" s="1"/>
  <c r="BM88" i="23" s="1"/>
  <c r="BN88" i="23" s="1"/>
  <c r="BG215" i="23"/>
  <c r="BI215" i="23" s="1"/>
  <c r="BG257" i="23"/>
  <c r="BI257" i="23" s="1"/>
  <c r="BG293" i="23"/>
  <c r="BI293" i="23" s="1"/>
  <c r="BG344" i="23"/>
  <c r="BI344" i="23" s="1"/>
  <c r="BG431" i="23"/>
  <c r="BI431" i="23" s="1"/>
  <c r="BG446" i="23"/>
  <c r="BI446" i="23" s="1"/>
  <c r="BG503" i="23"/>
  <c r="BI503" i="23" s="1"/>
  <c r="BG518" i="23"/>
  <c r="BI518" i="23" s="1"/>
  <c r="BG23" i="23"/>
  <c r="BI23" i="23" s="1"/>
  <c r="BG54" i="23"/>
  <c r="BI54" i="23" s="1"/>
  <c r="BG79" i="23"/>
  <c r="BI79" i="23" s="1"/>
  <c r="BG105" i="23"/>
  <c r="BI105" i="23" s="1"/>
  <c r="BG136" i="23"/>
  <c r="BI136" i="23" s="1"/>
  <c r="BG161" i="23"/>
  <c r="BI161" i="23" s="1"/>
  <c r="BG186" i="23"/>
  <c r="BI186" i="23" s="1"/>
  <c r="BG210" i="23"/>
  <c r="BI210" i="23" s="1"/>
  <c r="BG232" i="23"/>
  <c r="BI232" i="23" s="1"/>
  <c r="BG251" i="23"/>
  <c r="BI251" i="23" s="1"/>
  <c r="BG270" i="23"/>
  <c r="BI270" i="23" s="1"/>
  <c r="BG287" i="23"/>
  <c r="BI287" i="23" s="1"/>
  <c r="BG306" i="23"/>
  <c r="BI306" i="23" s="1"/>
  <c r="BG323" i="23"/>
  <c r="BI323" i="23" s="1"/>
  <c r="BG341" i="23"/>
  <c r="BI341" i="23" s="1"/>
  <c r="BG355" i="23"/>
  <c r="BI355" i="23" s="1"/>
  <c r="BG370" i="23"/>
  <c r="BI370" i="23" s="1"/>
  <c r="BG384" i="23"/>
  <c r="BI384" i="23" s="1"/>
  <c r="BG399" i="23"/>
  <c r="BI399" i="23" s="1"/>
  <c r="BG413" i="23"/>
  <c r="BI413" i="23" s="1"/>
  <c r="BG427" i="23"/>
  <c r="BI427" i="23" s="1"/>
  <c r="BG442" i="23"/>
  <c r="BI442" i="23" s="1"/>
  <c r="BG456" i="23"/>
  <c r="BI456" i="23" s="1"/>
  <c r="BG471" i="23"/>
  <c r="BI471" i="23" s="1"/>
  <c r="BG485" i="23"/>
  <c r="BI485" i="23" s="1"/>
  <c r="BG499" i="23"/>
  <c r="BI499" i="23" s="1"/>
  <c r="BG514" i="23"/>
  <c r="BI514" i="23" s="1"/>
  <c r="BG528" i="23"/>
  <c r="BI528" i="23" s="1"/>
  <c r="BL528" i="23" s="1"/>
  <c r="BM528" i="23" s="1"/>
  <c r="BN528" i="23" s="1"/>
  <c r="BG543" i="23"/>
  <c r="BI543" i="23" s="1"/>
  <c r="BG548" i="23"/>
  <c r="BI548" i="23" s="1"/>
  <c r="BG562" i="23"/>
  <c r="BI562" i="23" s="1"/>
  <c r="BG577" i="23"/>
  <c r="BI577" i="23" s="1"/>
  <c r="BG590" i="23"/>
  <c r="BI590" i="23" s="1"/>
  <c r="BG603" i="23"/>
  <c r="BI603" i="23" s="1"/>
  <c r="BG616" i="23"/>
  <c r="BI616" i="23" s="1"/>
  <c r="BG629" i="23"/>
  <c r="BI629" i="23" s="1"/>
  <c r="BG798" i="23"/>
  <c r="BI798" i="23" s="1"/>
  <c r="BL798" i="23" s="1"/>
  <c r="BM798" i="23" s="1"/>
  <c r="BN798" i="23" s="1"/>
  <c r="BG810" i="23"/>
  <c r="BI810" i="23" s="1"/>
  <c r="BL810" i="23" s="1"/>
  <c r="BM810" i="23" s="1"/>
  <c r="BN810" i="23" s="1"/>
  <c r="BG642" i="23"/>
  <c r="BI642" i="23" s="1"/>
  <c r="BL642" i="23" s="1"/>
  <c r="BM642" i="23" s="1"/>
  <c r="BN642" i="23" s="1"/>
  <c r="BG654" i="23"/>
  <c r="BI654" i="23" s="1"/>
  <c r="BL654" i="23" s="1"/>
  <c r="BM654" i="23" s="1"/>
  <c r="BN654" i="23" s="1"/>
  <c r="BG666" i="23"/>
  <c r="BI666" i="23" s="1"/>
  <c r="BL666" i="23" s="1"/>
  <c r="BM666" i="23" s="1"/>
  <c r="BN666" i="23" s="1"/>
  <c r="BG678" i="23"/>
  <c r="BI678" i="23" s="1"/>
  <c r="BL678" i="23" s="1"/>
  <c r="BM678" i="23" s="1"/>
  <c r="BN678" i="23" s="1"/>
  <c r="BG690" i="23"/>
  <c r="BI690" i="23" s="1"/>
  <c r="BL690" i="23" s="1"/>
  <c r="BM690" i="23" s="1"/>
  <c r="BN690" i="23" s="1"/>
  <c r="BG820" i="23"/>
  <c r="BI820" i="23" s="1"/>
  <c r="BL820" i="23" s="1"/>
  <c r="BM820" i="23" s="1"/>
  <c r="BN820" i="23" s="1"/>
  <c r="BG709" i="23"/>
  <c r="BI709" i="23" s="1"/>
  <c r="BL709" i="23" s="1"/>
  <c r="BM709" i="23" s="1"/>
  <c r="BN709" i="23" s="1"/>
  <c r="BG721" i="23"/>
  <c r="BI721" i="23" s="1"/>
  <c r="BL721" i="23" s="1"/>
  <c r="BM721" i="23" s="1"/>
  <c r="BN721" i="23" s="1"/>
  <c r="BG733" i="23"/>
  <c r="BI733" i="23" s="1"/>
  <c r="BL733" i="23" s="1"/>
  <c r="BM733" i="23" s="1"/>
  <c r="BN733" i="23" s="1"/>
  <c r="BG745" i="23"/>
  <c r="BI745" i="23" s="1"/>
  <c r="BL745" i="23" s="1"/>
  <c r="BM745" i="23" s="1"/>
  <c r="BN745" i="23" s="1"/>
  <c r="BG757" i="23"/>
  <c r="BI757" i="23" s="1"/>
  <c r="BL757" i="23" s="1"/>
  <c r="BM757" i="23" s="1"/>
  <c r="BN757" i="23" s="1"/>
  <c r="BG769" i="23"/>
  <c r="BI769" i="23" s="1"/>
  <c r="BL769" i="23" s="1"/>
  <c r="BM769" i="23" s="1"/>
  <c r="BN769" i="23" s="1"/>
  <c r="BG781" i="23"/>
  <c r="BI781" i="23" s="1"/>
  <c r="BL781" i="23" s="1"/>
  <c r="BM781" i="23" s="1"/>
  <c r="BN781" i="23" s="1"/>
  <c r="BG57" i="23"/>
  <c r="BI57" i="23" s="1"/>
  <c r="BG359" i="23"/>
  <c r="BI359" i="23" s="1"/>
  <c r="BG27" i="23"/>
  <c r="BI27" i="23" s="1"/>
  <c r="BG55" i="23"/>
  <c r="BI55" i="23" s="1"/>
  <c r="BL55" i="23" s="1"/>
  <c r="BM55" i="23" s="1"/>
  <c r="BN55" i="23" s="1"/>
  <c r="BG80" i="23"/>
  <c r="BI80" i="23" s="1"/>
  <c r="BG106" i="23"/>
  <c r="BI106" i="23" s="1"/>
  <c r="BG137" i="23"/>
  <c r="BI137" i="23" s="1"/>
  <c r="BG165" i="23"/>
  <c r="BI165" i="23" s="1"/>
  <c r="BL165" i="23" s="1"/>
  <c r="BM165" i="23" s="1"/>
  <c r="BN165" i="23" s="1"/>
  <c r="BG189" i="23"/>
  <c r="BI189" i="23" s="1"/>
  <c r="BG211" i="23"/>
  <c r="BI211" i="23" s="1"/>
  <c r="BG233" i="23"/>
  <c r="BI233" i="23" s="1"/>
  <c r="BG252" i="23"/>
  <c r="BI252" i="23" s="1"/>
  <c r="BG271" i="23"/>
  <c r="BI271" i="23" s="1"/>
  <c r="BG288" i="23"/>
  <c r="BI288" i="23" s="1"/>
  <c r="BG307" i="23"/>
  <c r="BI307" i="23" s="1"/>
  <c r="BG324" i="23"/>
  <c r="BI324" i="23" s="1"/>
  <c r="BG342" i="23"/>
  <c r="BI342" i="23" s="1"/>
  <c r="BG356" i="23"/>
  <c r="BI356" i="23" s="1"/>
  <c r="BG371" i="23"/>
  <c r="BI371" i="23" s="1"/>
  <c r="BG386" i="23"/>
  <c r="BI386" i="23" s="1"/>
  <c r="BG400" i="23"/>
  <c r="BI400" i="23" s="1"/>
  <c r="BL400" i="23" s="1"/>
  <c r="BM400" i="23" s="1"/>
  <c r="BN400" i="23" s="1"/>
  <c r="BG414" i="23"/>
  <c r="BI414" i="23" s="1"/>
  <c r="BG428" i="23"/>
  <c r="BI428" i="23" s="1"/>
  <c r="BG443" i="23"/>
  <c r="BI443" i="23" s="1"/>
  <c r="BG458" i="23"/>
  <c r="BI458" i="23" s="1"/>
  <c r="BG472" i="23"/>
  <c r="BI472" i="23" s="1"/>
  <c r="BG486" i="23"/>
  <c r="BI486" i="23" s="1"/>
  <c r="BG500" i="23"/>
  <c r="BI500" i="23" s="1"/>
  <c r="BG515" i="23"/>
  <c r="BI515" i="23" s="1"/>
  <c r="BG530" i="23"/>
  <c r="BI530" i="23" s="1"/>
  <c r="BG544" i="23"/>
  <c r="BI544" i="23" s="1"/>
  <c r="BG549" i="23"/>
  <c r="BI549" i="23" s="1"/>
  <c r="BG563" i="23"/>
  <c r="BI563" i="23" s="1"/>
  <c r="BG578" i="23"/>
  <c r="BI578" i="23" s="1"/>
  <c r="BG591" i="23"/>
  <c r="BI591" i="23" s="1"/>
  <c r="BG604" i="23"/>
  <c r="BI604" i="23" s="1"/>
  <c r="BG617" i="23"/>
  <c r="BI617" i="23" s="1"/>
  <c r="BG630" i="23"/>
  <c r="BI630" i="23" s="1"/>
  <c r="BG799" i="23"/>
  <c r="BI799" i="23" s="1"/>
  <c r="BL799" i="23" s="1"/>
  <c r="BM799" i="23" s="1"/>
  <c r="BN799" i="23" s="1"/>
  <c r="BG811" i="23"/>
  <c r="BI811" i="23" s="1"/>
  <c r="BL811" i="23" s="1"/>
  <c r="BM811" i="23" s="1"/>
  <c r="BN811" i="23" s="1"/>
  <c r="BG643" i="23"/>
  <c r="BI643" i="23" s="1"/>
  <c r="BL643" i="23" s="1"/>
  <c r="BM643" i="23" s="1"/>
  <c r="BN643" i="23" s="1"/>
  <c r="BG655" i="23"/>
  <c r="BI655" i="23" s="1"/>
  <c r="BL655" i="23" s="1"/>
  <c r="BM655" i="23" s="1"/>
  <c r="BN655" i="23" s="1"/>
  <c r="BG667" i="23"/>
  <c r="BI667" i="23" s="1"/>
  <c r="BL667" i="23" s="1"/>
  <c r="BM667" i="23" s="1"/>
  <c r="BN667" i="23" s="1"/>
  <c r="BG679" i="23"/>
  <c r="BI679" i="23" s="1"/>
  <c r="BL679" i="23" s="1"/>
  <c r="BM679" i="23" s="1"/>
  <c r="BN679" i="23" s="1"/>
  <c r="BG691" i="23"/>
  <c r="BI691" i="23" s="1"/>
  <c r="BL691" i="23" s="1"/>
  <c r="BM691" i="23" s="1"/>
  <c r="BN691" i="23" s="1"/>
  <c r="BG821" i="23"/>
  <c r="BI821" i="23" s="1"/>
  <c r="BL821" i="23" s="1"/>
  <c r="BM821" i="23" s="1"/>
  <c r="BN821" i="23" s="1"/>
  <c r="BG710" i="23"/>
  <c r="BI710" i="23" s="1"/>
  <c r="BL710" i="23" s="1"/>
  <c r="BM710" i="23" s="1"/>
  <c r="BN710" i="23" s="1"/>
  <c r="BG722" i="23"/>
  <c r="BI722" i="23" s="1"/>
  <c r="BL722" i="23" s="1"/>
  <c r="BM722" i="23" s="1"/>
  <c r="BN722" i="23" s="1"/>
  <c r="BG734" i="23"/>
  <c r="BI734" i="23" s="1"/>
  <c r="BL734" i="23" s="1"/>
  <c r="BM734" i="23" s="1"/>
  <c r="BN734" i="23" s="1"/>
  <c r="BG746" i="23"/>
  <c r="BI746" i="23" s="1"/>
  <c r="BL746" i="23" s="1"/>
  <c r="BM746" i="23" s="1"/>
  <c r="BN746" i="23" s="1"/>
  <c r="BG758" i="23"/>
  <c r="BI758" i="23" s="1"/>
  <c r="BL758" i="23" s="1"/>
  <c r="BM758" i="23" s="1"/>
  <c r="BN758" i="23" s="1"/>
  <c r="BG770" i="23"/>
  <c r="BI770" i="23" s="1"/>
  <c r="BL770" i="23" s="1"/>
  <c r="BM770" i="23" s="1"/>
  <c r="BN770" i="23" s="1"/>
  <c r="BG782" i="23"/>
  <c r="BI782" i="23" s="1"/>
  <c r="BL782" i="23" s="1"/>
  <c r="BM782" i="23" s="1"/>
  <c r="BN782" i="23" s="1"/>
  <c r="BG274" i="23"/>
  <c r="BI274" i="23" s="1"/>
  <c r="BL274" i="23" s="1"/>
  <c r="BM274" i="23" s="1"/>
  <c r="BN274" i="23" s="1"/>
  <c r="BG474" i="23"/>
  <c r="BI474" i="23" s="1"/>
  <c r="BG28" i="23"/>
  <c r="BI28" i="23" s="1"/>
  <c r="BG56" i="23"/>
  <c r="BI56" i="23" s="1"/>
  <c r="BG87" i="23"/>
  <c r="BI87" i="23" s="1"/>
  <c r="BG112" i="23"/>
  <c r="BI112" i="23" s="1"/>
  <c r="BG138" i="23"/>
  <c r="BI138" i="23" s="1"/>
  <c r="BL138" i="23" s="1"/>
  <c r="BM138" i="23" s="1"/>
  <c r="BN138" i="23" s="1"/>
  <c r="BG166" i="23"/>
  <c r="BI166" i="23" s="1"/>
  <c r="BG190" i="23"/>
  <c r="BI190" i="23" s="1"/>
  <c r="BG212" i="23"/>
  <c r="BI212" i="23" s="1"/>
  <c r="BG234" i="23"/>
  <c r="BI234" i="23" s="1"/>
  <c r="BG256" i="23"/>
  <c r="BI256" i="23" s="1"/>
  <c r="BG272" i="23"/>
  <c r="BI272" i="23" s="1"/>
  <c r="BG292" i="23"/>
  <c r="BI292" i="23" s="1"/>
  <c r="BG308" i="23"/>
  <c r="BI308" i="23" s="1"/>
  <c r="BG328" i="23"/>
  <c r="BI328" i="23" s="1"/>
  <c r="BG343" i="23"/>
  <c r="BI343" i="23" s="1"/>
  <c r="BG358" i="23"/>
  <c r="BI358" i="23" s="1"/>
  <c r="BG372" i="23"/>
  <c r="BI372" i="23" s="1"/>
  <c r="BG387" i="23"/>
  <c r="BI387" i="23" s="1"/>
  <c r="BG401" i="23"/>
  <c r="BI401" i="23" s="1"/>
  <c r="BG415" i="23"/>
  <c r="BI415" i="23" s="1"/>
  <c r="BG430" i="23"/>
  <c r="BI430" i="23" s="1"/>
  <c r="BG444" i="23"/>
  <c r="BI444" i="23" s="1"/>
  <c r="BG459" i="23"/>
  <c r="BI459" i="23" s="1"/>
  <c r="BG473" i="23"/>
  <c r="BI473" i="23" s="1"/>
  <c r="BG487" i="23"/>
  <c r="BI487" i="23" s="1"/>
  <c r="BG502" i="23"/>
  <c r="BI502" i="23" s="1"/>
  <c r="BL502" i="23" s="1"/>
  <c r="BM502" i="23" s="1"/>
  <c r="BN502" i="23" s="1"/>
  <c r="BG516" i="23"/>
  <c r="BI516" i="23" s="1"/>
  <c r="BG531" i="23"/>
  <c r="BI531" i="23" s="1"/>
  <c r="BG545" i="23"/>
  <c r="BI545" i="23" s="1"/>
  <c r="BG550" i="23"/>
  <c r="BI550" i="23" s="1"/>
  <c r="BL550" i="23" s="1"/>
  <c r="BM550" i="23" s="1"/>
  <c r="BN550" i="23" s="1"/>
  <c r="BG565" i="23"/>
  <c r="BI565" i="23" s="1"/>
  <c r="BG579" i="23"/>
  <c r="BI579" i="23" s="1"/>
  <c r="BG592" i="23"/>
  <c r="BI592" i="23" s="1"/>
  <c r="BG605" i="23"/>
  <c r="BI605" i="23" s="1"/>
  <c r="BG618" i="23"/>
  <c r="BI618" i="23" s="1"/>
  <c r="BG631" i="23"/>
  <c r="BI631" i="23" s="1"/>
  <c r="BL631" i="23" s="1"/>
  <c r="BM631" i="23" s="1"/>
  <c r="BN631" i="23" s="1"/>
  <c r="BG800" i="23"/>
  <c r="BI800" i="23" s="1"/>
  <c r="BL800" i="23" s="1"/>
  <c r="BM800" i="23" s="1"/>
  <c r="BN800" i="23" s="1"/>
  <c r="BG812" i="23"/>
  <c r="BI812" i="23" s="1"/>
  <c r="BL812" i="23" s="1"/>
  <c r="BM812" i="23" s="1"/>
  <c r="BN812" i="23" s="1"/>
  <c r="BG644" i="23"/>
  <c r="BI644" i="23" s="1"/>
  <c r="BL644" i="23" s="1"/>
  <c r="BM644" i="23" s="1"/>
  <c r="BN644" i="23" s="1"/>
  <c r="BG656" i="23"/>
  <c r="BI656" i="23" s="1"/>
  <c r="BL656" i="23" s="1"/>
  <c r="BM656" i="23" s="1"/>
  <c r="BN656" i="23" s="1"/>
  <c r="BG668" i="23"/>
  <c r="BI668" i="23" s="1"/>
  <c r="BL668" i="23" s="1"/>
  <c r="BM668" i="23" s="1"/>
  <c r="BN668" i="23" s="1"/>
  <c r="BG680" i="23"/>
  <c r="BI680" i="23" s="1"/>
  <c r="BL680" i="23" s="1"/>
  <c r="BM680" i="23" s="1"/>
  <c r="BN680" i="23" s="1"/>
  <c r="BG692" i="23"/>
  <c r="BI692" i="23" s="1"/>
  <c r="BL692" i="23" s="1"/>
  <c r="BM692" i="23" s="1"/>
  <c r="BN692" i="23" s="1"/>
  <c r="BG822" i="23"/>
  <c r="BI822" i="23" s="1"/>
  <c r="BL822" i="23" s="1"/>
  <c r="BM822" i="23" s="1"/>
  <c r="BN822" i="23" s="1"/>
  <c r="BG711" i="23"/>
  <c r="BI711" i="23" s="1"/>
  <c r="BL711" i="23" s="1"/>
  <c r="BM711" i="23" s="1"/>
  <c r="BN711" i="23" s="1"/>
  <c r="BG723" i="23"/>
  <c r="BI723" i="23" s="1"/>
  <c r="BL723" i="23" s="1"/>
  <c r="BM723" i="23" s="1"/>
  <c r="BN723" i="23" s="1"/>
  <c r="BG735" i="23"/>
  <c r="BI735" i="23" s="1"/>
  <c r="BL735" i="23" s="1"/>
  <c r="BM735" i="23" s="1"/>
  <c r="BN735" i="23" s="1"/>
  <c r="BG747" i="23"/>
  <c r="BI747" i="23" s="1"/>
  <c r="BL747" i="23" s="1"/>
  <c r="BM747" i="23" s="1"/>
  <c r="BN747" i="23" s="1"/>
  <c r="BG759" i="23"/>
  <c r="BI759" i="23" s="1"/>
  <c r="BL759" i="23" s="1"/>
  <c r="BM759" i="23" s="1"/>
  <c r="BN759" i="23" s="1"/>
  <c r="BG771" i="23"/>
  <c r="BI771" i="23" s="1"/>
  <c r="BL771" i="23" s="1"/>
  <c r="BM771" i="23" s="1"/>
  <c r="BN771" i="23" s="1"/>
  <c r="BG783" i="23"/>
  <c r="BI783" i="23" s="1"/>
  <c r="BL783" i="23" s="1"/>
  <c r="BM783" i="23" s="1"/>
  <c r="BN783" i="23" s="1"/>
  <c r="BG6" i="23"/>
  <c r="BI6" i="23" s="1"/>
  <c r="BG310" i="23"/>
  <c r="BI310" i="23" s="1"/>
  <c r="BG632" i="23"/>
  <c r="BI632" i="23" s="1"/>
  <c r="BG748" i="23"/>
  <c r="BI748" i="23" s="1"/>
  <c r="BL748" i="23" s="1"/>
  <c r="BM748" i="23" s="1"/>
  <c r="BN748" i="23" s="1"/>
  <c r="BG801" i="23"/>
  <c r="BI801" i="23" s="1"/>
  <c r="BL801" i="23" s="1"/>
  <c r="BM801" i="23" s="1"/>
  <c r="BN801" i="23" s="1"/>
  <c r="BG760" i="23"/>
  <c r="BI760" i="23" s="1"/>
  <c r="BL760" i="23" s="1"/>
  <c r="BM760" i="23" s="1"/>
  <c r="BN760" i="23" s="1"/>
  <c r="BG724" i="23"/>
  <c r="BI724" i="23" s="1"/>
  <c r="BL724" i="23" s="1"/>
  <c r="BM724" i="23" s="1"/>
  <c r="BN724" i="23" s="1"/>
  <c r="BG736" i="23"/>
  <c r="BI736" i="23" s="1"/>
  <c r="BL736" i="23" s="1"/>
  <c r="BM736" i="23" s="1"/>
  <c r="BN736" i="23" s="1"/>
  <c r="BG460" i="23"/>
  <c r="BI460" i="23" s="1"/>
  <c r="BG813" i="23"/>
  <c r="BI813" i="23" s="1"/>
  <c r="BL813" i="23" s="1"/>
  <c r="BM813" i="23" s="1"/>
  <c r="BN813" i="23" s="1"/>
  <c r="BG772" i="23"/>
  <c r="BI772" i="23" s="1"/>
  <c r="BL772" i="23" s="1"/>
  <c r="BM772" i="23" s="1"/>
  <c r="BN772" i="23" s="1"/>
  <c r="BG645" i="23"/>
  <c r="BI645" i="23" s="1"/>
  <c r="BL645" i="23" s="1"/>
  <c r="BM645" i="23" s="1"/>
  <c r="BN645" i="23" s="1"/>
  <c r="BG488" i="23"/>
  <c r="BI488" i="23" s="1"/>
  <c r="BG784" i="23"/>
  <c r="BI784" i="23" s="1"/>
  <c r="BL784" i="23" s="1"/>
  <c r="BM784" i="23" s="1"/>
  <c r="BN784" i="23" s="1"/>
  <c r="BG532" i="23"/>
  <c r="BI532" i="23" s="1"/>
  <c r="BG657" i="23"/>
  <c r="BI657" i="23" s="1"/>
  <c r="BL657" i="23" s="1"/>
  <c r="BM657" i="23" s="1"/>
  <c r="BN657" i="23" s="1"/>
  <c r="BG546" i="23"/>
  <c r="BI546" i="23" s="1"/>
  <c r="BG669" i="23"/>
  <c r="BI669" i="23" s="1"/>
  <c r="BL669" i="23" s="1"/>
  <c r="BM669" i="23" s="1"/>
  <c r="BN669" i="23" s="1"/>
  <c r="BG606" i="23"/>
  <c r="BI606" i="23" s="1"/>
  <c r="BG551" i="23"/>
  <c r="BI551" i="23" s="1"/>
  <c r="BG681" i="23"/>
  <c r="BI681" i="23" s="1"/>
  <c r="BL681" i="23" s="1"/>
  <c r="BM681" i="23" s="1"/>
  <c r="BN681" i="23" s="1"/>
  <c r="BG693" i="23"/>
  <c r="BI693" i="23" s="1"/>
  <c r="BL693" i="23" s="1"/>
  <c r="BM693" i="23" s="1"/>
  <c r="BN693" i="23" s="1"/>
  <c r="BG619" i="23"/>
  <c r="BI619" i="23" s="1"/>
  <c r="BG566" i="23"/>
  <c r="BI566" i="23" s="1"/>
  <c r="BG580" i="23"/>
  <c r="BI580" i="23" s="1"/>
  <c r="BG823" i="23"/>
  <c r="BI823" i="23" s="1"/>
  <c r="BL823" i="23" s="1"/>
  <c r="BM823" i="23" s="1"/>
  <c r="BN823" i="23" s="1"/>
  <c r="BG593" i="23"/>
  <c r="BI593" i="23" s="1"/>
  <c r="BG712" i="23"/>
  <c r="BI712" i="23" s="1"/>
  <c r="BL712" i="23" s="1"/>
  <c r="BM712" i="23" s="1"/>
  <c r="BN712" i="23" s="1"/>
  <c r="BB758" i="23"/>
  <c r="BC758" i="23" s="1"/>
  <c r="BD758" i="23" s="1"/>
  <c r="BB691" i="23"/>
  <c r="BC691" i="23" s="1"/>
  <c r="BD691" i="23" s="1"/>
  <c r="AY205" i="23"/>
  <c r="AY357" i="23"/>
  <c r="BB753" i="23"/>
  <c r="BC753" i="23" s="1"/>
  <c r="BD753" i="23" s="1"/>
  <c r="BB762" i="23"/>
  <c r="BC762" i="23" s="1"/>
  <c r="BD762" i="23" s="1"/>
  <c r="BB812" i="23"/>
  <c r="BC812" i="23" s="1"/>
  <c r="BD812" i="23" s="1"/>
  <c r="AY405" i="23"/>
  <c r="AY572" i="23"/>
  <c r="BB769" i="23"/>
  <c r="BC769" i="23" s="1"/>
  <c r="BD769" i="23" s="1"/>
  <c r="BB815" i="23"/>
  <c r="BC815" i="23" s="1"/>
  <c r="BD815" i="23" s="1"/>
  <c r="BB779" i="23"/>
  <c r="BC779" i="23" s="1"/>
  <c r="BD779" i="23" s="1"/>
  <c r="BB775" i="23"/>
  <c r="BC775" i="23" s="1"/>
  <c r="BD775" i="23" s="1"/>
  <c r="AY423" i="23"/>
  <c r="BB736" i="23"/>
  <c r="BC736" i="23" s="1"/>
  <c r="BD736" i="23" s="1"/>
  <c r="BB814" i="23"/>
  <c r="BC814" i="23" s="1"/>
  <c r="BD814" i="23" s="1"/>
  <c r="BB640" i="23"/>
  <c r="BC640" i="23" s="1"/>
  <c r="BD640" i="23" s="1"/>
  <c r="BB683" i="23"/>
  <c r="BC683" i="23" s="1"/>
  <c r="BD683" i="23" s="1"/>
  <c r="BB783" i="23"/>
  <c r="BC783" i="23" s="1"/>
  <c r="BD783" i="23" s="1"/>
  <c r="BB672" i="23"/>
  <c r="BC672" i="23" s="1"/>
  <c r="BD672" i="23" s="1"/>
  <c r="BB817" i="23"/>
  <c r="BC817" i="23" s="1"/>
  <c r="BD817" i="23" s="1"/>
  <c r="BB695" i="23"/>
  <c r="BC695" i="23" s="1"/>
  <c r="BD695" i="23" s="1"/>
  <c r="AY381" i="23"/>
  <c r="AY263" i="23"/>
  <c r="BB811" i="23"/>
  <c r="BC811" i="23" s="1"/>
  <c r="BD811" i="23" s="1"/>
  <c r="AX194" i="23"/>
  <c r="BA194" i="23" s="1"/>
  <c r="AX168" i="23"/>
  <c r="BA168" i="23" s="1"/>
  <c r="BI795" i="23"/>
  <c r="BL795" i="23" s="1"/>
  <c r="BM795" i="23" s="1"/>
  <c r="BN795" i="23" s="1"/>
  <c r="AY24" i="23"/>
  <c r="AY632" i="23"/>
  <c r="BB663" i="23"/>
  <c r="BC663" i="23" s="1"/>
  <c r="BD663" i="23" s="1"/>
  <c r="BB699" i="23"/>
  <c r="BC699" i="23" s="1"/>
  <c r="BD699" i="23" s="1"/>
  <c r="AY167" i="23"/>
  <c r="AY412" i="23"/>
  <c r="AY261" i="23"/>
  <c r="AY557" i="23"/>
  <c r="AY276" i="23"/>
  <c r="AY827" i="23"/>
  <c r="AY60" i="23"/>
  <c r="AY128" i="23"/>
  <c r="AY496" i="23"/>
  <c r="BJ506" i="23"/>
  <c r="AY35" i="23"/>
  <c r="AY39" i="23"/>
  <c r="AX45" i="23"/>
  <c r="BA45" i="23" s="1"/>
  <c r="AY264" i="23"/>
  <c r="AY343" i="23"/>
  <c r="AY351" i="23"/>
  <c r="AY440" i="23"/>
  <c r="AY571" i="23"/>
  <c r="AX598" i="23"/>
  <c r="BA598" i="23" s="1"/>
  <c r="AX66" i="23"/>
  <c r="BA66" i="23" s="1"/>
  <c r="BK36" i="23"/>
  <c r="AX39" i="23"/>
  <c r="AZ39" i="23" s="1"/>
  <c r="AX60" i="23"/>
  <c r="AZ60" i="23" s="1"/>
  <c r="BJ113" i="23"/>
  <c r="AX128" i="23"/>
  <c r="BA128" i="23" s="1"/>
  <c r="AY169" i="23"/>
  <c r="AY176" i="23"/>
  <c r="AY182" i="23"/>
  <c r="AY347" i="23"/>
  <c r="BK539" i="23"/>
  <c r="AX564" i="23"/>
  <c r="BA564" i="23" s="1"/>
  <c r="AX220" i="23"/>
  <c r="BA220" i="23" s="1"/>
  <c r="AY312" i="23"/>
  <c r="BK437" i="23"/>
  <c r="AY494" i="23"/>
  <c r="AY613" i="23"/>
  <c r="AY95" i="23"/>
  <c r="AY134" i="23"/>
  <c r="AY198" i="23"/>
  <c r="AX381" i="23"/>
  <c r="AZ381" i="23" s="1"/>
  <c r="AY547" i="23"/>
  <c r="AY570" i="23"/>
  <c r="AY602" i="23"/>
  <c r="AX178" i="23"/>
  <c r="AZ178" i="23" s="1"/>
  <c r="AX184" i="23"/>
  <c r="AZ184" i="23" s="1"/>
  <c r="AX273" i="23"/>
  <c r="AZ273" i="23" s="1"/>
  <c r="AX288" i="23"/>
  <c r="BA288" i="23" s="1"/>
  <c r="AY621" i="23"/>
  <c r="AX17" i="23"/>
  <c r="AZ17" i="23" s="1"/>
  <c r="AX58" i="23"/>
  <c r="BA58" i="23" s="1"/>
  <c r="AY293" i="23"/>
  <c r="AY435" i="23"/>
  <c r="AX502" i="23"/>
  <c r="BA502" i="23" s="1"/>
  <c r="AY507" i="23"/>
  <c r="AY579" i="23"/>
  <c r="AX169" i="23"/>
  <c r="AZ169" i="23" s="1"/>
  <c r="BJ225" i="23"/>
  <c r="AX264" i="23"/>
  <c r="BA264" i="23" s="1"/>
  <c r="AX319" i="23"/>
  <c r="BA319" i="23" s="1"/>
  <c r="BK497" i="23"/>
  <c r="AX276" i="23"/>
  <c r="BA276" i="23" s="1"/>
  <c r="AY410" i="23"/>
  <c r="AY415" i="23"/>
  <c r="AY426" i="23"/>
  <c r="AX447" i="23"/>
  <c r="AZ447" i="23" s="1"/>
  <c r="AY506" i="23"/>
  <c r="AY545" i="23"/>
  <c r="AX561" i="23"/>
  <c r="BA561" i="23" s="1"/>
  <c r="AY564" i="23"/>
  <c r="AX565" i="23"/>
  <c r="BA565" i="23" s="1"/>
  <c r="AY578" i="23"/>
  <c r="AY618" i="23"/>
  <c r="AX20" i="23"/>
  <c r="AZ20" i="23" s="1"/>
  <c r="AY220" i="23"/>
  <c r="AX293" i="23"/>
  <c r="AZ293" i="23" s="1"/>
  <c r="AX302" i="23"/>
  <c r="AZ302" i="23" s="1"/>
  <c r="AX357" i="23"/>
  <c r="BA357" i="23" s="1"/>
  <c r="AY375" i="23"/>
  <c r="AY397" i="23"/>
  <c r="AY830" i="23"/>
  <c r="AY624" i="23"/>
  <c r="AX36" i="23"/>
  <c r="BA36" i="23" s="1"/>
  <c r="AX263" i="23"/>
  <c r="BA263" i="23" s="1"/>
  <c r="AX365" i="23"/>
  <c r="BA365" i="23" s="1"/>
  <c r="AY274" i="23"/>
  <c r="AY309" i="23"/>
  <c r="AX415" i="23"/>
  <c r="BA415" i="23" s="1"/>
  <c r="AX537" i="23"/>
  <c r="AZ537" i="23" s="1"/>
  <c r="AX618" i="23"/>
  <c r="BA618" i="23" s="1"/>
  <c r="AX87" i="23"/>
  <c r="BA87" i="23" s="1"/>
  <c r="AY138" i="23"/>
  <c r="AY164" i="23"/>
  <c r="AY225" i="23"/>
  <c r="AY363" i="23"/>
  <c r="BK406" i="23"/>
  <c r="AY184" i="23"/>
  <c r="AY273" i="23"/>
  <c r="AX456" i="23"/>
  <c r="BA456" i="23" s="1"/>
  <c r="AY566" i="23"/>
  <c r="AY616" i="23"/>
  <c r="BJ45" i="23"/>
  <c r="AY178" i="23"/>
  <c r="AX448" i="23"/>
  <c r="AZ448" i="23" s="1"/>
  <c r="AY491" i="23"/>
  <c r="AY611" i="23"/>
  <c r="AX24" i="23"/>
  <c r="AZ24" i="23" s="1"/>
  <c r="BK237" i="23"/>
  <c r="BK361" i="23"/>
  <c r="AX411" i="23"/>
  <c r="BA411" i="23" s="1"/>
  <c r="AX453" i="23"/>
  <c r="BA453" i="23" s="1"/>
  <c r="BJ27" i="23"/>
  <c r="BK128" i="23"/>
  <c r="BJ254" i="23"/>
  <c r="BK369" i="23"/>
  <c r="AX470" i="23"/>
  <c r="AZ470" i="23" s="1"/>
  <c r="AX632" i="23"/>
  <c r="AZ632" i="23" s="1"/>
  <c r="AX75" i="23"/>
  <c r="BA75" i="23" s="1"/>
  <c r="BK242" i="23"/>
  <c r="BJ261" i="23"/>
  <c r="BK528" i="23"/>
  <c r="BK621" i="23"/>
  <c r="AX95" i="23"/>
  <c r="AZ95" i="23" s="1"/>
  <c r="BK240" i="23"/>
  <c r="BK88" i="23"/>
  <c r="AX320" i="23"/>
  <c r="BA320" i="23" s="1"/>
  <c r="AX556" i="23"/>
  <c r="BA556" i="23" s="1"/>
  <c r="BK372" i="23"/>
  <c r="AX375" i="23"/>
  <c r="BA375" i="23" s="1"/>
  <c r="AX397" i="23"/>
  <c r="AZ397" i="23" s="1"/>
  <c r="BJ470" i="23"/>
  <c r="AX496" i="23"/>
  <c r="BA496" i="23" s="1"/>
  <c r="AX522" i="23"/>
  <c r="BA522" i="23" s="1"/>
  <c r="BJ578" i="23"/>
  <c r="BK72" i="23"/>
  <c r="BJ169" i="23"/>
  <c r="BJ178" i="23"/>
  <c r="BJ557" i="23"/>
  <c r="AY223" i="23"/>
  <c r="BK264" i="23"/>
  <c r="BK475" i="23"/>
  <c r="AX206" i="23"/>
  <c r="BA206" i="23" s="1"/>
  <c r="AX237" i="23"/>
  <c r="BA237" i="23" s="1"/>
  <c r="AX275" i="23"/>
  <c r="AZ275" i="23" s="1"/>
  <c r="BJ298" i="23"/>
  <c r="AX26" i="23"/>
  <c r="BA26" i="23" s="1"/>
  <c r="BK109" i="23"/>
  <c r="BK134" i="23"/>
  <c r="BJ207" i="23"/>
  <c r="AX242" i="23"/>
  <c r="BA242" i="23" s="1"/>
  <c r="BK502" i="23"/>
  <c r="BJ566" i="23"/>
  <c r="BK610" i="23"/>
  <c r="AY637" i="23"/>
  <c r="BJ268" i="23"/>
  <c r="BJ302" i="23"/>
  <c r="AY414" i="23"/>
  <c r="BJ422" i="23"/>
  <c r="AY455" i="23"/>
  <c r="AY464" i="23"/>
  <c r="AX473" i="23"/>
  <c r="BA473" i="23" s="1"/>
  <c r="BJ486" i="23"/>
  <c r="AY510" i="23"/>
  <c r="AX630" i="23"/>
  <c r="AZ630" i="23" s="1"/>
  <c r="BK631" i="23"/>
  <c r="BK635" i="23"/>
  <c r="BK66" i="23"/>
  <c r="AX72" i="23"/>
  <c r="BA72" i="23" s="1"/>
  <c r="AY75" i="23"/>
  <c r="AY96" i="23"/>
  <c r="BJ103" i="23"/>
  <c r="AX229" i="23"/>
  <c r="AY236" i="23"/>
  <c r="AX285" i="23"/>
  <c r="BA285" i="23" s="1"/>
  <c r="BK301" i="23"/>
  <c r="AX336" i="23"/>
  <c r="BA336" i="23" s="1"/>
  <c r="BJ357" i="23"/>
  <c r="AY380" i="23"/>
  <c r="BJ479" i="23"/>
  <c r="BJ58" i="23"/>
  <c r="BJ60" i="23"/>
  <c r="AX91" i="23"/>
  <c r="BA91" i="23" s="1"/>
  <c r="AX162" i="23"/>
  <c r="BA162" i="23" s="1"/>
  <c r="AY168" i="23"/>
  <c r="AY174" i="23"/>
  <c r="AY192" i="23"/>
  <c r="AY209" i="23"/>
  <c r="AY262" i="23"/>
  <c r="AY325" i="23"/>
  <c r="AX380" i="23"/>
  <c r="BA380" i="23" s="1"/>
  <c r="AY385" i="23"/>
  <c r="AX386" i="23"/>
  <c r="BA386" i="23" s="1"/>
  <c r="AX403" i="23"/>
  <c r="BA403" i="23" s="1"/>
  <c r="BJ405" i="23"/>
  <c r="AY483" i="23"/>
  <c r="AX492" i="23"/>
  <c r="BA492" i="23" s="1"/>
  <c r="AX507" i="23"/>
  <c r="BA507" i="23" s="1"/>
  <c r="AY513" i="23"/>
  <c r="AY517" i="23"/>
  <c r="BJ519" i="23"/>
  <c r="AY525" i="23"/>
  <c r="AX526" i="23"/>
  <c r="BA526" i="23" s="1"/>
  <c r="BJ532" i="23"/>
  <c r="BJ545" i="23"/>
  <c r="BJ546" i="23"/>
  <c r="AY560" i="23"/>
  <c r="BJ565" i="23"/>
  <c r="AX576" i="23"/>
  <c r="AY583" i="23"/>
  <c r="BK623" i="23"/>
  <c r="BJ304" i="23"/>
  <c r="BK371" i="23"/>
  <c r="BK389" i="23"/>
  <c r="BJ416" i="23"/>
  <c r="AX485" i="23"/>
  <c r="AZ485" i="23" s="1"/>
  <c r="BK496" i="23"/>
  <c r="AX569" i="23"/>
  <c r="BA569" i="23" s="1"/>
  <c r="AY588" i="23"/>
  <c r="BJ194" i="23"/>
  <c r="AX442" i="23"/>
  <c r="BA442" i="23" s="1"/>
  <c r="AY541" i="23"/>
  <c r="AX35" i="23"/>
  <c r="BA35" i="23" s="1"/>
  <c r="BK48" i="23"/>
  <c r="AY68" i="23"/>
  <c r="AY70" i="23"/>
  <c r="AY87" i="23"/>
  <c r="BK106" i="23"/>
  <c r="AY116" i="23"/>
  <c r="AY165" i="23"/>
  <c r="AX207" i="23"/>
  <c r="AZ207" i="23" s="1"/>
  <c r="AY235" i="23"/>
  <c r="AY253" i="23"/>
  <c r="BJ257" i="23"/>
  <c r="AX262" i="23"/>
  <c r="BA262" i="23" s="1"/>
  <c r="AX412" i="23"/>
  <c r="AZ412" i="23" s="1"/>
  <c r="AY425" i="23"/>
  <c r="AX499" i="23"/>
  <c r="AZ499" i="23" s="1"/>
  <c r="AY540" i="23"/>
  <c r="AX541" i="23"/>
  <c r="BA541" i="23" s="1"/>
  <c r="BJ547" i="23"/>
  <c r="AY575" i="23"/>
  <c r="AY593" i="23"/>
  <c r="BJ605" i="23"/>
  <c r="BK260" i="23"/>
  <c r="BJ284" i="23"/>
  <c r="AX325" i="23"/>
  <c r="BA325" i="23" s="1"/>
  <c r="BK492" i="23"/>
  <c r="AY497" i="23"/>
  <c r="BJ510" i="23"/>
  <c r="AX530" i="23"/>
  <c r="AZ530" i="23" s="1"/>
  <c r="AX44" i="23"/>
  <c r="AZ44" i="23" s="1"/>
  <c r="AX70" i="23"/>
  <c r="BA70" i="23" s="1"/>
  <c r="BK75" i="23"/>
  <c r="BK96" i="23"/>
  <c r="AX191" i="23"/>
  <c r="AZ191" i="23" s="1"/>
  <c r="BJ192" i="23"/>
  <c r="AY202" i="23"/>
  <c r="AX235" i="23"/>
  <c r="BA235" i="23" s="1"/>
  <c r="AX253" i="23"/>
  <c r="AZ253" i="23" s="1"/>
  <c r="AY268" i="23"/>
  <c r="AY304" i="23"/>
  <c r="BJ309" i="23"/>
  <c r="BJ342" i="23"/>
  <c r="AX363" i="23"/>
  <c r="BA363" i="23" s="1"/>
  <c r="BJ385" i="23"/>
  <c r="AX393" i="23"/>
  <c r="AZ393" i="23" s="1"/>
  <c r="BJ412" i="23"/>
  <c r="AY416" i="23"/>
  <c r="AY430" i="23"/>
  <c r="BJ440" i="23"/>
  <c r="BK462" i="23"/>
  <c r="AY480" i="23"/>
  <c r="AX481" i="23"/>
  <c r="BA481" i="23" s="1"/>
  <c r="AY486" i="23"/>
  <c r="AX505" i="23"/>
  <c r="AZ505" i="23" s="1"/>
  <c r="AX529" i="23"/>
  <c r="AZ529" i="23" s="1"/>
  <c r="AY553" i="23"/>
  <c r="AX579" i="23"/>
  <c r="BA579" i="23" s="1"/>
  <c r="BK637" i="23"/>
  <c r="AY320" i="23"/>
  <c r="AX525" i="23"/>
  <c r="BA525" i="23" s="1"/>
  <c r="AX167" i="23"/>
  <c r="AZ167" i="23" s="1"/>
  <c r="AY185" i="23"/>
  <c r="AX198" i="23"/>
  <c r="AX261" i="23"/>
  <c r="AZ261" i="23" s="1"/>
  <c r="AX372" i="23"/>
  <c r="AX469" i="23"/>
  <c r="BA469" i="23" s="1"/>
  <c r="AX825" i="23"/>
  <c r="BA825" i="23" s="1"/>
  <c r="AX830" i="23"/>
  <c r="BA830" i="23" s="1"/>
  <c r="BK571" i="23"/>
  <c r="AY574" i="23"/>
  <c r="BK613" i="23"/>
  <c r="AY278" i="23"/>
  <c r="BJ39" i="23"/>
  <c r="BK68" i="23"/>
  <c r="BK95" i="23"/>
  <c r="BK99" i="23"/>
  <c r="AX164" i="23"/>
  <c r="BA164" i="23" s="1"/>
  <c r="BJ174" i="23"/>
  <c r="AX239" i="23"/>
  <c r="BA239" i="23" s="1"/>
  <c r="AY260" i="23"/>
  <c r="BJ262" i="23"/>
  <c r="BJ263" i="23"/>
  <c r="BJ273" i="23"/>
  <c r="BJ325" i="23"/>
  <c r="BJ364" i="23"/>
  <c r="AY376" i="23"/>
  <c r="BJ402" i="23"/>
  <c r="AY457" i="23"/>
  <c r="BK481" i="23"/>
  <c r="BK483" i="23"/>
  <c r="AY519" i="23"/>
  <c r="AX570" i="23"/>
  <c r="BA570" i="23" s="1"/>
  <c r="BJ575" i="23"/>
  <c r="AX578" i="23"/>
  <c r="AZ578" i="23" s="1"/>
  <c r="BJ636" i="23"/>
  <c r="AY46" i="23"/>
  <c r="BJ231" i="23"/>
  <c r="AX259" i="23"/>
  <c r="BA259" i="23" s="1"/>
  <c r="AY354" i="23"/>
  <c r="AY475" i="23"/>
  <c r="BK620" i="23"/>
  <c r="BK26" i="23"/>
  <c r="AY106" i="23"/>
  <c r="AY135" i="23"/>
  <c r="BK138" i="23"/>
  <c r="AX143" i="23"/>
  <c r="AZ143" i="23" s="1"/>
  <c r="BK165" i="23"/>
  <c r="AX205" i="23"/>
  <c r="AZ205" i="23" s="1"/>
  <c r="BJ206" i="23"/>
  <c r="AY245" i="23"/>
  <c r="BJ253" i="23"/>
  <c r="AY257" i="23"/>
  <c r="AX277" i="23"/>
  <c r="BA277" i="23" s="1"/>
  <c r="BJ354" i="23"/>
  <c r="AX371" i="23"/>
  <c r="AZ371" i="23" s="1"/>
  <c r="AY388" i="23"/>
  <c r="BK407" i="23"/>
  <c r="AX416" i="23"/>
  <c r="AZ416" i="23" s="1"/>
  <c r="BJ425" i="23"/>
  <c r="BK476" i="23"/>
  <c r="AX480" i="23"/>
  <c r="AZ480" i="23" s="1"/>
  <c r="AY485" i="23"/>
  <c r="AX486" i="23"/>
  <c r="AZ486" i="23" s="1"/>
  <c r="BJ529" i="23"/>
  <c r="AX546" i="23"/>
  <c r="AY549" i="23"/>
  <c r="AY569" i="23"/>
  <c r="AX577" i="23"/>
  <c r="BA577" i="23" s="1"/>
  <c r="AY605" i="23"/>
  <c r="AX513" i="23"/>
  <c r="AZ513" i="23" s="1"/>
  <c r="BJ602" i="23"/>
  <c r="BJ629" i="23"/>
  <c r="AY17" i="23"/>
  <c r="BK32" i="23"/>
  <c r="BJ167" i="23"/>
  <c r="BK176" i="23"/>
  <c r="AY229" i="23"/>
  <c r="AX289" i="23"/>
  <c r="BA289" i="23" s="1"/>
  <c r="AY334" i="23"/>
  <c r="AX388" i="23"/>
  <c r="BA388" i="23" s="1"/>
  <c r="AY419" i="23"/>
  <c r="AY442" i="23"/>
  <c r="AX474" i="23"/>
  <c r="AZ474" i="23" s="1"/>
  <c r="AX489" i="23"/>
  <c r="AZ489" i="23" s="1"/>
  <c r="AY501" i="23"/>
  <c r="AY543" i="23"/>
  <c r="BJ827" i="23"/>
  <c r="BJ830" i="23"/>
  <c r="AY565" i="23"/>
  <c r="AY598" i="23"/>
  <c r="BK229" i="23"/>
  <c r="BJ229" i="23"/>
  <c r="BJ44" i="23"/>
  <c r="BK44" i="23"/>
  <c r="BJ61" i="23"/>
  <c r="BK61" i="23"/>
  <c r="AX118" i="23"/>
  <c r="AY119" i="23"/>
  <c r="AY207" i="23"/>
  <c r="AY290" i="23"/>
  <c r="BJ293" i="23"/>
  <c r="BK293" i="23"/>
  <c r="AY532" i="23"/>
  <c r="AX532" i="23"/>
  <c r="BA532" i="23" s="1"/>
  <c r="BJ62" i="23"/>
  <c r="BK62" i="23"/>
  <c r="BK498" i="23"/>
  <c r="BJ498" i="23"/>
  <c r="AX27" i="23"/>
  <c r="BK42" i="23"/>
  <c r="BJ42" i="23"/>
  <c r="AY103" i="23"/>
  <c r="AX115" i="23"/>
  <c r="AZ115" i="23" s="1"/>
  <c r="AX126" i="23"/>
  <c r="AZ126" i="23" s="1"/>
  <c r="AX132" i="23"/>
  <c r="AZ132" i="23" s="1"/>
  <c r="AX202" i="23"/>
  <c r="BA202" i="23" s="1"/>
  <c r="AX230" i="23"/>
  <c r="AX236" i="23"/>
  <c r="BA236" i="23" s="1"/>
  <c r="AY237" i="23"/>
  <c r="AX240" i="23"/>
  <c r="BA240" i="23" s="1"/>
  <c r="BK278" i="23"/>
  <c r="BJ278" i="23"/>
  <c r="AY400" i="23"/>
  <c r="AY417" i="23"/>
  <c r="BJ556" i="23"/>
  <c r="BK556" i="23"/>
  <c r="AX271" i="23"/>
  <c r="BJ279" i="23"/>
  <c r="BK283" i="23"/>
  <c r="BJ283" i="23"/>
  <c r="BJ415" i="23"/>
  <c r="BK415" i="23"/>
  <c r="BK480" i="23"/>
  <c r="BJ480" i="23"/>
  <c r="BK569" i="23"/>
  <c r="BJ569" i="23"/>
  <c r="BK525" i="23"/>
  <c r="BJ525" i="23"/>
  <c r="BK239" i="23"/>
  <c r="BJ239" i="23"/>
  <c r="AY36" i="23"/>
  <c r="AX88" i="23"/>
  <c r="AX103" i="23"/>
  <c r="BJ226" i="23"/>
  <c r="BK226" i="23"/>
  <c r="BJ230" i="23"/>
  <c r="BK230" i="23"/>
  <c r="BJ265" i="23"/>
  <c r="BK265" i="23"/>
  <c r="BJ270" i="23"/>
  <c r="BK299" i="23"/>
  <c r="BJ334" i="23"/>
  <c r="BK334" i="23"/>
  <c r="BJ347" i="23"/>
  <c r="BK347" i="23"/>
  <c r="BK375" i="23"/>
  <c r="BJ375" i="23"/>
  <c r="BJ380" i="23"/>
  <c r="F392" i="23"/>
  <c r="AT392" i="23"/>
  <c r="AY392" i="23" s="1"/>
  <c r="BK392" i="23"/>
  <c r="BJ426" i="23"/>
  <c r="BK426" i="23"/>
  <c r="AY600" i="23"/>
  <c r="AY99" i="23"/>
  <c r="BK238" i="23"/>
  <c r="AY42" i="23"/>
  <c r="BK67" i="23"/>
  <c r="BJ67" i="23"/>
  <c r="BK87" i="23"/>
  <c r="BJ87" i="23"/>
  <c r="AX173" i="23"/>
  <c r="BA173" i="23" s="1"/>
  <c r="BK184" i="23"/>
  <c r="BJ184" i="23"/>
  <c r="BK236" i="23"/>
  <c r="BK243" i="23"/>
  <c r="AX260" i="23"/>
  <c r="BA260" i="23" s="1"/>
  <c r="BK290" i="23"/>
  <c r="BJ290" i="23"/>
  <c r="AY298" i="23"/>
  <c r="AX298" i="23"/>
  <c r="AZ298" i="23" s="1"/>
  <c r="BK501" i="23"/>
  <c r="BJ501" i="23"/>
  <c r="BJ824" i="23"/>
  <c r="BK824" i="23"/>
  <c r="BJ33" i="23"/>
  <c r="BK33" i="23"/>
  <c r="BK485" i="23"/>
  <c r="BJ485" i="23"/>
  <c r="BJ168" i="23"/>
  <c r="BK168" i="23"/>
  <c r="AY22" i="23"/>
  <c r="AY27" i="23"/>
  <c r="AY33" i="23"/>
  <c r="AX62" i="23"/>
  <c r="AX99" i="23"/>
  <c r="BA99" i="23" s="1"/>
  <c r="AY126" i="23"/>
  <c r="AX165" i="23"/>
  <c r="BA165" i="23" s="1"/>
  <c r="BJ198" i="23"/>
  <c r="BJ227" i="23"/>
  <c r="BK376" i="23"/>
  <c r="BJ403" i="23"/>
  <c r="BK403" i="23"/>
  <c r="AY531" i="23"/>
  <c r="BJ825" i="23"/>
  <c r="BK825" i="23"/>
  <c r="BJ553" i="23"/>
  <c r="BK553" i="23"/>
  <c r="BJ24" i="23"/>
  <c r="BK24" i="23"/>
  <c r="BJ114" i="23"/>
  <c r="BK114" i="23"/>
  <c r="BJ581" i="23"/>
  <c r="BK581" i="23"/>
  <c r="BK164" i="23"/>
  <c r="BJ164" i="23"/>
  <c r="BK195" i="23"/>
  <c r="BJ195" i="23"/>
  <c r="BK211" i="23"/>
  <c r="BJ211" i="23"/>
  <c r="BJ216" i="23"/>
  <c r="BK216" i="23"/>
  <c r="AX225" i="23"/>
  <c r="BA225" i="23" s="1"/>
  <c r="BK276" i="23"/>
  <c r="BJ276" i="23"/>
  <c r="AX278" i="23"/>
  <c r="AZ278" i="23" s="1"/>
  <c r="BJ473" i="23"/>
  <c r="BK473" i="23"/>
  <c r="AX490" i="23"/>
  <c r="BA490" i="23" s="1"/>
  <c r="BJ549" i="23"/>
  <c r="BK549" i="23"/>
  <c r="AY20" i="23"/>
  <c r="AX33" i="23"/>
  <c r="BA33" i="23" s="1"/>
  <c r="AX42" i="23"/>
  <c r="BA42" i="23" s="1"/>
  <c r="AY45" i="23"/>
  <c r="AY48" i="23"/>
  <c r="AX55" i="23"/>
  <c r="AZ55" i="23" s="1"/>
  <c r="AY58" i="23"/>
  <c r="AX67" i="23"/>
  <c r="AZ67" i="23" s="1"/>
  <c r="AY88" i="23"/>
  <c r="AX102" i="23"/>
  <c r="BA102" i="23" s="1"/>
  <c r="AY109" i="23"/>
  <c r="AY132" i="23"/>
  <c r="AX135" i="23"/>
  <c r="AZ135" i="23" s="1"/>
  <c r="AX138" i="23"/>
  <c r="AZ138" i="23" s="1"/>
  <c r="AY173" i="23"/>
  <c r="AX182" i="23"/>
  <c r="BA182" i="23" s="1"/>
  <c r="AX211" i="23"/>
  <c r="AZ211" i="23" s="1"/>
  <c r="AY212" i="23"/>
  <c r="AY230" i="23"/>
  <c r="AX234" i="23"/>
  <c r="AZ234" i="23" s="1"/>
  <c r="AY259" i="23"/>
  <c r="AY267" i="23"/>
  <c r="BK269" i="23"/>
  <c r="BJ269" i="23"/>
  <c r="AY277" i="23"/>
  <c r="AY289" i="23"/>
  <c r="BK353" i="23"/>
  <c r="BJ353" i="23"/>
  <c r="AX361" i="23"/>
  <c r="BA361" i="23" s="1"/>
  <c r="BK384" i="23"/>
  <c r="BJ384" i="23"/>
  <c r="AY390" i="23"/>
  <c r="AY391" i="23"/>
  <c r="AX406" i="23"/>
  <c r="AZ406" i="23" s="1"/>
  <c r="AX457" i="23"/>
  <c r="AZ457" i="23" s="1"/>
  <c r="AY458" i="23"/>
  <c r="AY471" i="23"/>
  <c r="AX478" i="23"/>
  <c r="AZ478" i="23" s="1"/>
  <c r="AY490" i="23"/>
  <c r="BK491" i="23"/>
  <c r="BJ491" i="23"/>
  <c r="BK494" i="23"/>
  <c r="BJ494" i="23"/>
  <c r="AX521" i="23"/>
  <c r="BA521" i="23" s="1"/>
  <c r="AY527" i="23"/>
  <c r="AY607" i="23"/>
  <c r="AX627" i="23"/>
  <c r="AX631" i="23"/>
  <c r="BK477" i="23"/>
  <c r="BJ477" i="23"/>
  <c r="AX531" i="23"/>
  <c r="BA531" i="23" s="1"/>
  <c r="AY26" i="23"/>
  <c r="AY61" i="23"/>
  <c r="AY143" i="23"/>
  <c r="AY194" i="23"/>
  <c r="AY238" i="23"/>
  <c r="AX245" i="23"/>
  <c r="BA245" i="23" s="1"/>
  <c r="AY256" i="23"/>
  <c r="AX267" i="23"/>
  <c r="BA267" i="23" s="1"/>
  <c r="AX268" i="23"/>
  <c r="AZ268" i="23" s="1"/>
  <c r="AX283" i="23"/>
  <c r="AX290" i="23"/>
  <c r="AX301" i="23"/>
  <c r="BA301" i="23" s="1"/>
  <c r="BK390" i="23"/>
  <c r="BJ390" i="23"/>
  <c r="AX443" i="23"/>
  <c r="BA443" i="23" s="1"/>
  <c r="AX444" i="23"/>
  <c r="AZ444" i="23" s="1"/>
  <c r="BK457" i="23"/>
  <c r="BJ457" i="23"/>
  <c r="BJ461" i="23"/>
  <c r="BK583" i="23"/>
  <c r="BK611" i="23"/>
  <c r="AX518" i="23"/>
  <c r="AZ518" i="23" s="1"/>
  <c r="AY32" i="23"/>
  <c r="AY44" i="23"/>
  <c r="AX46" i="23"/>
  <c r="BA46" i="23" s="1"/>
  <c r="BK55" i="23"/>
  <c r="AY62" i="23"/>
  <c r="AY66" i="23"/>
  <c r="BK70" i="23"/>
  <c r="AY91" i="23"/>
  <c r="AX106" i="23"/>
  <c r="AY115" i="23"/>
  <c r="AY118" i="23"/>
  <c r="AX134" i="23"/>
  <c r="BA134" i="23" s="1"/>
  <c r="AX176" i="23"/>
  <c r="BJ191" i="23"/>
  <c r="AX193" i="23"/>
  <c r="BA193" i="23" s="1"/>
  <c r="AX223" i="23"/>
  <c r="BA223" i="23" s="1"/>
  <c r="AX226" i="23"/>
  <c r="BA226" i="23" s="1"/>
  <c r="AY242" i="23"/>
  <c r="AT272" i="23"/>
  <c r="AX272" i="23" s="1"/>
  <c r="AX274" i="23"/>
  <c r="BA274" i="23" s="1"/>
  <c r="BJ277" i="23"/>
  <c r="BK277" i="23"/>
  <c r="AY279" i="23"/>
  <c r="AY319" i="23"/>
  <c r="BK365" i="23"/>
  <c r="AX410" i="23"/>
  <c r="BA410" i="23" s="1"/>
  <c r="BJ430" i="23"/>
  <c r="BJ442" i="23"/>
  <c r="BK474" i="23"/>
  <c r="BJ474" i="23"/>
  <c r="AY481" i="23"/>
  <c r="AX483" i="23"/>
  <c r="BJ499" i="23"/>
  <c r="BK499" i="23"/>
  <c r="BK517" i="23"/>
  <c r="AX519" i="23"/>
  <c r="BJ526" i="23"/>
  <c r="BK537" i="23"/>
  <c r="BJ543" i="23"/>
  <c r="BK543" i="23"/>
  <c r="BK560" i="23"/>
  <c r="BJ561" i="23"/>
  <c r="AX593" i="23"/>
  <c r="BA593" i="23" s="1"/>
  <c r="AX605" i="23"/>
  <c r="AZ605" i="23" s="1"/>
  <c r="AY617" i="23"/>
  <c r="BJ633" i="23"/>
  <c r="BK633" i="23"/>
  <c r="AX636" i="23"/>
  <c r="AZ636" i="23" s="1"/>
  <c r="BK579" i="23"/>
  <c r="BJ579" i="23"/>
  <c r="AY67" i="23"/>
  <c r="AY101" i="23"/>
  <c r="BJ126" i="23"/>
  <c r="AX174" i="23"/>
  <c r="BA174" i="23" s="1"/>
  <c r="AX187" i="23"/>
  <c r="BA187" i="23" s="1"/>
  <c r="AY211" i="23"/>
  <c r="AX216" i="23"/>
  <c r="BJ222" i="23"/>
  <c r="AX257" i="23"/>
  <c r="AZ257" i="23" s="1"/>
  <c r="BJ271" i="23"/>
  <c r="F271" i="23"/>
  <c r="AY299" i="23"/>
  <c r="AX353" i="23"/>
  <c r="BA353" i="23" s="1"/>
  <c r="AX360" i="23"/>
  <c r="BA360" i="23" s="1"/>
  <c r="BK391" i="23"/>
  <c r="BK417" i="23"/>
  <c r="AX419" i="23"/>
  <c r="BA419" i="23" s="1"/>
  <c r="AY420" i="23"/>
  <c r="AY461" i="23"/>
  <c r="BJ471" i="23"/>
  <c r="AX494" i="23"/>
  <c r="BA494" i="23" s="1"/>
  <c r="AY495" i="23"/>
  <c r="AY498" i="23"/>
  <c r="BJ518" i="23"/>
  <c r="BK518" i="23"/>
  <c r="BK538" i="23"/>
  <c r="BJ538" i="23"/>
  <c r="AX545" i="23"/>
  <c r="BA545" i="23" s="1"/>
  <c r="AX831" i="23"/>
  <c r="BA831" i="23" s="1"/>
  <c r="AX832" i="23"/>
  <c r="AZ832" i="23" s="1"/>
  <c r="AX581" i="23"/>
  <c r="BA581" i="23" s="1"/>
  <c r="AY591" i="23"/>
  <c r="BJ604" i="23"/>
  <c r="BK604" i="23"/>
  <c r="AX616" i="23"/>
  <c r="BA616" i="23" s="1"/>
  <c r="BK624" i="23"/>
  <c r="BJ624" i="23"/>
  <c r="AY631" i="23"/>
  <c r="BK632" i="23"/>
  <c r="BJ632" i="23"/>
  <c r="AY191" i="23"/>
  <c r="AY195" i="23"/>
  <c r="AY239" i="23"/>
  <c r="AX270" i="23"/>
  <c r="BA270" i="23" s="1"/>
  <c r="AX368" i="23"/>
  <c r="AZ368" i="23" s="1"/>
  <c r="AY373" i="23"/>
  <c r="BJ444" i="23"/>
  <c r="BK444" i="23"/>
  <c r="AY522" i="23"/>
  <c r="AY530" i="23"/>
  <c r="AY561" i="23"/>
  <c r="AX294" i="23"/>
  <c r="AZ294" i="23" s="1"/>
  <c r="AY322" i="23"/>
  <c r="AY361" i="23"/>
  <c r="AY364" i="23"/>
  <c r="AY372" i="23"/>
  <c r="AX377" i="23"/>
  <c r="AY378" i="23"/>
  <c r="AX390" i="23"/>
  <c r="BA390" i="23" s="1"/>
  <c r="AX402" i="23"/>
  <c r="AX405" i="23"/>
  <c r="AX418" i="23"/>
  <c r="AZ418" i="23" s="1"/>
  <c r="AX425" i="23"/>
  <c r="BA425" i="23" s="1"/>
  <c r="AY473" i="23"/>
  <c r="AY478" i="23"/>
  <c r="AY479" i="23"/>
  <c r="AX497" i="23"/>
  <c r="BA497" i="23" s="1"/>
  <c r="AY502" i="23"/>
  <c r="AY505" i="23"/>
  <c r="AX510" i="23"/>
  <c r="AX550" i="23"/>
  <c r="AX557" i="23"/>
  <c r="BA557" i="23" s="1"/>
  <c r="AX584" i="23"/>
  <c r="AZ584" i="23" s="1"/>
  <c r="AY589" i="23"/>
  <c r="AX594" i="23"/>
  <c r="BA594" i="23" s="1"/>
  <c r="AY596" i="23"/>
  <c r="AY623" i="23"/>
  <c r="AY628" i="23"/>
  <c r="AX634" i="23"/>
  <c r="BA634" i="23" s="1"/>
  <c r="AY636" i="23"/>
  <c r="AX571" i="23"/>
  <c r="AX613" i="23"/>
  <c r="BA613" i="23" s="1"/>
  <c r="AX617" i="23"/>
  <c r="AZ617" i="23" s="1"/>
  <c r="AX629" i="23"/>
  <c r="AX635" i="23"/>
  <c r="AZ635" i="23" s="1"/>
  <c r="AY271" i="23"/>
  <c r="AY285" i="23"/>
  <c r="AY302" i="23"/>
  <c r="AX349" i="23"/>
  <c r="AZ349" i="23" s="1"/>
  <c r="AX376" i="23"/>
  <c r="AX378" i="23"/>
  <c r="AZ378" i="23" s="1"/>
  <c r="AX385" i="23"/>
  <c r="AZ385" i="23" s="1"/>
  <c r="AY386" i="23"/>
  <c r="AY393" i="23"/>
  <c r="AX414" i="23"/>
  <c r="BA414" i="23" s="1"/>
  <c r="AY448" i="23"/>
  <c r="AY453" i="23"/>
  <c r="AY456" i="23"/>
  <c r="AY469" i="23"/>
  <c r="AY474" i="23"/>
  <c r="AX475" i="23"/>
  <c r="BA475" i="23" s="1"/>
  <c r="AX479" i="23"/>
  <c r="BA479" i="23" s="1"/>
  <c r="AX495" i="23"/>
  <c r="BA495" i="23" s="1"/>
  <c r="AX506" i="23"/>
  <c r="BA506" i="23" s="1"/>
  <c r="AY520" i="23"/>
  <c r="AY529" i="23"/>
  <c r="AY546" i="23"/>
  <c r="AX549" i="23"/>
  <c r="AX553" i="23"/>
  <c r="AY556" i="23"/>
  <c r="BJ574" i="23"/>
  <c r="AX575" i="23"/>
  <c r="BA575" i="23" s="1"/>
  <c r="BK576" i="23"/>
  <c r="BJ577" i="23"/>
  <c r="BK584" i="23"/>
  <c r="AX589" i="23"/>
  <c r="AX596" i="23"/>
  <c r="BA596" i="23" s="1"/>
  <c r="AY597" i="23"/>
  <c r="BK599" i="23"/>
  <c r="AY604" i="23"/>
  <c r="AY615" i="23"/>
  <c r="BJ616" i="23"/>
  <c r="AX624" i="23"/>
  <c r="BA624" i="23" s="1"/>
  <c r="BK638" i="23"/>
  <c r="AX279" i="23"/>
  <c r="BA279" i="23" s="1"/>
  <c r="AY288" i="23"/>
  <c r="AX299" i="23"/>
  <c r="BA299" i="23" s="1"/>
  <c r="AX304" i="23"/>
  <c r="AX312" i="23"/>
  <c r="AZ312" i="23" s="1"/>
  <c r="AY313" i="23"/>
  <c r="AX334" i="23"/>
  <c r="AX347" i="23"/>
  <c r="BA347" i="23" s="1"/>
  <c r="AX351" i="23"/>
  <c r="AY365" i="23"/>
  <c r="AX373" i="23"/>
  <c r="AX374" i="23"/>
  <c r="AZ374" i="23" s="1"/>
  <c r="AY395" i="23"/>
  <c r="AX400" i="23"/>
  <c r="BA400" i="23" s="1"/>
  <c r="AY407" i="23"/>
  <c r="AX423" i="23"/>
  <c r="AZ423" i="23" s="1"/>
  <c r="AX426" i="23"/>
  <c r="AX430" i="23"/>
  <c r="AZ430" i="23" s="1"/>
  <c r="AX461" i="23"/>
  <c r="AZ461" i="23" s="1"/>
  <c r="AX464" i="23"/>
  <c r="AX491" i="23"/>
  <c r="BA491" i="23" s="1"/>
  <c r="AY492" i="23"/>
  <c r="AX498" i="23"/>
  <c r="BA498" i="23" s="1"/>
  <c r="AY499" i="23"/>
  <c r="AX501" i="23"/>
  <c r="BA501" i="23" s="1"/>
  <c r="AY521" i="23"/>
  <c r="AY526" i="23"/>
  <c r="AX827" i="23"/>
  <c r="AZ827" i="23" s="1"/>
  <c r="AX566" i="23"/>
  <c r="BA566" i="23" s="1"/>
  <c r="AY576" i="23"/>
  <c r="AY581" i="23"/>
  <c r="AX602" i="23"/>
  <c r="AY630" i="23"/>
  <c r="AY633" i="23"/>
  <c r="AX352" i="23"/>
  <c r="AZ352" i="23" s="1"/>
  <c r="AY377" i="23"/>
  <c r="AX383" i="23"/>
  <c r="BA383" i="23" s="1"/>
  <c r="AY402" i="23"/>
  <c r="AY411" i="23"/>
  <c r="AY418" i="23"/>
  <c r="AY443" i="23"/>
  <c r="AY470" i="23"/>
  <c r="AX476" i="23"/>
  <c r="AZ476" i="23" s="1"/>
  <c r="AY477" i="23"/>
  <c r="BJ490" i="23"/>
  <c r="BK527" i="23"/>
  <c r="AX540" i="23"/>
  <c r="BA540" i="23" s="1"/>
  <c r="AX547" i="23"/>
  <c r="BA547" i="23" s="1"/>
  <c r="AY550" i="23"/>
  <c r="BK550" i="23"/>
  <c r="AX572" i="23"/>
  <c r="AX583" i="23"/>
  <c r="BA583" i="23" s="1"/>
  <c r="AY584" i="23"/>
  <c r="BJ591" i="23"/>
  <c r="BK594" i="23"/>
  <c r="AX604" i="23"/>
  <c r="AX611" i="23"/>
  <c r="BA611" i="23" s="1"/>
  <c r="AX614" i="23"/>
  <c r="AZ614" i="23" s="1"/>
  <c r="AX615" i="23"/>
  <c r="BA615" i="23" s="1"/>
  <c r="E334" i="23"/>
  <c r="AR577" i="23"/>
  <c r="AY577" i="23" s="1"/>
  <c r="AT13" i="23"/>
  <c r="AY13" i="23" s="1"/>
  <c r="F13" i="23"/>
  <c r="BJ13" i="23"/>
  <c r="AR606" i="23"/>
  <c r="AR94" i="23"/>
  <c r="E104" i="23"/>
  <c r="AR537" i="23"/>
  <c r="AY537" i="23" s="1"/>
  <c r="BJ125" i="23"/>
  <c r="BK125" i="23"/>
  <c r="AT125" i="23"/>
  <c r="E447" i="23"/>
  <c r="AR447" i="23"/>
  <c r="AY447" i="23" s="1"/>
  <c r="AR371" i="23"/>
  <c r="AY371" i="23" s="1"/>
  <c r="AR43" i="23"/>
  <c r="AR18" i="23"/>
  <c r="F125" i="23"/>
  <c r="E166" i="23"/>
  <c r="E18" i="23"/>
  <c r="E175" i="23"/>
  <c r="E448" i="23"/>
  <c r="AR580" i="23"/>
  <c r="BK22" i="23"/>
  <c r="BK46" i="23"/>
  <c r="BJ46" i="23"/>
  <c r="AX68" i="23"/>
  <c r="AX96" i="23"/>
  <c r="BK51" i="23"/>
  <c r="BJ51" i="23"/>
  <c r="E106" i="23"/>
  <c r="AY113" i="23"/>
  <c r="AX22" i="23"/>
  <c r="AX109" i="23"/>
  <c r="AX32" i="23"/>
  <c r="AX48" i="23"/>
  <c r="AX61" i="23"/>
  <c r="AY72" i="23"/>
  <c r="AX101" i="23"/>
  <c r="BK102" i="23"/>
  <c r="AY51" i="23"/>
  <c r="AX113" i="23"/>
  <c r="AY133" i="23"/>
  <c r="AX133" i="23"/>
  <c r="BJ35" i="23"/>
  <c r="AX51" i="23"/>
  <c r="AY55" i="23"/>
  <c r="AY114" i="23"/>
  <c r="BK235" i="23"/>
  <c r="BJ235" i="23"/>
  <c r="BJ17" i="23"/>
  <c r="BJ20" i="23"/>
  <c r="E72" i="23"/>
  <c r="BJ91" i="23"/>
  <c r="AX114" i="23"/>
  <c r="AX116" i="23"/>
  <c r="BK119" i="23"/>
  <c r="BJ119" i="23"/>
  <c r="BJ101" i="23"/>
  <c r="BK252" i="23"/>
  <c r="BJ252" i="23"/>
  <c r="AY102" i="23"/>
  <c r="BK116" i="23"/>
  <c r="BJ116" i="23"/>
  <c r="AX119" i="23"/>
  <c r="E124" i="23"/>
  <c r="AR124" i="23"/>
  <c r="BK135" i="23"/>
  <c r="BJ135" i="23"/>
  <c r="AY137" i="23"/>
  <c r="AX137" i="23"/>
  <c r="AX188" i="23"/>
  <c r="AY188" i="23"/>
  <c r="AY163" i="23"/>
  <c r="AX163" i="23"/>
  <c r="BK115" i="23"/>
  <c r="BK118" i="23"/>
  <c r="BK143" i="23"/>
  <c r="AX161" i="23"/>
  <c r="BK223" i="23"/>
  <c r="BJ223" i="23"/>
  <c r="BJ163" i="23"/>
  <c r="AX185" i="23"/>
  <c r="BK173" i="23"/>
  <c r="BJ173" i="23"/>
  <c r="BK187" i="23"/>
  <c r="BJ193" i="23"/>
  <c r="BK193" i="23"/>
  <c r="BK205" i="23"/>
  <c r="BJ205" i="23"/>
  <c r="BK220" i="23"/>
  <c r="BJ220" i="23"/>
  <c r="AX269" i="23"/>
  <c r="AY269" i="23"/>
  <c r="BJ133" i="23"/>
  <c r="BJ137" i="23"/>
  <c r="AY161" i="23"/>
  <c r="BK185" i="23"/>
  <c r="AX192" i="23"/>
  <c r="BJ132" i="23"/>
  <c r="BK161" i="23"/>
  <c r="BJ161" i="23"/>
  <c r="AY162" i="23"/>
  <c r="BK202" i="23"/>
  <c r="BJ202" i="23"/>
  <c r="AY243" i="23"/>
  <c r="AY252" i="23"/>
  <c r="AX252" i="23"/>
  <c r="BK162" i="23"/>
  <c r="BJ162" i="23"/>
  <c r="AX222" i="23"/>
  <c r="AY226" i="23"/>
  <c r="AX231" i="23"/>
  <c r="AY234" i="23"/>
  <c r="BK234" i="23"/>
  <c r="BJ234" i="23"/>
  <c r="AY240" i="23"/>
  <c r="BJ288" i="23"/>
  <c r="BK288" i="23"/>
  <c r="AX209" i="23"/>
  <c r="BK212" i="23"/>
  <c r="BJ212" i="23"/>
  <c r="AY227" i="23"/>
  <c r="AX238" i="23"/>
  <c r="BJ245" i="23"/>
  <c r="AX247" i="23"/>
  <c r="BJ256" i="23"/>
  <c r="AX212" i="23"/>
  <c r="AY216" i="23"/>
  <c r="AX227" i="23"/>
  <c r="AX243" i="23"/>
  <c r="AY254" i="23"/>
  <c r="AX254" i="23"/>
  <c r="BJ272" i="23"/>
  <c r="BK272" i="23"/>
  <c r="BJ182" i="23"/>
  <c r="BJ188" i="23"/>
  <c r="AX195" i="23"/>
  <c r="AR206" i="23"/>
  <c r="AY206" i="23" s="1"/>
  <c r="AY222" i="23"/>
  <c r="AY231" i="23"/>
  <c r="BJ247" i="23"/>
  <c r="BK247" i="23"/>
  <c r="AX256" i="23"/>
  <c r="BK289" i="23"/>
  <c r="AY187" i="23"/>
  <c r="AY193" i="23"/>
  <c r="BK209" i="23"/>
  <c r="BJ209" i="23"/>
  <c r="AY247" i="23"/>
  <c r="AX265" i="23"/>
  <c r="BK267" i="23"/>
  <c r="AY342" i="23"/>
  <c r="AX342" i="23"/>
  <c r="AY275" i="23"/>
  <c r="AY283" i="23"/>
  <c r="AY284" i="23"/>
  <c r="BK285" i="23"/>
  <c r="BJ285" i="23"/>
  <c r="BJ259" i="23"/>
  <c r="BK274" i="23"/>
  <c r="BK294" i="23"/>
  <c r="AY265" i="23"/>
  <c r="AY270" i="23"/>
  <c r="AX284" i="23"/>
  <c r="AX313" i="23"/>
  <c r="BK336" i="23"/>
  <c r="BJ336" i="23"/>
  <c r="AY353" i="23"/>
  <c r="BJ275" i="23"/>
  <c r="AY301" i="23"/>
  <c r="AY336" i="23"/>
  <c r="AX322" i="23"/>
  <c r="AY294" i="23"/>
  <c r="AT305" i="23"/>
  <c r="AX305" i="23" s="1"/>
  <c r="F305" i="23"/>
  <c r="AX309" i="23"/>
  <c r="BJ312" i="23"/>
  <c r="BK313" i="23"/>
  <c r="BK320" i="23"/>
  <c r="AX369" i="23"/>
  <c r="AY369" i="23"/>
  <c r="E317" i="23"/>
  <c r="AR317" i="23"/>
  <c r="BJ319" i="23"/>
  <c r="BK322" i="23"/>
  <c r="BJ322" i="23"/>
  <c r="BJ351" i="23"/>
  <c r="BK351" i="23"/>
  <c r="BK478" i="23"/>
  <c r="BJ478" i="23"/>
  <c r="AX364" i="23"/>
  <c r="AY368" i="23"/>
  <c r="BK373" i="23"/>
  <c r="BJ373" i="23"/>
  <c r="BK386" i="23"/>
  <c r="BJ386" i="23"/>
  <c r="AX354" i="23"/>
  <c r="BK418" i="23"/>
  <c r="BJ418" i="23"/>
  <c r="BK423" i="23"/>
  <c r="BJ423" i="23"/>
  <c r="AY384" i="23"/>
  <c r="AX384" i="23"/>
  <c r="AY404" i="23"/>
  <c r="AX404" i="23"/>
  <c r="AX343" i="23"/>
  <c r="BJ343" i="23"/>
  <c r="AY360" i="23"/>
  <c r="BK360" i="23"/>
  <c r="BJ360" i="23"/>
  <c r="AY374" i="23"/>
  <c r="BK381" i="23"/>
  <c r="BJ381" i="23"/>
  <c r="BK414" i="23"/>
  <c r="BJ414" i="23"/>
  <c r="AY349" i="23"/>
  <c r="BK349" i="23"/>
  <c r="BJ349" i="23"/>
  <c r="AY352" i="23"/>
  <c r="BK352" i="23"/>
  <c r="BJ352" i="23"/>
  <c r="AY383" i="23"/>
  <c r="AY389" i="23"/>
  <c r="AX389" i="23"/>
  <c r="BK404" i="23"/>
  <c r="BJ404" i="23"/>
  <c r="BJ368" i="23"/>
  <c r="E371" i="23"/>
  <c r="BJ374" i="23"/>
  <c r="BK400" i="23"/>
  <c r="AY422" i="23"/>
  <c r="BJ453" i="23"/>
  <c r="BK453" i="23"/>
  <c r="AY403" i="23"/>
  <c r="AY437" i="23"/>
  <c r="AX437" i="23"/>
  <c r="E406" i="23"/>
  <c r="AR406" i="23"/>
  <c r="AY406" i="23" s="1"/>
  <c r="BJ456" i="23"/>
  <c r="BK456" i="23"/>
  <c r="BJ363" i="23"/>
  <c r="BJ383" i="23"/>
  <c r="BJ388" i="23"/>
  <c r="BK393" i="23"/>
  <c r="AX395" i="23"/>
  <c r="BJ395" i="23"/>
  <c r="AX407" i="23"/>
  <c r="BJ410" i="23"/>
  <c r="BK411" i="23"/>
  <c r="AX417" i="23"/>
  <c r="BJ419" i="23"/>
  <c r="AX422" i="23"/>
  <c r="BK435" i="23"/>
  <c r="BJ435" i="23"/>
  <c r="BJ377" i="23"/>
  <c r="BJ378" i="23"/>
  <c r="AX391" i="23"/>
  <c r="BJ397" i="23"/>
  <c r="AT431" i="23"/>
  <c r="AY431" i="23" s="1"/>
  <c r="F431" i="23"/>
  <c r="BK443" i="23"/>
  <c r="BJ443" i="23"/>
  <c r="E446" i="23"/>
  <c r="AR446" i="23"/>
  <c r="AX462" i="23"/>
  <c r="AX484" i="23"/>
  <c r="AX420" i="23"/>
  <c r="BJ420" i="23"/>
  <c r="BJ455" i="23"/>
  <c r="BJ458" i="23"/>
  <c r="F467" i="23"/>
  <c r="AT467" i="23"/>
  <c r="AY467" i="23" s="1"/>
  <c r="BK484" i="23"/>
  <c r="BJ484" i="23"/>
  <c r="AX435" i="23"/>
  <c r="BJ464" i="23"/>
  <c r="BK469" i="23"/>
  <c r="AY476" i="23"/>
  <c r="BK495" i="23"/>
  <c r="BJ495" i="23"/>
  <c r="AX440" i="23"/>
  <c r="AY444" i="23"/>
  <c r="AX455" i="23"/>
  <c r="AX458" i="23"/>
  <c r="AY462" i="23"/>
  <c r="AX471" i="23"/>
  <c r="AX477" i="23"/>
  <c r="AY484" i="23"/>
  <c r="BK507" i="23"/>
  <c r="BJ507" i="23"/>
  <c r="AY504" i="23"/>
  <c r="BJ447" i="23"/>
  <c r="BJ448" i="23"/>
  <c r="BK489" i="23"/>
  <c r="BJ489" i="23"/>
  <c r="AX504" i="23"/>
  <c r="BK541" i="23"/>
  <c r="BJ541" i="23"/>
  <c r="AY489" i="23"/>
  <c r="BJ520" i="23"/>
  <c r="BK520" i="23"/>
  <c r="BK513" i="23"/>
  <c r="BJ513" i="23"/>
  <c r="BK531" i="23"/>
  <c r="BJ531" i="23"/>
  <c r="AY824" i="23"/>
  <c r="AY518" i="23"/>
  <c r="AY528" i="23"/>
  <c r="AY539" i="23"/>
  <c r="AX517" i="23"/>
  <c r="E524" i="23"/>
  <c r="AR524" i="23"/>
  <c r="AY538" i="23"/>
  <c r="AX520" i="23"/>
  <c r="AX528" i="23"/>
  <c r="BJ505" i="23"/>
  <c r="BK530" i="23"/>
  <c r="BJ530" i="23"/>
  <c r="AX539" i="23"/>
  <c r="BJ504" i="23"/>
  <c r="BJ522" i="23"/>
  <c r="AX538" i="23"/>
  <c r="BK540" i="23"/>
  <c r="BJ540" i="23"/>
  <c r="BK521" i="23"/>
  <c r="BJ521" i="23"/>
  <c r="AX527" i="23"/>
  <c r="AX543" i="23"/>
  <c r="AY573" i="23"/>
  <c r="AX573" i="23"/>
  <c r="AX824" i="23"/>
  <c r="AY825" i="23"/>
  <c r="AY832" i="23"/>
  <c r="BK555" i="23"/>
  <c r="BJ555" i="23"/>
  <c r="AY831" i="23"/>
  <c r="BJ598" i="23"/>
  <c r="BK598" i="23"/>
  <c r="BK831" i="23"/>
  <c r="AY555" i="23"/>
  <c r="AX555" i="23"/>
  <c r="BJ832" i="23"/>
  <c r="AX560" i="23"/>
  <c r="BJ564" i="23"/>
  <c r="BK572" i="23"/>
  <c r="BJ572" i="23"/>
  <c r="AX574" i="23"/>
  <c r="BJ589" i="23"/>
  <c r="BK589" i="23"/>
  <c r="E561" i="23"/>
  <c r="AX610" i="23"/>
  <c r="AY610" i="23"/>
  <c r="BJ617" i="23"/>
  <c r="BK617" i="23"/>
  <c r="BK588" i="23"/>
  <c r="BJ588" i="23"/>
  <c r="BK597" i="23"/>
  <c r="BJ597" i="23"/>
  <c r="BK573" i="23"/>
  <c r="BJ573" i="23"/>
  <c r="BK600" i="23"/>
  <c r="BJ600" i="23"/>
  <c r="AR558" i="23"/>
  <c r="BK570" i="23"/>
  <c r="BK593" i="23"/>
  <c r="BJ593" i="23"/>
  <c r="AX620" i="23"/>
  <c r="AY620" i="23"/>
  <c r="AX588" i="23"/>
  <c r="AX595" i="23"/>
  <c r="AX597" i="23"/>
  <c r="BK628" i="23"/>
  <c r="BJ628" i="23"/>
  <c r="AX591" i="23"/>
  <c r="AX601" i="23"/>
  <c r="BJ607" i="23"/>
  <c r="BK607" i="23"/>
  <c r="BK615" i="23"/>
  <c r="BJ615" i="23"/>
  <c r="BK630" i="23"/>
  <c r="BJ630" i="23"/>
  <c r="BK596" i="23"/>
  <c r="BJ596" i="23"/>
  <c r="AX599" i="23"/>
  <c r="AX607" i="23"/>
  <c r="BK634" i="23"/>
  <c r="BJ634" i="23"/>
  <c r="AY595" i="23"/>
  <c r="BK595" i="23"/>
  <c r="BJ595" i="23"/>
  <c r="BJ601" i="23"/>
  <c r="BK601" i="23"/>
  <c r="AY594" i="23"/>
  <c r="AY599" i="23"/>
  <c r="AX600" i="23"/>
  <c r="AY601" i="23"/>
  <c r="AY614" i="23"/>
  <c r="BK614" i="23"/>
  <c r="BJ614" i="23"/>
  <c r="BK618" i="23"/>
  <c r="AX623" i="23"/>
  <c r="AY629" i="23"/>
  <c r="AQ807" i="23"/>
  <c r="E807" i="23"/>
  <c r="AX638" i="23"/>
  <c r="AX621" i="23"/>
  <c r="AY627" i="23"/>
  <c r="AY635" i="23"/>
  <c r="AX637" i="23"/>
  <c r="AX628" i="23"/>
  <c r="AY634" i="23"/>
  <c r="AY638" i="23"/>
  <c r="AX633" i="23"/>
  <c r="BJ627" i="23"/>
  <c r="AZ194" i="23" l="1"/>
  <c r="BB194" i="23" s="1"/>
  <c r="BC194" i="23" s="1"/>
  <c r="BD194" i="23" s="1"/>
  <c r="AZ365" i="23"/>
  <c r="BA381" i="23"/>
  <c r="BB184" i="23"/>
  <c r="BC184" i="23" s="1"/>
  <c r="BD184" i="23" s="1"/>
  <c r="AZ522" i="23"/>
  <c r="BB522" i="23" s="1"/>
  <c r="BC522" i="23" s="1"/>
  <c r="BD522" i="23" s="1"/>
  <c r="AZ526" i="23"/>
  <c r="BB526" i="23" s="1"/>
  <c r="BC526" i="23" s="1"/>
  <c r="BD526" i="23" s="1"/>
  <c r="AZ494" i="23"/>
  <c r="BB494" i="23" s="1"/>
  <c r="BC494" i="23" s="1"/>
  <c r="BD494" i="23" s="1"/>
  <c r="BA368" i="23"/>
  <c r="BB368" i="23" s="1"/>
  <c r="BC368" i="23" s="1"/>
  <c r="BD368" i="23" s="1"/>
  <c r="AZ380" i="23"/>
  <c r="BB380" i="23" s="1"/>
  <c r="BC380" i="23" s="1"/>
  <c r="BD380" i="23" s="1"/>
  <c r="BA584" i="23"/>
  <c r="BA184" i="23"/>
  <c r="BA513" i="23"/>
  <c r="BB513" i="23" s="1"/>
  <c r="BC513" i="23" s="1"/>
  <c r="BD513" i="23" s="1"/>
  <c r="BA827" i="23"/>
  <c r="AZ557" i="23"/>
  <c r="BB557" i="23" s="1"/>
  <c r="BC557" i="23" s="1"/>
  <c r="BD557" i="23" s="1"/>
  <c r="AZ168" i="23"/>
  <c r="BB168" i="23" s="1"/>
  <c r="BC168" i="23" s="1"/>
  <c r="BD168" i="23" s="1"/>
  <c r="BL299" i="23"/>
  <c r="BM299" i="23" s="1"/>
  <c r="BN299" i="23" s="1"/>
  <c r="BL106" i="23"/>
  <c r="BM106" i="23" s="1"/>
  <c r="BN106" i="23" s="1"/>
  <c r="BL134" i="23"/>
  <c r="BM134" i="23" s="1"/>
  <c r="BN134" i="23" s="1"/>
  <c r="BL225" i="23"/>
  <c r="BM225" i="23" s="1"/>
  <c r="BN225" i="23" s="1"/>
  <c r="BL416" i="23"/>
  <c r="BM416" i="23" s="1"/>
  <c r="BN416" i="23" s="1"/>
  <c r="BL361" i="23"/>
  <c r="BM361" i="23" s="1"/>
  <c r="BN361" i="23" s="1"/>
  <c r="BL270" i="23"/>
  <c r="BM270" i="23" s="1"/>
  <c r="BN270" i="23" s="1"/>
  <c r="BL412" i="23"/>
  <c r="BM412" i="23" s="1"/>
  <c r="BN412" i="23" s="1"/>
  <c r="BL425" i="23"/>
  <c r="BM425" i="23" s="1"/>
  <c r="BN425" i="23" s="1"/>
  <c r="AZ202" i="23"/>
  <c r="BB202" i="23" s="1"/>
  <c r="BC202" i="23" s="1"/>
  <c r="BD202" i="23" s="1"/>
  <c r="BB385" i="23"/>
  <c r="BC385" i="23" s="1"/>
  <c r="BD385" i="23" s="1"/>
  <c r="AZ360" i="23"/>
  <c r="BB360" i="23" s="1"/>
  <c r="BC360" i="23" s="1"/>
  <c r="BD360" i="23" s="1"/>
  <c r="BA485" i="23"/>
  <c r="BB205" i="23"/>
  <c r="BC205" i="23" s="1"/>
  <c r="BD205" i="23" s="1"/>
  <c r="BL229" i="23"/>
  <c r="BM229" i="23" s="1"/>
  <c r="BN229" i="23" s="1"/>
  <c r="BJ392" i="23"/>
  <c r="BL392" i="23" s="1"/>
  <c r="BM392" i="23" s="1"/>
  <c r="BN392" i="23" s="1"/>
  <c r="BA617" i="23"/>
  <c r="BB617" i="23" s="1"/>
  <c r="BC617" i="23" s="1"/>
  <c r="BD617" i="23" s="1"/>
  <c r="AZ596" i="23"/>
  <c r="BB596" i="23" s="1"/>
  <c r="BC596" i="23" s="1"/>
  <c r="BD596" i="23" s="1"/>
  <c r="BA476" i="23"/>
  <c r="BA478" i="23"/>
  <c r="AZ390" i="23"/>
  <c r="BB390" i="23" s="1"/>
  <c r="BC390" i="23" s="1"/>
  <c r="BD390" i="23" s="1"/>
  <c r="BL578" i="23"/>
  <c r="BM578" i="23" s="1"/>
  <c r="BN578" i="23" s="1"/>
  <c r="BL602" i="23"/>
  <c r="BM602" i="23" s="1"/>
  <c r="BN602" i="23" s="1"/>
  <c r="AZ363" i="23"/>
  <c r="BB363" i="23" s="1"/>
  <c r="BC363" i="23" s="1"/>
  <c r="BD363" i="23" s="1"/>
  <c r="AZ223" i="23"/>
  <c r="BB223" i="23" s="1"/>
  <c r="BC223" i="23" s="1"/>
  <c r="BD223" i="23" s="1"/>
  <c r="AZ26" i="23"/>
  <c r="BB26" i="23" s="1"/>
  <c r="BC26" i="23" s="1"/>
  <c r="BD26" i="23" s="1"/>
  <c r="AZ566" i="23"/>
  <c r="BB566" i="23" s="1"/>
  <c r="BC566" i="23" s="1"/>
  <c r="BD566" i="23" s="1"/>
  <c r="BB584" i="23"/>
  <c r="BC584" i="23" s="1"/>
  <c r="BD584" i="23" s="1"/>
  <c r="BA378" i="23"/>
  <c r="BB378" i="23" s="1"/>
  <c r="BC378" i="23" s="1"/>
  <c r="AZ260" i="23"/>
  <c r="BB260" i="23" s="1"/>
  <c r="BC260" i="23" s="1"/>
  <c r="BD260" i="23" s="1"/>
  <c r="BA205" i="23"/>
  <c r="BA480" i="23"/>
  <c r="AZ236" i="23"/>
  <c r="BB236" i="23" s="1"/>
  <c r="BC236" i="23" s="1"/>
  <c r="BD236" i="23" s="1"/>
  <c r="BL39" i="23"/>
  <c r="BM39" i="23" s="1"/>
  <c r="BN39" i="23" s="1"/>
  <c r="AZ598" i="23"/>
  <c r="BB598" i="23" s="1"/>
  <c r="BC598" i="23" s="1"/>
  <c r="BD598" i="23" s="1"/>
  <c r="AZ443" i="23"/>
  <c r="BB443" i="23" s="1"/>
  <c r="BC443" i="23" s="1"/>
  <c r="BD443" i="23" s="1"/>
  <c r="BB381" i="23"/>
  <c r="BC381" i="23" s="1"/>
  <c r="BD381" i="23" s="1"/>
  <c r="BL126" i="23"/>
  <c r="BM126" i="23" s="1"/>
  <c r="BN126" i="23" s="1"/>
  <c r="BL168" i="23"/>
  <c r="BM168" i="23" s="1"/>
  <c r="BN168" i="23" s="1"/>
  <c r="AZ564" i="23"/>
  <c r="BB564" i="23" s="1"/>
  <c r="BC564" i="23" s="1"/>
  <c r="BD564" i="23" s="1"/>
  <c r="BA423" i="23"/>
  <c r="BB423" i="23" s="1"/>
  <c r="BC423" i="23" s="1"/>
  <c r="BD423" i="23" s="1"/>
  <c r="BA385" i="23"/>
  <c r="BL167" i="23"/>
  <c r="BM167" i="23" s="1"/>
  <c r="BN167" i="23" s="1"/>
  <c r="AZ375" i="23"/>
  <c r="BB375" i="23" s="1"/>
  <c r="BC375" i="23" s="1"/>
  <c r="BD375" i="23" s="1"/>
  <c r="BL403" i="23"/>
  <c r="BM403" i="23" s="1"/>
  <c r="BN403" i="23" s="1"/>
  <c r="BA178" i="23"/>
  <c r="BB178" i="23" s="1"/>
  <c r="BC178" i="23" s="1"/>
  <c r="BD178" i="23" s="1"/>
  <c r="AZ220" i="23"/>
  <c r="BB220" i="23" s="1"/>
  <c r="BC220" i="23" s="1"/>
  <c r="BL371" i="23"/>
  <c r="BM371" i="23" s="1"/>
  <c r="BN371" i="23" s="1"/>
  <c r="AZ561" i="23"/>
  <c r="BB561" i="23" s="1"/>
  <c r="BC561" i="23" s="1"/>
  <c r="BD561" i="23" s="1"/>
  <c r="AZ506" i="23"/>
  <c r="BB506" i="23" s="1"/>
  <c r="BC506" i="23" s="1"/>
  <c r="BD506" i="23" s="1"/>
  <c r="BA132" i="23"/>
  <c r="BL325" i="23"/>
  <c r="BM325" i="23" s="1"/>
  <c r="BN325" i="23" s="1"/>
  <c r="AZ613" i="23"/>
  <c r="BB613" i="23" s="1"/>
  <c r="BC613" i="23" s="1"/>
  <c r="BD613" i="23" s="1"/>
  <c r="BA430" i="23"/>
  <c r="BB430" i="23" s="1"/>
  <c r="BC430" i="23" s="1"/>
  <c r="BD430" i="23" s="1"/>
  <c r="BB480" i="23"/>
  <c r="BC480" i="23" s="1"/>
  <c r="BD480" i="23" s="1"/>
  <c r="BL830" i="23"/>
  <c r="BM830" i="23" s="1"/>
  <c r="BN830" i="23" s="1"/>
  <c r="BA418" i="23"/>
  <c r="BB418" i="23" s="1"/>
  <c r="BC418" i="23" s="1"/>
  <c r="BD418" i="23" s="1"/>
  <c r="BA275" i="23"/>
  <c r="BA614" i="23"/>
  <c r="BA169" i="23"/>
  <c r="AZ66" i="23"/>
  <c r="BB66" i="23" s="1"/>
  <c r="BC66" i="23" s="1"/>
  <c r="BD66" i="23" s="1"/>
  <c r="BA448" i="23"/>
  <c r="BB169" i="23"/>
  <c r="BC169" i="23" s="1"/>
  <c r="BD169" i="23" s="1"/>
  <c r="AZ532" i="23"/>
  <c r="BB532" i="23" s="1"/>
  <c r="BC532" i="23" s="1"/>
  <c r="BD532" i="23" s="1"/>
  <c r="BB827" i="23"/>
  <c r="BC827" i="23" s="1"/>
  <c r="BD827" i="23" s="1"/>
  <c r="BA489" i="23"/>
  <c r="AZ264" i="23"/>
  <c r="BB264" i="23" s="1"/>
  <c r="BC264" i="23" s="1"/>
  <c r="BD264" i="23" s="1"/>
  <c r="AZ36" i="23"/>
  <c r="BB36" i="23" s="1"/>
  <c r="BC36" i="23" s="1"/>
  <c r="BD36" i="23" s="1"/>
  <c r="AZ594" i="23"/>
  <c r="BB594" i="23" s="1"/>
  <c r="BC594" i="23" s="1"/>
  <c r="BD594" i="23" s="1"/>
  <c r="AZ299" i="23"/>
  <c r="BB299" i="23" s="1"/>
  <c r="BC299" i="23" s="1"/>
  <c r="BD299" i="23" s="1"/>
  <c r="BL298" i="23"/>
  <c r="BM298" i="23" s="1"/>
  <c r="BN298" i="23" s="1"/>
  <c r="BL66" i="23"/>
  <c r="BM66" i="23" s="1"/>
  <c r="BN66" i="23" s="1"/>
  <c r="AZ383" i="23"/>
  <c r="BB383" i="23" s="1"/>
  <c r="BC383" i="23" s="1"/>
  <c r="BD383" i="23" s="1"/>
  <c r="AZ495" i="23"/>
  <c r="BB495" i="23" s="1"/>
  <c r="BC495" i="23" s="1"/>
  <c r="BD495" i="23" s="1"/>
  <c r="BA529" i="23"/>
  <c r="BL302" i="23"/>
  <c r="BM302" i="23" s="1"/>
  <c r="BN302" i="23" s="1"/>
  <c r="AZ496" i="23"/>
  <c r="BB496" i="23" s="1"/>
  <c r="BC496" i="23" s="1"/>
  <c r="BD496" i="23" s="1"/>
  <c r="BL191" i="23"/>
  <c r="BM191" i="23" s="1"/>
  <c r="BN191" i="23" s="1"/>
  <c r="AZ45" i="23"/>
  <c r="BB45" i="23" s="1"/>
  <c r="BC45" i="23" s="1"/>
  <c r="BD45" i="23" s="1"/>
  <c r="BA20" i="23"/>
  <c r="BB20" i="23" s="1"/>
  <c r="BC20" i="23" s="1"/>
  <c r="BD20" i="23" s="1"/>
  <c r="BA298" i="23"/>
  <c r="AZ386" i="23"/>
  <c r="BB386" i="23" s="1"/>
  <c r="BC386" i="23" s="1"/>
  <c r="BD386" i="23" s="1"/>
  <c r="BA312" i="23"/>
  <c r="BB312" i="23" s="1"/>
  <c r="BC312" i="23" s="1"/>
  <c r="BD312" i="23" s="1"/>
  <c r="AZ276" i="23"/>
  <c r="BB276" i="23" s="1"/>
  <c r="BC276" i="23" s="1"/>
  <c r="BD276" i="23" s="1"/>
  <c r="BA126" i="23"/>
  <c r="BB126" i="23" s="1"/>
  <c r="BC126" i="23" s="1"/>
  <c r="BD126" i="23" s="1"/>
  <c r="AZ72" i="23"/>
  <c r="BB72" i="23" s="1"/>
  <c r="BC72" i="23" s="1"/>
  <c r="BD72" i="23" s="1"/>
  <c r="BL611" i="23"/>
  <c r="BM611" i="23" s="1"/>
  <c r="BN611" i="23" s="1"/>
  <c r="AZ411" i="23"/>
  <c r="BB411" i="23" s="1"/>
  <c r="BC411" i="23" s="1"/>
  <c r="BD411" i="23" s="1"/>
  <c r="BL226" i="23"/>
  <c r="BM226" i="23" s="1"/>
  <c r="BN226" i="23" s="1"/>
  <c r="BL265" i="23"/>
  <c r="BM265" i="23" s="1"/>
  <c r="BN265" i="23" s="1"/>
  <c r="AZ128" i="23"/>
  <c r="BB128" i="23" s="1"/>
  <c r="BC128" i="23" s="1"/>
  <c r="BD128" i="23" s="1"/>
  <c r="BA17" i="23"/>
  <c r="AZ173" i="23"/>
  <c r="BB173" i="23" s="1"/>
  <c r="BC173" i="23" s="1"/>
  <c r="BD173" i="23" s="1"/>
  <c r="AX392" i="23"/>
  <c r="BA392" i="23" s="1"/>
  <c r="BA371" i="23"/>
  <c r="BB371" i="23" s="1"/>
  <c r="BC371" i="23" s="1"/>
  <c r="BD371" i="23" s="1"/>
  <c r="BL569" i="23"/>
  <c r="BM569" i="23" s="1"/>
  <c r="BN569" i="23" s="1"/>
  <c r="BL479" i="23"/>
  <c r="BM479" i="23" s="1"/>
  <c r="BN479" i="23" s="1"/>
  <c r="BL532" i="23"/>
  <c r="BM532" i="23" s="1"/>
  <c r="BN532" i="23" s="1"/>
  <c r="BL636" i="23"/>
  <c r="BM636" i="23" s="1"/>
  <c r="BN636" i="23" s="1"/>
  <c r="BL560" i="23"/>
  <c r="BM560" i="23" s="1"/>
  <c r="BN560" i="23" s="1"/>
  <c r="BL206" i="23"/>
  <c r="BM206" i="23" s="1"/>
  <c r="BN206" i="23" s="1"/>
  <c r="BL227" i="23"/>
  <c r="BM227" i="23" s="1"/>
  <c r="BN227" i="23" s="1"/>
  <c r="BL440" i="23"/>
  <c r="BM440" i="23" s="1"/>
  <c r="BN440" i="23" s="1"/>
  <c r="BL556" i="23"/>
  <c r="BM556" i="23" s="1"/>
  <c r="BN556" i="23" s="1"/>
  <c r="BL36" i="23"/>
  <c r="BM36" i="23" s="1"/>
  <c r="BN36" i="23" s="1"/>
  <c r="BL268" i="23"/>
  <c r="BM268" i="23" s="1"/>
  <c r="BN268" i="23" s="1"/>
  <c r="BL231" i="23"/>
  <c r="BM231" i="23" s="1"/>
  <c r="BN231" i="23" s="1"/>
  <c r="BL426" i="23"/>
  <c r="BM426" i="23" s="1"/>
  <c r="BN426" i="23" s="1"/>
  <c r="BL498" i="23"/>
  <c r="BM498" i="23" s="1"/>
  <c r="BN498" i="23" s="1"/>
  <c r="BL279" i="23"/>
  <c r="BM279" i="23" s="1"/>
  <c r="BN279" i="23" s="1"/>
  <c r="BL510" i="23"/>
  <c r="BM510" i="23" s="1"/>
  <c r="BN510" i="23" s="1"/>
  <c r="BL364" i="23"/>
  <c r="BM364" i="23" s="1"/>
  <c r="BN364" i="23" s="1"/>
  <c r="BB298" i="23"/>
  <c r="BC298" i="23" s="1"/>
  <c r="BD298" i="23" s="1"/>
  <c r="AZ58" i="23"/>
  <c r="BB58" i="23" s="1"/>
  <c r="BC58" i="23" s="1"/>
  <c r="BD58" i="23" s="1"/>
  <c r="BA253" i="23"/>
  <c r="BB253" i="23" s="1"/>
  <c r="BC253" i="23" s="1"/>
  <c r="BD253" i="23" s="1"/>
  <c r="AZ400" i="23"/>
  <c r="BB400" i="23" s="1"/>
  <c r="BC400" i="23" s="1"/>
  <c r="BD400" i="23" s="1"/>
  <c r="BB60" i="23"/>
  <c r="BC60" i="23" s="1"/>
  <c r="BD60" i="23" s="1"/>
  <c r="BA457" i="23"/>
  <c r="BB457" i="23" s="1"/>
  <c r="BC457" i="23" s="1"/>
  <c r="BD457" i="23" s="1"/>
  <c r="AZ267" i="23"/>
  <c r="BB267" i="23" s="1"/>
  <c r="BC267" i="23" s="1"/>
  <c r="BD267" i="23" s="1"/>
  <c r="BL549" i="23"/>
  <c r="BM549" i="23" s="1"/>
  <c r="BN549" i="23" s="1"/>
  <c r="BL545" i="23"/>
  <c r="BM545" i="23" s="1"/>
  <c r="BN545" i="23" s="1"/>
  <c r="BL195" i="23"/>
  <c r="BM195" i="23" s="1"/>
  <c r="BN195" i="23" s="1"/>
  <c r="BL269" i="23"/>
  <c r="BM269" i="23" s="1"/>
  <c r="BN269" i="23" s="1"/>
  <c r="BL444" i="23"/>
  <c r="BM444" i="23" s="1"/>
  <c r="BN444" i="23" s="1"/>
  <c r="AZ425" i="23"/>
  <c r="BB425" i="23" s="1"/>
  <c r="BC425" i="23" s="1"/>
  <c r="BD425" i="23" s="1"/>
  <c r="BL407" i="23"/>
  <c r="BM407" i="23" s="1"/>
  <c r="BN407" i="23" s="1"/>
  <c r="BL575" i="23"/>
  <c r="BM575" i="23" s="1"/>
  <c r="BN575" i="23" s="1"/>
  <c r="BL262" i="23"/>
  <c r="BM262" i="23" s="1"/>
  <c r="BN262" i="23" s="1"/>
  <c r="BL375" i="23"/>
  <c r="BM375" i="23" s="1"/>
  <c r="BN375" i="23" s="1"/>
  <c r="AZ490" i="23"/>
  <c r="BB490" i="23" s="1"/>
  <c r="BC490" i="23" s="1"/>
  <c r="BD490" i="23" s="1"/>
  <c r="BL380" i="23"/>
  <c r="BM380" i="23" s="1"/>
  <c r="BN380" i="23" s="1"/>
  <c r="BL461" i="23"/>
  <c r="BM461" i="23" s="1"/>
  <c r="BN461" i="23" s="1"/>
  <c r="BL385" i="23"/>
  <c r="BM385" i="23" s="1"/>
  <c r="BN385" i="23" s="1"/>
  <c r="BB273" i="23"/>
  <c r="BC273" i="23" s="1"/>
  <c r="BD273" i="23" s="1"/>
  <c r="AZ415" i="23"/>
  <c r="BB415" i="23" s="1"/>
  <c r="BC415" i="23" s="1"/>
  <c r="BD415" i="23" s="1"/>
  <c r="BB397" i="23"/>
  <c r="BC397" i="23" s="1"/>
  <c r="BD397" i="23" s="1"/>
  <c r="AZ547" i="23"/>
  <c r="BB547" i="23" s="1"/>
  <c r="BC547" i="23" s="1"/>
  <c r="BD547" i="23" s="1"/>
  <c r="BA406" i="23"/>
  <c r="BL480" i="23"/>
  <c r="BM480" i="23" s="1"/>
  <c r="BN480" i="23" s="1"/>
  <c r="BL62" i="23"/>
  <c r="BM62" i="23" s="1"/>
  <c r="BN62" i="23" s="1"/>
  <c r="BL58" i="23"/>
  <c r="BM58" i="23" s="1"/>
  <c r="BN58" i="23" s="1"/>
  <c r="BA167" i="23"/>
  <c r="AZ91" i="23"/>
  <c r="BB91" i="23" s="1"/>
  <c r="BC91" i="23" s="1"/>
  <c r="BD91" i="23" s="1"/>
  <c r="BB632" i="23"/>
  <c r="BC632" i="23" s="1"/>
  <c r="BD632" i="23" s="1"/>
  <c r="AZ453" i="23"/>
  <c r="BB453" i="23" s="1"/>
  <c r="BC453" i="23" s="1"/>
  <c r="BD453" i="23" s="1"/>
  <c r="AZ102" i="23"/>
  <c r="BB102" i="23" s="1"/>
  <c r="BC102" i="23" s="1"/>
  <c r="BD102" i="23" s="1"/>
  <c r="AZ245" i="23"/>
  <c r="BB245" i="23" s="1"/>
  <c r="BC245" i="23" s="1"/>
  <c r="BL67" i="23"/>
  <c r="BM67" i="23" s="1"/>
  <c r="BN67" i="23" s="1"/>
  <c r="BL164" i="23"/>
  <c r="BM164" i="23" s="1"/>
  <c r="BN164" i="23" s="1"/>
  <c r="BL60" i="23"/>
  <c r="BM60" i="23" s="1"/>
  <c r="BN60" i="23" s="1"/>
  <c r="BL252" i="23"/>
  <c r="BM252" i="23" s="1"/>
  <c r="BN252" i="23" s="1"/>
  <c r="BB636" i="23"/>
  <c r="BC636" i="23" s="1"/>
  <c r="BD636" i="23" s="1"/>
  <c r="AZ456" i="23"/>
  <c r="BB456" i="23" s="1"/>
  <c r="BC456" i="23" s="1"/>
  <c r="BD456" i="23" s="1"/>
  <c r="AZ403" i="23"/>
  <c r="BB403" i="23" s="1"/>
  <c r="BC403" i="23" s="1"/>
  <c r="BD403" i="23" s="1"/>
  <c r="BL525" i="23"/>
  <c r="BM525" i="23" s="1"/>
  <c r="BN525" i="23" s="1"/>
  <c r="AZ193" i="23"/>
  <c r="BB193" i="23" s="1"/>
  <c r="BC193" i="23" s="1"/>
  <c r="BD193" i="23" s="1"/>
  <c r="BA499" i="23"/>
  <c r="BB499" i="23" s="1"/>
  <c r="BC499" i="23" s="1"/>
  <c r="BD499" i="23" s="1"/>
  <c r="BL27" i="23"/>
  <c r="BM27" i="23" s="1"/>
  <c r="BN27" i="23" s="1"/>
  <c r="BL230" i="23"/>
  <c r="BM230" i="23" s="1"/>
  <c r="BN230" i="23" s="1"/>
  <c r="BL442" i="23"/>
  <c r="BM442" i="23" s="1"/>
  <c r="BN442" i="23" s="1"/>
  <c r="BA412" i="23"/>
  <c r="BB412" i="23" s="1"/>
  <c r="BC412" i="23" s="1"/>
  <c r="BD412" i="23" s="1"/>
  <c r="AZ414" i="23"/>
  <c r="BB414" i="23" s="1"/>
  <c r="BC414" i="23" s="1"/>
  <c r="BD414" i="23" s="1"/>
  <c r="BA257" i="23"/>
  <c r="BL114" i="23"/>
  <c r="BM114" i="23" s="1"/>
  <c r="BN114" i="23" s="1"/>
  <c r="BL192" i="23"/>
  <c r="BM192" i="23" s="1"/>
  <c r="BN192" i="23" s="1"/>
  <c r="BL260" i="23"/>
  <c r="BM260" i="23" s="1"/>
  <c r="BN260" i="23" s="1"/>
  <c r="BL477" i="23"/>
  <c r="BM477" i="23" s="1"/>
  <c r="BN477" i="23" s="1"/>
  <c r="BL471" i="23"/>
  <c r="BM471" i="23" s="1"/>
  <c r="BN471" i="23" s="1"/>
  <c r="BA135" i="23"/>
  <c r="BB135" i="23" s="1"/>
  <c r="BC135" i="23" s="1"/>
  <c r="BD135" i="23" s="1"/>
  <c r="BL517" i="23"/>
  <c r="BM517" i="23" s="1"/>
  <c r="BN517" i="23" s="1"/>
  <c r="AZ565" i="23"/>
  <c r="BB565" i="23" s="1"/>
  <c r="BC565" i="23" s="1"/>
  <c r="BD565" i="23" s="1"/>
  <c r="AZ262" i="23"/>
  <c r="BB262" i="23" s="1"/>
  <c r="BC262" i="23" s="1"/>
  <c r="BD262" i="23" s="1"/>
  <c r="AZ288" i="23"/>
  <c r="BB288" i="23" s="1"/>
  <c r="BC288" i="23" s="1"/>
  <c r="BD288" i="23" s="1"/>
  <c r="BA268" i="23"/>
  <c r="BB268" i="23" s="1"/>
  <c r="BC268" i="23" s="1"/>
  <c r="BD268" i="23" s="1"/>
  <c r="BL261" i="23"/>
  <c r="BM261" i="23" s="1"/>
  <c r="BN261" i="23" s="1"/>
  <c r="BL571" i="23"/>
  <c r="BM571" i="23" s="1"/>
  <c r="BN571" i="23" s="1"/>
  <c r="BA416" i="23"/>
  <c r="BB416" i="23" s="1"/>
  <c r="BC416" i="23" s="1"/>
  <c r="BD416" i="23" s="1"/>
  <c r="AZ237" i="23"/>
  <c r="BB237" i="23" s="1"/>
  <c r="BC237" i="23" s="1"/>
  <c r="BD237" i="23" s="1"/>
  <c r="BA635" i="23"/>
  <c r="AZ581" i="23"/>
  <c r="BB581" i="23" s="1"/>
  <c r="BC581" i="23" s="1"/>
  <c r="BD581" i="23" s="1"/>
  <c r="BA636" i="23"/>
  <c r="BA832" i="23"/>
  <c r="BA397" i="23"/>
  <c r="AZ319" i="23"/>
  <c r="BB319" i="23" s="1"/>
  <c r="BC319" i="23" s="1"/>
  <c r="BD319" i="23" s="1"/>
  <c r="AZ235" i="23"/>
  <c r="BB235" i="23" s="1"/>
  <c r="BC235" i="23" s="1"/>
  <c r="BD235" i="23" s="1"/>
  <c r="BL263" i="23"/>
  <c r="BM263" i="23" s="1"/>
  <c r="BN263" i="23" s="1"/>
  <c r="BL506" i="23"/>
  <c r="BM506" i="23" s="1"/>
  <c r="BN506" i="23" s="1"/>
  <c r="BA24" i="23"/>
  <c r="BB24" i="23" s="1"/>
  <c r="BC24" i="23" s="1"/>
  <c r="BD24" i="23" s="1"/>
  <c r="AZ206" i="23"/>
  <c r="BB206" i="23" s="1"/>
  <c r="BC206" i="23" s="1"/>
  <c r="BD206" i="23" s="1"/>
  <c r="BL48" i="23"/>
  <c r="BM48" i="23" s="1"/>
  <c r="BN48" i="23" s="1"/>
  <c r="AZ577" i="23"/>
  <c r="BB577" i="23" s="1"/>
  <c r="BC577" i="23" s="1"/>
  <c r="BD577" i="23" s="1"/>
  <c r="AZ388" i="23"/>
  <c r="BB388" i="23" s="1"/>
  <c r="BC388" i="23" s="1"/>
  <c r="BD388" i="23" s="1"/>
  <c r="BL273" i="23"/>
  <c r="BM273" i="23" s="1"/>
  <c r="BN273" i="23" s="1"/>
  <c r="BL485" i="23"/>
  <c r="BM485" i="23" s="1"/>
  <c r="BN485" i="23" s="1"/>
  <c r="BL24" i="23"/>
  <c r="BM24" i="23" s="1"/>
  <c r="BN24" i="23" s="1"/>
  <c r="BA60" i="23"/>
  <c r="BA578" i="23"/>
  <c r="BB578" i="23" s="1"/>
  <c r="BC578" i="23" s="1"/>
  <c r="BD578" i="23" s="1"/>
  <c r="AZ583" i="23"/>
  <c r="BB583" i="23" s="1"/>
  <c r="BC583" i="23" s="1"/>
  <c r="BD583" i="23" s="1"/>
  <c r="BA461" i="23"/>
  <c r="BB461" i="23" s="1"/>
  <c r="BC461" i="23" s="1"/>
  <c r="BD461" i="23" s="1"/>
  <c r="AZ347" i="23"/>
  <c r="BB347" i="23" s="1"/>
  <c r="BC347" i="23" s="1"/>
  <c r="BD347" i="23" s="1"/>
  <c r="BK271" i="23"/>
  <c r="BL271" i="23" s="1"/>
  <c r="BM271" i="23" s="1"/>
  <c r="BN271" i="23" s="1"/>
  <c r="BL284" i="23"/>
  <c r="BM284" i="23" s="1"/>
  <c r="BN284" i="23" s="1"/>
  <c r="BL304" i="23"/>
  <c r="BM304" i="23" s="1"/>
  <c r="BN304" i="23" s="1"/>
  <c r="BL357" i="23"/>
  <c r="BM357" i="23" s="1"/>
  <c r="BN357" i="23" s="1"/>
  <c r="BL497" i="23"/>
  <c r="BM497" i="23" s="1"/>
  <c r="BN497" i="23" s="1"/>
  <c r="BL519" i="23"/>
  <c r="BM519" i="23" s="1"/>
  <c r="BN519" i="23" s="1"/>
  <c r="BA39" i="23"/>
  <c r="BB39" i="23" s="1"/>
  <c r="BC39" i="23" s="1"/>
  <c r="BD39" i="23" s="1"/>
  <c r="BB17" i="23"/>
  <c r="BC17" i="23" s="1"/>
  <c r="BD17" i="23" s="1"/>
  <c r="BL242" i="23"/>
  <c r="BM242" i="23" s="1"/>
  <c r="BN242" i="23" s="1"/>
  <c r="AZ325" i="23"/>
  <c r="BB325" i="23" s="1"/>
  <c r="BC325" i="23" s="1"/>
  <c r="BD325" i="23" s="1"/>
  <c r="BL290" i="23"/>
  <c r="BM290" i="23" s="1"/>
  <c r="BN290" i="23" s="1"/>
  <c r="BL406" i="23"/>
  <c r="BM406" i="23" s="1"/>
  <c r="BN406" i="23" s="1"/>
  <c r="BL376" i="23"/>
  <c r="BM376" i="23" s="1"/>
  <c r="BN376" i="23" s="1"/>
  <c r="BA273" i="23"/>
  <c r="BA143" i="23"/>
  <c r="AZ336" i="23"/>
  <c r="BB336" i="23" s="1"/>
  <c r="BC336" i="23" s="1"/>
  <c r="BL113" i="23"/>
  <c r="BM113" i="23" s="1"/>
  <c r="BN113" i="23" s="1"/>
  <c r="BL470" i="23"/>
  <c r="BM470" i="23" s="1"/>
  <c r="BN470" i="23" s="1"/>
  <c r="BL566" i="23"/>
  <c r="BM566" i="23" s="1"/>
  <c r="BN566" i="23" s="1"/>
  <c r="AZ35" i="23"/>
  <c r="BB35" i="23" s="1"/>
  <c r="BC35" i="23" s="1"/>
  <c r="BD35" i="23" s="1"/>
  <c r="BB167" i="23"/>
  <c r="BC167" i="23" s="1"/>
  <c r="BD167" i="23" s="1"/>
  <c r="BL211" i="23"/>
  <c r="BM211" i="23" s="1"/>
  <c r="BN211" i="23" s="1"/>
  <c r="BA138" i="23"/>
  <c r="BB630" i="23"/>
  <c r="BC630" i="23" s="1"/>
  <c r="BD630" i="23" s="1"/>
  <c r="AZ502" i="23"/>
  <c r="BB502" i="23" s="1"/>
  <c r="BC502" i="23" s="1"/>
  <c r="BD502" i="23" s="1"/>
  <c r="BA234" i="23"/>
  <c r="BB234" i="23" s="1"/>
  <c r="BC234" i="23" s="1"/>
  <c r="BD234" i="23" s="1"/>
  <c r="BL128" i="23"/>
  <c r="BM128" i="23" s="1"/>
  <c r="BN128" i="23" s="1"/>
  <c r="BL457" i="23"/>
  <c r="BM457" i="23" s="1"/>
  <c r="BN457" i="23" s="1"/>
  <c r="BL526" i="23"/>
  <c r="BM526" i="23" s="1"/>
  <c r="BN526" i="23" s="1"/>
  <c r="BL553" i="23"/>
  <c r="BM553" i="23" s="1"/>
  <c r="BN553" i="23" s="1"/>
  <c r="BL32" i="23"/>
  <c r="BM32" i="23" s="1"/>
  <c r="BN32" i="23" s="1"/>
  <c r="BA537" i="23"/>
  <c r="AZ357" i="23"/>
  <c r="BB357" i="23" s="1"/>
  <c r="BC357" i="23" s="1"/>
  <c r="BD357" i="23" s="1"/>
  <c r="BA447" i="23"/>
  <c r="BB447" i="23" s="1"/>
  <c r="BC447" i="23" s="1"/>
  <c r="BD447" i="23" s="1"/>
  <c r="BL243" i="23"/>
  <c r="BM243" i="23" s="1"/>
  <c r="BN243" i="23" s="1"/>
  <c r="BL473" i="23"/>
  <c r="BM473" i="23" s="1"/>
  <c r="BN473" i="23" s="1"/>
  <c r="BL546" i="23"/>
  <c r="BM546" i="23" s="1"/>
  <c r="BN546" i="23" s="1"/>
  <c r="BB537" i="23"/>
  <c r="BC537" i="23" s="1"/>
  <c r="BD537" i="23" s="1"/>
  <c r="BA293" i="23"/>
  <c r="BB293" i="23" s="1"/>
  <c r="BC293" i="23" s="1"/>
  <c r="BD293" i="23" s="1"/>
  <c r="BA474" i="23"/>
  <c r="AZ353" i="23"/>
  <c r="BB353" i="23" s="1"/>
  <c r="BC353" i="23" s="1"/>
  <c r="BD353" i="23" s="1"/>
  <c r="BL207" i="23"/>
  <c r="BM207" i="23" s="1"/>
  <c r="BN207" i="23" s="1"/>
  <c r="BL629" i="23"/>
  <c r="BM629" i="23" s="1"/>
  <c r="BN629" i="23" s="1"/>
  <c r="BB132" i="23"/>
  <c r="BC132" i="23" s="1"/>
  <c r="BD132" i="23" s="1"/>
  <c r="BA95" i="23"/>
  <c r="BB95" i="23" s="1"/>
  <c r="BC95" i="23" s="1"/>
  <c r="BD95" i="23" s="1"/>
  <c r="AZ618" i="23"/>
  <c r="BB618" i="23" s="1"/>
  <c r="BC618" i="23" s="1"/>
  <c r="BD618" i="23" s="1"/>
  <c r="BL178" i="23"/>
  <c r="BM178" i="23" s="1"/>
  <c r="BN178" i="23" s="1"/>
  <c r="BL430" i="23"/>
  <c r="BM430" i="23" s="1"/>
  <c r="BN430" i="23" s="1"/>
  <c r="BL518" i="23"/>
  <c r="BM518" i="23" s="1"/>
  <c r="BN518" i="23" s="1"/>
  <c r="BL604" i="23"/>
  <c r="BM604" i="23" s="1"/>
  <c r="BN604" i="23" s="1"/>
  <c r="BB605" i="23"/>
  <c r="BC605" i="23" s="1"/>
  <c r="BD605" i="23" s="1"/>
  <c r="BL240" i="23"/>
  <c r="BM240" i="23" s="1"/>
  <c r="BN240" i="23" s="1"/>
  <c r="BL543" i="23"/>
  <c r="BM543" i="23" s="1"/>
  <c r="BN543" i="23" s="1"/>
  <c r="BL591" i="23"/>
  <c r="BM591" i="23" s="1"/>
  <c r="BN591" i="23" s="1"/>
  <c r="BL45" i="23"/>
  <c r="BM45" i="23" s="1"/>
  <c r="BN45" i="23" s="1"/>
  <c r="BA302" i="23"/>
  <c r="BB302" i="23" s="1"/>
  <c r="BC302" i="23" s="1"/>
  <c r="BD302" i="23" s="1"/>
  <c r="AZ616" i="23"/>
  <c r="BB616" i="23" s="1"/>
  <c r="BC616" i="23" s="1"/>
  <c r="BD616" i="23" s="1"/>
  <c r="AZ521" i="23"/>
  <c r="BB521" i="23" s="1"/>
  <c r="BC521" i="23" s="1"/>
  <c r="BD521" i="23" s="1"/>
  <c r="AZ270" i="23"/>
  <c r="BB270" i="23" s="1"/>
  <c r="BC270" i="23" s="1"/>
  <c r="BD270" i="23" s="1"/>
  <c r="BL365" i="23"/>
  <c r="BM365" i="23" s="1"/>
  <c r="BN365" i="23" s="1"/>
  <c r="AZ263" i="23"/>
  <c r="BB263" i="23" s="1"/>
  <c r="BC263" i="23" s="1"/>
  <c r="BD263" i="23" s="1"/>
  <c r="AZ569" i="23"/>
  <c r="BB569" i="23" s="1"/>
  <c r="BC569" i="23" s="1"/>
  <c r="BD569" i="23" s="1"/>
  <c r="BL254" i="23"/>
  <c r="BM254" i="23" s="1"/>
  <c r="BN254" i="23" s="1"/>
  <c r="AZ481" i="23"/>
  <c r="BB481" i="23" s="1"/>
  <c r="BC481" i="23" s="1"/>
  <c r="BL169" i="23"/>
  <c r="BM169" i="23" s="1"/>
  <c r="BN169" i="23" s="1"/>
  <c r="BL198" i="23"/>
  <c r="BM198" i="23" s="1"/>
  <c r="BN198" i="23" s="1"/>
  <c r="AZ242" i="23"/>
  <c r="BB242" i="23" s="1"/>
  <c r="BC242" i="23" s="1"/>
  <c r="BD242" i="23" s="1"/>
  <c r="AZ165" i="23"/>
  <c r="BB165" i="23" s="1"/>
  <c r="BC165" i="23" s="1"/>
  <c r="BD165" i="23" s="1"/>
  <c r="BL529" i="23"/>
  <c r="BM529" i="23" s="1"/>
  <c r="BN529" i="23" s="1"/>
  <c r="AZ70" i="23"/>
  <c r="BB70" i="23" s="1"/>
  <c r="BC70" i="23" s="1"/>
  <c r="BD70" i="23" s="1"/>
  <c r="BL827" i="23"/>
  <c r="BM827" i="23" s="1"/>
  <c r="BN827" i="23" s="1"/>
  <c r="AZ87" i="23"/>
  <c r="BB87" i="23" s="1"/>
  <c r="BC87" i="23" s="1"/>
  <c r="BD87" i="23" s="1"/>
  <c r="BB478" i="23"/>
  <c r="BC478" i="23" s="1"/>
  <c r="BD478" i="23" s="1"/>
  <c r="AZ410" i="23"/>
  <c r="BB410" i="23" s="1"/>
  <c r="BC410" i="23" s="1"/>
  <c r="AZ320" i="23"/>
  <c r="BB320" i="23" s="1"/>
  <c r="BC320" i="23" s="1"/>
  <c r="BD320" i="23" s="1"/>
  <c r="BL369" i="23"/>
  <c r="BM369" i="23" s="1"/>
  <c r="BN369" i="23" s="1"/>
  <c r="BB448" i="23"/>
  <c r="BC448" i="23" s="1"/>
  <c r="BD448" i="23" s="1"/>
  <c r="BA444" i="23"/>
  <c r="BB444" i="23" s="1"/>
  <c r="BC444" i="23" s="1"/>
  <c r="BD444" i="23" s="1"/>
  <c r="AZ226" i="23"/>
  <c r="BB226" i="23" s="1"/>
  <c r="BC226" i="23" s="1"/>
  <c r="BD226" i="23" s="1"/>
  <c r="BL289" i="23"/>
  <c r="BM289" i="23" s="1"/>
  <c r="AZ525" i="23"/>
  <c r="BB525" i="23" s="1"/>
  <c r="BC525" i="23" s="1"/>
  <c r="BD525" i="23" s="1"/>
  <c r="BL494" i="23"/>
  <c r="BM494" i="23" s="1"/>
  <c r="BN494" i="23" s="1"/>
  <c r="AZ491" i="23"/>
  <c r="BB491" i="23" s="1"/>
  <c r="BC491" i="23" s="1"/>
  <c r="BD491" i="23" s="1"/>
  <c r="BA278" i="23"/>
  <c r="BB278" i="23" s="1"/>
  <c r="BC278" i="23" s="1"/>
  <c r="BD278" i="23" s="1"/>
  <c r="BL384" i="23"/>
  <c r="BM384" i="23" s="1"/>
  <c r="BN384" i="23" s="1"/>
  <c r="BL557" i="23"/>
  <c r="BM557" i="23" s="1"/>
  <c r="BN557" i="23" s="1"/>
  <c r="BB529" i="23"/>
  <c r="BC529" i="23" s="1"/>
  <c r="BD529" i="23" s="1"/>
  <c r="BB470" i="23"/>
  <c r="BC470" i="23" s="1"/>
  <c r="BD470" i="23" s="1"/>
  <c r="BL390" i="23"/>
  <c r="BM390" i="23" s="1"/>
  <c r="BN390" i="23" s="1"/>
  <c r="AZ475" i="23"/>
  <c r="BB475" i="23" s="1"/>
  <c r="BC475" i="23" s="1"/>
  <c r="BD475" i="23" s="1"/>
  <c r="AZ279" i="23"/>
  <c r="BB279" i="23" s="1"/>
  <c r="BC279" i="23" s="1"/>
  <c r="BD279" i="23" s="1"/>
  <c r="BA374" i="23"/>
  <c r="BB374" i="23" s="1"/>
  <c r="BC374" i="23" s="1"/>
  <c r="BD374" i="23" s="1"/>
  <c r="BL239" i="23"/>
  <c r="BM239" i="23" s="1"/>
  <c r="BB505" i="23"/>
  <c r="BC505" i="23" s="1"/>
  <c r="BD505" i="23" s="1"/>
  <c r="BA349" i="23"/>
  <c r="BB349" i="23" s="1"/>
  <c r="BC349" i="23" s="1"/>
  <c r="BD349" i="23" s="1"/>
  <c r="BL174" i="23"/>
  <c r="BM174" i="23" s="1"/>
  <c r="BN174" i="23" s="1"/>
  <c r="BL264" i="23"/>
  <c r="BM264" i="23" s="1"/>
  <c r="BN264" i="23" s="1"/>
  <c r="BL577" i="23"/>
  <c r="BM577" i="23" s="1"/>
  <c r="BN577" i="23" s="1"/>
  <c r="BA67" i="23"/>
  <c r="BB67" i="23" s="1"/>
  <c r="BC67" i="23" s="1"/>
  <c r="BD67" i="23" s="1"/>
  <c r="BK13" i="23"/>
  <c r="BL13" i="23" s="1"/>
  <c r="BM13" i="23" s="1"/>
  <c r="BN13" i="23" s="1"/>
  <c r="AZ469" i="23"/>
  <c r="BB469" i="23" s="1"/>
  <c r="BC469" i="23" s="1"/>
  <c r="BD469" i="23" s="1"/>
  <c r="BA470" i="23"/>
  <c r="AZ277" i="23"/>
  <c r="BB277" i="23" s="1"/>
  <c r="BC277" i="23" s="1"/>
  <c r="BD277" i="23" s="1"/>
  <c r="BL216" i="23"/>
  <c r="BM216" i="23" s="1"/>
  <c r="BN216" i="23" s="1"/>
  <c r="BL576" i="23"/>
  <c r="BM576" i="23" s="1"/>
  <c r="BN576" i="23" s="1"/>
  <c r="BL579" i="23"/>
  <c r="BM579" i="23" s="1"/>
  <c r="BN579" i="23" s="1"/>
  <c r="BB530" i="23"/>
  <c r="BC530" i="23" s="1"/>
  <c r="BD530" i="23" s="1"/>
  <c r="BL26" i="23"/>
  <c r="BM26" i="23" s="1"/>
  <c r="BN26" i="23" s="1"/>
  <c r="AZ579" i="23"/>
  <c r="BB579" i="23" s="1"/>
  <c r="BC579" i="23" s="1"/>
  <c r="BD579" i="23" s="1"/>
  <c r="AZ825" i="23"/>
  <c r="BB825" i="23" s="1"/>
  <c r="BC825" i="23" s="1"/>
  <c r="BD825" i="23" s="1"/>
  <c r="BA518" i="23"/>
  <c r="BB518" i="23" s="1"/>
  <c r="BC518" i="23" s="1"/>
  <c r="BD518" i="23" s="1"/>
  <c r="AZ473" i="23"/>
  <c r="BB473" i="23" s="1"/>
  <c r="BC473" i="23" s="1"/>
  <c r="BD473" i="23" s="1"/>
  <c r="AZ507" i="23"/>
  <c r="BB507" i="23" s="1"/>
  <c r="BC507" i="23" s="1"/>
  <c r="BD507" i="23" s="1"/>
  <c r="BL257" i="23"/>
  <c r="BM257" i="23" s="1"/>
  <c r="BN257" i="23" s="1"/>
  <c r="BL277" i="23"/>
  <c r="BM277" i="23" s="1"/>
  <c r="BN277" i="23" s="1"/>
  <c r="BL354" i="23"/>
  <c r="BM354" i="23" s="1"/>
  <c r="BN354" i="23" s="1"/>
  <c r="BL87" i="23"/>
  <c r="BM87" i="23" s="1"/>
  <c r="BN87" i="23" s="1"/>
  <c r="BA191" i="23"/>
  <c r="BB191" i="23" s="1"/>
  <c r="BC191" i="23" s="1"/>
  <c r="BD191" i="23" s="1"/>
  <c r="AZ75" i="23"/>
  <c r="BB75" i="23" s="1"/>
  <c r="BC75" i="23" s="1"/>
  <c r="BD75" i="23" s="1"/>
  <c r="AZ831" i="23"/>
  <c r="BB831" i="23" s="1"/>
  <c r="BC831" i="23" s="1"/>
  <c r="BD831" i="23" s="1"/>
  <c r="AZ615" i="23"/>
  <c r="BB615" i="23" s="1"/>
  <c r="BC615" i="23" s="1"/>
  <c r="BD615" i="23" s="1"/>
  <c r="BL133" i="23"/>
  <c r="BM133" i="23" s="1"/>
  <c r="BN133" i="23" s="1"/>
  <c r="BL194" i="23"/>
  <c r="BM194" i="23" s="1"/>
  <c r="BN194" i="23" s="1"/>
  <c r="BL301" i="23"/>
  <c r="BM301" i="23" s="1"/>
  <c r="BN301" i="23" s="1"/>
  <c r="BL486" i="23"/>
  <c r="BM486" i="23" s="1"/>
  <c r="BN486" i="23" s="1"/>
  <c r="BL501" i="23"/>
  <c r="BM501" i="23" s="1"/>
  <c r="BN501" i="23" s="1"/>
  <c r="BL605" i="23"/>
  <c r="BM605" i="23" s="1"/>
  <c r="BN605" i="23" s="1"/>
  <c r="BA294" i="23"/>
  <c r="BB294" i="23" s="1"/>
  <c r="BC294" i="23" s="1"/>
  <c r="BD294" i="23" s="1"/>
  <c r="AZ540" i="23"/>
  <c r="BB540" i="23" s="1"/>
  <c r="BC540" i="23" s="1"/>
  <c r="BD540" i="23" s="1"/>
  <c r="AZ479" i="23"/>
  <c r="BB479" i="23" s="1"/>
  <c r="BC479" i="23" s="1"/>
  <c r="BD479" i="23" s="1"/>
  <c r="BL283" i="23"/>
  <c r="BM283" i="23" s="1"/>
  <c r="BN283" i="23" s="1"/>
  <c r="BL334" i="23"/>
  <c r="BM334" i="23" s="1"/>
  <c r="BN334" i="23" s="1"/>
  <c r="AZ134" i="23"/>
  <c r="BB134" i="23" s="1"/>
  <c r="BC134" i="23" s="1"/>
  <c r="BD134" i="23" s="1"/>
  <c r="BL44" i="23"/>
  <c r="BM44" i="23" s="1"/>
  <c r="BN44" i="23" s="1"/>
  <c r="BL96" i="23"/>
  <c r="BM96" i="23" s="1"/>
  <c r="BN96" i="23" s="1"/>
  <c r="AZ42" i="23"/>
  <c r="BB42" i="23" s="1"/>
  <c r="BC42" i="23" s="1"/>
  <c r="BD42" i="23" s="1"/>
  <c r="BA207" i="23"/>
  <c r="BB207" i="23" s="1"/>
  <c r="BC207" i="23" s="1"/>
  <c r="BD207" i="23" s="1"/>
  <c r="BA632" i="23"/>
  <c r="AZ240" i="23"/>
  <c r="BB240" i="23" s="1"/>
  <c r="BC240" i="23" s="1"/>
  <c r="BD240" i="23" s="1"/>
  <c r="AZ442" i="23"/>
  <c r="BB442" i="23" s="1"/>
  <c r="BC442" i="23" s="1"/>
  <c r="BD442" i="23" s="1"/>
  <c r="AZ285" i="23"/>
  <c r="BB285" i="23" s="1"/>
  <c r="BC285" i="23" s="1"/>
  <c r="BD285" i="23" s="1"/>
  <c r="BL293" i="23"/>
  <c r="BM293" i="23" s="1"/>
  <c r="BN293" i="23" s="1"/>
  <c r="BL824" i="23"/>
  <c r="BM824" i="23" s="1"/>
  <c r="BN824" i="23" s="1"/>
  <c r="BL633" i="23"/>
  <c r="BM633" i="23" s="1"/>
  <c r="BN633" i="23" s="1"/>
  <c r="AZ501" i="23"/>
  <c r="BB501" i="23" s="1"/>
  <c r="BC501" i="23" s="1"/>
  <c r="BD501" i="23" s="1"/>
  <c r="AZ830" i="23"/>
  <c r="BB830" i="23" s="1"/>
  <c r="BC830" i="23" s="1"/>
  <c r="BD830" i="23" s="1"/>
  <c r="BL222" i="23"/>
  <c r="BM222" i="23" s="1"/>
  <c r="BN222" i="23" s="1"/>
  <c r="BL499" i="23"/>
  <c r="BM499" i="23" s="1"/>
  <c r="BN499" i="23" s="1"/>
  <c r="BL46" i="23"/>
  <c r="BM46" i="23" s="1"/>
  <c r="BN46" i="23" s="1"/>
  <c r="AZ570" i="23"/>
  <c r="BB570" i="23" s="1"/>
  <c r="BC570" i="23" s="1"/>
  <c r="BD570" i="23" s="1"/>
  <c r="BA393" i="23"/>
  <c r="AZ239" i="23"/>
  <c r="BB239" i="23" s="1"/>
  <c r="BC239" i="23" s="1"/>
  <c r="AZ556" i="23"/>
  <c r="BB556" i="23" s="1"/>
  <c r="BC556" i="23" s="1"/>
  <c r="BD556" i="23" s="1"/>
  <c r="BA352" i="23"/>
  <c r="BB352" i="23" s="1"/>
  <c r="BC352" i="23" s="1"/>
  <c r="BD352" i="23" s="1"/>
  <c r="BL372" i="23"/>
  <c r="BM372" i="23" s="1"/>
  <c r="BL632" i="23"/>
  <c r="BM632" i="23" s="1"/>
  <c r="BN632" i="23" s="1"/>
  <c r="AZ33" i="23"/>
  <c r="BB33" i="23" s="1"/>
  <c r="BC33" i="23" s="1"/>
  <c r="BD33" i="23" s="1"/>
  <c r="BB143" i="23"/>
  <c r="BC143" i="23" s="1"/>
  <c r="BD143" i="23" s="1"/>
  <c r="BB486" i="23"/>
  <c r="BC486" i="23" s="1"/>
  <c r="BD486" i="23" s="1"/>
  <c r="BL278" i="23"/>
  <c r="BM278" i="23" s="1"/>
  <c r="BN278" i="23" s="1"/>
  <c r="BL276" i="23"/>
  <c r="BM276" i="23" s="1"/>
  <c r="BN276" i="23" s="1"/>
  <c r="BL415" i="23"/>
  <c r="BM415" i="23" s="1"/>
  <c r="BN415" i="23" s="1"/>
  <c r="BL496" i="23"/>
  <c r="BM496" i="23" s="1"/>
  <c r="BN496" i="23" s="1"/>
  <c r="BL491" i="23"/>
  <c r="BM491" i="23" s="1"/>
  <c r="BN491" i="23" s="1"/>
  <c r="BL581" i="23"/>
  <c r="BM581" i="23" s="1"/>
  <c r="BN581" i="23" s="1"/>
  <c r="BL574" i="23"/>
  <c r="BM574" i="23" s="1"/>
  <c r="BN574" i="23" s="1"/>
  <c r="BB55" i="23"/>
  <c r="BC55" i="23" s="1"/>
  <c r="BD55" i="23" s="1"/>
  <c r="BA44" i="23"/>
  <c r="BB44" i="23" s="1"/>
  <c r="BC44" i="23" s="1"/>
  <c r="BD44" i="23" s="1"/>
  <c r="AZ492" i="23"/>
  <c r="BB492" i="23" s="1"/>
  <c r="BC492" i="23" s="1"/>
  <c r="BD492" i="23" s="1"/>
  <c r="BA229" i="23"/>
  <c r="AZ229" i="23"/>
  <c r="BB229" i="23" s="1"/>
  <c r="BC229" i="23" s="1"/>
  <c r="BD229" i="23" s="1"/>
  <c r="AZ498" i="23"/>
  <c r="BB498" i="23" s="1"/>
  <c r="BC498" i="23" s="1"/>
  <c r="BD498" i="23" s="1"/>
  <c r="BB485" i="23"/>
  <c r="BC485" i="23" s="1"/>
  <c r="BD485" i="23" s="1"/>
  <c r="AZ259" i="23"/>
  <c r="BB259" i="23" s="1"/>
  <c r="BC259" i="23" s="1"/>
  <c r="BD259" i="23" s="1"/>
  <c r="BA211" i="23"/>
  <c r="BB211" i="23" s="1"/>
  <c r="BC211" i="23" s="1"/>
  <c r="BD211" i="23" s="1"/>
  <c r="BL294" i="23"/>
  <c r="BM294" i="23" s="1"/>
  <c r="BN294" i="23" s="1"/>
  <c r="BA115" i="23"/>
  <c r="BB115" i="23" s="1"/>
  <c r="BC115" i="23" s="1"/>
  <c r="BD115" i="23" s="1"/>
  <c r="AZ541" i="23"/>
  <c r="BB541" i="23" s="1"/>
  <c r="BC541" i="23" s="1"/>
  <c r="BD541" i="23" s="1"/>
  <c r="BL267" i="23"/>
  <c r="BM267" i="23" s="1"/>
  <c r="BN267" i="23" s="1"/>
  <c r="BL342" i="23"/>
  <c r="BM342" i="23" s="1"/>
  <c r="BN342" i="23" s="1"/>
  <c r="BL417" i="23"/>
  <c r="BM417" i="23" s="1"/>
  <c r="BN417" i="23" s="1"/>
  <c r="BL538" i="23"/>
  <c r="BM538" i="23" s="1"/>
  <c r="BN538" i="23" s="1"/>
  <c r="BL616" i="23"/>
  <c r="BM616" i="23" s="1"/>
  <c r="BN616" i="23" s="1"/>
  <c r="BL103" i="23"/>
  <c r="BM103" i="23" s="1"/>
  <c r="BN103" i="23" s="1"/>
  <c r="AZ289" i="23"/>
  <c r="BB289" i="23" s="1"/>
  <c r="BC289" i="23" s="1"/>
  <c r="AZ545" i="23"/>
  <c r="BB545" i="23" s="1"/>
  <c r="BC545" i="23" s="1"/>
  <c r="BD545" i="23" s="1"/>
  <c r="BB614" i="23"/>
  <c r="BC614" i="23" s="1"/>
  <c r="BD614" i="23" s="1"/>
  <c r="AZ624" i="23"/>
  <c r="BB624" i="23" s="1"/>
  <c r="BC624" i="23" s="1"/>
  <c r="BD624" i="23" s="1"/>
  <c r="AZ611" i="23"/>
  <c r="BB611" i="23" s="1"/>
  <c r="BC611" i="23" s="1"/>
  <c r="BD611" i="23" s="1"/>
  <c r="BA486" i="23"/>
  <c r="AZ187" i="23"/>
  <c r="BB187" i="23" s="1"/>
  <c r="BC187" i="23" s="1"/>
  <c r="BD187" i="23" s="1"/>
  <c r="BL565" i="23"/>
  <c r="BM565" i="23" s="1"/>
  <c r="BN565" i="23" s="1"/>
  <c r="BL547" i="23"/>
  <c r="BM547" i="23" s="1"/>
  <c r="BN547" i="23" s="1"/>
  <c r="BL95" i="23"/>
  <c r="BM95" i="23" s="1"/>
  <c r="BN95" i="23" s="1"/>
  <c r="AZ46" i="23"/>
  <c r="BB46" i="23" s="1"/>
  <c r="BC46" i="23" s="1"/>
  <c r="BD46" i="23" s="1"/>
  <c r="BA630" i="23"/>
  <c r="BA372" i="23"/>
  <c r="AZ372" i="23"/>
  <c r="AZ198" i="23"/>
  <c r="BA198" i="23"/>
  <c r="AZ274" i="23"/>
  <c r="BB274" i="23" s="1"/>
  <c r="BC274" i="23" s="1"/>
  <c r="BD274" i="23" s="1"/>
  <c r="AZ634" i="23"/>
  <c r="BB634" i="23" s="1"/>
  <c r="BC634" i="23" s="1"/>
  <c r="BD634" i="23" s="1"/>
  <c r="BA605" i="23"/>
  <c r="AZ531" i="23"/>
  <c r="BB531" i="23" s="1"/>
  <c r="BC531" i="23" s="1"/>
  <c r="BD531" i="23" s="1"/>
  <c r="AZ361" i="23"/>
  <c r="BB361" i="23" s="1"/>
  <c r="BC361" i="23" s="1"/>
  <c r="BD361" i="23" s="1"/>
  <c r="BA261" i="23"/>
  <c r="BB261" i="23" s="1"/>
  <c r="BC261" i="23" s="1"/>
  <c r="BD261" i="23" s="1"/>
  <c r="AZ301" i="23"/>
  <c r="BB301" i="23" s="1"/>
  <c r="BC301" i="23" s="1"/>
  <c r="BD301" i="23" s="1"/>
  <c r="AZ225" i="23"/>
  <c r="BB225" i="23" s="1"/>
  <c r="BC225" i="23" s="1"/>
  <c r="BD225" i="23" s="1"/>
  <c r="AZ162" i="23"/>
  <c r="BB162" i="23" s="1"/>
  <c r="BC162" i="23" s="1"/>
  <c r="BD162" i="23" s="1"/>
  <c r="BL119" i="23"/>
  <c r="BM119" i="23" s="1"/>
  <c r="BN119" i="23" s="1"/>
  <c r="BL561" i="23"/>
  <c r="BM561" i="23" s="1"/>
  <c r="BN561" i="23" s="1"/>
  <c r="BL51" i="23"/>
  <c r="BM51" i="23" s="1"/>
  <c r="BN51" i="23" s="1"/>
  <c r="BL309" i="23"/>
  <c r="BM309" i="23" s="1"/>
  <c r="AZ99" i="23"/>
  <c r="BB99" i="23" s="1"/>
  <c r="BC99" i="23" s="1"/>
  <c r="BD99" i="23" s="1"/>
  <c r="BL825" i="23"/>
  <c r="BM825" i="23" s="1"/>
  <c r="BN825" i="23" s="1"/>
  <c r="BL490" i="23"/>
  <c r="BM490" i="23" s="1"/>
  <c r="BN490" i="23" s="1"/>
  <c r="AZ575" i="23"/>
  <c r="BB575" i="23" s="1"/>
  <c r="BC575" i="23" s="1"/>
  <c r="BD575" i="23" s="1"/>
  <c r="BA530" i="23"/>
  <c r="BA505" i="23"/>
  <c r="AZ497" i="23"/>
  <c r="BB497" i="23" s="1"/>
  <c r="BC497" i="23" s="1"/>
  <c r="BD497" i="23" s="1"/>
  <c r="AZ164" i="23"/>
  <c r="BB164" i="23" s="1"/>
  <c r="BC164" i="23" s="1"/>
  <c r="BD164" i="23" s="1"/>
  <c r="BL235" i="23"/>
  <c r="BM235" i="23" s="1"/>
  <c r="BN235" i="23" s="1"/>
  <c r="BL61" i="23"/>
  <c r="BM61" i="23" s="1"/>
  <c r="BN61" i="23" s="1"/>
  <c r="AZ174" i="23"/>
  <c r="BB174" i="23" s="1"/>
  <c r="BC174" i="23" s="1"/>
  <c r="BD174" i="23" s="1"/>
  <c r="BL125" i="23"/>
  <c r="BM125" i="23" s="1"/>
  <c r="BN125" i="23" s="1"/>
  <c r="BB257" i="23"/>
  <c r="BC257" i="23" s="1"/>
  <c r="BD257" i="23" s="1"/>
  <c r="BA576" i="23"/>
  <c r="AZ576" i="23"/>
  <c r="BL624" i="23"/>
  <c r="BM624" i="23" s="1"/>
  <c r="BN624" i="23" s="1"/>
  <c r="AZ593" i="23"/>
  <c r="BB593" i="23" s="1"/>
  <c r="BC593" i="23" s="1"/>
  <c r="BD593" i="23" s="1"/>
  <c r="AZ419" i="23"/>
  <c r="BB419" i="23" s="1"/>
  <c r="BC419" i="23" s="1"/>
  <c r="BD419" i="23" s="1"/>
  <c r="BL353" i="23"/>
  <c r="BM353" i="23" s="1"/>
  <c r="BN353" i="23" s="1"/>
  <c r="BL405" i="23"/>
  <c r="BM405" i="23" s="1"/>
  <c r="BN405" i="23" s="1"/>
  <c r="BL402" i="23"/>
  <c r="BM402" i="23" s="1"/>
  <c r="BN402" i="23" s="1"/>
  <c r="BL474" i="23"/>
  <c r="BM474" i="23" s="1"/>
  <c r="BN474" i="23" s="1"/>
  <c r="BL42" i="23"/>
  <c r="BM42" i="23" s="1"/>
  <c r="BN42" i="23" s="1"/>
  <c r="AZ546" i="23"/>
  <c r="BB546" i="23" s="1"/>
  <c r="BC546" i="23" s="1"/>
  <c r="BD546" i="23" s="1"/>
  <c r="BA546" i="23"/>
  <c r="BB365" i="23"/>
  <c r="BC365" i="23" s="1"/>
  <c r="BD365" i="23" s="1"/>
  <c r="AZ182" i="23"/>
  <c r="BB182" i="23" s="1"/>
  <c r="BC182" i="23" s="1"/>
  <c r="BL184" i="23"/>
  <c r="BM184" i="23" s="1"/>
  <c r="BN184" i="23" s="1"/>
  <c r="BL253" i="23"/>
  <c r="BM253" i="23" s="1"/>
  <c r="BN253" i="23" s="1"/>
  <c r="BL347" i="23"/>
  <c r="BM347" i="23" s="1"/>
  <c r="BN347" i="23" s="1"/>
  <c r="BL422" i="23"/>
  <c r="BM422" i="23" s="1"/>
  <c r="BN422" i="23" s="1"/>
  <c r="BL33" i="23"/>
  <c r="BM33" i="23" s="1"/>
  <c r="BN33" i="23" s="1"/>
  <c r="BA55" i="23"/>
  <c r="AX13" i="23"/>
  <c r="BA13" i="23" s="1"/>
  <c r="BB635" i="23"/>
  <c r="BC635" i="23" s="1"/>
  <c r="BD635" i="23" s="1"/>
  <c r="BL35" i="23"/>
  <c r="BM35" i="23" s="1"/>
  <c r="BN35" i="23" s="1"/>
  <c r="BB832" i="23"/>
  <c r="BC832" i="23" s="1"/>
  <c r="BD832" i="23" s="1"/>
  <c r="BB406" i="23"/>
  <c r="BC406" i="23" s="1"/>
  <c r="BD406" i="23" s="1"/>
  <c r="BL205" i="23"/>
  <c r="BM205" i="23" s="1"/>
  <c r="BN205" i="23" s="1"/>
  <c r="BL163" i="23"/>
  <c r="BM163" i="23" s="1"/>
  <c r="BN163" i="23" s="1"/>
  <c r="BB275" i="23"/>
  <c r="BC275" i="23" s="1"/>
  <c r="BD275" i="23" s="1"/>
  <c r="BL137" i="23"/>
  <c r="BM137" i="23" s="1"/>
  <c r="BN137" i="23" s="1"/>
  <c r="BL285" i="23"/>
  <c r="BM285" i="23" s="1"/>
  <c r="BN285" i="23" s="1"/>
  <c r="BL313" i="23"/>
  <c r="BM313" i="23" s="1"/>
  <c r="BN313" i="23" s="1"/>
  <c r="BL312" i="23"/>
  <c r="BM312" i="23" s="1"/>
  <c r="BN312" i="23" s="1"/>
  <c r="BL322" i="23"/>
  <c r="BM322" i="23" s="1"/>
  <c r="BN322" i="23" s="1"/>
  <c r="BL383" i="23"/>
  <c r="BM383" i="23" s="1"/>
  <c r="BN383" i="23" s="1"/>
  <c r="BL456" i="23"/>
  <c r="BM456" i="23" s="1"/>
  <c r="BN456" i="23" s="1"/>
  <c r="BL448" i="23"/>
  <c r="BM448" i="23" s="1"/>
  <c r="BN448" i="23" s="1"/>
  <c r="BL478" i="23"/>
  <c r="BM478" i="23" s="1"/>
  <c r="BN478" i="23" s="1"/>
  <c r="BL435" i="23"/>
  <c r="BM435" i="23" s="1"/>
  <c r="BN435" i="23" s="1"/>
  <c r="BL617" i="23"/>
  <c r="BM617" i="23" s="1"/>
  <c r="BN617" i="23" s="1"/>
  <c r="BL634" i="23"/>
  <c r="BM634" i="23" s="1"/>
  <c r="BN634" i="23" s="1"/>
  <c r="BL91" i="23"/>
  <c r="BM91" i="23" s="1"/>
  <c r="BN91" i="23" s="1"/>
  <c r="BB138" i="23"/>
  <c r="BC138" i="23" s="1"/>
  <c r="BD138" i="23" s="1"/>
  <c r="BL17" i="23"/>
  <c r="BM17" i="23" s="1"/>
  <c r="BN17" i="23" s="1"/>
  <c r="AX125" i="23"/>
  <c r="AZ125" i="23" s="1"/>
  <c r="AY125" i="23"/>
  <c r="AZ103" i="23"/>
  <c r="BA103" i="23"/>
  <c r="AZ118" i="23"/>
  <c r="BB118" i="23" s="1"/>
  <c r="BC118" i="23" s="1"/>
  <c r="BD118" i="23" s="1"/>
  <c r="BA118" i="23"/>
  <c r="BA604" i="23"/>
  <c r="AZ604" i="23"/>
  <c r="BB604" i="23" s="1"/>
  <c r="BC604" i="23" s="1"/>
  <c r="BD604" i="23" s="1"/>
  <c r="BA571" i="23"/>
  <c r="AZ571" i="23"/>
  <c r="AZ602" i="23"/>
  <c r="BA602" i="23"/>
  <c r="BA553" i="23"/>
  <c r="AZ553" i="23"/>
  <c r="BB553" i="23" s="1"/>
  <c r="BC553" i="23" s="1"/>
  <c r="BD553" i="23" s="1"/>
  <c r="AZ377" i="23"/>
  <c r="BA377" i="23"/>
  <c r="AZ426" i="23"/>
  <c r="BA426" i="23"/>
  <c r="BA351" i="23"/>
  <c r="AZ351" i="23"/>
  <c r="BB393" i="23"/>
  <c r="BC393" i="23" s="1"/>
  <c r="BD393" i="23" s="1"/>
  <c r="BA483" i="23"/>
  <c r="AZ483" i="23"/>
  <c r="BB483" i="23" s="1"/>
  <c r="BC483" i="23" s="1"/>
  <c r="BD483" i="23" s="1"/>
  <c r="AZ176" i="23"/>
  <c r="BB176" i="23" s="1"/>
  <c r="BC176" i="23" s="1"/>
  <c r="BD176" i="23" s="1"/>
  <c r="BA176" i="23"/>
  <c r="BA334" i="23"/>
  <c r="AZ334" i="23"/>
  <c r="AZ589" i="23"/>
  <c r="BA589" i="23"/>
  <c r="BA549" i="23"/>
  <c r="AZ549" i="23"/>
  <c r="BB549" i="23" s="1"/>
  <c r="BC549" i="23" s="1"/>
  <c r="BD549" i="23" s="1"/>
  <c r="BB474" i="23"/>
  <c r="BC474" i="23" s="1"/>
  <c r="BD474" i="23" s="1"/>
  <c r="BA272" i="23"/>
  <c r="AZ272" i="23"/>
  <c r="BA88" i="23"/>
  <c r="AZ88" i="23"/>
  <c r="BB88" i="23" s="1"/>
  <c r="BC88" i="23" s="1"/>
  <c r="BD88" i="23" s="1"/>
  <c r="BA550" i="23"/>
  <c r="AZ550" i="23"/>
  <c r="BA271" i="23"/>
  <c r="AZ271" i="23"/>
  <c r="AZ572" i="23"/>
  <c r="BA572" i="23"/>
  <c r="BA376" i="23"/>
  <c r="AZ376" i="23"/>
  <c r="BA629" i="23"/>
  <c r="AZ629" i="23"/>
  <c r="BB629" i="23" s="1"/>
  <c r="BC629" i="23" s="1"/>
  <c r="BD629" i="23" s="1"/>
  <c r="BA510" i="23"/>
  <c r="AZ510" i="23"/>
  <c r="BB510" i="23" s="1"/>
  <c r="BC510" i="23" s="1"/>
  <c r="BD510" i="23" s="1"/>
  <c r="AZ519" i="23"/>
  <c r="BB519" i="23" s="1"/>
  <c r="BC519" i="23" s="1"/>
  <c r="BD519" i="23" s="1"/>
  <c r="BA519" i="23"/>
  <c r="BA106" i="23"/>
  <c r="AZ106" i="23"/>
  <c r="BA631" i="23"/>
  <c r="AZ631" i="23"/>
  <c r="BB631" i="23" s="1"/>
  <c r="BC631" i="23" s="1"/>
  <c r="BD631" i="23" s="1"/>
  <c r="BA230" i="23"/>
  <c r="AZ230" i="23"/>
  <c r="AZ27" i="23"/>
  <c r="BA27" i="23"/>
  <c r="BA464" i="23"/>
  <c r="AZ464" i="23"/>
  <c r="BB464" i="23" s="1"/>
  <c r="BC464" i="23" s="1"/>
  <c r="BD464" i="23" s="1"/>
  <c r="AZ304" i="23"/>
  <c r="BA304" i="23"/>
  <c r="BA405" i="23"/>
  <c r="AZ405" i="23"/>
  <c r="BB405" i="23" s="1"/>
  <c r="BC405" i="23" s="1"/>
  <c r="BD405" i="23" s="1"/>
  <c r="AZ290" i="23"/>
  <c r="BA290" i="23"/>
  <c r="AY272" i="23"/>
  <c r="AZ373" i="23"/>
  <c r="BA373" i="23"/>
  <c r="AZ402" i="23"/>
  <c r="BA402" i="23"/>
  <c r="AZ216" i="23"/>
  <c r="BA216" i="23"/>
  <c r="BA283" i="23"/>
  <c r="AZ283" i="23"/>
  <c r="BB283" i="23" s="1"/>
  <c r="BC283" i="23" s="1"/>
  <c r="BD283" i="23" s="1"/>
  <c r="AZ627" i="23"/>
  <c r="BB627" i="23" s="1"/>
  <c r="BC627" i="23" s="1"/>
  <c r="BD627" i="23" s="1"/>
  <c r="BA627" i="23"/>
  <c r="AZ62" i="23"/>
  <c r="BA62" i="23"/>
  <c r="AY305" i="23"/>
  <c r="AZ305" i="23"/>
  <c r="BA305" i="23"/>
  <c r="BA610" i="23"/>
  <c r="AZ610" i="23"/>
  <c r="BB610" i="23" s="1"/>
  <c r="BC610" i="23" s="1"/>
  <c r="BD610" i="23" s="1"/>
  <c r="BA574" i="23"/>
  <c r="AZ574" i="23"/>
  <c r="AZ527" i="23"/>
  <c r="BB527" i="23" s="1"/>
  <c r="BC527" i="23" s="1"/>
  <c r="BD527" i="23" s="1"/>
  <c r="BA527" i="23"/>
  <c r="BA520" i="23"/>
  <c r="AZ520" i="23"/>
  <c r="BB520" i="23" s="1"/>
  <c r="BC520" i="23" s="1"/>
  <c r="BD520" i="23" s="1"/>
  <c r="AZ599" i="23"/>
  <c r="BB599" i="23" s="1"/>
  <c r="BC599" i="23" s="1"/>
  <c r="BD599" i="23" s="1"/>
  <c r="BA599" i="23"/>
  <c r="BA364" i="23"/>
  <c r="AZ364" i="23"/>
  <c r="BA265" i="23"/>
  <c r="AZ265" i="23"/>
  <c r="BA243" i="23"/>
  <c r="AZ243" i="23"/>
  <c r="AZ231" i="23"/>
  <c r="BB231" i="23" s="1"/>
  <c r="BC231" i="23" s="1"/>
  <c r="BD231" i="23" s="1"/>
  <c r="BA231" i="23"/>
  <c r="AZ119" i="23"/>
  <c r="BB119" i="23" s="1"/>
  <c r="BC119" i="23" s="1"/>
  <c r="BD119" i="23" s="1"/>
  <c r="BA119" i="23"/>
  <c r="BL162" i="23"/>
  <c r="BM162" i="23" s="1"/>
  <c r="BN162" i="23" s="1"/>
  <c r="BL132" i="23"/>
  <c r="BM132" i="23" s="1"/>
  <c r="BN132" i="23" s="1"/>
  <c r="BL256" i="23"/>
  <c r="BM256" i="23" s="1"/>
  <c r="BN256" i="23" s="1"/>
  <c r="BL272" i="23"/>
  <c r="BM272" i="23" s="1"/>
  <c r="BN272" i="23" s="1"/>
  <c r="BL374" i="23"/>
  <c r="BM374" i="23" s="1"/>
  <c r="BN374" i="23" s="1"/>
  <c r="BL404" i="23"/>
  <c r="BM404" i="23" s="1"/>
  <c r="BN404" i="23" s="1"/>
  <c r="BL378" i="23"/>
  <c r="BM378" i="23" s="1"/>
  <c r="BL453" i="23"/>
  <c r="BM453" i="23" s="1"/>
  <c r="BN453" i="23" s="1"/>
  <c r="BL423" i="23"/>
  <c r="BM423" i="23" s="1"/>
  <c r="BN423" i="23" s="1"/>
  <c r="BL495" i="23"/>
  <c r="BM495" i="23" s="1"/>
  <c r="BN495" i="23" s="1"/>
  <c r="BL831" i="23"/>
  <c r="BM831" i="23" s="1"/>
  <c r="BN831" i="23" s="1"/>
  <c r="BL588" i="23"/>
  <c r="BM588" i="23" s="1"/>
  <c r="BN588" i="23" s="1"/>
  <c r="BL628" i="23"/>
  <c r="BM628" i="23" s="1"/>
  <c r="BN628" i="23" s="1"/>
  <c r="BA114" i="23"/>
  <c r="AZ114" i="23"/>
  <c r="BB114" i="23" s="1"/>
  <c r="BC114" i="23" s="1"/>
  <c r="BD114" i="23" s="1"/>
  <c r="AZ113" i="23"/>
  <c r="BB113" i="23" s="1"/>
  <c r="BC113" i="23" s="1"/>
  <c r="BD113" i="23" s="1"/>
  <c r="BA113" i="23"/>
  <c r="BA48" i="23"/>
  <c r="AZ48" i="23"/>
  <c r="AZ484" i="23"/>
  <c r="BA484" i="23"/>
  <c r="BL507" i="23"/>
  <c r="BM507" i="23" s="1"/>
  <c r="BN507" i="23" s="1"/>
  <c r="BL595" i="23"/>
  <c r="BM595" i="23" s="1"/>
  <c r="BN595" i="23" s="1"/>
  <c r="BA555" i="23"/>
  <c r="AZ555" i="23"/>
  <c r="BA538" i="23"/>
  <c r="AZ538" i="23"/>
  <c r="BB538" i="23" s="1"/>
  <c r="BC538" i="23" s="1"/>
  <c r="BD538" i="23" s="1"/>
  <c r="BA539" i="23"/>
  <c r="AZ539" i="23"/>
  <c r="AX431" i="23"/>
  <c r="BA389" i="23"/>
  <c r="AZ389" i="23"/>
  <c r="BB389" i="23" s="1"/>
  <c r="BC389" i="23" s="1"/>
  <c r="BD389" i="23" s="1"/>
  <c r="BA354" i="23"/>
  <c r="AZ354" i="23"/>
  <c r="BA369" i="23"/>
  <c r="AZ369" i="23"/>
  <c r="BK305" i="23"/>
  <c r="BJ305" i="23"/>
  <c r="BA342" i="23"/>
  <c r="AZ342" i="23"/>
  <c r="BA195" i="23"/>
  <c r="AZ195" i="23"/>
  <c r="BB195" i="23" s="1"/>
  <c r="BC195" i="23" s="1"/>
  <c r="BD195" i="23" s="1"/>
  <c r="BA238" i="23"/>
  <c r="AZ238" i="23"/>
  <c r="BB238" i="23" s="1"/>
  <c r="BC238" i="23" s="1"/>
  <c r="BD238" i="23" s="1"/>
  <c r="BA269" i="23"/>
  <c r="AZ269" i="23"/>
  <c r="BA163" i="23"/>
  <c r="AZ163" i="23"/>
  <c r="BB163" i="23" s="1"/>
  <c r="BC163" i="23" s="1"/>
  <c r="BD163" i="23" s="1"/>
  <c r="BL182" i="23"/>
  <c r="BM182" i="23" s="1"/>
  <c r="BL352" i="23"/>
  <c r="BM352" i="23" s="1"/>
  <c r="BN352" i="23" s="1"/>
  <c r="BL320" i="23"/>
  <c r="BM320" i="23" s="1"/>
  <c r="BN320" i="23" s="1"/>
  <c r="BL319" i="23"/>
  <c r="BM319" i="23" s="1"/>
  <c r="BN319" i="23" s="1"/>
  <c r="BL343" i="23"/>
  <c r="BM343" i="23" s="1"/>
  <c r="BN343" i="23" s="1"/>
  <c r="BL388" i="23"/>
  <c r="BM388" i="23" s="1"/>
  <c r="BN388" i="23" s="1"/>
  <c r="BL484" i="23"/>
  <c r="BM484" i="23" s="1"/>
  <c r="BN484" i="23" s="1"/>
  <c r="BL443" i="23"/>
  <c r="BM443" i="23" s="1"/>
  <c r="BN443" i="23" s="1"/>
  <c r="BL513" i="23"/>
  <c r="BM513" i="23" s="1"/>
  <c r="BN513" i="23" s="1"/>
  <c r="BL504" i="23"/>
  <c r="BM504" i="23" s="1"/>
  <c r="BN504" i="23" s="1"/>
  <c r="BL555" i="23"/>
  <c r="BM555" i="23" s="1"/>
  <c r="BN555" i="23" s="1"/>
  <c r="BL618" i="23"/>
  <c r="BM618" i="23" s="1"/>
  <c r="BN618" i="23" s="1"/>
  <c r="BL593" i="23"/>
  <c r="BM593" i="23" s="1"/>
  <c r="BN593" i="23" s="1"/>
  <c r="BA621" i="23"/>
  <c r="AZ621" i="23"/>
  <c r="BB621" i="23" s="1"/>
  <c r="BC621" i="23" s="1"/>
  <c r="BD621" i="23" s="1"/>
  <c r="BL597" i="23"/>
  <c r="BM597" i="23" s="1"/>
  <c r="BN597" i="23" s="1"/>
  <c r="AZ420" i="23"/>
  <c r="BA420" i="23"/>
  <c r="BK431" i="23"/>
  <c r="BJ431" i="23"/>
  <c r="BL431" i="23" s="1"/>
  <c r="BM431" i="23" s="1"/>
  <c r="BN431" i="23" s="1"/>
  <c r="BA391" i="23"/>
  <c r="AZ391" i="23"/>
  <c r="BA417" i="23"/>
  <c r="AZ417" i="23"/>
  <c r="BA212" i="23"/>
  <c r="AZ212" i="23"/>
  <c r="BL173" i="23"/>
  <c r="BM173" i="23" s="1"/>
  <c r="BN173" i="23" s="1"/>
  <c r="BL234" i="23"/>
  <c r="BM234" i="23" s="1"/>
  <c r="BN234" i="23" s="1"/>
  <c r="BL188" i="23"/>
  <c r="BM188" i="23" s="1"/>
  <c r="BN188" i="23" s="1"/>
  <c r="BL209" i="23"/>
  <c r="BM209" i="23" s="1"/>
  <c r="BN209" i="23" s="1"/>
  <c r="BL336" i="23"/>
  <c r="BM336" i="23" s="1"/>
  <c r="BL351" i="23"/>
  <c r="BM351" i="23" s="1"/>
  <c r="BN351" i="23" s="1"/>
  <c r="BL395" i="23"/>
  <c r="BM395" i="23" s="1"/>
  <c r="BN395" i="23" s="1"/>
  <c r="BL564" i="23"/>
  <c r="BM564" i="23" s="1"/>
  <c r="BN564" i="23" s="1"/>
  <c r="BL458" i="23"/>
  <c r="BM458" i="23" s="1"/>
  <c r="BN458" i="23" s="1"/>
  <c r="BL541" i="23"/>
  <c r="BM541" i="23" s="1"/>
  <c r="BN541" i="23" s="1"/>
  <c r="BL832" i="23"/>
  <c r="BM832" i="23" s="1"/>
  <c r="BN832" i="23" s="1"/>
  <c r="BL596" i="23"/>
  <c r="BM596" i="23" s="1"/>
  <c r="BN596" i="23" s="1"/>
  <c r="BL615" i="23"/>
  <c r="BM615" i="23" s="1"/>
  <c r="BN615" i="23" s="1"/>
  <c r="BL627" i="23"/>
  <c r="BM627" i="23" s="1"/>
  <c r="BN627" i="23" s="1"/>
  <c r="BL630" i="23"/>
  <c r="BM630" i="23" s="1"/>
  <c r="BN630" i="23" s="1"/>
  <c r="AZ101" i="23"/>
  <c r="BA101" i="23"/>
  <c r="BL20" i="23"/>
  <c r="BM20" i="23" s="1"/>
  <c r="BN20" i="23" s="1"/>
  <c r="BA68" i="23"/>
  <c r="AZ68" i="23"/>
  <c r="BA623" i="23"/>
  <c r="AZ623" i="23"/>
  <c r="BB623" i="23" s="1"/>
  <c r="BC623" i="23" s="1"/>
  <c r="BD623" i="23" s="1"/>
  <c r="BA395" i="23"/>
  <c r="AZ395" i="23"/>
  <c r="BB395" i="23" s="1"/>
  <c r="BC395" i="23" s="1"/>
  <c r="BD395" i="23" s="1"/>
  <c r="BL589" i="23"/>
  <c r="BM589" i="23" s="1"/>
  <c r="BN589" i="23" s="1"/>
  <c r="BA638" i="23"/>
  <c r="AZ638" i="23"/>
  <c r="BA601" i="23"/>
  <c r="AZ601" i="23"/>
  <c r="BA597" i="23"/>
  <c r="AZ597" i="23"/>
  <c r="BA560" i="23"/>
  <c r="AZ560" i="23"/>
  <c r="BA528" i="23"/>
  <c r="AZ528" i="23"/>
  <c r="BB528" i="23" s="1"/>
  <c r="BC528" i="23" s="1"/>
  <c r="BD528" i="23" s="1"/>
  <c r="BA517" i="23"/>
  <c r="AZ517" i="23"/>
  <c r="BB489" i="23"/>
  <c r="BC489" i="23" s="1"/>
  <c r="BD489" i="23" s="1"/>
  <c r="AZ504" i="23"/>
  <c r="BA504" i="23"/>
  <c r="BA458" i="23"/>
  <c r="AZ458" i="23"/>
  <c r="BB458" i="23" s="1"/>
  <c r="BC458" i="23" s="1"/>
  <c r="BD458" i="23" s="1"/>
  <c r="BA435" i="23"/>
  <c r="AZ435" i="23"/>
  <c r="BA256" i="23"/>
  <c r="AZ256" i="23"/>
  <c r="BB256" i="23" s="1"/>
  <c r="BC256" i="23" s="1"/>
  <c r="BD256" i="23" s="1"/>
  <c r="AZ227" i="23"/>
  <c r="BB227" i="23" s="1"/>
  <c r="BC227" i="23" s="1"/>
  <c r="BD227" i="23" s="1"/>
  <c r="BA227" i="23"/>
  <c r="AZ222" i="23"/>
  <c r="BB222" i="23" s="1"/>
  <c r="BC222" i="23" s="1"/>
  <c r="BD222" i="23" s="1"/>
  <c r="BA222" i="23"/>
  <c r="BA137" i="23"/>
  <c r="AZ137" i="23"/>
  <c r="BL212" i="23"/>
  <c r="BM212" i="23" s="1"/>
  <c r="BN212" i="23" s="1"/>
  <c r="BL373" i="23"/>
  <c r="BM373" i="23" s="1"/>
  <c r="BN373" i="23" s="1"/>
  <c r="BL411" i="23"/>
  <c r="BM411" i="23" s="1"/>
  <c r="BN411" i="23" s="1"/>
  <c r="BL418" i="23"/>
  <c r="BM418" i="23" s="1"/>
  <c r="BN418" i="23" s="1"/>
  <c r="BL455" i="23"/>
  <c r="BM455" i="23" s="1"/>
  <c r="BN455" i="23" s="1"/>
  <c r="BL464" i="23"/>
  <c r="BM464" i="23" s="1"/>
  <c r="BN464" i="23" s="1"/>
  <c r="BL522" i="23"/>
  <c r="BM522" i="23" s="1"/>
  <c r="BN522" i="23" s="1"/>
  <c r="BL573" i="23"/>
  <c r="BM573" i="23" s="1"/>
  <c r="BN573" i="23" s="1"/>
  <c r="BL598" i="23"/>
  <c r="BM598" i="23" s="1"/>
  <c r="BN598" i="23" s="1"/>
  <c r="BA51" i="23"/>
  <c r="AZ51" i="23"/>
  <c r="BB51" i="23" s="1"/>
  <c r="BC51" i="23" s="1"/>
  <c r="BD51" i="23" s="1"/>
  <c r="BA628" i="23"/>
  <c r="AZ628" i="23"/>
  <c r="BB628" i="23" s="1"/>
  <c r="BC628" i="23" s="1"/>
  <c r="BD628" i="23" s="1"/>
  <c r="BA637" i="23"/>
  <c r="AZ637" i="23"/>
  <c r="BB637" i="23" s="1"/>
  <c r="BC637" i="23" s="1"/>
  <c r="BD637" i="23" s="1"/>
  <c r="BA543" i="23"/>
  <c r="AZ543" i="23"/>
  <c r="BB543" i="23" s="1"/>
  <c r="BC543" i="23" s="1"/>
  <c r="BD543" i="23" s="1"/>
  <c r="BA343" i="23"/>
  <c r="AZ343" i="23"/>
  <c r="BL161" i="23"/>
  <c r="BM161" i="23" s="1"/>
  <c r="BN161" i="23" s="1"/>
  <c r="BL360" i="23"/>
  <c r="BM360" i="23" s="1"/>
  <c r="BN360" i="23" s="1"/>
  <c r="AZ600" i="23"/>
  <c r="BB600" i="23" s="1"/>
  <c r="BC600" i="23" s="1"/>
  <c r="BD600" i="23" s="1"/>
  <c r="BA600" i="23"/>
  <c r="AZ595" i="23"/>
  <c r="BB595" i="23" s="1"/>
  <c r="BC595" i="23" s="1"/>
  <c r="BD595" i="23" s="1"/>
  <c r="BA595" i="23"/>
  <c r="BA620" i="23"/>
  <c r="AZ620" i="23"/>
  <c r="BA824" i="23"/>
  <c r="AZ824" i="23"/>
  <c r="BB824" i="23" s="1"/>
  <c r="BC824" i="23" s="1"/>
  <c r="BD824" i="23" s="1"/>
  <c r="BB476" i="23"/>
  <c r="BC476" i="23" s="1"/>
  <c r="BD476" i="23" s="1"/>
  <c r="AX467" i="23"/>
  <c r="BA384" i="23"/>
  <c r="AZ384" i="23"/>
  <c r="BB384" i="23" s="1"/>
  <c r="BC384" i="23" s="1"/>
  <c r="BD384" i="23" s="1"/>
  <c r="BA247" i="23"/>
  <c r="AZ247" i="23"/>
  <c r="BB247" i="23" s="1"/>
  <c r="BC247" i="23" s="1"/>
  <c r="BD247" i="23" s="1"/>
  <c r="BA252" i="23"/>
  <c r="AZ252" i="23"/>
  <c r="AZ161" i="23"/>
  <c r="BA161" i="23"/>
  <c r="BL135" i="23"/>
  <c r="BM135" i="23" s="1"/>
  <c r="BN135" i="23" s="1"/>
  <c r="BL193" i="23"/>
  <c r="BM193" i="23" s="1"/>
  <c r="BN193" i="23" s="1"/>
  <c r="BL202" i="23"/>
  <c r="BM202" i="23" s="1"/>
  <c r="BN202" i="23" s="1"/>
  <c r="BL223" i="23"/>
  <c r="BM223" i="23" s="1"/>
  <c r="BN223" i="23" s="1"/>
  <c r="BL275" i="23"/>
  <c r="BM275" i="23" s="1"/>
  <c r="BN275" i="23" s="1"/>
  <c r="BL349" i="23"/>
  <c r="BM349" i="23" s="1"/>
  <c r="BN349" i="23" s="1"/>
  <c r="BL381" i="23"/>
  <c r="BM381" i="23" s="1"/>
  <c r="BN381" i="23" s="1"/>
  <c r="BL489" i="23"/>
  <c r="BM489" i="23" s="1"/>
  <c r="BN489" i="23" s="1"/>
  <c r="BL520" i="23"/>
  <c r="BM520" i="23" s="1"/>
  <c r="BN520" i="23" s="1"/>
  <c r="BL607" i="23"/>
  <c r="BM607" i="23" s="1"/>
  <c r="BN607" i="23" s="1"/>
  <c r="BL600" i="23"/>
  <c r="BM600" i="23" s="1"/>
  <c r="BN600" i="23" s="1"/>
  <c r="BL101" i="23"/>
  <c r="BM101" i="23" s="1"/>
  <c r="BN101" i="23" s="1"/>
  <c r="BA61" i="23"/>
  <c r="AZ61" i="23"/>
  <c r="BA109" i="23"/>
  <c r="AZ109" i="23"/>
  <c r="BA407" i="23"/>
  <c r="AZ407" i="23"/>
  <c r="BA185" i="23"/>
  <c r="AZ185" i="23"/>
  <c r="BB185" i="23" s="1"/>
  <c r="BC185" i="23" s="1"/>
  <c r="BD185" i="23" s="1"/>
  <c r="BL288" i="23"/>
  <c r="BM288" i="23" s="1"/>
  <c r="BN288" i="23" s="1"/>
  <c r="BL259" i="23"/>
  <c r="BM259" i="23" s="1"/>
  <c r="BN259" i="23" s="1"/>
  <c r="BL397" i="23"/>
  <c r="BM397" i="23" s="1"/>
  <c r="BN397" i="23" s="1"/>
  <c r="AZ633" i="23"/>
  <c r="BA633" i="23"/>
  <c r="BA607" i="23"/>
  <c r="AZ607" i="23"/>
  <c r="AZ591" i="23"/>
  <c r="BB591" i="23" s="1"/>
  <c r="BC591" i="23" s="1"/>
  <c r="BD591" i="23" s="1"/>
  <c r="BA591" i="23"/>
  <c r="BA588" i="23"/>
  <c r="AZ588" i="23"/>
  <c r="BA477" i="23"/>
  <c r="AZ477" i="23"/>
  <c r="BB477" i="23" s="1"/>
  <c r="BC477" i="23" s="1"/>
  <c r="BD477" i="23" s="1"/>
  <c r="BA455" i="23"/>
  <c r="AZ455" i="23"/>
  <c r="AZ440" i="23"/>
  <c r="BB440" i="23" s="1"/>
  <c r="BC440" i="23" s="1"/>
  <c r="BD440" i="23" s="1"/>
  <c r="BA440" i="23"/>
  <c r="BA322" i="23"/>
  <c r="AZ322" i="23"/>
  <c r="BA313" i="23"/>
  <c r="AZ313" i="23"/>
  <c r="AZ284" i="23"/>
  <c r="BB284" i="23" s="1"/>
  <c r="BC284" i="23" s="1"/>
  <c r="BD284" i="23" s="1"/>
  <c r="BA284" i="23"/>
  <c r="BA209" i="23"/>
  <c r="AZ209" i="23"/>
  <c r="BA192" i="23"/>
  <c r="AZ192" i="23"/>
  <c r="AZ188" i="23"/>
  <c r="BB188" i="23" s="1"/>
  <c r="BC188" i="23" s="1"/>
  <c r="BD188" i="23" s="1"/>
  <c r="BA188" i="23"/>
  <c r="BL116" i="23"/>
  <c r="BM116" i="23" s="1"/>
  <c r="BN116" i="23" s="1"/>
  <c r="BL220" i="23"/>
  <c r="BM220" i="23" s="1"/>
  <c r="BL245" i="23"/>
  <c r="BM245" i="23" s="1"/>
  <c r="BL247" i="23"/>
  <c r="BM247" i="23" s="1"/>
  <c r="BN247" i="23" s="1"/>
  <c r="BL363" i="23"/>
  <c r="BM363" i="23" s="1"/>
  <c r="BN363" i="23" s="1"/>
  <c r="BL386" i="23"/>
  <c r="BM386" i="23" s="1"/>
  <c r="BN386" i="23" s="1"/>
  <c r="BL410" i="23"/>
  <c r="BM410" i="23" s="1"/>
  <c r="BL447" i="23"/>
  <c r="BM447" i="23" s="1"/>
  <c r="BN447" i="23" s="1"/>
  <c r="BL531" i="23"/>
  <c r="BM531" i="23" s="1"/>
  <c r="BN531" i="23" s="1"/>
  <c r="BL419" i="23"/>
  <c r="BM419" i="23" s="1"/>
  <c r="BN419" i="23" s="1"/>
  <c r="BL521" i="23"/>
  <c r="BM521" i="23" s="1"/>
  <c r="BN521" i="23" s="1"/>
  <c r="BL530" i="23"/>
  <c r="BM530" i="23" s="1"/>
  <c r="BN530" i="23" s="1"/>
  <c r="BL570" i="23"/>
  <c r="BM570" i="23" s="1"/>
  <c r="BN570" i="23" s="1"/>
  <c r="BL601" i="23"/>
  <c r="BM601" i="23" s="1"/>
  <c r="BN601" i="23" s="1"/>
  <c r="BA32" i="23"/>
  <c r="AZ32" i="23"/>
  <c r="BA22" i="23"/>
  <c r="AZ22" i="23"/>
  <c r="BA96" i="23"/>
  <c r="AZ96" i="23"/>
  <c r="BA573" i="23"/>
  <c r="AZ573" i="23"/>
  <c r="BA471" i="23"/>
  <c r="AZ471" i="23"/>
  <c r="BB471" i="23" s="1"/>
  <c r="BC471" i="23" s="1"/>
  <c r="BD471" i="23" s="1"/>
  <c r="BJ467" i="23"/>
  <c r="BK467" i="23"/>
  <c r="BA462" i="23"/>
  <c r="AZ462" i="23"/>
  <c r="BB462" i="23" s="1"/>
  <c r="BC462" i="23" s="1"/>
  <c r="BD462" i="23" s="1"/>
  <c r="AZ422" i="23"/>
  <c r="BA422" i="23"/>
  <c r="BA437" i="23"/>
  <c r="AZ437" i="23"/>
  <c r="BB437" i="23" s="1"/>
  <c r="BC437" i="23" s="1"/>
  <c r="BD437" i="23" s="1"/>
  <c r="AZ404" i="23"/>
  <c r="BA404" i="23"/>
  <c r="BA309" i="23"/>
  <c r="AZ309" i="23"/>
  <c r="BB309" i="23" s="1"/>
  <c r="BC309" i="23" s="1"/>
  <c r="BA254" i="23"/>
  <c r="AZ254" i="23"/>
  <c r="BL368" i="23"/>
  <c r="BM368" i="23" s="1"/>
  <c r="BN368" i="23" s="1"/>
  <c r="BL377" i="23"/>
  <c r="BM377" i="23" s="1"/>
  <c r="BN377" i="23" s="1"/>
  <c r="BL414" i="23"/>
  <c r="BM414" i="23" s="1"/>
  <c r="BN414" i="23" s="1"/>
  <c r="BL420" i="23"/>
  <c r="BM420" i="23" s="1"/>
  <c r="BN420" i="23" s="1"/>
  <c r="BL505" i="23"/>
  <c r="BM505" i="23" s="1"/>
  <c r="BN505" i="23" s="1"/>
  <c r="BL540" i="23"/>
  <c r="BM540" i="23" s="1"/>
  <c r="BN540" i="23" s="1"/>
  <c r="BL572" i="23"/>
  <c r="BM572" i="23" s="1"/>
  <c r="BN572" i="23" s="1"/>
  <c r="BL614" i="23"/>
  <c r="BM614" i="23" s="1"/>
  <c r="BN614" i="23" s="1"/>
  <c r="AZ116" i="23"/>
  <c r="BA116" i="23"/>
  <c r="BA133" i="23"/>
  <c r="AZ133" i="23"/>
  <c r="BB133" i="23" s="1"/>
  <c r="BC133" i="23" s="1"/>
  <c r="BD133" i="23" s="1"/>
  <c r="BL467" i="23" l="1"/>
  <c r="BM467" i="23" s="1"/>
  <c r="BN467" i="23" s="1"/>
  <c r="BB573" i="23"/>
  <c r="BC573" i="23" s="1"/>
  <c r="BD573" i="23" s="1"/>
  <c r="AZ392" i="23"/>
  <c r="BB392" i="23" s="1"/>
  <c r="BC392" i="23" s="1"/>
  <c r="BD392" i="23" s="1"/>
  <c r="BB555" i="23"/>
  <c r="BC555" i="23" s="1"/>
  <c r="BD555" i="23" s="1"/>
  <c r="AZ13" i="23"/>
  <c r="BB13" i="23" s="1"/>
  <c r="BC13" i="23" s="1"/>
  <c r="BD13" i="23" s="1"/>
  <c r="BL305" i="23"/>
  <c r="BM305" i="23" s="1"/>
  <c r="BN305" i="23" s="1"/>
  <c r="BB364" i="23"/>
  <c r="BC364" i="23" s="1"/>
  <c r="BD364" i="23" s="1"/>
  <c r="BB550" i="23"/>
  <c r="BC550" i="23" s="1"/>
  <c r="BD550" i="23" s="1"/>
  <c r="BA125" i="23"/>
  <c r="BB342" i="23"/>
  <c r="BC342" i="23" s="1"/>
  <c r="BD342" i="23" s="1"/>
  <c r="BB377" i="23"/>
  <c r="BC377" i="23" s="1"/>
  <c r="BD377" i="23" s="1"/>
  <c r="BB106" i="23"/>
  <c r="BC106" i="23" s="1"/>
  <c r="BD106" i="23" s="1"/>
  <c r="BB271" i="23"/>
  <c r="BC271" i="23" s="1"/>
  <c r="BD271" i="23" s="1"/>
  <c r="BB576" i="23"/>
  <c r="BC576" i="23" s="1"/>
  <c r="BD576" i="23" s="1"/>
  <c r="BB254" i="23"/>
  <c r="BC254" i="23" s="1"/>
  <c r="BD254" i="23" s="1"/>
  <c r="BB252" i="23"/>
  <c r="BC252" i="23" s="1"/>
  <c r="BD252" i="23" s="1"/>
  <c r="BB517" i="23"/>
  <c r="BC517" i="23" s="1"/>
  <c r="BD517" i="23" s="1"/>
  <c r="BB351" i="23"/>
  <c r="BC351" i="23" s="1"/>
  <c r="BD351" i="23" s="1"/>
  <c r="BB574" i="23"/>
  <c r="BC574" i="23" s="1"/>
  <c r="BD574" i="23" s="1"/>
  <c r="BB269" i="23"/>
  <c r="BC269" i="23" s="1"/>
  <c r="BD269" i="23" s="1"/>
  <c r="BB96" i="23"/>
  <c r="BC96" i="23" s="1"/>
  <c r="BD96" i="23" s="1"/>
  <c r="BB597" i="23"/>
  <c r="BC597" i="23" s="1"/>
  <c r="BD597" i="23" s="1"/>
  <c r="BB243" i="23"/>
  <c r="BC243" i="23" s="1"/>
  <c r="BD243" i="23" s="1"/>
  <c r="BB62" i="23"/>
  <c r="BC62" i="23" s="1"/>
  <c r="BD62" i="23" s="1"/>
  <c r="BB230" i="23"/>
  <c r="BC230" i="23" s="1"/>
  <c r="BD230" i="23" s="1"/>
  <c r="BB290" i="23"/>
  <c r="BC290" i="23" s="1"/>
  <c r="BD290" i="23" s="1"/>
  <c r="BB265" i="23"/>
  <c r="BC265" i="23" s="1"/>
  <c r="BD265" i="23" s="1"/>
  <c r="BB539" i="23"/>
  <c r="BC539" i="23" s="1"/>
  <c r="BD539" i="23" s="1"/>
  <c r="BB27" i="23"/>
  <c r="BC27" i="23" s="1"/>
  <c r="BD27" i="23" s="1"/>
  <c r="BB372" i="23"/>
  <c r="BC372" i="23" s="1"/>
  <c r="BB422" i="23"/>
  <c r="BC422" i="23" s="1"/>
  <c r="BD422" i="23" s="1"/>
  <c r="BB61" i="23"/>
  <c r="BC61" i="23" s="1"/>
  <c r="BD61" i="23" s="1"/>
  <c r="BB32" i="23"/>
  <c r="BC32" i="23" s="1"/>
  <c r="BD32" i="23" s="1"/>
  <c r="BB601" i="23"/>
  <c r="BC601" i="23" s="1"/>
  <c r="BD601" i="23" s="1"/>
  <c r="BB354" i="23"/>
  <c r="BC354" i="23" s="1"/>
  <c r="BD354" i="23" s="1"/>
  <c r="BB216" i="23"/>
  <c r="BC216" i="23" s="1"/>
  <c r="BD216" i="23" s="1"/>
  <c r="BB426" i="23"/>
  <c r="BC426" i="23" s="1"/>
  <c r="BD426" i="23" s="1"/>
  <c r="BB198" i="23"/>
  <c r="BC198" i="23" s="1"/>
  <c r="BD198" i="23" s="1"/>
  <c r="BB589" i="23"/>
  <c r="BC589" i="23" s="1"/>
  <c r="BD589" i="23" s="1"/>
  <c r="BB137" i="23"/>
  <c r="BC137" i="23" s="1"/>
  <c r="BD137" i="23" s="1"/>
  <c r="BB391" i="23"/>
  <c r="BC391" i="23" s="1"/>
  <c r="BD391" i="23" s="1"/>
  <c r="BB334" i="23"/>
  <c r="BC334" i="23" s="1"/>
  <c r="BD334" i="23" s="1"/>
  <c r="BB404" i="23"/>
  <c r="BC404" i="23" s="1"/>
  <c r="BD404" i="23" s="1"/>
  <c r="BB407" i="23"/>
  <c r="BC407" i="23" s="1"/>
  <c r="BD407" i="23" s="1"/>
  <c r="BB48" i="23"/>
  <c r="BC48" i="23" s="1"/>
  <c r="BD48" i="23" s="1"/>
  <c r="BB209" i="23"/>
  <c r="BC209" i="23" s="1"/>
  <c r="BD209" i="23" s="1"/>
  <c r="BB435" i="23"/>
  <c r="BC435" i="23" s="1"/>
  <c r="BD435" i="23" s="1"/>
  <c r="BB212" i="23"/>
  <c r="BC212" i="23" s="1"/>
  <c r="BD212" i="23" s="1"/>
  <c r="BB376" i="23"/>
  <c r="BC376" i="23" s="1"/>
  <c r="BD376" i="23" s="1"/>
  <c r="BB305" i="23"/>
  <c r="BC305" i="23" s="1"/>
  <c r="BD305" i="23" s="1"/>
  <c r="BB22" i="23"/>
  <c r="BC22" i="23" s="1"/>
  <c r="BD22" i="23" s="1"/>
  <c r="BB192" i="23"/>
  <c r="BC192" i="23" s="1"/>
  <c r="BD192" i="23" s="1"/>
  <c r="BB504" i="23"/>
  <c r="BC504" i="23" s="1"/>
  <c r="BD504" i="23" s="1"/>
  <c r="BB417" i="23"/>
  <c r="BC417" i="23" s="1"/>
  <c r="BD417" i="23" s="1"/>
  <c r="BB455" i="23"/>
  <c r="BC455" i="23" s="1"/>
  <c r="BD455" i="23" s="1"/>
  <c r="BB161" i="23"/>
  <c r="BC161" i="23" s="1"/>
  <c r="BD161" i="23" s="1"/>
  <c r="BB68" i="23"/>
  <c r="BC68" i="23" s="1"/>
  <c r="BD68" i="23" s="1"/>
  <c r="BB322" i="23"/>
  <c r="BC322" i="23" s="1"/>
  <c r="BD322" i="23" s="1"/>
  <c r="BB607" i="23"/>
  <c r="BC607" i="23" s="1"/>
  <c r="BD607" i="23" s="1"/>
  <c r="BB620" i="23"/>
  <c r="BC620" i="23" s="1"/>
  <c r="BD620" i="23" s="1"/>
  <c r="BB369" i="23"/>
  <c r="BC369" i="23" s="1"/>
  <c r="BD369" i="23" s="1"/>
  <c r="BB638" i="23"/>
  <c r="BC638" i="23" s="1"/>
  <c r="BD638" i="23" s="1"/>
  <c r="BB402" i="23"/>
  <c r="BC402" i="23" s="1"/>
  <c r="BD402" i="23" s="1"/>
  <c r="BB103" i="23"/>
  <c r="BC103" i="23" s="1"/>
  <c r="BD103" i="23" s="1"/>
  <c r="BB572" i="23"/>
  <c r="BC572" i="23" s="1"/>
  <c r="BD572" i="23" s="1"/>
  <c r="BB571" i="23"/>
  <c r="BC571" i="23" s="1"/>
  <c r="BD571" i="23" s="1"/>
  <c r="BB373" i="23"/>
  <c r="BC373" i="23" s="1"/>
  <c r="BD373" i="23" s="1"/>
  <c r="BB304" i="23"/>
  <c r="BC304" i="23" s="1"/>
  <c r="BD304" i="23" s="1"/>
  <c r="BB602" i="23"/>
  <c r="BC602" i="23" s="1"/>
  <c r="BD602" i="23" s="1"/>
  <c r="BB484" i="23"/>
  <c r="BC484" i="23" s="1"/>
  <c r="BD484" i="23" s="1"/>
  <c r="BB272" i="23"/>
  <c r="BC272" i="23" s="1"/>
  <c r="BD272" i="23" s="1"/>
  <c r="BB125" i="23"/>
  <c r="BC125" i="23" s="1"/>
  <c r="BD125" i="23" s="1"/>
  <c r="BB116" i="23"/>
  <c r="BC116" i="23" s="1"/>
  <c r="BD116" i="23" s="1"/>
  <c r="BB101" i="23"/>
  <c r="BC101" i="23" s="1"/>
  <c r="BD101" i="23" s="1"/>
  <c r="BB420" i="23"/>
  <c r="BC420" i="23" s="1"/>
  <c r="BD420" i="23" s="1"/>
  <c r="BA467" i="23"/>
  <c r="AZ467" i="23"/>
  <c r="BB467" i="23" s="1"/>
  <c r="BC467" i="23" s="1"/>
  <c r="BD467" i="23" s="1"/>
  <c r="BB588" i="23"/>
  <c r="BC588" i="23" s="1"/>
  <c r="BD588" i="23" s="1"/>
  <c r="BA431" i="23"/>
  <c r="AZ431" i="23"/>
  <c r="BB343" i="23"/>
  <c r="BC343" i="23" s="1"/>
  <c r="BD343" i="23" s="1"/>
  <c r="BB560" i="23"/>
  <c r="BC560" i="23" s="1"/>
  <c r="BD560" i="23" s="1"/>
  <c r="BB633" i="23"/>
  <c r="BC633" i="23" s="1"/>
  <c r="BD633" i="23" s="1"/>
  <c r="BB313" i="23"/>
  <c r="BC313" i="23" s="1"/>
  <c r="BD313" i="23" s="1"/>
  <c r="BB109" i="23"/>
  <c r="BC109" i="23" s="1"/>
  <c r="BD109" i="23" s="1"/>
  <c r="BB431" i="23" l="1"/>
  <c r="BC431" i="23" s="1"/>
  <c r="BD431" i="23" s="1"/>
  <c r="AT331" i="23" l="1"/>
  <c r="AT432" i="23" l="1"/>
  <c r="AT345" i="23"/>
  <c r="AT466" i="23"/>
  <c r="AV508" i="23"/>
  <c r="AV524" i="23"/>
  <c r="AV427" i="23"/>
  <c r="AV439" i="23"/>
  <c r="AV98" i="23"/>
  <c r="AV245" i="23"/>
  <c r="AV182" i="23"/>
  <c r="AV228" i="23"/>
  <c r="AV413" i="23"/>
  <c r="AV452" i="23"/>
  <c r="AV7" i="23"/>
  <c r="AV31" i="23"/>
  <c r="AV65" i="23"/>
  <c r="AV246" i="23"/>
  <c r="AV40" i="23"/>
  <c r="AV179" i="23"/>
  <c r="AV828" i="23"/>
  <c r="AV82" i="23"/>
  <c r="AV359" i="23"/>
  <c r="AV563" i="23"/>
  <c r="AV321" i="23"/>
  <c r="AV308" i="23"/>
  <c r="AV559" i="23"/>
  <c r="AV141" i="23"/>
  <c r="AV326" i="23"/>
  <c r="AV398" i="23"/>
  <c r="AV122" i="23"/>
  <c r="AV310" i="23"/>
  <c r="AT362" i="23"/>
  <c r="AV421" i="23"/>
  <c r="AV446" i="23"/>
  <c r="AV177" i="23"/>
  <c r="AV587" i="23"/>
  <c r="AV332" i="23"/>
  <c r="AV309" i="23"/>
  <c r="AV220" i="23"/>
  <c r="AV348" i="23"/>
  <c r="AV300" i="23"/>
  <c r="AV436" i="23"/>
  <c r="AV107" i="23"/>
  <c r="AV92" i="23"/>
  <c r="AV515" i="23"/>
  <c r="AV488" i="23"/>
  <c r="AV292" i="23"/>
  <c r="AV249" i="23"/>
  <c r="AV472" i="23"/>
  <c r="AV155" i="23"/>
  <c r="AV424" i="23"/>
  <c r="AV514" i="23"/>
  <c r="AV181" i="23"/>
  <c r="AV200" i="23"/>
  <c r="AV250" i="23"/>
  <c r="AV144" i="23"/>
  <c r="AV214" i="23"/>
  <c r="AV47" i="23"/>
  <c r="AV151" i="23"/>
  <c r="AT449" i="23"/>
  <c r="AV73" i="23"/>
  <c r="AV166" i="23"/>
  <c r="AV394" i="23"/>
  <c r="AV307" i="23"/>
  <c r="AV318" i="23"/>
  <c r="AV481" i="23"/>
  <c r="AV378" i="23"/>
  <c r="AV93" i="23"/>
  <c r="AV136" i="23"/>
  <c r="AV303" i="23"/>
  <c r="AV337" i="23"/>
  <c r="AV100" i="23"/>
  <c r="AV108" i="23"/>
  <c r="AV586" i="23"/>
  <c r="AV552" i="23"/>
  <c r="AV111" i="23"/>
  <c r="AV244" i="23"/>
  <c r="AV341" i="23"/>
  <c r="AV609" i="23"/>
  <c r="AV358" i="23"/>
  <c r="AV251" i="23"/>
  <c r="AV248" i="23"/>
  <c r="AV199" i="23"/>
  <c r="AV25" i="23"/>
  <c r="AV80" i="23"/>
  <c r="AV77" i="23"/>
  <c r="AV203" i="23"/>
  <c r="AT548" i="23"/>
  <c r="AT224" i="23"/>
  <c r="AT130" i="23"/>
  <c r="AT170" i="23"/>
  <c r="AT463" i="23"/>
  <c r="AT370" i="23"/>
  <c r="AT503" i="23"/>
  <c r="AV139" i="23"/>
  <c r="AV94" i="23"/>
  <c r="AV511" i="23"/>
  <c r="AV89" i="23"/>
  <c r="AV512" i="23"/>
  <c r="AV410" i="23"/>
  <c r="AV49" i="23"/>
  <c r="AV197" i="23"/>
  <c r="AV450" i="23"/>
  <c r="AV221" i="23"/>
  <c r="AV74" i="23"/>
  <c r="AV85" i="23"/>
  <c r="AV585" i="23"/>
  <c r="AV619" i="23"/>
  <c r="AV255" i="23"/>
  <c r="AV4" i="23"/>
  <c r="AV112" i="23"/>
  <c r="AV608" i="23"/>
  <c r="AV366" i="23"/>
  <c r="AV86" i="23"/>
  <c r="AV53" i="23"/>
  <c r="AV127" i="23"/>
  <c r="AV56" i="23"/>
  <c r="AV34" i="23"/>
  <c r="AV79" i="23"/>
  <c r="AV213" i="23"/>
  <c r="AR370" i="23"/>
  <c r="AT523" i="23"/>
  <c r="AT296" i="23"/>
  <c r="AT387" i="23"/>
  <c r="AT433" i="23"/>
  <c r="AV180" i="23"/>
  <c r="AV317" i="23"/>
  <c r="AV18" i="23"/>
  <c r="AV603" i="23"/>
  <c r="AV97" i="23"/>
  <c r="AV123" i="23"/>
  <c r="AV336" i="23"/>
  <c r="AV76" i="23"/>
  <c r="AV140" i="23"/>
  <c r="AV451" i="23"/>
  <c r="AV41" i="23"/>
  <c r="AV63" i="23"/>
  <c r="AV186" i="23"/>
  <c r="AV626" i="23"/>
  <c r="AV592" i="23"/>
  <c r="AV829" i="23"/>
  <c r="AV69" i="23"/>
  <c r="AV295" i="23"/>
  <c r="AV612" i="23"/>
  <c r="AV81" i="23"/>
  <c r="AV233" i="23"/>
  <c r="AV52" i="23"/>
  <c r="AV323" i="23"/>
  <c r="AV131" i="23"/>
  <c r="AV59" i="23"/>
  <c r="AV208" i="23"/>
  <c r="AV306" i="23"/>
  <c r="AT468" i="23"/>
  <c r="AT441" i="23"/>
  <c r="AV210" i="23"/>
  <c r="AV558" i="23"/>
  <c r="AV516" i="23"/>
  <c r="AV350" i="23"/>
  <c r="AV120" i="23"/>
  <c r="AV38" i="23"/>
  <c r="AV372" i="23"/>
  <c r="AV201" i="23"/>
  <c r="AV78" i="23"/>
  <c r="AV500" i="23"/>
  <c r="AV241" i="23"/>
  <c r="AV50" i="23"/>
  <c r="AV5" i="23"/>
  <c r="AV622" i="23"/>
  <c r="AV554" i="23"/>
  <c r="AV438" i="23"/>
  <c r="AV218" i="23"/>
  <c r="AV346" i="23"/>
  <c r="AV544" i="23"/>
  <c r="AV142" i="23"/>
  <c r="AV153" i="23"/>
  <c r="AV29" i="23"/>
  <c r="AV328" i="23"/>
  <c r="AV232" i="23"/>
  <c r="AV19" i="23"/>
  <c r="AV434" i="23"/>
  <c r="AV57" i="23"/>
  <c r="AR536" i="23"/>
  <c r="AR468" i="23"/>
  <c r="AV105" i="23"/>
  <c r="AV606" i="23"/>
  <c r="AV534" i="23"/>
  <c r="AV121" i="23"/>
  <c r="AV535" i="23"/>
  <c r="AV289" i="23"/>
  <c r="AV567" i="23"/>
  <c r="AV10" i="23"/>
  <c r="AV9" i="23"/>
  <c r="AV340" i="23"/>
  <c r="AV54" i="23"/>
  <c r="AV171" i="23"/>
  <c r="AV533" i="23"/>
  <c r="AV445" i="23"/>
  <c r="AV215" i="23"/>
  <c r="AV324" i="23"/>
  <c r="AV355" i="23"/>
  <c r="AV154" i="23"/>
  <c r="AV152" i="23"/>
  <c r="AV338" i="23"/>
  <c r="AV150" i="23"/>
  <c r="AV367" i="23"/>
  <c r="AV71" i="23"/>
  <c r="AV465" i="23"/>
  <c r="AV217" i="23"/>
  <c r="AT542" i="23"/>
  <c r="AT460" i="23"/>
  <c r="AT311" i="23"/>
  <c r="AT30" i="23"/>
  <c r="AT509" i="23"/>
  <c r="AT382" i="23"/>
  <c r="AV582" i="23"/>
  <c r="AV580" i="23"/>
  <c r="AV625" i="23"/>
  <c r="AV333" i="23"/>
  <c r="AV281" i="23"/>
  <c r="AV239" i="23"/>
  <c r="AV396" i="23"/>
  <c r="AV90" i="23"/>
  <c r="AV287" i="23"/>
  <c r="AV8" i="23"/>
  <c r="AV6" i="23"/>
  <c r="AV28" i="23"/>
  <c r="AV493" i="23"/>
  <c r="AV286" i="23"/>
  <c r="AV590" i="23"/>
  <c r="AV21" i="23"/>
  <c r="AV282" i="23"/>
  <c r="AV16" i="23"/>
  <c r="AV329" i="23"/>
  <c r="AV110" i="23"/>
  <c r="AV3" i="23"/>
  <c r="AV327" i="23"/>
  <c r="AV196" i="23"/>
  <c r="AV297" i="23"/>
  <c r="AV149" i="23"/>
  <c r="AT266" i="23"/>
  <c r="AT536" i="23"/>
  <c r="BO763" i="23" l="1"/>
  <c r="BO752" i="23"/>
  <c r="BO771" i="23"/>
  <c r="BO784" i="23"/>
  <c r="BO812" i="23"/>
  <c r="BO647" i="23"/>
  <c r="BO724" i="23"/>
  <c r="BO774" i="23"/>
  <c r="BO700" i="23"/>
  <c r="BO704" i="23"/>
  <c r="BO735" i="23"/>
  <c r="BO745" i="23"/>
  <c r="BO781" i="23"/>
  <c r="BO639" i="23"/>
  <c r="BO659" i="23"/>
  <c r="BO741" i="23"/>
  <c r="BO733" i="23"/>
  <c r="BO749" i="23"/>
  <c r="BO821" i="23"/>
  <c r="BO742" i="23"/>
  <c r="BO718" i="23"/>
  <c r="BO727" i="23"/>
  <c r="BO815" i="23"/>
  <c r="BO702" i="23"/>
  <c r="BO717" i="23"/>
  <c r="BO798" i="23"/>
  <c r="BO764" i="23"/>
  <c r="BO785" i="23"/>
  <c r="BO714" i="23"/>
  <c r="BO802" i="23"/>
  <c r="BO726" i="23"/>
  <c r="BO739" i="23"/>
  <c r="BO769" i="23"/>
  <c r="BO777" i="23"/>
  <c r="BO748" i="23"/>
  <c r="BO758" i="23"/>
  <c r="BO807" i="23"/>
  <c r="BO795" i="23"/>
  <c r="BO680" i="23"/>
  <c r="BO773" i="23"/>
  <c r="BO674" i="23"/>
  <c r="BO672" i="23"/>
  <c r="BO786" i="23"/>
  <c r="BO664" i="23"/>
  <c r="BO766" i="23"/>
  <c r="BO654" i="23"/>
  <c r="BO685" i="23"/>
  <c r="BO660" i="23"/>
  <c r="BO662" i="23"/>
  <c r="BO682" i="23"/>
  <c r="BO663" i="23"/>
  <c r="BO720" i="23"/>
  <c r="BO665" i="23"/>
  <c r="BO783" i="23"/>
  <c r="BO799" i="23"/>
  <c r="BO730" i="23"/>
  <c r="BO671" i="23"/>
  <c r="BO797" i="23"/>
  <c r="BO753" i="23"/>
  <c r="BO661" i="23"/>
  <c r="BO653" i="23"/>
  <c r="BO760" i="23"/>
  <c r="BO822" i="23"/>
  <c r="BO770" i="23"/>
  <c r="BO736" i="23"/>
  <c r="BO754" i="23"/>
  <c r="BO707" i="23"/>
  <c r="BO761" i="23"/>
  <c r="BO655" i="23"/>
  <c r="BO648" i="23"/>
  <c r="BO656" i="23"/>
  <c r="BO657" i="23"/>
  <c r="BO734" i="23"/>
  <c r="BO658" i="23"/>
  <c r="BO673" i="23"/>
  <c r="BO767" i="23"/>
  <c r="BO744" i="23"/>
  <c r="BO776" i="23"/>
  <c r="BO689" i="23"/>
  <c r="BO796" i="23"/>
  <c r="BO713" i="23"/>
  <c r="BO643" i="23"/>
  <c r="BO652" i="23"/>
  <c r="BO644" i="23"/>
  <c r="BO699" i="23"/>
  <c r="BO650" i="23"/>
  <c r="BO816" i="23"/>
  <c r="BO692" i="23"/>
  <c r="BO800" i="23"/>
  <c r="BO819" i="23"/>
  <c r="BO778" i="23"/>
  <c r="BO772" i="23"/>
  <c r="BO762" i="23"/>
  <c r="BO808" i="23"/>
  <c r="BO755" i="23"/>
  <c r="BO737" i="23"/>
  <c r="BO779" i="23"/>
  <c r="BO780" i="23"/>
  <c r="BO787" i="23"/>
  <c r="BO651" i="23"/>
  <c r="BO725" i="23"/>
  <c r="BO640" i="23"/>
  <c r="BO818" i="23"/>
  <c r="BO703" i="23"/>
  <c r="BO645" i="23"/>
  <c r="BO738" i="23"/>
  <c r="BO811" i="23"/>
  <c r="BO691" i="23"/>
  <c r="BO642" i="23"/>
  <c r="BO716" i="23"/>
  <c r="BO696" i="23"/>
  <c r="BO740" i="23"/>
  <c r="BO668" i="23"/>
  <c r="BO757" i="23"/>
  <c r="BO803" i="23"/>
  <c r="BO721" i="23"/>
  <c r="BO775" i="23"/>
  <c r="BO801" i="23"/>
  <c r="BO686" i="23"/>
  <c r="BO782" i="23"/>
  <c r="BO817" i="23"/>
  <c r="BO813" i="23"/>
  <c r="BO687" i="23"/>
  <c r="BO765" i="23"/>
  <c r="BO732" i="23"/>
  <c r="BO688" i="23"/>
  <c r="BO712" i="23"/>
  <c r="BO683" i="23"/>
  <c r="BO805" i="23"/>
  <c r="BO693" i="23"/>
  <c r="BO670" i="23"/>
  <c r="BO723" i="23"/>
  <c r="BO706" i="23"/>
  <c r="BO701" i="23"/>
  <c r="BO708" i="23"/>
  <c r="BO810" i="23"/>
  <c r="BO695" i="23"/>
  <c r="BO641" i="23"/>
  <c r="BO728" i="23"/>
  <c r="BO809" i="23"/>
  <c r="BO711" i="23"/>
  <c r="BO747" i="23"/>
  <c r="BO729" i="23"/>
  <c r="BO698" i="23"/>
  <c r="BO705" i="23"/>
  <c r="BO806" i="23"/>
  <c r="BO820" i="23"/>
  <c r="BO649" i="23"/>
  <c r="BO759" i="23"/>
  <c r="BO684" i="23"/>
  <c r="BO814" i="23"/>
  <c r="BO719" i="23"/>
  <c r="BO681" i="23"/>
  <c r="BO646" i="23"/>
  <c r="BO768" i="23"/>
  <c r="BO731" i="23"/>
  <c r="BO709" i="23"/>
  <c r="BO823" i="23"/>
  <c r="BO675" i="23"/>
  <c r="BO677" i="23"/>
  <c r="BO678" i="23"/>
  <c r="BO697" i="23"/>
  <c r="BO715" i="23"/>
  <c r="BO804" i="23"/>
  <c r="BO756" i="23"/>
  <c r="BO694" i="23"/>
  <c r="BO669" i="23"/>
  <c r="BO746" i="23"/>
  <c r="BO690" i="23"/>
  <c r="BO743" i="23"/>
  <c r="BO750" i="23"/>
  <c r="BO710" i="23"/>
  <c r="BO676" i="23"/>
  <c r="BO751" i="23"/>
  <c r="BO666" i="23"/>
  <c r="BO679" i="23"/>
  <c r="BO667" i="23"/>
  <c r="BO722" i="23"/>
  <c r="BO16" i="23"/>
  <c r="E362" i="23"/>
  <c r="AR331" i="23"/>
  <c r="E370" i="23"/>
  <c r="E401" i="23"/>
  <c r="AR401" i="23"/>
  <c r="AS382" i="23"/>
  <c r="BO19" i="23"/>
  <c r="BO78" i="23"/>
  <c r="F316" i="23"/>
  <c r="AT316" i="23"/>
  <c r="AX316" i="23" s="1"/>
  <c r="F542" i="23"/>
  <c r="AU542" i="23"/>
  <c r="BO63" i="23"/>
  <c r="BO603" i="23"/>
  <c r="AT603" i="23"/>
  <c r="F603" i="23"/>
  <c r="AU441" i="23"/>
  <c r="F441" i="23"/>
  <c r="E172" i="23"/>
  <c r="AR172" i="23"/>
  <c r="BO112" i="23"/>
  <c r="F562" i="23"/>
  <c r="AT562" i="23"/>
  <c r="AX562" i="23" s="1"/>
  <c r="BO378" i="23"/>
  <c r="BD378" i="23"/>
  <c r="BN378" i="23"/>
  <c r="AR534" i="23"/>
  <c r="E534" i="23"/>
  <c r="BO633" i="23"/>
  <c r="BO599" i="23"/>
  <c r="BO579" i="23"/>
  <c r="BO605" i="23"/>
  <c r="BO572" i="23"/>
  <c r="BO503" i="23"/>
  <c r="BO490" i="23"/>
  <c r="BO506" i="23"/>
  <c r="BO422" i="23"/>
  <c r="BO406" i="23"/>
  <c r="BO353" i="23"/>
  <c r="BO407" i="23"/>
  <c r="BO342" i="23"/>
  <c r="BO347" i="23"/>
  <c r="BO299" i="23"/>
  <c r="BO242" i="23"/>
  <c r="BO247" i="23"/>
  <c r="BO234" i="23"/>
  <c r="BO125" i="23"/>
  <c r="BO162" i="23"/>
  <c r="BO167" i="23"/>
  <c r="BO134" i="23"/>
  <c r="BO27" i="23"/>
  <c r="BO156" i="23"/>
  <c r="BO64" i="23"/>
  <c r="BO87" i="23"/>
  <c r="BO102" i="23"/>
  <c r="BO577" i="23"/>
  <c r="BO546" i="23"/>
  <c r="BO501" i="23"/>
  <c r="BO529" i="23"/>
  <c r="BO470" i="23"/>
  <c r="BO423" i="23"/>
  <c r="BO463" i="23"/>
  <c r="BO479" i="23"/>
  <c r="BO400" i="23"/>
  <c r="BO389" i="23"/>
  <c r="BO371" i="23"/>
  <c r="BO243" i="23"/>
  <c r="BO211" i="23"/>
  <c r="BO222" i="23"/>
  <c r="BO258" i="23"/>
  <c r="BO117" i="23"/>
  <c r="BO39" i="23"/>
  <c r="BO20" i="23"/>
  <c r="BO101" i="23"/>
  <c r="BO22" i="23"/>
  <c r="BO613" i="23"/>
  <c r="BO616" i="23"/>
  <c r="BO571" i="23"/>
  <c r="BO569" i="23"/>
  <c r="BO523" i="23"/>
  <c r="BO497" i="23"/>
  <c r="BO504" i="23"/>
  <c r="BO442" i="23"/>
  <c r="BO440" i="23"/>
  <c r="BO447" i="23"/>
  <c r="BO384" i="23"/>
  <c r="BO354" i="23"/>
  <c r="BO343" i="23"/>
  <c r="BO316" i="23"/>
  <c r="BO238" i="23"/>
  <c r="BO169" i="23"/>
  <c r="BO204" i="23"/>
  <c r="BO252" i="23"/>
  <c r="BO227" i="23"/>
  <c r="BO143" i="23"/>
  <c r="BO132" i="23"/>
  <c r="BO160" i="23"/>
  <c r="BO45" i="23"/>
  <c r="BO26" i="23"/>
  <c r="BO635" i="23"/>
  <c r="BO617" i="23"/>
  <c r="BO614" i="23"/>
  <c r="BO566" i="23"/>
  <c r="BO557" i="23"/>
  <c r="BO539" i="23"/>
  <c r="BO824" i="23"/>
  <c r="BO477" i="23"/>
  <c r="BO461" i="23"/>
  <c r="BO454" i="23"/>
  <c r="BO369" i="23"/>
  <c r="BO468" i="23"/>
  <c r="BO357" i="23"/>
  <c r="BO370" i="23"/>
  <c r="BO385" i="23"/>
  <c r="BO278" i="23"/>
  <c r="BO198" i="23"/>
  <c r="BO284" i="23"/>
  <c r="BO191" i="23"/>
  <c r="BO253" i="23"/>
  <c r="BO67" i="23"/>
  <c r="BO72" i="23"/>
  <c r="BO109" i="23"/>
  <c r="BO2" i="23"/>
  <c r="BO36" i="23"/>
  <c r="BO37" i="23"/>
  <c r="BO70" i="23"/>
  <c r="BO115" i="23"/>
  <c r="BO611" i="23"/>
  <c r="BO832" i="23"/>
  <c r="BO537" i="23"/>
  <c r="BO830" i="23"/>
  <c r="BO441" i="23"/>
  <c r="BO392" i="23"/>
  <c r="BO379" i="23"/>
  <c r="BO331" i="23"/>
  <c r="BO311" i="23"/>
  <c r="BO291" i="23"/>
  <c r="BO128" i="23"/>
  <c r="BO42" i="23"/>
  <c r="BO24" i="23"/>
  <c r="BO113" i="23"/>
  <c r="BO161" i="23"/>
  <c r="BO145" i="23"/>
  <c r="BO168" i="23"/>
  <c r="BO176" i="23"/>
  <c r="BO266" i="23"/>
  <c r="BO207" i="23"/>
  <c r="BO174" i="23"/>
  <c r="BO274" i="23"/>
  <c r="BO195" i="23"/>
  <c r="BO269" i="23"/>
  <c r="BO262" i="23"/>
  <c r="BO288" i="23"/>
  <c r="BO344" i="23"/>
  <c r="BO399" i="23"/>
  <c r="BO388" i="23"/>
  <c r="BO362" i="23"/>
  <c r="BO469" i="23"/>
  <c r="BO460" i="23"/>
  <c r="BO476" i="23"/>
  <c r="BO545" i="23"/>
  <c r="BO527" i="23"/>
  <c r="BO525" i="23"/>
  <c r="BO538" i="23"/>
  <c r="BO550" i="23"/>
  <c r="BO594" i="23"/>
  <c r="BO629" i="23"/>
  <c r="BO536" i="23"/>
  <c r="BO826" i="23"/>
  <c r="BO417" i="23"/>
  <c r="BO375" i="23"/>
  <c r="BO364" i="23"/>
  <c r="BO312" i="23"/>
  <c r="BO261" i="23"/>
  <c r="BO206" i="23"/>
  <c r="BO129" i="23"/>
  <c r="BO58" i="23"/>
  <c r="BO68" i="23"/>
  <c r="BO62" i="23"/>
  <c r="BO35" i="23"/>
  <c r="BO116" i="23"/>
  <c r="BO146" i="23"/>
  <c r="BO194" i="23"/>
  <c r="BO305" i="23"/>
  <c r="BO183" i="23"/>
  <c r="BO230" i="23"/>
  <c r="BO285" i="23"/>
  <c r="BO265" i="23"/>
  <c r="BO202" i="23"/>
  <c r="BO401" i="23"/>
  <c r="BO272" i="23"/>
  <c r="BO301" i="23"/>
  <c r="BO334" i="23"/>
  <c r="BO313" i="23"/>
  <c r="BO402" i="23"/>
  <c r="BO373" i="23"/>
  <c r="BO540" i="23"/>
  <c r="BO431" i="23"/>
  <c r="BO425" i="23"/>
  <c r="BO480" i="23"/>
  <c r="BO412" i="23"/>
  <c r="BO507" i="23"/>
  <c r="BO456" i="23"/>
  <c r="BO491" i="23"/>
  <c r="BO530" i="23"/>
  <c r="BO541" i="23"/>
  <c r="BO595" i="23"/>
  <c r="BO620" i="23"/>
  <c r="BO494" i="23"/>
  <c r="BO448" i="23"/>
  <c r="BO361" i="23"/>
  <c r="BO325" i="23"/>
  <c r="BO275" i="23"/>
  <c r="BO273" i="23"/>
  <c r="BO189" i="23"/>
  <c r="BO192" i="23"/>
  <c r="BO60" i="23"/>
  <c r="BO84" i="23"/>
  <c r="BO91" i="23"/>
  <c r="BO33" i="23"/>
  <c r="BO106" i="23"/>
  <c r="BO175" i="23"/>
  <c r="BO296" i="23"/>
  <c r="BO279" i="23"/>
  <c r="BO320" i="23"/>
  <c r="BO391" i="23"/>
  <c r="BO351" i="23"/>
  <c r="BO374" i="23"/>
  <c r="BO383" i="23"/>
  <c r="BO444" i="23"/>
  <c r="BO464" i="23"/>
  <c r="BO496" i="23"/>
  <c r="BO513" i="23"/>
  <c r="BO825" i="23"/>
  <c r="BO827" i="23"/>
  <c r="BO518" i="23"/>
  <c r="BO630" i="23"/>
  <c r="BO14" i="23"/>
  <c r="BO637" i="23"/>
  <c r="BO588" i="23"/>
  <c r="BO601" i="23"/>
  <c r="BO543" i="23"/>
  <c r="BO474" i="23"/>
  <c r="BO521" i="23"/>
  <c r="BO420" i="23"/>
  <c r="BO380" i="23"/>
  <c r="BO237" i="23"/>
  <c r="BO231" i="23"/>
  <c r="BO124" i="23"/>
  <c r="BO114" i="23"/>
  <c r="BO96" i="23"/>
  <c r="BO15" i="23"/>
  <c r="BO51" i="23"/>
  <c r="BO163" i="23"/>
  <c r="BO157" i="23"/>
  <c r="BO135" i="23"/>
  <c r="BO173" i="23"/>
  <c r="BO254" i="23"/>
  <c r="BO159" i="23"/>
  <c r="BO219" i="23"/>
  <c r="BO627" i="23"/>
  <c r="BO589" i="23"/>
  <c r="BO519" i="23"/>
  <c r="BO483" i="23"/>
  <c r="BO428" i="23"/>
  <c r="BO418" i="23"/>
  <c r="BO302" i="23"/>
  <c r="BO229" i="23"/>
  <c r="BO178" i="23"/>
  <c r="BO235" i="23"/>
  <c r="BO17" i="23"/>
  <c r="BO30" i="23"/>
  <c r="BO83" i="23"/>
  <c r="BO44" i="23"/>
  <c r="BO11" i="23"/>
  <c r="BO48" i="23"/>
  <c r="BO66" i="23"/>
  <c r="BO23" i="23"/>
  <c r="BO172" i="23"/>
  <c r="BO158" i="23"/>
  <c r="BO165" i="23"/>
  <c r="BO216" i="23"/>
  <c r="BO259" i="23"/>
  <c r="BO185" i="23"/>
  <c r="BO226" i="23"/>
  <c r="BO315" i="23"/>
  <c r="BO505" i="23"/>
  <c r="BO319" i="23"/>
  <c r="BO335" i="23"/>
  <c r="BO352" i="23"/>
  <c r="BO414" i="23"/>
  <c r="BO459" i="23"/>
  <c r="BO416" i="23"/>
  <c r="BO443" i="23"/>
  <c r="BO502" i="23"/>
  <c r="BO597" i="23"/>
  <c r="BO547" i="23"/>
  <c r="BO548" i="23"/>
  <c r="BO553" i="23"/>
  <c r="BO596" i="23"/>
  <c r="BO484" i="23"/>
  <c r="BO426" i="23"/>
  <c r="BO405" i="23"/>
  <c r="BO376" i="23"/>
  <c r="BO290" i="23"/>
  <c r="BO225" i="23"/>
  <c r="BO293" i="23"/>
  <c r="BO205" i="23"/>
  <c r="BO188" i="23"/>
  <c r="BO75" i="23"/>
  <c r="BO13" i="23"/>
  <c r="BO104" i="23"/>
  <c r="BO137" i="23"/>
  <c r="BO187" i="23"/>
  <c r="BO164" i="23"/>
  <c r="BO95" i="23"/>
  <c r="BO209" i="23"/>
  <c r="BO583" i="23"/>
  <c r="BO581" i="23"/>
  <c r="BO520" i="23"/>
  <c r="BO390" i="23"/>
  <c r="BO457" i="23"/>
  <c r="BO365" i="23"/>
  <c r="BO268" i="23"/>
  <c r="BO184" i="23"/>
  <c r="BO118" i="23"/>
  <c r="BO12" i="23"/>
  <c r="BO223" i="23"/>
  <c r="BO55" i="23"/>
  <c r="BO88" i="23"/>
  <c r="BO43" i="23"/>
  <c r="BO119" i="23"/>
  <c r="BO130" i="23"/>
  <c r="BO133" i="23"/>
  <c r="BO147" i="23"/>
  <c r="BO126" i="23"/>
  <c r="BO236" i="23"/>
  <c r="BO170" i="23"/>
  <c r="BO276" i="23"/>
  <c r="BO263" i="23"/>
  <c r="BO345" i="23"/>
  <c r="BO339" i="23"/>
  <c r="BO386" i="23"/>
  <c r="BO408" i="23"/>
  <c r="BO429" i="23"/>
  <c r="BO458" i="23"/>
  <c r="BO419" i="23"/>
  <c r="BO471" i="23"/>
  <c r="BO492" i="23"/>
  <c r="BO475" i="23"/>
  <c r="BO437" i="23"/>
  <c r="BO485" i="23"/>
  <c r="BO435" i="23"/>
  <c r="BO449" i="23"/>
  <c r="BO526" i="23"/>
  <c r="BO562" i="23"/>
  <c r="BO531" i="23"/>
  <c r="BO551" i="23"/>
  <c r="BO555" i="23"/>
  <c r="BO556" i="23"/>
  <c r="BO573" i="23"/>
  <c r="BO604" i="23"/>
  <c r="BO593" i="23"/>
  <c r="BO584" i="23"/>
  <c r="BO393" i="23"/>
  <c r="BO46" i="23"/>
  <c r="BO382" i="23"/>
  <c r="BO356" i="23"/>
  <c r="BO433" i="23"/>
  <c r="BO466" i="23"/>
  <c r="BO397" i="23"/>
  <c r="BO462" i="23"/>
  <c r="BO517" i="23"/>
  <c r="BO591" i="23"/>
  <c r="BO628" i="23"/>
  <c r="BO298" i="23"/>
  <c r="BO277" i="23"/>
  <c r="BO283" i="23"/>
  <c r="BO377" i="23"/>
  <c r="BO381" i="23"/>
  <c r="BO411" i="23"/>
  <c r="BO482" i="23"/>
  <c r="BO467" i="23"/>
  <c r="BO478" i="23"/>
  <c r="BO509" i="23"/>
  <c r="BO542" i="23"/>
  <c r="BO565" i="23"/>
  <c r="BO576" i="23"/>
  <c r="BO568" i="23"/>
  <c r="BO532" i="23"/>
  <c r="BO528" i="23"/>
  <c r="BO294" i="23"/>
  <c r="BO271" i="23"/>
  <c r="BO473" i="23"/>
  <c r="BO487" i="23"/>
  <c r="BO575" i="23"/>
  <c r="BO264" i="23"/>
  <c r="BO32" i="23"/>
  <c r="BO193" i="23"/>
  <c r="BO148" i="23"/>
  <c r="BO256" i="23"/>
  <c r="BO349" i="23"/>
  <c r="BO415" i="23"/>
  <c r="BO489" i="23"/>
  <c r="BO831" i="23"/>
  <c r="BO560" i="23"/>
  <c r="BO578" i="23"/>
  <c r="BO615" i="23"/>
  <c r="BO618" i="23"/>
  <c r="BO607" i="23"/>
  <c r="BO430" i="23"/>
  <c r="BO453" i="23"/>
  <c r="BO564" i="23"/>
  <c r="BO638" i="23"/>
  <c r="BO404" i="23"/>
  <c r="BO610" i="23"/>
  <c r="BO549" i="23"/>
  <c r="BO314" i="23"/>
  <c r="BO99" i="23"/>
  <c r="BO304" i="23"/>
  <c r="BO330" i="23"/>
  <c r="BO360" i="23"/>
  <c r="BO510" i="23"/>
  <c r="BO561" i="23"/>
  <c r="BO621" i="23"/>
  <c r="BO632" i="23"/>
  <c r="BO522" i="23"/>
  <c r="BO574" i="23"/>
  <c r="BO602" i="23"/>
  <c r="BO636" i="23"/>
  <c r="BO61" i="23"/>
  <c r="BO634" i="23"/>
  <c r="BO499" i="23"/>
  <c r="BO224" i="23"/>
  <c r="BO322" i="23"/>
  <c r="BO432" i="23"/>
  <c r="BO212" i="23"/>
  <c r="BO270" i="23"/>
  <c r="BO190" i="23"/>
  <c r="BO257" i="23"/>
  <c r="BO403" i="23"/>
  <c r="BO409" i="23"/>
  <c r="BO387" i="23"/>
  <c r="BO455" i="23"/>
  <c r="BO623" i="23"/>
  <c r="BO631" i="23"/>
  <c r="BO624" i="23"/>
  <c r="BO486" i="23"/>
  <c r="BO138" i="23"/>
  <c r="BO280" i="23"/>
  <c r="BO240" i="23"/>
  <c r="BO267" i="23"/>
  <c r="BO260" i="23"/>
  <c r="BO368" i="23"/>
  <c r="BO498" i="23"/>
  <c r="BO495" i="23"/>
  <c r="BO395" i="23"/>
  <c r="BO103" i="23"/>
  <c r="BO363" i="23"/>
  <c r="BO570" i="23"/>
  <c r="BO600" i="23"/>
  <c r="BO598" i="23"/>
  <c r="BO300" i="23"/>
  <c r="BO421" i="23"/>
  <c r="AR409" i="23"/>
  <c r="E409" i="23"/>
  <c r="AS266" i="23"/>
  <c r="AU130" i="23"/>
  <c r="F130" i="23"/>
  <c r="F315" i="23"/>
  <c r="AT315" i="23"/>
  <c r="BO3" i="23"/>
  <c r="BO239" i="23"/>
  <c r="BN239" i="23"/>
  <c r="BD239" i="23"/>
  <c r="F124" i="23"/>
  <c r="AT124" i="23"/>
  <c r="AR158" i="23"/>
  <c r="E158" i="23"/>
  <c r="BO282" i="23"/>
  <c r="BO8" i="23"/>
  <c r="AQ819" i="23"/>
  <c r="BO154" i="23"/>
  <c r="BO54" i="23"/>
  <c r="BO534" i="23"/>
  <c r="E84" i="23"/>
  <c r="AR84" i="23"/>
  <c r="AT339" i="23"/>
  <c r="AS370" i="23"/>
  <c r="AY370" i="23" s="1"/>
  <c r="E189" i="23"/>
  <c r="AR189" i="23"/>
  <c r="F172" i="23"/>
  <c r="AT172" i="23"/>
  <c r="AR311" i="23"/>
  <c r="E311" i="23"/>
  <c r="BO110" i="23"/>
  <c r="BO281" i="23"/>
  <c r="AU466" i="23"/>
  <c r="F466" i="23"/>
  <c r="AR12" i="23"/>
  <c r="E12" i="23"/>
  <c r="F344" i="23"/>
  <c r="AT344" i="23"/>
  <c r="AX344" i="23" s="1"/>
  <c r="BO150" i="23"/>
  <c r="BO533" i="23"/>
  <c r="BO289" i="23"/>
  <c r="BD289" i="23"/>
  <c r="BN289" i="23"/>
  <c r="E345" i="23"/>
  <c r="AR345" i="23"/>
  <c r="AR156" i="23"/>
  <c r="E156" i="23"/>
  <c r="BO57" i="23"/>
  <c r="BO544" i="23"/>
  <c r="BO241" i="23"/>
  <c r="BO201" i="23"/>
  <c r="BO516" i="23"/>
  <c r="AS466" i="23"/>
  <c r="AQ812" i="23"/>
  <c r="AU311" i="23"/>
  <c r="F311" i="23"/>
  <c r="BO52" i="23"/>
  <c r="BO626" i="23"/>
  <c r="BO123" i="23"/>
  <c r="AR316" i="23"/>
  <c r="E316" i="23"/>
  <c r="AR190" i="23"/>
  <c r="E190" i="23"/>
  <c r="F11" i="23"/>
  <c r="AT11" i="23"/>
  <c r="AX11" i="23" s="1"/>
  <c r="E548" i="23"/>
  <c r="AR548" i="23"/>
  <c r="BO366" i="23"/>
  <c r="BO74" i="23"/>
  <c r="BO511" i="23"/>
  <c r="AU296" i="23"/>
  <c r="F296" i="23"/>
  <c r="AR344" i="23"/>
  <c r="E344" i="23"/>
  <c r="AT158" i="23"/>
  <c r="AX158" i="23" s="1"/>
  <c r="F158" i="23"/>
  <c r="AT295" i="23"/>
  <c r="BO80" i="23"/>
  <c r="BO244" i="23"/>
  <c r="BO136" i="23"/>
  <c r="BO73" i="23"/>
  <c r="E433" i="23"/>
  <c r="AR433" i="23"/>
  <c r="BO47" i="23"/>
  <c r="BO424" i="23"/>
  <c r="BO107" i="23"/>
  <c r="BO177" i="23"/>
  <c r="AS387" i="23"/>
  <c r="AS362" i="23"/>
  <c r="E314" i="23"/>
  <c r="AR314" i="23"/>
  <c r="AT23" i="23"/>
  <c r="AX23" i="23" s="1"/>
  <c r="F23" i="23"/>
  <c r="AU463" i="23"/>
  <c r="F463" i="23"/>
  <c r="BO141" i="23"/>
  <c r="BO179" i="23"/>
  <c r="BO228" i="23"/>
  <c r="AT439" i="23"/>
  <c r="AX439" i="23" s="1"/>
  <c r="F439" i="23"/>
  <c r="AS503" i="23"/>
  <c r="AY503" i="23" s="1"/>
  <c r="BO121" i="23"/>
  <c r="BO210" i="23"/>
  <c r="AQ811" i="23"/>
  <c r="BO81" i="23"/>
  <c r="BO79" i="23"/>
  <c r="BO450" i="23"/>
  <c r="BO472" i="23"/>
  <c r="BO308" i="23"/>
  <c r="BO246" i="23"/>
  <c r="BO245" i="23"/>
  <c r="BD245" i="23"/>
  <c r="BN245" i="23"/>
  <c r="AS536" i="23"/>
  <c r="AY536" i="23" s="1"/>
  <c r="AT330" i="23"/>
  <c r="AX330" i="23" s="1"/>
  <c r="F330" i="23"/>
  <c r="BO567" i="23"/>
  <c r="BO350" i="23"/>
  <c r="F468" i="23"/>
  <c r="AU468" i="23"/>
  <c r="AT157" i="23"/>
  <c r="AX157" i="23" s="1"/>
  <c r="F157" i="23"/>
  <c r="BO149" i="23"/>
  <c r="BO580" i="23"/>
  <c r="F606" i="23"/>
  <c r="AT606" i="23"/>
  <c r="AT487" i="23"/>
  <c r="AR11" i="23"/>
  <c r="E11" i="23"/>
  <c r="AT399" i="23"/>
  <c r="AX399" i="23" s="1"/>
  <c r="F399" i="23"/>
  <c r="E382" i="23"/>
  <c r="AR382" i="23"/>
  <c r="BO196" i="23"/>
  <c r="BO90" i="23"/>
  <c r="AT281" i="23"/>
  <c r="F281" i="23"/>
  <c r="AU432" i="23"/>
  <c r="F432" i="23"/>
  <c r="E83" i="23"/>
  <c r="AR83" i="23"/>
  <c r="BO465" i="23"/>
  <c r="BO324" i="23"/>
  <c r="BO9" i="23"/>
  <c r="BO105" i="23"/>
  <c r="AS311" i="23"/>
  <c r="BO29" i="23"/>
  <c r="BO622" i="23"/>
  <c r="BO38" i="23"/>
  <c r="AT350" i="23"/>
  <c r="F350" i="23"/>
  <c r="E432" i="23"/>
  <c r="AR568" i="23"/>
  <c r="E568" i="23"/>
  <c r="AT314" i="23"/>
  <c r="AX314" i="23" s="1"/>
  <c r="F314" i="23"/>
  <c r="AU382" i="23"/>
  <c r="AX382" i="23" s="1"/>
  <c r="F382" i="23"/>
  <c r="BO59" i="23"/>
  <c r="BO69" i="23"/>
  <c r="BO140" i="23"/>
  <c r="BO180" i="23"/>
  <c r="AU370" i="23"/>
  <c r="F370" i="23"/>
  <c r="AR170" i="23"/>
  <c r="E170" i="23"/>
  <c r="BO127" i="23"/>
  <c r="BO619" i="23"/>
  <c r="BO410" i="23"/>
  <c r="BD410" i="23"/>
  <c r="BN410" i="23"/>
  <c r="AT104" i="23"/>
  <c r="F104" i="23"/>
  <c r="F523" i="23"/>
  <c r="AU523" i="23"/>
  <c r="BO358" i="23"/>
  <c r="BO100" i="23"/>
  <c r="BO307" i="23"/>
  <c r="E120" i="23"/>
  <c r="AR120" i="23"/>
  <c r="AT394" i="23"/>
  <c r="F394" i="23"/>
  <c r="E441" i="23"/>
  <c r="AR148" i="23"/>
  <c r="E148" i="23"/>
  <c r="F401" i="23"/>
  <c r="AT401" i="23"/>
  <c r="AX401" i="23" s="1"/>
  <c r="AS130" i="23"/>
  <c r="BO200" i="23"/>
  <c r="BO488" i="23"/>
  <c r="BO309" i="23"/>
  <c r="BN309" i="23"/>
  <c r="BD309" i="23"/>
  <c r="F446" i="23"/>
  <c r="AT446" i="23"/>
  <c r="AU503" i="23"/>
  <c r="F503" i="23"/>
  <c r="BO310" i="23"/>
  <c r="BO122" i="23"/>
  <c r="BO359" i="23"/>
  <c r="BO7" i="23"/>
  <c r="BO427" i="23"/>
  <c r="AR542" i="23"/>
  <c r="E542" i="23"/>
  <c r="E15" i="23"/>
  <c r="AR15" i="23"/>
  <c r="F159" i="23"/>
  <c r="AT159" i="23"/>
  <c r="AX159" i="23" s="1"/>
  <c r="AT112" i="23"/>
  <c r="BO326" i="23"/>
  <c r="BO828" i="23"/>
  <c r="BO413" i="23"/>
  <c r="BO508" i="23"/>
  <c r="BO590" i="23"/>
  <c r="BO152" i="23"/>
  <c r="BO493" i="23"/>
  <c r="BO367" i="23"/>
  <c r="BO445" i="23"/>
  <c r="E466" i="23"/>
  <c r="AR466" i="23"/>
  <c r="BO142" i="23"/>
  <c r="BO50" i="23"/>
  <c r="AT558" i="23"/>
  <c r="F558" i="23"/>
  <c r="BO323" i="23"/>
  <c r="BO336" i="23"/>
  <c r="BD336" i="23"/>
  <c r="BN336" i="23"/>
  <c r="E427" i="23"/>
  <c r="AR427" i="23"/>
  <c r="BO85" i="23"/>
  <c r="BO77" i="23"/>
  <c r="BO341" i="23"/>
  <c r="BO303" i="23"/>
  <c r="BO166" i="23"/>
  <c r="E511" i="23"/>
  <c r="BO514" i="23"/>
  <c r="BO92" i="23"/>
  <c r="BO587" i="23"/>
  <c r="AT379" i="23"/>
  <c r="E145" i="23"/>
  <c r="AR145" i="23"/>
  <c r="BO297" i="23"/>
  <c r="BO21" i="23"/>
  <c r="BO287" i="23"/>
  <c r="BO582" i="23"/>
  <c r="BO217" i="23"/>
  <c r="BO355" i="23"/>
  <c r="BO340" i="23"/>
  <c r="BO606" i="23"/>
  <c r="AS432" i="23"/>
  <c r="AY432" i="23" s="1"/>
  <c r="AT37" i="23"/>
  <c r="F37" i="23"/>
  <c r="AS30" i="23"/>
  <c r="BO328" i="23"/>
  <c r="BO554" i="23"/>
  <c r="BO372" i="23"/>
  <c r="BD372" i="23"/>
  <c r="BN372" i="23"/>
  <c r="F120" i="23"/>
  <c r="AT120" i="23"/>
  <c r="AX120" i="23" s="1"/>
  <c r="AR23" i="23"/>
  <c r="E23" i="23"/>
  <c r="AT15" i="23"/>
  <c r="F15" i="23"/>
  <c r="BO208" i="23"/>
  <c r="BO295" i="23"/>
  <c r="BO451" i="23"/>
  <c r="BO317" i="23"/>
  <c r="E307" i="23"/>
  <c r="AR307" i="23"/>
  <c r="AT317" i="23"/>
  <c r="F317" i="23"/>
  <c r="E463" i="23"/>
  <c r="AR463" i="23"/>
  <c r="BO56" i="23"/>
  <c r="BO49" i="23"/>
  <c r="AT94" i="23"/>
  <c r="F94" i="23"/>
  <c r="AQ817" i="23"/>
  <c r="BO251" i="23"/>
  <c r="BO108" i="23"/>
  <c r="BO318" i="23"/>
  <c r="AR318" i="23"/>
  <c r="E318" i="23"/>
  <c r="AS523" i="23"/>
  <c r="AY523" i="23" s="1"/>
  <c r="AR266" i="23"/>
  <c r="AR551" i="23"/>
  <c r="E551" i="23"/>
  <c r="F160" i="23"/>
  <c r="AT160" i="23"/>
  <c r="AS170" i="23"/>
  <c r="BO250" i="23"/>
  <c r="BO292" i="23"/>
  <c r="BO220" i="23"/>
  <c r="BD220" i="23"/>
  <c r="BN220" i="23"/>
  <c r="F177" i="23"/>
  <c r="AT177" i="23"/>
  <c r="AX177" i="23" s="1"/>
  <c r="AQ818" i="23"/>
  <c r="F548" i="23"/>
  <c r="AU548" i="23"/>
  <c r="BO563" i="23"/>
  <c r="BO31" i="23"/>
  <c r="BO439" i="23"/>
  <c r="AS339" i="23"/>
  <c r="F524" i="23"/>
  <c r="AT524" i="23"/>
  <c r="AR30" i="23"/>
  <c r="E30" i="23"/>
  <c r="AU331" i="23"/>
  <c r="F331" i="23"/>
  <c r="F536" i="23"/>
  <c r="AU536" i="23"/>
  <c r="AT64" i="23"/>
  <c r="AX64" i="23" s="1"/>
  <c r="F64" i="23"/>
  <c r="AU30" i="23"/>
  <c r="F30" i="23"/>
  <c r="BO592" i="23"/>
  <c r="AR399" i="23"/>
  <c r="E399" i="23"/>
  <c r="F145" i="23"/>
  <c r="AT145" i="23"/>
  <c r="AR224" i="23"/>
  <c r="E224" i="23"/>
  <c r="BO86" i="23"/>
  <c r="BO89" i="23"/>
  <c r="AU387" i="23"/>
  <c r="F387" i="23"/>
  <c r="F43" i="23"/>
  <c r="AT43" i="23"/>
  <c r="AR296" i="23"/>
  <c r="E296" i="23"/>
  <c r="AS548" i="23"/>
  <c r="AS433" i="23"/>
  <c r="E468" i="23"/>
  <c r="E536" i="23"/>
  <c r="AR460" i="23"/>
  <c r="E460" i="23"/>
  <c r="BO329" i="23"/>
  <c r="BO28" i="23"/>
  <c r="BO333" i="23"/>
  <c r="AU345" i="23"/>
  <c r="F345" i="23"/>
  <c r="AR562" i="23"/>
  <c r="E562" i="23"/>
  <c r="AT204" i="23"/>
  <c r="AX204" i="23" s="1"/>
  <c r="F204" i="23"/>
  <c r="BO338" i="23"/>
  <c r="BO535" i="23"/>
  <c r="E331" i="23"/>
  <c r="E160" i="23"/>
  <c r="AR160" i="23"/>
  <c r="F428" i="23"/>
  <c r="AT428" i="23"/>
  <c r="AX428" i="23" s="1"/>
  <c r="BO434" i="23"/>
  <c r="BO346" i="23"/>
  <c r="BO558" i="23"/>
  <c r="AS345" i="23"/>
  <c r="AQ816" i="23"/>
  <c r="AU460" i="23"/>
  <c r="F460" i="23"/>
  <c r="BO233" i="23"/>
  <c r="BO186" i="23"/>
  <c r="BO97" i="23"/>
  <c r="E281" i="23"/>
  <c r="AR281" i="23"/>
  <c r="AR315" i="23"/>
  <c r="E315" i="23"/>
  <c r="F146" i="23"/>
  <c r="AT146" i="23"/>
  <c r="AX146" i="23" s="1"/>
  <c r="BO213" i="23"/>
  <c r="BO608" i="23"/>
  <c r="BO255" i="23"/>
  <c r="BO221" i="23"/>
  <c r="BO94" i="23"/>
  <c r="E204" i="23"/>
  <c r="AR204" i="23"/>
  <c r="AT12" i="23"/>
  <c r="AX12" i="23" s="1"/>
  <c r="F12" i="23"/>
  <c r="BO25" i="23"/>
  <c r="BO111" i="23"/>
  <c r="BO93" i="23"/>
  <c r="E439" i="23"/>
  <c r="AR439" i="23"/>
  <c r="E387" i="23"/>
  <c r="AR387" i="23"/>
  <c r="BO151" i="23"/>
  <c r="BO214" i="23"/>
  <c r="BO155" i="23"/>
  <c r="BO436" i="23"/>
  <c r="BO446" i="23"/>
  <c r="AS296" i="23"/>
  <c r="E147" i="23"/>
  <c r="AR147" i="23"/>
  <c r="F568" i="23"/>
  <c r="AT568" i="23"/>
  <c r="AX568" i="23" s="1"/>
  <c r="AU170" i="23"/>
  <c r="F170" i="23"/>
  <c r="BO559" i="23"/>
  <c r="BO40" i="23"/>
  <c r="BO182" i="23"/>
  <c r="BD182" i="23"/>
  <c r="BN182" i="23"/>
  <c r="AT427" i="23"/>
  <c r="AX427" i="23" s="1"/>
  <c r="F427" i="23"/>
  <c r="F454" i="23"/>
  <c r="AT454" i="23"/>
  <c r="AX454" i="23" s="1"/>
  <c r="AS468" i="23"/>
  <c r="AY468" i="23" s="1"/>
  <c r="BO6" i="23"/>
  <c r="BO625" i="23"/>
  <c r="AR454" i="23"/>
  <c r="E454" i="23"/>
  <c r="AQ815" i="23"/>
  <c r="BO171" i="23"/>
  <c r="AT551" i="23"/>
  <c r="AX551" i="23" s="1"/>
  <c r="F551" i="23"/>
  <c r="BO552" i="23"/>
  <c r="E64" i="23"/>
  <c r="AR64" i="23"/>
  <c r="AS542" i="23"/>
  <c r="E146" i="23"/>
  <c r="AR146" i="23"/>
  <c r="F190" i="23"/>
  <c r="AT190" i="23"/>
  <c r="AX190" i="23" s="1"/>
  <c r="AR509" i="23"/>
  <c r="E509" i="23"/>
  <c r="BO327" i="23"/>
  <c r="BO286" i="23"/>
  <c r="BO396" i="23"/>
  <c r="AT580" i="23"/>
  <c r="F580" i="23"/>
  <c r="E503" i="23"/>
  <c r="AR157" i="23"/>
  <c r="E157" i="23"/>
  <c r="AT335" i="23"/>
  <c r="AX335" i="23" s="1"/>
  <c r="F335" i="23"/>
  <c r="BO71" i="23"/>
  <c r="BO215" i="23"/>
  <c r="BO10" i="23"/>
  <c r="AS460" i="23"/>
  <c r="BO153" i="23"/>
  <c r="BO5" i="23"/>
  <c r="BO500" i="23"/>
  <c r="BO120" i="23"/>
  <c r="AT516" i="23"/>
  <c r="AX516" i="23" s="1"/>
  <c r="F516" i="23"/>
  <c r="E826" i="23"/>
  <c r="AR826" i="23"/>
  <c r="AT147" i="23"/>
  <c r="AX147" i="23" s="1"/>
  <c r="F147" i="23"/>
  <c r="F509" i="23"/>
  <c r="AU509" i="23"/>
  <c r="BO131" i="23"/>
  <c r="BO829" i="23"/>
  <c r="BO76" i="23"/>
  <c r="E350" i="23"/>
  <c r="E130" i="23"/>
  <c r="AR130" i="23"/>
  <c r="BO53" i="23"/>
  <c r="BO585" i="23"/>
  <c r="BO512" i="23"/>
  <c r="AU433" i="23"/>
  <c r="F433" i="23"/>
  <c r="AS441" i="23"/>
  <c r="AY441" i="23" s="1"/>
  <c r="AR335" i="23"/>
  <c r="E335" i="23"/>
  <c r="AT83" i="23"/>
  <c r="F83" i="23"/>
  <c r="BO203" i="23"/>
  <c r="BO609" i="23"/>
  <c r="BO337" i="23"/>
  <c r="BO394" i="23"/>
  <c r="F166" i="23"/>
  <c r="AT166" i="23"/>
  <c r="E266" i="23"/>
  <c r="E37" i="23"/>
  <c r="AR37" i="23"/>
  <c r="AT84" i="23"/>
  <c r="AX84" i="23" s="1"/>
  <c r="F84" i="23"/>
  <c r="AS224" i="23"/>
  <c r="BO181" i="23"/>
  <c r="BO515" i="23"/>
  <c r="BO332" i="23"/>
  <c r="AT117" i="23"/>
  <c r="F117" i="23"/>
  <c r="AS487" i="23"/>
  <c r="BO398" i="23"/>
  <c r="BO452" i="23"/>
  <c r="BO524" i="23"/>
  <c r="BO218" i="23"/>
  <c r="AR123" i="23"/>
  <c r="E123" i="23"/>
  <c r="AT219" i="23"/>
  <c r="AX219" i="23" s="1"/>
  <c r="F219" i="23"/>
  <c r="BO139" i="23"/>
  <c r="BO199" i="23"/>
  <c r="AS331" i="23"/>
  <c r="AT826" i="23"/>
  <c r="AX826" i="23" s="1"/>
  <c r="F826" i="23"/>
  <c r="AR219" i="23"/>
  <c r="E219" i="23"/>
  <c r="E379" i="23"/>
  <c r="AU266" i="23"/>
  <c r="F266" i="23"/>
  <c r="E330" i="23"/>
  <c r="AR330" i="23"/>
  <c r="F148" i="23"/>
  <c r="AT148" i="23"/>
  <c r="AX148" i="23" s="1"/>
  <c r="AS509" i="23"/>
  <c r="BO232" i="23"/>
  <c r="BO438" i="23"/>
  <c r="AT38" i="23"/>
  <c r="AX38" i="23" s="1"/>
  <c r="F38" i="23"/>
  <c r="AR159" i="23"/>
  <c r="E159" i="23"/>
  <c r="BO306" i="23"/>
  <c r="BO612" i="23"/>
  <c r="BO41" i="23"/>
  <c r="BO18" i="23"/>
  <c r="AT18" i="23"/>
  <c r="F18" i="23"/>
  <c r="F362" i="23"/>
  <c r="AU362" i="23"/>
  <c r="AT189" i="23"/>
  <c r="AX189" i="23" s="1"/>
  <c r="F189" i="23"/>
  <c r="BO34" i="23"/>
  <c r="BO4" i="23"/>
  <c r="BO197" i="23"/>
  <c r="F512" i="23"/>
  <c r="AT512" i="23"/>
  <c r="AQ813" i="23"/>
  <c r="BO248" i="23"/>
  <c r="BO586" i="23"/>
  <c r="BO481" i="23"/>
  <c r="BD481" i="23"/>
  <c r="BN481" i="23"/>
  <c r="AT409" i="23"/>
  <c r="AX409" i="23" s="1"/>
  <c r="F409" i="23"/>
  <c r="E428" i="23"/>
  <c r="AR428" i="23"/>
  <c r="F156" i="23"/>
  <c r="AT156" i="23"/>
  <c r="AS463" i="23"/>
  <c r="BO144" i="23"/>
  <c r="BO249" i="23"/>
  <c r="BO348" i="23"/>
  <c r="AT332" i="23"/>
  <c r="AX332" i="23" s="1"/>
  <c r="F332" i="23"/>
  <c r="E523" i="23"/>
  <c r="AR362" i="23"/>
  <c r="AQ814" i="23"/>
  <c r="F224" i="23"/>
  <c r="AU224" i="23"/>
  <c r="BO321" i="23"/>
  <c r="BO82" i="23"/>
  <c r="BO65" i="23"/>
  <c r="BO98" i="23"/>
  <c r="F175" i="23"/>
  <c r="AT175" i="23"/>
  <c r="AY562" i="23" l="1"/>
  <c r="BR38" i="23"/>
  <c r="AY382" i="23"/>
  <c r="AY345" i="23"/>
  <c r="AX466" i="23"/>
  <c r="AZ466" i="23" s="1"/>
  <c r="AY387" i="23"/>
  <c r="AY64" i="23"/>
  <c r="AX387" i="23"/>
  <c r="BA387" i="23" s="1"/>
  <c r="AX362" i="23"/>
  <c r="AZ362" i="23" s="1"/>
  <c r="AY362" i="23"/>
  <c r="AY339" i="23"/>
  <c r="AY335" i="23"/>
  <c r="AX224" i="23"/>
  <c r="AZ224" i="23" s="1"/>
  <c r="AY219" i="23"/>
  <c r="AY130" i="23"/>
  <c r="AX536" i="23"/>
  <c r="BA536" i="23" s="1"/>
  <c r="AY316" i="23"/>
  <c r="AX30" i="23"/>
  <c r="AZ30" i="23" s="1"/>
  <c r="AY30" i="23"/>
  <c r="AY487" i="23"/>
  <c r="AY548" i="23"/>
  <c r="AY157" i="23"/>
  <c r="AX433" i="23"/>
  <c r="BA433" i="23" s="1"/>
  <c r="AY23" i="23"/>
  <c r="AY454" i="23"/>
  <c r="AY439" i="23"/>
  <c r="AY330" i="23"/>
  <c r="AY399" i="23"/>
  <c r="AY428" i="23"/>
  <c r="AX266" i="23"/>
  <c r="AZ266" i="23" s="1"/>
  <c r="AY266" i="23"/>
  <c r="AY466" i="23"/>
  <c r="AY11" i="23"/>
  <c r="AX370" i="23"/>
  <c r="AZ370" i="23" s="1"/>
  <c r="AX503" i="23"/>
  <c r="AZ503" i="23" s="1"/>
  <c r="BB503" i="23" s="1"/>
  <c r="BC503" i="23" s="1"/>
  <c r="BD503" i="23" s="1"/>
  <c r="AX331" i="23"/>
  <c r="BA331" i="23" s="1"/>
  <c r="AY146" i="23"/>
  <c r="AY159" i="23"/>
  <c r="AY204" i="23"/>
  <c r="E516" i="23"/>
  <c r="AR516" i="23"/>
  <c r="AY516" i="23" s="1"/>
  <c r="AT246" i="23"/>
  <c r="AT622" i="23"/>
  <c r="AX175" i="23"/>
  <c r="AY175" i="23"/>
  <c r="AY156" i="23"/>
  <c r="AX156" i="23"/>
  <c r="BK409" i="23"/>
  <c r="BJ409" i="23"/>
  <c r="BJ38" i="23"/>
  <c r="BK38" i="23"/>
  <c r="AZ148" i="23"/>
  <c r="BA148" i="23"/>
  <c r="E249" i="23"/>
  <c r="AR249" i="23"/>
  <c r="F563" i="23"/>
  <c r="AU563" i="23"/>
  <c r="AU2" i="23"/>
  <c r="F2" i="23"/>
  <c r="AT450" i="23"/>
  <c r="BK433" i="23"/>
  <c r="BJ433" i="23"/>
  <c r="E310" i="23"/>
  <c r="AR310" i="23"/>
  <c r="E321" i="23"/>
  <c r="AR321" i="23"/>
  <c r="E514" i="23"/>
  <c r="AR514" i="23"/>
  <c r="F3" i="23"/>
  <c r="AU3" i="23"/>
  <c r="AR280" i="23"/>
  <c r="E280" i="23"/>
  <c r="AR333" i="23"/>
  <c r="E333" i="23"/>
  <c r="AT74" i="23"/>
  <c r="E93" i="23"/>
  <c r="AR93" i="23"/>
  <c r="E136" i="23"/>
  <c r="AR136" i="23"/>
  <c r="AT338" i="23"/>
  <c r="AR445" i="23"/>
  <c r="E445" i="23"/>
  <c r="BJ551" i="23"/>
  <c r="BK551" i="23"/>
  <c r="F340" i="23"/>
  <c r="AU340" i="23"/>
  <c r="AU82" i="23"/>
  <c r="F82" i="23"/>
  <c r="AU150" i="23"/>
  <c r="F150" i="23"/>
  <c r="AU152" i="23"/>
  <c r="F152" i="23"/>
  <c r="AU482" i="23"/>
  <c r="F482" i="23"/>
  <c r="BK454" i="23"/>
  <c r="BJ454" i="23"/>
  <c r="BK170" i="23"/>
  <c r="BJ170" i="23"/>
  <c r="BL170" i="23" s="1"/>
  <c r="BM170" i="23" s="1"/>
  <c r="BN170" i="23" s="1"/>
  <c r="AZ146" i="23"/>
  <c r="BA146" i="23"/>
  <c r="BJ460" i="23"/>
  <c r="BL460" i="23" s="1"/>
  <c r="BM460" i="23" s="1"/>
  <c r="BN460" i="23" s="1"/>
  <c r="BK460" i="23"/>
  <c r="BK204" i="23"/>
  <c r="BJ204" i="23"/>
  <c r="BL204" i="23" s="1"/>
  <c r="BM204" i="23" s="1"/>
  <c r="BN204" i="23" s="1"/>
  <c r="AT181" i="23"/>
  <c r="AS449" i="23"/>
  <c r="AY449" i="23" s="1"/>
  <c r="AR300" i="23"/>
  <c r="E300" i="23"/>
  <c r="E107" i="23"/>
  <c r="AR107" i="23"/>
  <c r="AR512" i="23"/>
  <c r="AY512" i="23" s="1"/>
  <c r="E512" i="23"/>
  <c r="E65" i="23"/>
  <c r="AR65" i="23"/>
  <c r="AU341" i="23"/>
  <c r="F341" i="23"/>
  <c r="E28" i="23"/>
  <c r="AR28" i="23"/>
  <c r="AR141" i="23"/>
  <c r="E141" i="23"/>
  <c r="AT321" i="23"/>
  <c r="BJ145" i="23"/>
  <c r="BK145" i="23"/>
  <c r="AU451" i="23"/>
  <c r="F451" i="23"/>
  <c r="AT535" i="23"/>
  <c r="AX535" i="23" s="1"/>
  <c r="F535" i="23"/>
  <c r="BJ317" i="23"/>
  <c r="BK317" i="23"/>
  <c r="AR829" i="23"/>
  <c r="E829" i="23"/>
  <c r="AR408" i="23"/>
  <c r="E408" i="23"/>
  <c r="AR326" i="23"/>
  <c r="E326" i="23"/>
  <c r="AU110" i="23"/>
  <c r="F110" i="23"/>
  <c r="AR177" i="23"/>
  <c r="AY177" i="23" s="1"/>
  <c r="E177" i="23"/>
  <c r="E341" i="23"/>
  <c r="AR341" i="23"/>
  <c r="AR592" i="23"/>
  <c r="E592" i="23"/>
  <c r="E90" i="23"/>
  <c r="AR90" i="23"/>
  <c r="AT14" i="23"/>
  <c r="AX14" i="23" s="1"/>
  <c r="F14" i="23"/>
  <c r="BK159" i="23"/>
  <c r="BJ159" i="23"/>
  <c r="AT829" i="23"/>
  <c r="AT232" i="23"/>
  <c r="F459" i="23"/>
  <c r="AU459" i="23"/>
  <c r="AR200" i="23"/>
  <c r="E200" i="23"/>
  <c r="AR154" i="23"/>
  <c r="E154" i="23"/>
  <c r="AT4" i="23"/>
  <c r="AY394" i="23"/>
  <c r="AX394" i="23"/>
  <c r="BJ523" i="23"/>
  <c r="BL523" i="23" s="1"/>
  <c r="BM523" i="23" s="1"/>
  <c r="BN523" i="23" s="1"/>
  <c r="BK523" i="23"/>
  <c r="AY104" i="23"/>
  <c r="AX104" i="23"/>
  <c r="BJ370" i="23"/>
  <c r="BK370" i="23"/>
  <c r="AX432" i="23"/>
  <c r="BK399" i="23"/>
  <c r="BJ399" i="23"/>
  <c r="BL399" i="23" s="1"/>
  <c r="BM399" i="23" s="1"/>
  <c r="BN399" i="23" s="1"/>
  <c r="E59" i="23"/>
  <c r="AR59" i="23"/>
  <c r="AR92" i="23"/>
  <c r="E92" i="23"/>
  <c r="AT612" i="23"/>
  <c r="AR171" i="23"/>
  <c r="E171" i="23"/>
  <c r="F413" i="23"/>
  <c r="AU413" i="23"/>
  <c r="AT154" i="23"/>
  <c r="AT7" i="23"/>
  <c r="AU828" i="23"/>
  <c r="F828" i="23"/>
  <c r="E559" i="23"/>
  <c r="AR559" i="23"/>
  <c r="AU86" i="23"/>
  <c r="F86" i="23"/>
  <c r="E19" i="23"/>
  <c r="AR19" i="23"/>
  <c r="AU348" i="23"/>
  <c r="F348" i="23"/>
  <c r="AU65" i="23"/>
  <c r="F65" i="23"/>
  <c r="BK157" i="23"/>
  <c r="BJ157" i="23"/>
  <c r="BJ463" i="23"/>
  <c r="BL463" i="23" s="1"/>
  <c r="BM463" i="23" s="1"/>
  <c r="BN463" i="23" s="1"/>
  <c r="BK463" i="23"/>
  <c r="AY433" i="23"/>
  <c r="BA158" i="23"/>
  <c r="AZ158" i="23"/>
  <c r="AY344" i="23"/>
  <c r="AX296" i="23"/>
  <c r="BJ311" i="23"/>
  <c r="BL311" i="23" s="1"/>
  <c r="BM311" i="23" s="1"/>
  <c r="BN311" i="23" s="1"/>
  <c r="BK311" i="23"/>
  <c r="AY189" i="23"/>
  <c r="E612" i="23"/>
  <c r="AR612" i="23"/>
  <c r="E155" i="23"/>
  <c r="AR155" i="23"/>
  <c r="AT90" i="23"/>
  <c r="E77" i="23"/>
  <c r="AR77" i="23"/>
  <c r="E324" i="23"/>
  <c r="AR324" i="23"/>
  <c r="E40" i="23"/>
  <c r="AR40" i="23"/>
  <c r="AT65" i="23"/>
  <c r="AU559" i="23"/>
  <c r="F559" i="23"/>
  <c r="AT196" i="23"/>
  <c r="AR533" i="23"/>
  <c r="E533" i="23"/>
  <c r="E472" i="23"/>
  <c r="AR472" i="23"/>
  <c r="AT141" i="23"/>
  <c r="E619" i="23"/>
  <c r="AR619" i="23"/>
  <c r="AX124" i="23"/>
  <c r="AY124" i="23"/>
  <c r="AU111" i="23"/>
  <c r="F111" i="23"/>
  <c r="AX130" i="23"/>
  <c r="BK562" i="23"/>
  <c r="BJ562" i="23"/>
  <c r="BL562" i="23" s="1"/>
  <c r="BM562" i="23" s="1"/>
  <c r="BN562" i="23" s="1"/>
  <c r="BJ603" i="23"/>
  <c r="BK603" i="23"/>
  <c r="BJ190" i="23"/>
  <c r="BK190" i="23"/>
  <c r="E100" i="23"/>
  <c r="AR100" i="23"/>
  <c r="E5" i="23"/>
  <c r="AR5" i="23"/>
  <c r="AU619" i="23"/>
  <c r="F619" i="23"/>
  <c r="AT282" i="23"/>
  <c r="AX117" i="23"/>
  <c r="AY117" i="23"/>
  <c r="AY166" i="23"/>
  <c r="AX166" i="23"/>
  <c r="AT180" i="23"/>
  <c r="AX180" i="23" s="1"/>
  <c r="F180" i="23"/>
  <c r="AT76" i="23"/>
  <c r="AR9" i="23"/>
  <c r="E9" i="23"/>
  <c r="AR180" i="23"/>
  <c r="E180" i="23"/>
  <c r="F105" i="23"/>
  <c r="AT105" i="23"/>
  <c r="AX105" i="23" s="1"/>
  <c r="BK427" i="23"/>
  <c r="BJ427" i="23"/>
  <c r="BA568" i="23"/>
  <c r="AZ568" i="23"/>
  <c r="AU248" i="23"/>
  <c r="F248" i="23"/>
  <c r="AU25" i="23"/>
  <c r="F25" i="23"/>
  <c r="F53" i="23"/>
  <c r="AU53" i="23"/>
  <c r="AR129" i="23"/>
  <c r="E129" i="23"/>
  <c r="E535" i="23"/>
  <c r="AR535" i="23"/>
  <c r="AU249" i="23"/>
  <c r="F249" i="23"/>
  <c r="E449" i="23"/>
  <c r="AU450" i="23"/>
  <c r="F450" i="23"/>
  <c r="AU144" i="23"/>
  <c r="F144" i="23"/>
  <c r="AU251" i="23"/>
  <c r="F251" i="23"/>
  <c r="E63" i="23"/>
  <c r="AR63" i="23"/>
  <c r="AR451" i="23"/>
  <c r="E451" i="23"/>
  <c r="AT213" i="23"/>
  <c r="AY43" i="23"/>
  <c r="AX43" i="23"/>
  <c r="AY224" i="23"/>
  <c r="AY145" i="23"/>
  <c r="AX145" i="23"/>
  <c r="BK331" i="23"/>
  <c r="BJ331" i="23"/>
  <c r="AT197" i="23"/>
  <c r="BJ524" i="23"/>
  <c r="BL524" i="23" s="1"/>
  <c r="BM524" i="23" s="1"/>
  <c r="BN524" i="23" s="1"/>
  <c r="BK524" i="23"/>
  <c r="AX170" i="23"/>
  <c r="AY15" i="23"/>
  <c r="AX15" i="23"/>
  <c r="BA120" i="23"/>
  <c r="AZ120" i="23"/>
  <c r="AU286" i="23"/>
  <c r="F286" i="23"/>
  <c r="E217" i="23"/>
  <c r="AR217" i="23"/>
  <c r="E140" i="23"/>
  <c r="AR140" i="23"/>
  <c r="AS379" i="23"/>
  <c r="AY379" i="23" s="1"/>
  <c r="AU306" i="23"/>
  <c r="F306" i="23"/>
  <c r="AR152" i="23"/>
  <c r="E152" i="23"/>
  <c r="F307" i="23"/>
  <c r="AT307" i="23"/>
  <c r="AX307" i="23" s="1"/>
  <c r="BJ558" i="23"/>
  <c r="BK558" i="23"/>
  <c r="F208" i="23"/>
  <c r="AU208" i="23"/>
  <c r="AT208" i="23"/>
  <c r="AY542" i="23"/>
  <c r="AU217" i="23"/>
  <c r="F217" i="23"/>
  <c r="AR53" i="23"/>
  <c r="E53" i="23"/>
  <c r="AR306" i="23"/>
  <c r="E306" i="23"/>
  <c r="BJ104" i="23"/>
  <c r="BL104" i="23" s="1"/>
  <c r="BM104" i="23" s="1"/>
  <c r="BN104" i="23" s="1"/>
  <c r="BK104" i="23"/>
  <c r="AY350" i="23"/>
  <c r="AX350" i="23"/>
  <c r="BK432" i="23"/>
  <c r="BJ432" i="23"/>
  <c r="AY281" i="23"/>
  <c r="AX281" i="23"/>
  <c r="BA399" i="23"/>
  <c r="AZ399" i="23"/>
  <c r="F318" i="23"/>
  <c r="AT318" i="23"/>
  <c r="AX318" i="23" s="1"/>
  <c r="F346" i="23"/>
  <c r="AU346" i="23"/>
  <c r="E398" i="23"/>
  <c r="AR398" i="23"/>
  <c r="AU295" i="23"/>
  <c r="AX295" i="23" s="1"/>
  <c r="F295" i="23"/>
  <c r="AT255" i="23"/>
  <c r="AT149" i="23"/>
  <c r="AU8" i="23"/>
  <c r="F8" i="23"/>
  <c r="F21" i="23"/>
  <c r="AU21" i="23"/>
  <c r="E86" i="23"/>
  <c r="AR86" i="23"/>
  <c r="AT53" i="23"/>
  <c r="E356" i="23"/>
  <c r="AR356" i="23"/>
  <c r="AT355" i="23"/>
  <c r="AT71" i="23"/>
  <c r="AU326" i="23"/>
  <c r="F326" i="23"/>
  <c r="BA157" i="23"/>
  <c r="AZ157" i="23"/>
  <c r="AU93" i="23"/>
  <c r="F93" i="23"/>
  <c r="E608" i="23"/>
  <c r="AR608" i="23"/>
  <c r="AR181" i="23"/>
  <c r="E181" i="23"/>
  <c r="BK23" i="23"/>
  <c r="BJ23" i="23"/>
  <c r="BK296" i="23"/>
  <c r="BJ296" i="23"/>
  <c r="BL296" i="23" s="1"/>
  <c r="BM296" i="23" s="1"/>
  <c r="BN296" i="23" s="1"/>
  <c r="AZ344" i="23"/>
  <c r="BA344" i="23"/>
  <c r="E74" i="23"/>
  <c r="AR74" i="23"/>
  <c r="E339" i="23"/>
  <c r="E108" i="23"/>
  <c r="AR108" i="23"/>
  <c r="E57" i="23"/>
  <c r="AR57" i="23"/>
  <c r="E71" i="23"/>
  <c r="AR71" i="23"/>
  <c r="AU28" i="23"/>
  <c r="F28" i="23"/>
  <c r="AR8" i="23"/>
  <c r="E8" i="23"/>
  <c r="AT828" i="23"/>
  <c r="AY84" i="23"/>
  <c r="AU303" i="23"/>
  <c r="F303" i="23"/>
  <c r="AT92" i="23"/>
  <c r="AY315" i="23"/>
  <c r="AX315" i="23"/>
  <c r="AY409" i="23"/>
  <c r="BA562" i="23"/>
  <c r="AZ562" i="23"/>
  <c r="AY603" i="23"/>
  <c r="AX603" i="23"/>
  <c r="AY401" i="23"/>
  <c r="AT346" i="23"/>
  <c r="AT544" i="23"/>
  <c r="E85" i="23"/>
  <c r="AR85" i="23"/>
  <c r="AR251" i="23"/>
  <c r="E251" i="23"/>
  <c r="AU77" i="23"/>
  <c r="F77" i="23"/>
  <c r="E332" i="23"/>
  <c r="AR332" i="23"/>
  <c r="AY332" i="23" s="1"/>
  <c r="E828" i="23"/>
  <c r="AR828" i="23"/>
  <c r="AR131" i="23"/>
  <c r="E131" i="23"/>
  <c r="E286" i="23"/>
  <c r="AR286" i="23"/>
  <c r="BK175" i="23"/>
  <c r="BJ175" i="23"/>
  <c r="BJ156" i="23"/>
  <c r="BK156" i="23"/>
  <c r="AX512" i="23"/>
  <c r="BA189" i="23"/>
  <c r="AZ189" i="23"/>
  <c r="AX18" i="23"/>
  <c r="AY18" i="23"/>
  <c r="BA38" i="23"/>
  <c r="AZ38" i="23"/>
  <c r="AR303" i="23"/>
  <c r="E303" i="23"/>
  <c r="BK266" i="23"/>
  <c r="BJ266" i="23"/>
  <c r="AT218" i="23"/>
  <c r="BJ826" i="23"/>
  <c r="BK826" i="23"/>
  <c r="AX509" i="23"/>
  <c r="BK147" i="23"/>
  <c r="BJ147" i="23"/>
  <c r="AY826" i="23"/>
  <c r="AY509" i="23"/>
  <c r="AT41" i="23"/>
  <c r="F408" i="23"/>
  <c r="AT408" i="23"/>
  <c r="AX408" i="23" s="1"/>
  <c r="AT19" i="23"/>
  <c r="AR41" i="23"/>
  <c r="E41" i="23"/>
  <c r="AU436" i="23"/>
  <c r="F436" i="23"/>
  <c r="AU49" i="23"/>
  <c r="F49" i="23"/>
  <c r="AT34" i="23"/>
  <c r="E79" i="23"/>
  <c r="AR79" i="23"/>
  <c r="BA551" i="23"/>
  <c r="AZ551" i="23"/>
  <c r="AU221" i="23"/>
  <c r="F221" i="23"/>
  <c r="AR16" i="23"/>
  <c r="E16" i="23"/>
  <c r="BK146" i="23"/>
  <c r="BJ146" i="23"/>
  <c r="AT323" i="23"/>
  <c r="AT140" i="23"/>
  <c r="E587" i="23"/>
  <c r="AR587" i="23"/>
  <c r="AR346" i="23"/>
  <c r="E346" i="23"/>
  <c r="E218" i="23"/>
  <c r="AR218" i="23"/>
  <c r="AT472" i="23"/>
  <c r="AT554" i="23"/>
  <c r="AT424" i="23"/>
  <c r="AU59" i="23"/>
  <c r="F59" i="23"/>
  <c r="E213" i="23"/>
  <c r="AR213" i="23"/>
  <c r="AT429" i="23"/>
  <c r="AT10" i="23"/>
  <c r="BJ536" i="23"/>
  <c r="BL536" i="23" s="1"/>
  <c r="BM536" i="23" s="1"/>
  <c r="BN536" i="23" s="1"/>
  <c r="BK536" i="23"/>
  <c r="F80" i="23"/>
  <c r="AU80" i="23"/>
  <c r="AU282" i="23"/>
  <c r="F282" i="23"/>
  <c r="AU297" i="23"/>
  <c r="F297" i="23"/>
  <c r="AU50" i="23"/>
  <c r="F50" i="23"/>
  <c r="AY463" i="23"/>
  <c r="F29" i="23"/>
  <c r="AU29" i="23"/>
  <c r="AR358" i="23"/>
  <c r="E358" i="23"/>
  <c r="AU213" i="23"/>
  <c r="F213" i="23"/>
  <c r="AR142" i="23"/>
  <c r="E142" i="23"/>
  <c r="AU129" i="23"/>
  <c r="F129" i="23"/>
  <c r="AT40" i="23"/>
  <c r="F424" i="23"/>
  <c r="AU424" i="23"/>
  <c r="AR248" i="23"/>
  <c r="E248" i="23"/>
  <c r="AT228" i="23"/>
  <c r="AU179" i="23"/>
  <c r="F179" i="23"/>
  <c r="F199" i="23"/>
  <c r="AU199" i="23"/>
  <c r="F379" i="23"/>
  <c r="AU379" i="23"/>
  <c r="AU323" i="23"/>
  <c r="F323" i="23"/>
  <c r="AU76" i="23"/>
  <c r="F76" i="23"/>
  <c r="AT465" i="23"/>
  <c r="BK394" i="23"/>
  <c r="BJ394" i="23"/>
  <c r="AY170" i="23"/>
  <c r="AZ382" i="23"/>
  <c r="BA382" i="23"/>
  <c r="AY568" i="23"/>
  <c r="BJ350" i="23"/>
  <c r="BK350" i="23"/>
  <c r="BJ281" i="23"/>
  <c r="BK281" i="23"/>
  <c r="AT122" i="23"/>
  <c r="AT25" i="23"/>
  <c r="AR424" i="23"/>
  <c r="E424" i="23"/>
  <c r="AT57" i="23"/>
  <c r="AU4" i="23"/>
  <c r="F4" i="23"/>
  <c r="E228" i="23"/>
  <c r="AR228" i="23"/>
  <c r="AT54" i="23"/>
  <c r="AT171" i="23"/>
  <c r="F214" i="23"/>
  <c r="AU214" i="23"/>
  <c r="E241" i="23"/>
  <c r="AR241" i="23"/>
  <c r="F255" i="23"/>
  <c r="AU255" i="23"/>
  <c r="AU47" i="23"/>
  <c r="F47" i="23"/>
  <c r="AU131" i="23"/>
  <c r="F131" i="23"/>
  <c r="AX463" i="23"/>
  <c r="BA23" i="23"/>
  <c r="AZ23" i="23"/>
  <c r="BK11" i="23"/>
  <c r="BJ11" i="23"/>
  <c r="AY190" i="23"/>
  <c r="AX311" i="23"/>
  <c r="AY12" i="23"/>
  <c r="AT249" i="23"/>
  <c r="AT97" i="23"/>
  <c r="AX97" i="23" s="1"/>
  <c r="F97" i="23"/>
  <c r="AU19" i="23"/>
  <c r="F19" i="23"/>
  <c r="AT324" i="23"/>
  <c r="AT619" i="23"/>
  <c r="AT286" i="23"/>
  <c r="AU487" i="23"/>
  <c r="AX487" i="23" s="1"/>
  <c r="F487" i="23"/>
  <c r="AT86" i="23"/>
  <c r="AT233" i="23"/>
  <c r="AU328" i="23"/>
  <c r="F328" i="23"/>
  <c r="E73" i="23"/>
  <c r="AR73" i="23"/>
  <c r="AR111" i="23"/>
  <c r="E111" i="23"/>
  <c r="AU338" i="23"/>
  <c r="F338" i="23"/>
  <c r="AU258" i="23"/>
  <c r="F258" i="23"/>
  <c r="BK315" i="23"/>
  <c r="BJ315" i="23"/>
  <c r="AU63" i="23"/>
  <c r="F63" i="23"/>
  <c r="BK441" i="23"/>
  <c r="BJ441" i="23"/>
  <c r="BL441" i="23" s="1"/>
  <c r="BM441" i="23" s="1"/>
  <c r="BN441" i="23" s="1"/>
  <c r="AX542" i="23"/>
  <c r="BK219" i="23"/>
  <c r="BJ219" i="23"/>
  <c r="AR328" i="23"/>
  <c r="E328" i="23"/>
  <c r="AR554" i="23"/>
  <c r="E554" i="23"/>
  <c r="BK332" i="23"/>
  <c r="BJ332" i="23"/>
  <c r="BK148" i="23"/>
  <c r="BJ148" i="23"/>
  <c r="F250" i="23"/>
  <c r="AU250" i="23"/>
  <c r="E34" i="23"/>
  <c r="AR34" i="23"/>
  <c r="E434" i="23"/>
  <c r="AR434" i="23"/>
  <c r="AU321" i="23"/>
  <c r="F321" i="23"/>
  <c r="AT150" i="23"/>
  <c r="AU339" i="23"/>
  <c r="AX339" i="23" s="1"/>
  <c r="F339" i="23"/>
  <c r="AR255" i="23"/>
  <c r="E255" i="23"/>
  <c r="AT291" i="23"/>
  <c r="AU54" i="23"/>
  <c r="F54" i="23"/>
  <c r="AT244" i="23"/>
  <c r="AY147" i="23"/>
  <c r="AX345" i="23"/>
  <c r="E76" i="23"/>
  <c r="AR76" i="23"/>
  <c r="AT250" i="23"/>
  <c r="AR292" i="23"/>
  <c r="E292" i="23"/>
  <c r="AT434" i="23"/>
  <c r="AT328" i="23"/>
  <c r="E603" i="23"/>
  <c r="F355" i="23"/>
  <c r="AU355" i="23"/>
  <c r="F40" i="23"/>
  <c r="AU40" i="23"/>
  <c r="AT6" i="23"/>
  <c r="AT451" i="23"/>
  <c r="AT52" i="23"/>
  <c r="AT111" i="23"/>
  <c r="BK387" i="23"/>
  <c r="BJ387" i="23"/>
  <c r="BL387" i="23" s="1"/>
  <c r="BM387" i="23" s="1"/>
  <c r="BN387" i="23" s="1"/>
  <c r="BA64" i="23"/>
  <c r="AZ64" i="23"/>
  <c r="AX524" i="23"/>
  <c r="AY524" i="23"/>
  <c r="BJ177" i="23"/>
  <c r="BK177" i="23"/>
  <c r="AT214" i="23"/>
  <c r="AT203" i="23"/>
  <c r="AT337" i="23"/>
  <c r="AT590" i="23"/>
  <c r="F544" i="23"/>
  <c r="AU544" i="23"/>
  <c r="E208" i="23"/>
  <c r="AR208" i="23"/>
  <c r="AT609" i="23"/>
  <c r="AT85" i="23"/>
  <c r="AT356" i="23"/>
  <c r="AU79" i="23"/>
  <c r="F79" i="23"/>
  <c r="AU122" i="23"/>
  <c r="F122" i="23"/>
  <c r="AT366" i="23"/>
  <c r="AT514" i="23"/>
  <c r="AT297" i="23"/>
  <c r="F41" i="23"/>
  <c r="AU41" i="23"/>
  <c r="BA401" i="23"/>
  <c r="AZ401" i="23"/>
  <c r="BK382" i="23"/>
  <c r="BJ382" i="23"/>
  <c r="BL382" i="23" s="1"/>
  <c r="BM382" i="23" s="1"/>
  <c r="BN382" i="23" s="1"/>
  <c r="BJ314" i="23"/>
  <c r="BK314" i="23"/>
  <c r="AT436" i="23"/>
  <c r="AT50" i="23"/>
  <c r="AR582" i="23"/>
  <c r="E582" i="23"/>
  <c r="E25" i="23"/>
  <c r="AR25" i="23"/>
  <c r="AT151" i="23"/>
  <c r="AU200" i="23"/>
  <c r="F200" i="23"/>
  <c r="AT308" i="23"/>
  <c r="AT28" i="23"/>
  <c r="AX606" i="23"/>
  <c r="AY606" i="23"/>
  <c r="AT2" i="23"/>
  <c r="AT3" i="23"/>
  <c r="AU100" i="23"/>
  <c r="F100" i="23"/>
  <c r="F153" i="23"/>
  <c r="AU153" i="23"/>
  <c r="E487" i="23"/>
  <c r="E609" i="23"/>
  <c r="AR609" i="23"/>
  <c r="BK468" i="23"/>
  <c r="BJ468" i="23"/>
  <c r="BL468" i="23" s="1"/>
  <c r="BM468" i="23" s="1"/>
  <c r="BN468" i="23" s="1"/>
  <c r="BK466" i="23"/>
  <c r="BJ466" i="23"/>
  <c r="BL466" i="23" s="1"/>
  <c r="BM466" i="23" s="1"/>
  <c r="BN466" i="23" s="1"/>
  <c r="AU16" i="23"/>
  <c r="F16" i="23"/>
  <c r="F511" i="23"/>
  <c r="AT511" i="23"/>
  <c r="AU429" i="23"/>
  <c r="F429" i="23"/>
  <c r="AU5" i="23"/>
  <c r="F5" i="23"/>
  <c r="AT49" i="23"/>
  <c r="AT16" i="23"/>
  <c r="AT326" i="23"/>
  <c r="E197" i="23"/>
  <c r="AR197" i="23"/>
  <c r="E203" i="23"/>
  <c r="AR203" i="23"/>
  <c r="BJ124" i="23"/>
  <c r="BL124" i="23" s="1"/>
  <c r="BM124" i="23" s="1"/>
  <c r="BN124" i="23" s="1"/>
  <c r="BK124" i="23"/>
  <c r="E69" i="23"/>
  <c r="AR69" i="23"/>
  <c r="E450" i="23"/>
  <c r="AR450" i="23"/>
  <c r="AX441" i="23"/>
  <c r="BA316" i="23"/>
  <c r="AZ316" i="23"/>
  <c r="AT552" i="23"/>
  <c r="BK189" i="23"/>
  <c r="BJ189" i="23"/>
  <c r="BK362" i="23"/>
  <c r="BJ362" i="23"/>
  <c r="BK18" i="23"/>
  <c r="BJ18" i="23"/>
  <c r="BL18" i="23" s="1"/>
  <c r="BM18" i="23" s="1"/>
  <c r="BN18" i="23" s="1"/>
  <c r="BJ117" i="23"/>
  <c r="BL117" i="23" s="1"/>
  <c r="BM117" i="23" s="1"/>
  <c r="BN117" i="23" s="1"/>
  <c r="BK117" i="23"/>
  <c r="AZ147" i="23"/>
  <c r="BA147" i="23"/>
  <c r="E465" i="23"/>
  <c r="AR465" i="23"/>
  <c r="AR329" i="23"/>
  <c r="E329" i="23"/>
  <c r="AT127" i="23"/>
  <c r="E291" i="23"/>
  <c r="AR291" i="23"/>
  <c r="AT515" i="23"/>
  <c r="BJ224" i="23"/>
  <c r="BL224" i="23" s="1"/>
  <c r="BM224" i="23" s="1"/>
  <c r="BN224" i="23" s="1"/>
  <c r="BK224" i="23"/>
  <c r="BK512" i="23"/>
  <c r="BJ512" i="23"/>
  <c r="AU112" i="23"/>
  <c r="AX112" i="23" s="1"/>
  <c r="F112" i="23"/>
  <c r="F291" i="23"/>
  <c r="AU291" i="23"/>
  <c r="BA84" i="23"/>
  <c r="AZ84" i="23"/>
  <c r="BJ83" i="23"/>
  <c r="BL83" i="23" s="1"/>
  <c r="BM83" i="23" s="1"/>
  <c r="BN83" i="23" s="1"/>
  <c r="BK83" i="23"/>
  <c r="BK509" i="23"/>
  <c r="BJ509" i="23"/>
  <c r="BL509" i="23" s="1"/>
  <c r="BM509" i="23" s="1"/>
  <c r="BN509" i="23" s="1"/>
  <c r="BK516" i="23"/>
  <c r="BJ516" i="23"/>
  <c r="BJ335" i="23"/>
  <c r="BL335" i="23" s="1"/>
  <c r="BM335" i="23" s="1"/>
  <c r="BN335" i="23" s="1"/>
  <c r="BK335" i="23"/>
  <c r="AY331" i="23"/>
  <c r="BJ580" i="23"/>
  <c r="BK580" i="23"/>
  <c r="AU533" i="23"/>
  <c r="F533" i="23"/>
  <c r="E308" i="23"/>
  <c r="AR308" i="23"/>
  <c r="AR396" i="23"/>
  <c r="E396" i="23"/>
  <c r="AU141" i="23"/>
  <c r="F141" i="23"/>
  <c r="AU329" i="23"/>
  <c r="F329" i="23"/>
  <c r="AT341" i="23"/>
  <c r="AU493" i="23"/>
  <c r="F493" i="23"/>
  <c r="AT142" i="23"/>
  <c r="AT69" i="23"/>
  <c r="AR295" i="23"/>
  <c r="AY295" i="23" s="1"/>
  <c r="E295" i="23"/>
  <c r="AR421" i="23"/>
  <c r="E421" i="23"/>
  <c r="AU186" i="23"/>
  <c r="F186" i="23"/>
  <c r="AU181" i="23"/>
  <c r="F181" i="23"/>
  <c r="BA427" i="23"/>
  <c r="AZ427" i="23"/>
  <c r="BJ568" i="23"/>
  <c r="BL568" i="23" s="1"/>
  <c r="BM568" i="23" s="1"/>
  <c r="BN568" i="23" s="1"/>
  <c r="BK568" i="23"/>
  <c r="AZ428" i="23"/>
  <c r="BA428" i="23"/>
  <c r="BK345" i="23"/>
  <c r="BJ345" i="23"/>
  <c r="AT108" i="23"/>
  <c r="AU232" i="23"/>
  <c r="F232" i="23"/>
  <c r="E287" i="23"/>
  <c r="AR287" i="23"/>
  <c r="AR482" i="23"/>
  <c r="E482" i="23"/>
  <c r="E625" i="23"/>
  <c r="AR625" i="23"/>
  <c r="AT93" i="23"/>
  <c r="AT131" i="23"/>
  <c r="AT287" i="23"/>
  <c r="BJ43" i="23"/>
  <c r="BK43" i="23"/>
  <c r="BJ64" i="23"/>
  <c r="BK64" i="23"/>
  <c r="BA177" i="23"/>
  <c r="AZ177" i="23"/>
  <c r="AY160" i="23"/>
  <c r="AX160" i="23"/>
  <c r="AY551" i="23"/>
  <c r="BJ120" i="23"/>
  <c r="BL120" i="23" s="1"/>
  <c r="BM120" i="23" s="1"/>
  <c r="BN120" i="23" s="1"/>
  <c r="BK120" i="23"/>
  <c r="E232" i="23"/>
  <c r="AR232" i="23"/>
  <c r="E80" i="23"/>
  <c r="AR80" i="23"/>
  <c r="AR367" i="23"/>
  <c r="E367" i="23"/>
  <c r="AU396" i="23"/>
  <c r="F396" i="23"/>
  <c r="E38" i="23"/>
  <c r="AR38" i="23"/>
  <c r="AY38" i="23" s="1"/>
  <c r="AY427" i="23"/>
  <c r="AX558" i="23"/>
  <c r="AY558" i="23"/>
  <c r="F587" i="23"/>
  <c r="AT587" i="23"/>
  <c r="AX587" i="23" s="1"/>
  <c r="AT398" i="23"/>
  <c r="AR459" i="23"/>
  <c r="E459" i="23"/>
  <c r="AT340" i="23"/>
  <c r="F452" i="23"/>
  <c r="AU452" i="23"/>
  <c r="BK503" i="23"/>
  <c r="BJ503" i="23"/>
  <c r="BL503" i="23" s="1"/>
  <c r="BM503" i="23" s="1"/>
  <c r="BN503" i="23" s="1"/>
  <c r="BK401" i="23"/>
  <c r="BJ401" i="23"/>
  <c r="BL401" i="23" s="1"/>
  <c r="BM401" i="23" s="1"/>
  <c r="BN401" i="23" s="1"/>
  <c r="AT199" i="23"/>
  <c r="AR112" i="23"/>
  <c r="AY112" i="23" s="1"/>
  <c r="E112" i="23"/>
  <c r="E82" i="23"/>
  <c r="AR82" i="23"/>
  <c r="AT482" i="23"/>
  <c r="AR508" i="23"/>
  <c r="E508" i="23"/>
  <c r="E78" i="23"/>
  <c r="AR78" i="23"/>
  <c r="AT327" i="23"/>
  <c r="BK606" i="23"/>
  <c r="BJ606" i="23"/>
  <c r="AT310" i="23"/>
  <c r="AR436" i="23"/>
  <c r="E436" i="23"/>
  <c r="AR452" i="23"/>
  <c r="E452" i="23"/>
  <c r="AX468" i="23"/>
  <c r="AT421" i="23"/>
  <c r="AX421" i="23" s="1"/>
  <c r="F421" i="23"/>
  <c r="AZ439" i="23"/>
  <c r="BA439" i="23"/>
  <c r="BA11" i="23"/>
  <c r="AZ11" i="23"/>
  <c r="BJ172" i="23"/>
  <c r="BK172" i="23"/>
  <c r="F367" i="23"/>
  <c r="AU367" i="23"/>
  <c r="AT367" i="23"/>
  <c r="AT81" i="23"/>
  <c r="AT306" i="23"/>
  <c r="AT59" i="23"/>
  <c r="AR14" i="23"/>
  <c r="E14" i="23"/>
  <c r="AT413" i="23"/>
  <c r="AU438" i="23"/>
  <c r="F438" i="23"/>
  <c r="E149" i="23"/>
  <c r="AR149" i="23"/>
  <c r="E6" i="23"/>
  <c r="AR6" i="23"/>
  <c r="AU78" i="23"/>
  <c r="F78" i="23"/>
  <c r="AT215" i="23"/>
  <c r="AY158" i="23"/>
  <c r="AR196" i="23"/>
  <c r="E196" i="23"/>
  <c r="AU149" i="23"/>
  <c r="F149" i="23"/>
  <c r="BJ542" i="23"/>
  <c r="BK542" i="23"/>
  <c r="BA409" i="23"/>
  <c r="AZ409" i="23"/>
  <c r="BA826" i="23"/>
  <c r="AZ826" i="23"/>
  <c r="AT626" i="23"/>
  <c r="AT183" i="23"/>
  <c r="AT459" i="23"/>
  <c r="AR153" i="23"/>
  <c r="E153" i="23"/>
  <c r="BA332" i="23"/>
  <c r="AZ332" i="23"/>
  <c r="AT5" i="23"/>
  <c r="AR438" i="23"/>
  <c r="E438" i="23"/>
  <c r="BK84" i="23"/>
  <c r="BJ84" i="23"/>
  <c r="BL84" i="23" s="1"/>
  <c r="BM84" i="23" s="1"/>
  <c r="BN84" i="23" s="1"/>
  <c r="BA335" i="23"/>
  <c r="AZ335" i="23"/>
  <c r="BA190" i="23"/>
  <c r="AZ190" i="23"/>
  <c r="AT73" i="23"/>
  <c r="AX73" i="23" s="1"/>
  <c r="F73" i="23"/>
  <c r="AU233" i="23"/>
  <c r="F233" i="23"/>
  <c r="F567" i="23"/>
  <c r="AU567" i="23"/>
  <c r="AT333" i="23"/>
  <c r="AX333" i="23" s="1"/>
  <c r="F333" i="23"/>
  <c r="AU590" i="23"/>
  <c r="F590" i="23"/>
  <c r="E97" i="23"/>
  <c r="AR97" i="23"/>
  <c r="E122" i="23"/>
  <c r="AR122" i="23"/>
  <c r="F300" i="23"/>
  <c r="AU300" i="23"/>
  <c r="E144" i="23"/>
  <c r="AR144" i="23"/>
  <c r="AT251" i="23"/>
  <c r="AU609" i="23"/>
  <c r="F609" i="23"/>
  <c r="AU196" i="23"/>
  <c r="F196" i="23"/>
  <c r="AT608" i="23"/>
  <c r="AZ454" i="23"/>
  <c r="BA454" i="23"/>
  <c r="AZ12" i="23"/>
  <c r="BA12" i="23"/>
  <c r="F123" i="23"/>
  <c r="AT123" i="23"/>
  <c r="AU56" i="23"/>
  <c r="F56" i="23"/>
  <c r="AT396" i="23"/>
  <c r="AU310" i="23"/>
  <c r="F310" i="23"/>
  <c r="F139" i="23"/>
  <c r="AT139" i="23"/>
  <c r="AX139" i="23" s="1"/>
  <c r="F201" i="23"/>
  <c r="AU201" i="23"/>
  <c r="AT79" i="23"/>
  <c r="AU218" i="23"/>
  <c r="F218" i="23"/>
  <c r="AU359" i="23"/>
  <c r="F359" i="23"/>
  <c r="AT144" i="23"/>
  <c r="AU287" i="23"/>
  <c r="F287" i="23"/>
  <c r="E54" i="23"/>
  <c r="AR54" i="23"/>
  <c r="E244" i="23"/>
  <c r="AR244" i="23"/>
  <c r="AX548" i="23"/>
  <c r="AY37" i="23"/>
  <c r="AX37" i="23"/>
  <c r="AT153" i="23"/>
  <c r="AT100" i="23"/>
  <c r="AT136" i="23"/>
  <c r="AR98" i="23"/>
  <c r="E98" i="23"/>
  <c r="AU829" i="23"/>
  <c r="F829" i="23"/>
  <c r="AT292" i="23"/>
  <c r="AU107" i="23"/>
  <c r="F107" i="23"/>
  <c r="AT9" i="23"/>
  <c r="AT493" i="23"/>
  <c r="AT563" i="23"/>
  <c r="AT179" i="23"/>
  <c r="AT508" i="23"/>
  <c r="AX508" i="23" s="1"/>
  <c r="F508" i="23"/>
  <c r="AU445" i="23"/>
  <c r="F445" i="23"/>
  <c r="E31" i="23"/>
  <c r="AR31" i="23"/>
  <c r="BK446" i="23"/>
  <c r="BJ446" i="23"/>
  <c r="BL446" i="23" s="1"/>
  <c r="BM446" i="23" s="1"/>
  <c r="BN446" i="23" s="1"/>
  <c r="BA314" i="23"/>
  <c r="AZ314" i="23"/>
  <c r="F582" i="23"/>
  <c r="AT582" i="23"/>
  <c r="AX582" i="23" s="1"/>
  <c r="F90" i="23"/>
  <c r="AU90" i="23"/>
  <c r="AT98" i="23"/>
  <c r="AX98" i="23" s="1"/>
  <c r="F98" i="23"/>
  <c r="AT217" i="23"/>
  <c r="E201" i="23"/>
  <c r="AR201" i="23"/>
  <c r="AR359" i="23"/>
  <c r="E359" i="23"/>
  <c r="F57" i="23"/>
  <c r="AU57" i="23"/>
  <c r="AR81" i="23"/>
  <c r="E81" i="23"/>
  <c r="AT625" i="23"/>
  <c r="AX625" i="23" s="1"/>
  <c r="F625" i="23"/>
  <c r="AR2" i="23"/>
  <c r="E2" i="23"/>
  <c r="AT221" i="23"/>
  <c r="AU151" i="23"/>
  <c r="F151" i="23"/>
  <c r="BJ439" i="23"/>
  <c r="BL439" i="23" s="1"/>
  <c r="BM439" i="23" s="1"/>
  <c r="BN439" i="23" s="1"/>
  <c r="BK439" i="23"/>
  <c r="AY311" i="23"/>
  <c r="AY172" i="23"/>
  <c r="AX172" i="23"/>
  <c r="E567" i="23"/>
  <c r="AR567" i="23"/>
  <c r="AU215" i="23"/>
  <c r="F215" i="23"/>
  <c r="AU449" i="23"/>
  <c r="F449" i="23"/>
  <c r="AU366" i="23"/>
  <c r="F366" i="23"/>
  <c r="E50" i="23"/>
  <c r="AR50" i="23"/>
  <c r="AU358" i="23"/>
  <c r="F358" i="23"/>
  <c r="E250" i="23"/>
  <c r="AR250" i="23"/>
  <c r="AU308" i="23"/>
  <c r="F308" i="23"/>
  <c r="AT152" i="23"/>
  <c r="F89" i="23"/>
  <c r="AT89" i="23"/>
  <c r="AX89" i="23" s="1"/>
  <c r="AU154" i="23"/>
  <c r="F154" i="23"/>
  <c r="BJ316" i="23"/>
  <c r="BK316" i="23"/>
  <c r="AR3" i="23"/>
  <c r="E3" i="23"/>
  <c r="AU9" i="23"/>
  <c r="F9" i="23"/>
  <c r="AZ516" i="23"/>
  <c r="BA516" i="23"/>
  <c r="E323" i="23"/>
  <c r="AR323" i="23"/>
  <c r="AT585" i="23"/>
  <c r="AT586" i="23"/>
  <c r="AT488" i="23"/>
  <c r="AT77" i="23"/>
  <c r="AR127" i="23"/>
  <c r="E127" i="23"/>
  <c r="AZ219" i="23"/>
  <c r="BA219" i="23"/>
  <c r="E282" i="23"/>
  <c r="AR282" i="23"/>
  <c r="BK166" i="23"/>
  <c r="BJ166" i="23"/>
  <c r="AY83" i="23"/>
  <c r="AX83" i="23"/>
  <c r="AX580" i="23"/>
  <c r="AY580" i="23"/>
  <c r="F31" i="23"/>
  <c r="AU31" i="23"/>
  <c r="AT80" i="23"/>
  <c r="AR348" i="23"/>
  <c r="E348" i="23"/>
  <c r="E47" i="23"/>
  <c r="AR47" i="23"/>
  <c r="E394" i="23"/>
  <c r="AR186" i="23"/>
  <c r="E186" i="23"/>
  <c r="AU612" i="23"/>
  <c r="F612" i="23"/>
  <c r="E179" i="23"/>
  <c r="AR179" i="23"/>
  <c r="AT56" i="23"/>
  <c r="AT29" i="23"/>
  <c r="AT500" i="23"/>
  <c r="AU592" i="23"/>
  <c r="F592" i="23"/>
  <c r="AU356" i="23"/>
  <c r="F356" i="23"/>
  <c r="AT8" i="23"/>
  <c r="AR151" i="23"/>
  <c r="E151" i="23"/>
  <c r="BK12" i="23"/>
  <c r="BJ12" i="23"/>
  <c r="AT592" i="23"/>
  <c r="AU608" i="23"/>
  <c r="F608" i="23"/>
  <c r="F183" i="23"/>
  <c r="AU183" i="23"/>
  <c r="AT280" i="23"/>
  <c r="E590" i="23"/>
  <c r="AR590" i="23"/>
  <c r="E10" i="23"/>
  <c r="AR10" i="23"/>
  <c r="F241" i="23"/>
  <c r="AU241" i="23"/>
  <c r="E215" i="23"/>
  <c r="AR215" i="23"/>
  <c r="AU34" i="23"/>
  <c r="F34" i="23"/>
  <c r="AU142" i="23"/>
  <c r="F142" i="23"/>
  <c r="AT258" i="23"/>
  <c r="AT210" i="23"/>
  <c r="AX210" i="23" s="1"/>
  <c r="F210" i="23"/>
  <c r="AT241" i="23"/>
  <c r="AR297" i="23"/>
  <c r="E297" i="23"/>
  <c r="E110" i="23"/>
  <c r="AR110" i="23"/>
  <c r="AU92" i="23"/>
  <c r="F92" i="23"/>
  <c r="AR4" i="23"/>
  <c r="E4" i="23"/>
  <c r="AU280" i="23"/>
  <c r="F280" i="23"/>
  <c r="AX94" i="23"/>
  <c r="AY94" i="23"/>
  <c r="AX317" i="23"/>
  <c r="AY317" i="23"/>
  <c r="BK15" i="23"/>
  <c r="BJ15" i="23"/>
  <c r="BJ37" i="23"/>
  <c r="BK37" i="23"/>
  <c r="E327" i="23"/>
  <c r="AR327" i="23"/>
  <c r="E139" i="23"/>
  <c r="AR139" i="23"/>
  <c r="AR338" i="23"/>
  <c r="E338" i="23"/>
  <c r="AU140" i="23"/>
  <c r="F140" i="23"/>
  <c r="E121" i="23"/>
  <c r="F155" i="23"/>
  <c r="AU155" i="23"/>
  <c r="AU472" i="23"/>
  <c r="F472" i="23"/>
  <c r="AU171" i="23"/>
  <c r="F171" i="23"/>
  <c r="AT533" i="23"/>
  <c r="AR366" i="23"/>
  <c r="E366" i="23"/>
  <c r="F292" i="23"/>
  <c r="AU292" i="23"/>
  <c r="E258" i="23"/>
  <c r="AR258" i="23"/>
  <c r="AU554" i="23"/>
  <c r="F554" i="23"/>
  <c r="F434" i="23"/>
  <c r="AU434" i="23"/>
  <c r="AT348" i="23"/>
  <c r="F398" i="23"/>
  <c r="AU398" i="23"/>
  <c r="AX446" i="23"/>
  <c r="AY446" i="23"/>
  <c r="AY148" i="23"/>
  <c r="F514" i="23"/>
  <c r="AU514" i="23"/>
  <c r="E7" i="23"/>
  <c r="AR7" i="23"/>
  <c r="E221" i="23"/>
  <c r="AR221" i="23"/>
  <c r="AU71" i="23"/>
  <c r="F71" i="23"/>
  <c r="AT186" i="23"/>
  <c r="F244" i="23"/>
  <c r="AU244" i="23"/>
  <c r="AT559" i="23"/>
  <c r="AU10" i="23"/>
  <c r="F10" i="23"/>
  <c r="AT567" i="23"/>
  <c r="AT31" i="23"/>
  <c r="F534" i="23"/>
  <c r="AT534" i="23"/>
  <c r="AX534" i="23" s="1"/>
  <c r="AZ330" i="23"/>
  <c r="BA330" i="23"/>
  <c r="AU465" i="23"/>
  <c r="F465" i="23"/>
  <c r="AY314" i="23"/>
  <c r="AR183" i="23"/>
  <c r="E183" i="23"/>
  <c r="AR233" i="23"/>
  <c r="E233" i="23"/>
  <c r="E49" i="23"/>
  <c r="AR49" i="23"/>
  <c r="AT82" i="23"/>
  <c r="E29" i="23"/>
  <c r="AR29" i="23"/>
  <c r="AT78" i="23"/>
  <c r="AT21" i="23"/>
  <c r="AU327" i="23"/>
  <c r="F327" i="23"/>
  <c r="AU324" i="23"/>
  <c r="F324" i="23"/>
  <c r="AR544" i="23"/>
  <c r="E544" i="23"/>
  <c r="E56" i="23"/>
  <c r="AR56" i="23"/>
  <c r="AT303" i="23"/>
  <c r="AT359" i="23"/>
  <c r="BK130" i="23"/>
  <c r="BJ130" i="23"/>
  <c r="BL130" i="23" s="1"/>
  <c r="BM130" i="23" s="1"/>
  <c r="BN130" i="23" s="1"/>
  <c r="F108" i="23"/>
  <c r="AU108" i="23"/>
  <c r="AU337" i="23"/>
  <c r="F337" i="23"/>
  <c r="AT445" i="23"/>
  <c r="AX460" i="23"/>
  <c r="BK428" i="23"/>
  <c r="BJ428" i="23"/>
  <c r="BA204" i="23"/>
  <c r="AZ204" i="23"/>
  <c r="AY460" i="23"/>
  <c r="AT300" i="23"/>
  <c r="AU203" i="23"/>
  <c r="F203" i="23"/>
  <c r="AT248" i="23"/>
  <c r="AT47" i="23"/>
  <c r="F74" i="23"/>
  <c r="AU74" i="23"/>
  <c r="F121" i="23"/>
  <c r="AT121" i="23"/>
  <c r="E52" i="23"/>
  <c r="AR52" i="23"/>
  <c r="AU127" i="23"/>
  <c r="F127" i="23"/>
  <c r="E493" i="23"/>
  <c r="AR493" i="23"/>
  <c r="AY296" i="23"/>
  <c r="BK30" i="23"/>
  <c r="BJ30" i="23"/>
  <c r="AR199" i="23"/>
  <c r="E199" i="23"/>
  <c r="BJ548" i="23"/>
  <c r="BL548" i="23" s="1"/>
  <c r="BM548" i="23" s="1"/>
  <c r="BN548" i="23" s="1"/>
  <c r="BK548" i="23"/>
  <c r="BJ160" i="23"/>
  <c r="BK160" i="23"/>
  <c r="BK94" i="23"/>
  <c r="BJ94" i="23"/>
  <c r="BL94" i="23" s="1"/>
  <c r="BM94" i="23" s="1"/>
  <c r="BN94" i="23" s="1"/>
  <c r="AT201" i="23"/>
  <c r="E500" i="23"/>
  <c r="AR500" i="23"/>
  <c r="AT107" i="23"/>
  <c r="E89" i="23"/>
  <c r="AR89" i="23"/>
  <c r="AU6" i="23"/>
  <c r="F6" i="23"/>
  <c r="AT329" i="23"/>
  <c r="AT63" i="23"/>
  <c r="E413" i="23"/>
  <c r="AR413" i="23"/>
  <c r="BA159" i="23"/>
  <c r="AZ159" i="23"/>
  <c r="F69" i="23"/>
  <c r="AU69" i="23"/>
  <c r="E340" i="23"/>
  <c r="AR340" i="23"/>
  <c r="E214" i="23"/>
  <c r="AR214" i="23"/>
  <c r="AY120" i="23"/>
  <c r="AX523" i="23"/>
  <c r="AT438" i="23"/>
  <c r="AR210" i="23"/>
  <c r="E210" i="23"/>
  <c r="E563" i="23"/>
  <c r="AR563" i="23"/>
  <c r="E429" i="23"/>
  <c r="AR429" i="23"/>
  <c r="F197" i="23"/>
  <c r="AU197" i="23"/>
  <c r="F500" i="23"/>
  <c r="AU500" i="23"/>
  <c r="E105" i="23"/>
  <c r="AR105" i="23"/>
  <c r="AT358" i="23"/>
  <c r="AU52" i="23"/>
  <c r="F52" i="23"/>
  <c r="AT110" i="23"/>
  <c r="BK330" i="23"/>
  <c r="BJ330" i="23"/>
  <c r="BL330" i="23" s="1"/>
  <c r="BM330" i="23" s="1"/>
  <c r="BN330" i="23" s="1"/>
  <c r="AT129" i="23"/>
  <c r="AU228" i="23"/>
  <c r="F228" i="23"/>
  <c r="BJ158" i="23"/>
  <c r="BK158" i="23"/>
  <c r="BK344" i="23"/>
  <c r="BJ344" i="23"/>
  <c r="BL344" i="23" s="1"/>
  <c r="BM344" i="23" s="1"/>
  <c r="BN344" i="23" s="1"/>
  <c r="E150" i="23"/>
  <c r="AR150" i="23"/>
  <c r="AU85" i="23"/>
  <c r="F85" i="23"/>
  <c r="E21" i="23"/>
  <c r="AR21" i="23"/>
  <c r="AT452" i="23"/>
  <c r="AU136" i="23"/>
  <c r="F136" i="23"/>
  <c r="AT200" i="23"/>
  <c r="AU7" i="23"/>
  <c r="F7" i="23"/>
  <c r="AT155" i="23"/>
  <c r="E337" i="23"/>
  <c r="AR337" i="23"/>
  <c r="F81" i="23"/>
  <c r="AU81" i="23"/>
  <c r="AR355" i="23"/>
  <c r="E355" i="23"/>
  <c r="AX92" i="23" l="1"/>
  <c r="AZ92" i="23" s="1"/>
  <c r="BA466" i="23"/>
  <c r="BB562" i="23"/>
  <c r="BC562" i="23" s="1"/>
  <c r="BD562" i="23" s="1"/>
  <c r="AZ536" i="23"/>
  <c r="BB536" i="23" s="1"/>
  <c r="BC536" i="23" s="1"/>
  <c r="BD536" i="23" s="1"/>
  <c r="AZ387" i="23"/>
  <c r="BB387" i="23" s="1"/>
  <c r="BC387" i="23" s="1"/>
  <c r="BD387" i="23" s="1"/>
  <c r="AY544" i="23"/>
  <c r="AX321" i="23"/>
  <c r="AZ321" i="23" s="1"/>
  <c r="BA503" i="23"/>
  <c r="BA362" i="23"/>
  <c r="BB362" i="23" s="1"/>
  <c r="BC362" i="23" s="1"/>
  <c r="BD362" i="23" s="1"/>
  <c r="BA224" i="23"/>
  <c r="AX127" i="23"/>
  <c r="AZ127" i="23" s="1"/>
  <c r="AY105" i="23"/>
  <c r="AX154" i="23"/>
  <c r="AZ154" i="23" s="1"/>
  <c r="BB64" i="23"/>
  <c r="BC64" i="23" s="1"/>
  <c r="BD64" i="23" s="1"/>
  <c r="AY337" i="23"/>
  <c r="AY2" i="23"/>
  <c r="AX533" i="23"/>
  <c r="BA533" i="23" s="1"/>
  <c r="AY282" i="23"/>
  <c r="AY233" i="23"/>
  <c r="AX282" i="23"/>
  <c r="AZ282" i="23" s="1"/>
  <c r="AX74" i="23"/>
  <c r="AZ74" i="23" s="1"/>
  <c r="AY338" i="23"/>
  <c r="AX233" i="23"/>
  <c r="BA233" i="23" s="1"/>
  <c r="AX563" i="23"/>
  <c r="BA563" i="23" s="1"/>
  <c r="AY74" i="23"/>
  <c r="AX449" i="23"/>
  <c r="AZ449" i="23" s="1"/>
  <c r="BB449" i="23" s="1"/>
  <c r="BC449" i="23" s="1"/>
  <c r="BD449" i="23" s="1"/>
  <c r="AX338" i="23"/>
  <c r="AZ338" i="23" s="1"/>
  <c r="BL409" i="23"/>
  <c r="BM409" i="23" s="1"/>
  <c r="BN409" i="23" s="1"/>
  <c r="AY97" i="23"/>
  <c r="BB146" i="23"/>
  <c r="BC146" i="23" s="1"/>
  <c r="BD146" i="23" s="1"/>
  <c r="AY149" i="23"/>
  <c r="BA266" i="23"/>
  <c r="BB266" i="23" s="1"/>
  <c r="BC266" i="23" s="1"/>
  <c r="BD266" i="23" s="1"/>
  <c r="AX829" i="23"/>
  <c r="BA829" i="23" s="1"/>
  <c r="BL158" i="23"/>
  <c r="BM158" i="23" s="1"/>
  <c r="BN158" i="23" s="1"/>
  <c r="AX612" i="23"/>
  <c r="AZ612" i="23" s="1"/>
  <c r="AY49" i="23"/>
  <c r="AX144" i="23"/>
  <c r="BA144" i="23" s="1"/>
  <c r="AY197" i="23"/>
  <c r="AX554" i="23"/>
  <c r="BA554" i="23" s="1"/>
  <c r="AY181" i="23"/>
  <c r="AX197" i="23"/>
  <c r="AZ197" i="23" s="1"/>
  <c r="AY200" i="23"/>
  <c r="AY50" i="23"/>
  <c r="AX86" i="23"/>
  <c r="AZ86" i="23" s="1"/>
  <c r="BA30" i="23"/>
  <c r="BB30" i="23" s="1"/>
  <c r="BC30" i="23" s="1"/>
  <c r="BD30" i="23" s="1"/>
  <c r="AY150" i="23"/>
  <c r="AX181" i="23"/>
  <c r="AZ181" i="23" s="1"/>
  <c r="AY208" i="23"/>
  <c r="AX450" i="23"/>
  <c r="AZ450" i="23" s="1"/>
  <c r="AX6" i="23"/>
  <c r="BA6" i="23" s="1"/>
  <c r="AY450" i="23"/>
  <c r="AY4" i="23"/>
  <c r="BB466" i="23"/>
  <c r="BC466" i="23" s="1"/>
  <c r="BD466" i="23" s="1"/>
  <c r="AX4" i="23"/>
  <c r="BA4" i="23" s="1"/>
  <c r="AY280" i="23"/>
  <c r="AX149" i="23"/>
  <c r="BA149" i="23" s="1"/>
  <c r="BB38" i="23"/>
  <c r="BC38" i="23" s="1"/>
  <c r="BD38" i="23" s="1"/>
  <c r="AX54" i="23"/>
  <c r="AZ54" i="23" s="1"/>
  <c r="AY465" i="23"/>
  <c r="AX186" i="23"/>
  <c r="AZ186" i="23" s="1"/>
  <c r="AY6" i="23"/>
  <c r="BA370" i="23"/>
  <c r="BB370" i="23" s="1"/>
  <c r="BC370" i="23" s="1"/>
  <c r="BD370" i="23" s="1"/>
  <c r="BL15" i="23"/>
  <c r="BM15" i="23" s="1"/>
  <c r="BN15" i="23" s="1"/>
  <c r="AX590" i="23"/>
  <c r="BA590" i="23" s="1"/>
  <c r="AX2" i="23"/>
  <c r="AZ2" i="23" s="1"/>
  <c r="AY139" i="23"/>
  <c r="AY590" i="23"/>
  <c r="AX544" i="23"/>
  <c r="BA544" i="23" s="1"/>
  <c r="BL23" i="23"/>
  <c r="BM23" i="23" s="1"/>
  <c r="BN23" i="23" s="1"/>
  <c r="AY413" i="23"/>
  <c r="BL148" i="23"/>
  <c r="BM148" i="23" s="1"/>
  <c r="BN148" i="23" s="1"/>
  <c r="BB23" i="23"/>
  <c r="BC23" i="23" s="1"/>
  <c r="BD23" i="23" s="1"/>
  <c r="BL316" i="23"/>
  <c r="BM316" i="23" s="1"/>
  <c r="BN316" i="23" s="1"/>
  <c r="BL11" i="23"/>
  <c r="BM11" i="23" s="1"/>
  <c r="BN11" i="23" s="1"/>
  <c r="BL315" i="23"/>
  <c r="BM315" i="23" s="1"/>
  <c r="BN315" i="23" s="1"/>
  <c r="BL370" i="23"/>
  <c r="BM370" i="23" s="1"/>
  <c r="BN370" i="23" s="1"/>
  <c r="BL432" i="23"/>
  <c r="BM432" i="23" s="1"/>
  <c r="BN432" i="23" s="1"/>
  <c r="BL157" i="23"/>
  <c r="BM157" i="23" s="1"/>
  <c r="BN157" i="23" s="1"/>
  <c r="BL156" i="23"/>
  <c r="BM156" i="23" s="1"/>
  <c r="BN156" i="23" s="1"/>
  <c r="BL145" i="23"/>
  <c r="BM145" i="23" s="1"/>
  <c r="BN145" i="23" s="1"/>
  <c r="BL12" i="23"/>
  <c r="BM12" i="23" s="1"/>
  <c r="BN12" i="23" s="1"/>
  <c r="BL362" i="23"/>
  <c r="BM362" i="23" s="1"/>
  <c r="BN362" i="23" s="1"/>
  <c r="BL551" i="23"/>
  <c r="BM551" i="23" s="1"/>
  <c r="BN551" i="23" s="1"/>
  <c r="AY213" i="23"/>
  <c r="AX356" i="23"/>
  <c r="AZ356" i="23" s="1"/>
  <c r="BL314" i="23"/>
  <c r="BM314" i="23" s="1"/>
  <c r="BN314" i="23" s="1"/>
  <c r="AX213" i="23"/>
  <c r="BA213" i="23" s="1"/>
  <c r="BL146" i="23"/>
  <c r="BM146" i="23" s="1"/>
  <c r="BN146" i="23" s="1"/>
  <c r="BL219" i="23"/>
  <c r="BM219" i="23" s="1"/>
  <c r="BN219" i="23" s="1"/>
  <c r="BL172" i="23"/>
  <c r="BM172" i="23" s="1"/>
  <c r="BN172" i="23" s="1"/>
  <c r="BL64" i="23"/>
  <c r="BM64" i="23" s="1"/>
  <c r="BN64" i="23" s="1"/>
  <c r="BL160" i="23"/>
  <c r="BM160" i="23" s="1"/>
  <c r="BN160" i="23" s="1"/>
  <c r="AY111" i="23"/>
  <c r="BL350" i="23"/>
  <c r="BM350" i="23" s="1"/>
  <c r="BN350" i="23" s="1"/>
  <c r="BL826" i="23"/>
  <c r="BM826" i="23" s="1"/>
  <c r="BN826" i="23" s="1"/>
  <c r="BL159" i="23"/>
  <c r="BM159" i="23" s="1"/>
  <c r="BN159" i="23" s="1"/>
  <c r="AX828" i="23"/>
  <c r="BA828" i="23" s="1"/>
  <c r="AZ433" i="23"/>
  <c r="BB433" i="23" s="1"/>
  <c r="BC433" i="23" s="1"/>
  <c r="BD433" i="23" s="1"/>
  <c r="BL147" i="23"/>
  <c r="BM147" i="23" s="1"/>
  <c r="BN147" i="23" s="1"/>
  <c r="AY535" i="23"/>
  <c r="BL190" i="23"/>
  <c r="BM190" i="23" s="1"/>
  <c r="BN190" i="23" s="1"/>
  <c r="AX28" i="23"/>
  <c r="BA28" i="23" s="1"/>
  <c r="BB399" i="23"/>
  <c r="BC399" i="23" s="1"/>
  <c r="BD399" i="23" s="1"/>
  <c r="AY54" i="23"/>
  <c r="AY500" i="23"/>
  <c r="BL345" i="23"/>
  <c r="BM345" i="23" s="1"/>
  <c r="BN345" i="23" s="1"/>
  <c r="AY214" i="23"/>
  <c r="AY459" i="23"/>
  <c r="BL38" i="23"/>
  <c r="BM38" i="23" s="1"/>
  <c r="BN38" i="23" s="1"/>
  <c r="BL266" i="23"/>
  <c r="BM266" i="23" s="1"/>
  <c r="BN266" i="23" s="1"/>
  <c r="AX78" i="23"/>
  <c r="AZ78" i="23" s="1"/>
  <c r="AX140" i="23"/>
  <c r="BA140" i="23" s="1"/>
  <c r="AX413" i="23"/>
  <c r="AZ413" i="23" s="1"/>
  <c r="AX228" i="23"/>
  <c r="BA228" i="23" s="1"/>
  <c r="AX244" i="23"/>
  <c r="BA244" i="23" s="1"/>
  <c r="BB157" i="23"/>
  <c r="BC157" i="23" s="1"/>
  <c r="BD157" i="23" s="1"/>
  <c r="BL454" i="23"/>
  <c r="BM454" i="23" s="1"/>
  <c r="BN454" i="23" s="1"/>
  <c r="AY297" i="23"/>
  <c r="AY244" i="23"/>
  <c r="AY81" i="23"/>
  <c r="BL43" i="23"/>
  <c r="BM43" i="23" s="1"/>
  <c r="BN43" i="23" s="1"/>
  <c r="BB316" i="23"/>
  <c r="BC316" i="23" s="1"/>
  <c r="BD316" i="23" s="1"/>
  <c r="AY250" i="23"/>
  <c r="BL317" i="23"/>
  <c r="BM317" i="23" s="1"/>
  <c r="BN317" i="23" s="1"/>
  <c r="AX90" i="23"/>
  <c r="AZ90" i="23" s="1"/>
  <c r="AX57" i="23"/>
  <c r="AZ57" i="23" s="1"/>
  <c r="AX258" i="23"/>
  <c r="AZ258" i="23" s="1"/>
  <c r="AX81" i="23"/>
  <c r="BA81" i="23" s="1"/>
  <c r="AX214" i="23"/>
  <c r="BA214" i="23" s="1"/>
  <c r="AY612" i="23"/>
  <c r="AZ331" i="23"/>
  <c r="BB331" i="23" s="1"/>
  <c r="BC331" i="23" s="1"/>
  <c r="BD331" i="23" s="1"/>
  <c r="AX323" i="23"/>
  <c r="AZ323" i="23" s="1"/>
  <c r="BL331" i="23"/>
  <c r="BM331" i="23" s="1"/>
  <c r="BN331" i="23" s="1"/>
  <c r="AX310" i="23"/>
  <c r="BA310" i="23" s="1"/>
  <c r="BB382" i="23"/>
  <c r="BC382" i="23" s="1"/>
  <c r="BD382" i="23" s="1"/>
  <c r="AX379" i="23"/>
  <c r="BA379" i="23" s="1"/>
  <c r="BL30" i="23"/>
  <c r="BM30" i="23" s="1"/>
  <c r="BN30" i="23" s="1"/>
  <c r="AY228" i="23"/>
  <c r="AY218" i="23"/>
  <c r="AY196" i="23"/>
  <c r="AX500" i="23"/>
  <c r="BA500" i="23" s="1"/>
  <c r="AY323" i="23"/>
  <c r="BB454" i="23"/>
  <c r="BC454" i="23" s="1"/>
  <c r="BD454" i="23" s="1"/>
  <c r="BB335" i="23"/>
  <c r="BC335" i="23" s="1"/>
  <c r="BD335" i="23" s="1"/>
  <c r="AX196" i="23"/>
  <c r="AZ196" i="23" s="1"/>
  <c r="BB11" i="23"/>
  <c r="BC11" i="23" s="1"/>
  <c r="BD11" i="23" s="1"/>
  <c r="BL542" i="23"/>
  <c r="BM542" i="23" s="1"/>
  <c r="BN542" i="23" s="1"/>
  <c r="BB428" i="23"/>
  <c r="BC428" i="23" s="1"/>
  <c r="BD428" i="23" s="1"/>
  <c r="BL580" i="23"/>
  <c r="BM580" i="23" s="1"/>
  <c r="BN580" i="23" s="1"/>
  <c r="AY346" i="23"/>
  <c r="BL427" i="23"/>
  <c r="BM427" i="23" s="1"/>
  <c r="BN427" i="23" s="1"/>
  <c r="BL433" i="23"/>
  <c r="BM433" i="23" s="1"/>
  <c r="BN433" i="23" s="1"/>
  <c r="BB159" i="23"/>
  <c r="BC159" i="23" s="1"/>
  <c r="BD159" i="23" s="1"/>
  <c r="AX559" i="23"/>
  <c r="BA559" i="23" s="1"/>
  <c r="BB219" i="23"/>
  <c r="BC219" i="23" s="1"/>
  <c r="BD219" i="23" s="1"/>
  <c r="AX251" i="23"/>
  <c r="BA251" i="23" s="1"/>
  <c r="AY482" i="23"/>
  <c r="BB177" i="23"/>
  <c r="BC177" i="23" s="1"/>
  <c r="BD177" i="23" s="1"/>
  <c r="AY16" i="23"/>
  <c r="BB568" i="23"/>
  <c r="BC568" i="23" s="1"/>
  <c r="BD568" i="23" s="1"/>
  <c r="AY358" i="23"/>
  <c r="BL558" i="23"/>
  <c r="BM558" i="23" s="1"/>
  <c r="BN558" i="23" s="1"/>
  <c r="BL394" i="23"/>
  <c r="BM394" i="23" s="1"/>
  <c r="BN394" i="23" s="1"/>
  <c r="BB330" i="23"/>
  <c r="BC330" i="23" s="1"/>
  <c r="BD330" i="23" s="1"/>
  <c r="BL177" i="23"/>
  <c r="BM177" i="23" s="1"/>
  <c r="BN177" i="23" s="1"/>
  <c r="AY19" i="23"/>
  <c r="AX100" i="23"/>
  <c r="BA100" i="23" s="1"/>
  <c r="BB551" i="23"/>
  <c r="BC551" i="23" s="1"/>
  <c r="BD551" i="23" s="1"/>
  <c r="AY8" i="23"/>
  <c r="AX366" i="23"/>
  <c r="AZ366" i="23" s="1"/>
  <c r="AY131" i="23"/>
  <c r="AX141" i="23"/>
  <c r="BA141" i="23" s="1"/>
  <c r="AY199" i="23"/>
  <c r="AY52" i="23"/>
  <c r="AY366" i="23"/>
  <c r="AX142" i="23"/>
  <c r="AZ142" i="23" s="1"/>
  <c r="AX151" i="23"/>
  <c r="BA151" i="23" s="1"/>
  <c r="BL281" i="23"/>
  <c r="BM281" i="23" s="1"/>
  <c r="BN281" i="23" s="1"/>
  <c r="AY7" i="23"/>
  <c r="AY151" i="23"/>
  <c r="AX16" i="23"/>
  <c r="AZ16" i="23" s="1"/>
  <c r="AX69" i="23"/>
  <c r="BA69" i="23" s="1"/>
  <c r="AY348" i="23"/>
  <c r="AY567" i="23"/>
  <c r="AX52" i="23"/>
  <c r="BA52" i="23" s="1"/>
  <c r="AX438" i="23"/>
  <c r="BA438" i="23" s="1"/>
  <c r="AY356" i="23"/>
  <c r="AY514" i="23"/>
  <c r="BL37" i="23"/>
  <c r="BM37" i="23" s="1"/>
  <c r="BN37" i="23" s="1"/>
  <c r="BL166" i="23"/>
  <c r="BM166" i="23" s="1"/>
  <c r="BN166" i="23" s="1"/>
  <c r="AX346" i="23"/>
  <c r="AZ346" i="23" s="1"/>
  <c r="AY328" i="23"/>
  <c r="BL175" i="23"/>
  <c r="BM175" i="23" s="1"/>
  <c r="BN175" i="23" s="1"/>
  <c r="AX434" i="23"/>
  <c r="AZ434" i="23" s="1"/>
  <c r="AX280" i="23"/>
  <c r="BA280" i="23" s="1"/>
  <c r="AY215" i="23"/>
  <c r="BL606" i="23"/>
  <c r="BM606" i="23" s="1"/>
  <c r="BN606" i="23" s="1"/>
  <c r="AY318" i="23"/>
  <c r="AY534" i="23"/>
  <c r="AX136" i="23"/>
  <c r="AZ136" i="23" s="1"/>
  <c r="AY287" i="23"/>
  <c r="AY203" i="23"/>
  <c r="AX76" i="23"/>
  <c r="AZ76" i="23" s="1"/>
  <c r="AY300" i="23"/>
  <c r="AY367" i="23"/>
  <c r="AY69" i="23"/>
  <c r="AY292" i="23"/>
  <c r="AY3" i="23"/>
  <c r="AY31" i="23"/>
  <c r="AX183" i="23"/>
  <c r="AZ183" i="23" s="1"/>
  <c r="AX367" i="23"/>
  <c r="AZ367" i="23" s="1"/>
  <c r="AX255" i="23"/>
  <c r="AZ255" i="23" s="1"/>
  <c r="AX34" i="23"/>
  <c r="AZ34" i="23" s="1"/>
  <c r="AX77" i="23"/>
  <c r="BA77" i="23" s="1"/>
  <c r="AX108" i="23"/>
  <c r="BA108" i="23" s="1"/>
  <c r="AY359" i="23"/>
  <c r="AY327" i="23"/>
  <c r="AY493" i="23"/>
  <c r="AY29" i="23"/>
  <c r="BB148" i="23"/>
  <c r="BC148" i="23" s="1"/>
  <c r="BD148" i="23" s="1"/>
  <c r="AX308" i="23"/>
  <c r="BA308" i="23" s="1"/>
  <c r="AX250" i="23"/>
  <c r="BA250" i="23" s="1"/>
  <c r="AX85" i="23"/>
  <c r="AZ85" i="23" s="1"/>
  <c r="AY258" i="23"/>
  <c r="AX472" i="23"/>
  <c r="AZ472" i="23" s="1"/>
  <c r="AY82" i="23"/>
  <c r="AY80" i="23"/>
  <c r="AX429" i="23"/>
  <c r="BA429" i="23" s="1"/>
  <c r="AX49" i="23"/>
  <c r="BA49" i="23" s="1"/>
  <c r="BB204" i="23"/>
  <c r="BC204" i="23" s="1"/>
  <c r="BD204" i="23" s="1"/>
  <c r="AX292" i="23"/>
  <c r="BA292" i="23" s="1"/>
  <c r="AX232" i="23"/>
  <c r="BA232" i="23" s="1"/>
  <c r="AY76" i="23"/>
  <c r="AX19" i="23"/>
  <c r="BA19" i="23" s="1"/>
  <c r="AX3" i="23"/>
  <c r="AZ3" i="23" s="1"/>
  <c r="BB120" i="23"/>
  <c r="BC120" i="23" s="1"/>
  <c r="BD120" i="23" s="1"/>
  <c r="AX445" i="23"/>
  <c r="AZ445" i="23" s="1"/>
  <c r="AY436" i="23"/>
  <c r="BL189" i="23"/>
  <c r="BM189" i="23" s="1"/>
  <c r="BN189" i="23" s="1"/>
  <c r="AY828" i="23"/>
  <c r="AY321" i="23"/>
  <c r="AX10" i="23"/>
  <c r="AZ10" i="23" s="1"/>
  <c r="AX203" i="23"/>
  <c r="AZ203" i="23" s="1"/>
  <c r="AY127" i="23"/>
  <c r="AX9" i="23"/>
  <c r="AZ9" i="23" s="1"/>
  <c r="AX567" i="23"/>
  <c r="AZ567" i="23" s="1"/>
  <c r="AY210" i="23"/>
  <c r="AX324" i="23"/>
  <c r="AZ324" i="23" s="1"/>
  <c r="AY98" i="23"/>
  <c r="AY153" i="23"/>
  <c r="AY14" i="23"/>
  <c r="BB427" i="23"/>
  <c r="BC427" i="23" s="1"/>
  <c r="BD427" i="23" s="1"/>
  <c r="AY232" i="23"/>
  <c r="AY308" i="23"/>
  <c r="AY25" i="23"/>
  <c r="AX328" i="23"/>
  <c r="AZ328" i="23" s="1"/>
  <c r="AX122" i="23"/>
  <c r="AZ122" i="23" s="1"/>
  <c r="BL332" i="23"/>
  <c r="BM332" i="23" s="1"/>
  <c r="BN332" i="23" s="1"/>
  <c r="AY71" i="23"/>
  <c r="AY65" i="23"/>
  <c r="AX150" i="23"/>
  <c r="BA150" i="23" s="1"/>
  <c r="BK367" i="23"/>
  <c r="BJ367" i="23"/>
  <c r="BK533" i="23"/>
  <c r="BJ533" i="23"/>
  <c r="AS552" i="23"/>
  <c r="AQ806" i="23"/>
  <c r="BJ6" i="23"/>
  <c r="BK6" i="23"/>
  <c r="AY89" i="23"/>
  <c r="AX121" i="23"/>
  <c r="AY121" i="23"/>
  <c r="AS626" i="23"/>
  <c r="AY56" i="23"/>
  <c r="AY221" i="23"/>
  <c r="AZ94" i="23"/>
  <c r="BB94" i="23" s="1"/>
  <c r="BC94" i="23" s="1"/>
  <c r="BD94" i="23" s="1"/>
  <c r="BA94" i="23"/>
  <c r="AY186" i="23"/>
  <c r="E586" i="23"/>
  <c r="AR586" i="23"/>
  <c r="AZ625" i="23"/>
  <c r="BA625" i="23"/>
  <c r="BA582" i="23"/>
  <c r="AZ582" i="23"/>
  <c r="BJ107" i="23"/>
  <c r="BK107" i="23"/>
  <c r="BK359" i="23"/>
  <c r="BJ359" i="23"/>
  <c r="BK139" i="23"/>
  <c r="BJ139" i="23"/>
  <c r="BL139" i="23" s="1"/>
  <c r="BM139" i="23" s="1"/>
  <c r="BN139" i="23" s="1"/>
  <c r="BK196" i="23"/>
  <c r="BJ196" i="23"/>
  <c r="BL196" i="23" s="1"/>
  <c r="BM196" i="23" s="1"/>
  <c r="BN196" i="23" s="1"/>
  <c r="BJ333" i="23"/>
  <c r="BK333" i="23"/>
  <c r="BK567" i="23"/>
  <c r="BJ567" i="23"/>
  <c r="BL567" i="23" s="1"/>
  <c r="BM567" i="23" s="1"/>
  <c r="BN567" i="23" s="1"/>
  <c r="BK149" i="23"/>
  <c r="BJ149" i="23"/>
  <c r="AX215" i="23"/>
  <c r="BK78" i="23"/>
  <c r="BJ78" i="23"/>
  <c r="BL78" i="23" s="1"/>
  <c r="BM78" i="23" s="1"/>
  <c r="BN78" i="23" s="1"/>
  <c r="BA468" i="23"/>
  <c r="AZ468" i="23"/>
  <c r="BB468" i="23" s="1"/>
  <c r="BC468" i="23" s="1"/>
  <c r="BD468" i="23" s="1"/>
  <c r="AY78" i="23"/>
  <c r="AY508" i="23"/>
  <c r="BK587" i="23"/>
  <c r="BJ587" i="23"/>
  <c r="BL587" i="23" s="1"/>
  <c r="BM587" i="23" s="1"/>
  <c r="BN587" i="23" s="1"/>
  <c r="BA558" i="23"/>
  <c r="AZ558" i="23"/>
  <c r="BB558" i="23" s="1"/>
  <c r="BC558" i="23" s="1"/>
  <c r="BD558" i="23" s="1"/>
  <c r="AY396" i="23"/>
  <c r="BJ429" i="23"/>
  <c r="BK429" i="23"/>
  <c r="AY609" i="23"/>
  <c r="AZ606" i="23"/>
  <c r="BA606" i="23"/>
  <c r="AX50" i="23"/>
  <c r="AX436" i="23"/>
  <c r="BA311" i="23"/>
  <c r="AZ311" i="23"/>
  <c r="BB311" i="23" s="1"/>
  <c r="BC311" i="23" s="1"/>
  <c r="BD311" i="23" s="1"/>
  <c r="AX47" i="23"/>
  <c r="BK255" i="23"/>
  <c r="BJ255" i="23"/>
  <c r="BK214" i="23"/>
  <c r="BJ214" i="23"/>
  <c r="AY248" i="23"/>
  <c r="BK424" i="23"/>
  <c r="BJ424" i="23"/>
  <c r="BL424" i="23" s="1"/>
  <c r="BM424" i="23" s="1"/>
  <c r="BN424" i="23" s="1"/>
  <c r="AX129" i="23"/>
  <c r="BK49" i="23"/>
  <c r="BJ49" i="23"/>
  <c r="BK436" i="23"/>
  <c r="BJ436" i="23"/>
  <c r="BL436" i="23" s="1"/>
  <c r="BM436" i="23" s="1"/>
  <c r="BN436" i="23" s="1"/>
  <c r="AY41" i="23"/>
  <c r="BB332" i="23"/>
  <c r="BC332" i="23" s="1"/>
  <c r="BD332" i="23" s="1"/>
  <c r="AZ603" i="23"/>
  <c r="BB603" i="23" s="1"/>
  <c r="BC603" i="23" s="1"/>
  <c r="BD603" i="23" s="1"/>
  <c r="BA603" i="23"/>
  <c r="AY86" i="23"/>
  <c r="BK346" i="23"/>
  <c r="BJ346" i="23"/>
  <c r="BA318" i="23"/>
  <c r="AZ318" i="23"/>
  <c r="BA350" i="23"/>
  <c r="AZ350" i="23"/>
  <c r="AX248" i="23"/>
  <c r="AZ166" i="23"/>
  <c r="BA166" i="23"/>
  <c r="BA117" i="23"/>
  <c r="AZ117" i="23"/>
  <c r="BB117" i="23" s="1"/>
  <c r="BC117" i="23" s="1"/>
  <c r="BD117" i="23" s="1"/>
  <c r="BA130" i="23"/>
  <c r="AZ130" i="23"/>
  <c r="AY619" i="23"/>
  <c r="AY77" i="23"/>
  <c r="AX7" i="23"/>
  <c r="AX459" i="23"/>
  <c r="BK14" i="23"/>
  <c r="BJ14" i="23"/>
  <c r="AY341" i="23"/>
  <c r="AY326" i="23"/>
  <c r="AY107" i="23"/>
  <c r="BJ82" i="23"/>
  <c r="BL82" i="23" s="1"/>
  <c r="BM82" i="23" s="1"/>
  <c r="BN82" i="23" s="1"/>
  <c r="BK82" i="23"/>
  <c r="AY445" i="23"/>
  <c r="BJ3" i="23"/>
  <c r="BK3" i="23"/>
  <c r="AY249" i="23"/>
  <c r="BK69" i="23"/>
  <c r="BJ69" i="23"/>
  <c r="BL69" i="23" s="1"/>
  <c r="BM69" i="23" s="1"/>
  <c r="BN69" i="23" s="1"/>
  <c r="BJ155" i="23"/>
  <c r="BL155" i="23" s="1"/>
  <c r="BM155" i="23" s="1"/>
  <c r="BN155" i="23" s="1"/>
  <c r="BK155" i="23"/>
  <c r="AZ548" i="23"/>
  <c r="BA548" i="23"/>
  <c r="BA333" i="23"/>
  <c r="AZ333" i="23"/>
  <c r="BJ112" i="23"/>
  <c r="BK112" i="23"/>
  <c r="BK338" i="23"/>
  <c r="BJ338" i="23"/>
  <c r="BL338" i="23" s="1"/>
  <c r="BM338" i="23" s="1"/>
  <c r="BN338" i="23" s="1"/>
  <c r="BK47" i="23"/>
  <c r="BJ47" i="23"/>
  <c r="BJ4" i="23"/>
  <c r="BK4" i="23"/>
  <c r="BK52" i="23"/>
  <c r="BJ52" i="23"/>
  <c r="BL52" i="23" s="1"/>
  <c r="BM52" i="23" s="1"/>
  <c r="BN52" i="23" s="1"/>
  <c r="BK85" i="23"/>
  <c r="BJ85" i="23"/>
  <c r="BL85" i="23" s="1"/>
  <c r="BM85" i="23" s="1"/>
  <c r="BN85" i="23" s="1"/>
  <c r="BK244" i="23"/>
  <c r="BJ244" i="23"/>
  <c r="BK514" i="23"/>
  <c r="BJ514" i="23"/>
  <c r="BK434" i="23"/>
  <c r="BJ434" i="23"/>
  <c r="BK280" i="23"/>
  <c r="BJ280" i="23"/>
  <c r="BJ34" i="23"/>
  <c r="BK34" i="23"/>
  <c r="AX241" i="23"/>
  <c r="AY179" i="23"/>
  <c r="AQ805" i="23"/>
  <c r="BK154" i="23"/>
  <c r="BJ154" i="23"/>
  <c r="BL154" i="23" s="1"/>
  <c r="BM154" i="23" s="1"/>
  <c r="BN154" i="23" s="1"/>
  <c r="BJ358" i="23"/>
  <c r="BK358" i="23"/>
  <c r="AZ172" i="23"/>
  <c r="BA172" i="23"/>
  <c r="BJ151" i="23"/>
  <c r="BK151" i="23"/>
  <c r="BJ625" i="23"/>
  <c r="BL625" i="23" s="1"/>
  <c r="BM625" i="23" s="1"/>
  <c r="BN625" i="23" s="1"/>
  <c r="BK625" i="23"/>
  <c r="BJ90" i="23"/>
  <c r="BK90" i="23"/>
  <c r="AX107" i="23"/>
  <c r="AX359" i="23"/>
  <c r="BK201" i="23"/>
  <c r="BJ201" i="23"/>
  <c r="AZ139" i="23"/>
  <c r="BA139" i="23"/>
  <c r="AY144" i="23"/>
  <c r="BB439" i="23"/>
  <c r="BC439" i="23" s="1"/>
  <c r="BD439" i="23" s="1"/>
  <c r="BJ421" i="23"/>
  <c r="BL421" i="23" s="1"/>
  <c r="BM421" i="23" s="1"/>
  <c r="BN421" i="23" s="1"/>
  <c r="BK421" i="23"/>
  <c r="AY452" i="23"/>
  <c r="BA587" i="23"/>
  <c r="AZ587" i="23"/>
  <c r="BJ396" i="23"/>
  <c r="BL396" i="23" s="1"/>
  <c r="BM396" i="23" s="1"/>
  <c r="BN396" i="23" s="1"/>
  <c r="BK396" i="23"/>
  <c r="AX287" i="23"/>
  <c r="AX341" i="23"/>
  <c r="BA112" i="23"/>
  <c r="AZ112" i="23"/>
  <c r="BB112" i="23" s="1"/>
  <c r="BC112" i="23" s="1"/>
  <c r="BD112" i="23" s="1"/>
  <c r="BA441" i="23"/>
  <c r="AZ441" i="23"/>
  <c r="BB441" i="23" s="1"/>
  <c r="BC441" i="23" s="1"/>
  <c r="BD441" i="23" s="1"/>
  <c r="BJ5" i="23"/>
  <c r="BK5" i="23"/>
  <c r="BJ100" i="23"/>
  <c r="BL100" i="23" s="1"/>
  <c r="BM100" i="23" s="1"/>
  <c r="BN100" i="23" s="1"/>
  <c r="BK100" i="23"/>
  <c r="BB401" i="23"/>
  <c r="BC401" i="23" s="1"/>
  <c r="BD401" i="23" s="1"/>
  <c r="BK122" i="23"/>
  <c r="BJ122" i="23"/>
  <c r="BL122" i="23" s="1"/>
  <c r="BM122" i="23" s="1"/>
  <c r="BN122" i="23" s="1"/>
  <c r="BK544" i="23"/>
  <c r="BJ544" i="23"/>
  <c r="BK40" i="23"/>
  <c r="BJ40" i="23"/>
  <c r="BJ339" i="23"/>
  <c r="BK339" i="23"/>
  <c r="BK250" i="23"/>
  <c r="BJ250" i="23"/>
  <c r="AZ542" i="23"/>
  <c r="BB542" i="23" s="1"/>
  <c r="BC542" i="23" s="1"/>
  <c r="BD542" i="23" s="1"/>
  <c r="BA542" i="23"/>
  <c r="AY241" i="23"/>
  <c r="BK76" i="23"/>
  <c r="BJ76" i="23"/>
  <c r="BL76" i="23" s="1"/>
  <c r="BM76" i="23" s="1"/>
  <c r="BN76" i="23" s="1"/>
  <c r="BJ179" i="23"/>
  <c r="BK179" i="23"/>
  <c r="BJ213" i="23"/>
  <c r="BK213" i="23"/>
  <c r="AX297" i="23"/>
  <c r="AY587" i="23"/>
  <c r="AY79" i="23"/>
  <c r="AY85" i="23"/>
  <c r="BJ303" i="23"/>
  <c r="BK303" i="23"/>
  <c r="BB84" i="23"/>
  <c r="BC84" i="23" s="1"/>
  <c r="BD84" i="23" s="1"/>
  <c r="AY608" i="23"/>
  <c r="BJ286" i="23"/>
  <c r="BK286" i="23"/>
  <c r="AZ15" i="23"/>
  <c r="BA15" i="23"/>
  <c r="BA43" i="23"/>
  <c r="AZ43" i="23"/>
  <c r="AY63" i="23"/>
  <c r="BK105" i="23"/>
  <c r="BJ105" i="23"/>
  <c r="BL603" i="23"/>
  <c r="BM603" i="23" s="1"/>
  <c r="BN603" i="23" s="1"/>
  <c r="AY533" i="23"/>
  <c r="AY40" i="23"/>
  <c r="BK65" i="23"/>
  <c r="BJ65" i="23"/>
  <c r="AZ432" i="23"/>
  <c r="BA432" i="23"/>
  <c r="BA394" i="23"/>
  <c r="AZ394" i="23"/>
  <c r="BB394" i="23" s="1"/>
  <c r="BC394" i="23" s="1"/>
  <c r="BD394" i="23" s="1"/>
  <c r="AX152" i="23"/>
  <c r="AU552" i="23"/>
  <c r="F552" i="23"/>
  <c r="BK829" i="23"/>
  <c r="BJ829" i="23"/>
  <c r="BK7" i="23"/>
  <c r="BJ7" i="23"/>
  <c r="BK337" i="23"/>
  <c r="BJ337" i="23"/>
  <c r="BL337" i="23" s="1"/>
  <c r="BM337" i="23" s="1"/>
  <c r="BN337" i="23" s="1"/>
  <c r="BK327" i="23"/>
  <c r="BJ327" i="23"/>
  <c r="BL327" i="23" s="1"/>
  <c r="BM327" i="23" s="1"/>
  <c r="BN327" i="23" s="1"/>
  <c r="BB314" i="23"/>
  <c r="BC314" i="23" s="1"/>
  <c r="BD314" i="23" s="1"/>
  <c r="AY110" i="23"/>
  <c r="AX201" i="23"/>
  <c r="AZ421" i="23"/>
  <c r="BA421" i="23"/>
  <c r="AX396" i="23"/>
  <c r="BJ232" i="23"/>
  <c r="BK232" i="23"/>
  <c r="BJ181" i="23"/>
  <c r="BK181" i="23"/>
  <c r="AY329" i="23"/>
  <c r="BJ153" i="23"/>
  <c r="BK153" i="23"/>
  <c r="BK200" i="23"/>
  <c r="BJ200" i="23"/>
  <c r="AX609" i="23"/>
  <c r="AX40" i="23"/>
  <c r="AZ339" i="23"/>
  <c r="BA339" i="23"/>
  <c r="BK321" i="23"/>
  <c r="BJ321" i="23"/>
  <c r="BK97" i="23"/>
  <c r="BJ97" i="23"/>
  <c r="BJ131" i="23"/>
  <c r="BL131" i="23" s="1"/>
  <c r="BM131" i="23" s="1"/>
  <c r="BN131" i="23" s="1"/>
  <c r="BK131" i="23"/>
  <c r="BJ297" i="23"/>
  <c r="BL297" i="23" s="1"/>
  <c r="BM297" i="23" s="1"/>
  <c r="BN297" i="23" s="1"/>
  <c r="BK297" i="23"/>
  <c r="AX80" i="23"/>
  <c r="AY424" i="23"/>
  <c r="BA512" i="23"/>
  <c r="AZ512" i="23"/>
  <c r="E515" i="23"/>
  <c r="AR515" i="23"/>
  <c r="E626" i="23"/>
  <c r="AR626" i="23"/>
  <c r="BB409" i="23"/>
  <c r="BC409" i="23" s="1"/>
  <c r="BD409" i="23" s="1"/>
  <c r="BK318" i="23"/>
  <c r="BJ318" i="23"/>
  <c r="AY306" i="23"/>
  <c r="AX286" i="23"/>
  <c r="AX619" i="23"/>
  <c r="BJ111" i="23"/>
  <c r="BK111" i="23"/>
  <c r="BJ559" i="23"/>
  <c r="BK559" i="23"/>
  <c r="AY559" i="23"/>
  <c r="BJ828" i="23"/>
  <c r="BK828" i="23"/>
  <c r="AY59" i="23"/>
  <c r="AY154" i="23"/>
  <c r="AY408" i="23"/>
  <c r="AY829" i="23"/>
  <c r="AX451" i="23"/>
  <c r="AX82" i="23"/>
  <c r="AY333" i="23"/>
  <c r="BJ203" i="23"/>
  <c r="BK203" i="23"/>
  <c r="BJ356" i="23"/>
  <c r="BK356" i="23"/>
  <c r="BJ31" i="23"/>
  <c r="BK31" i="23"/>
  <c r="AY21" i="23"/>
  <c r="BJ121" i="23"/>
  <c r="BL121" i="23" s="1"/>
  <c r="BM121" i="23" s="1"/>
  <c r="BN121" i="23" s="1"/>
  <c r="BK121" i="23"/>
  <c r="BJ142" i="23"/>
  <c r="BL142" i="23" s="1"/>
  <c r="BM142" i="23" s="1"/>
  <c r="BN142" i="23" s="1"/>
  <c r="BK142" i="23"/>
  <c r="BK241" i="23"/>
  <c r="BJ241" i="23"/>
  <c r="BK612" i="23"/>
  <c r="BJ612" i="23"/>
  <c r="AR246" i="23"/>
  <c r="E246" i="23"/>
  <c r="BK9" i="23"/>
  <c r="BJ9" i="23"/>
  <c r="AU622" i="23"/>
  <c r="F622" i="23"/>
  <c r="BJ89" i="23"/>
  <c r="BL89" i="23" s="1"/>
  <c r="BM89" i="23" s="1"/>
  <c r="BN89" i="23" s="1"/>
  <c r="BK89" i="23"/>
  <c r="BK215" i="23"/>
  <c r="BJ215" i="23"/>
  <c r="BK582" i="23"/>
  <c r="BJ582" i="23"/>
  <c r="BL582" i="23" s="1"/>
  <c r="BM582" i="23" s="1"/>
  <c r="BN582" i="23" s="1"/>
  <c r="BK508" i="23"/>
  <c r="BJ508" i="23"/>
  <c r="BL508" i="23" s="1"/>
  <c r="BM508" i="23" s="1"/>
  <c r="BN508" i="23" s="1"/>
  <c r="BJ123" i="23"/>
  <c r="BL123" i="23" s="1"/>
  <c r="BM123" i="23" s="1"/>
  <c r="BN123" i="23" s="1"/>
  <c r="BK123" i="23"/>
  <c r="AS488" i="23"/>
  <c r="AU626" i="23"/>
  <c r="F626" i="23"/>
  <c r="BK136" i="23"/>
  <c r="BJ136" i="23"/>
  <c r="AX452" i="23"/>
  <c r="BK500" i="23"/>
  <c r="BJ500" i="23"/>
  <c r="AY429" i="23"/>
  <c r="BJ74" i="23"/>
  <c r="BL74" i="23" s="1"/>
  <c r="BM74" i="23" s="1"/>
  <c r="BN74" i="23" s="1"/>
  <c r="BK74" i="23"/>
  <c r="BL428" i="23"/>
  <c r="BM428" i="23" s="1"/>
  <c r="BN428" i="23" s="1"/>
  <c r="AY183" i="23"/>
  <c r="BA534" i="23"/>
  <c r="AZ534" i="23"/>
  <c r="BK472" i="23"/>
  <c r="BJ472" i="23"/>
  <c r="BL472" i="23" s="1"/>
  <c r="BM472" i="23" s="1"/>
  <c r="BN472" i="23" s="1"/>
  <c r="BK140" i="23"/>
  <c r="BJ140" i="23"/>
  <c r="BL140" i="23" s="1"/>
  <c r="BM140" i="23" s="1"/>
  <c r="BN140" i="23" s="1"/>
  <c r="BA317" i="23"/>
  <c r="AZ317" i="23"/>
  <c r="BK608" i="23"/>
  <c r="BJ608" i="23"/>
  <c r="BL608" i="23" s="1"/>
  <c r="BM608" i="23" s="1"/>
  <c r="BN608" i="23" s="1"/>
  <c r="AY47" i="23"/>
  <c r="AZ580" i="23"/>
  <c r="BA580" i="23"/>
  <c r="AX358" i="23"/>
  <c r="BJ366" i="23"/>
  <c r="BK366" i="23"/>
  <c r="BJ57" i="23"/>
  <c r="BL57" i="23" s="1"/>
  <c r="BM57" i="23" s="1"/>
  <c r="BN57" i="23" s="1"/>
  <c r="BK57" i="23"/>
  <c r="AY201" i="23"/>
  <c r="BK98" i="23"/>
  <c r="BJ98" i="23"/>
  <c r="BA37" i="23"/>
  <c r="AZ37" i="23"/>
  <c r="BJ609" i="23"/>
  <c r="BL609" i="23" s="1"/>
  <c r="BM609" i="23" s="1"/>
  <c r="BN609" i="23" s="1"/>
  <c r="BK609" i="23"/>
  <c r="BJ233" i="23"/>
  <c r="BK233" i="23"/>
  <c r="BA73" i="23"/>
  <c r="AZ73" i="23"/>
  <c r="AY438" i="23"/>
  <c r="AU586" i="23"/>
  <c r="F586" i="23"/>
  <c r="AU246" i="23"/>
  <c r="F246" i="23"/>
  <c r="E806" i="23"/>
  <c r="BK141" i="23"/>
  <c r="BJ141" i="23"/>
  <c r="BL141" i="23" s="1"/>
  <c r="BM141" i="23" s="1"/>
  <c r="BN141" i="23" s="1"/>
  <c r="AS585" i="23"/>
  <c r="AX5" i="23"/>
  <c r="AX153" i="23"/>
  <c r="AX200" i="23"/>
  <c r="AX41" i="23"/>
  <c r="BA524" i="23"/>
  <c r="AZ524" i="23"/>
  <c r="BB524" i="23" s="1"/>
  <c r="BC524" i="23" s="1"/>
  <c r="BD524" i="23" s="1"/>
  <c r="BA345" i="23"/>
  <c r="AZ345" i="23"/>
  <c r="BB345" i="23" s="1"/>
  <c r="BC345" i="23" s="1"/>
  <c r="BD345" i="23" s="1"/>
  <c r="BB147" i="23"/>
  <c r="BC147" i="23" s="1"/>
  <c r="BD147" i="23" s="1"/>
  <c r="AY73" i="23"/>
  <c r="BA97" i="23"/>
  <c r="AZ97" i="23"/>
  <c r="BA463" i="23"/>
  <c r="AZ463" i="23"/>
  <c r="BB463" i="23" s="1"/>
  <c r="BC463" i="23" s="1"/>
  <c r="BD463" i="23" s="1"/>
  <c r="AX131" i="23"/>
  <c r="BK323" i="23"/>
  <c r="BJ323" i="23"/>
  <c r="BK379" i="23"/>
  <c r="BJ379" i="23"/>
  <c r="AX179" i="23"/>
  <c r="BJ80" i="23"/>
  <c r="BL80" i="23" s="1"/>
  <c r="BM80" i="23" s="1"/>
  <c r="BN80" i="23" s="1"/>
  <c r="BK80" i="23"/>
  <c r="BB826" i="23"/>
  <c r="BC826" i="23" s="1"/>
  <c r="BD826" i="23" s="1"/>
  <c r="AY303" i="23"/>
  <c r="AY92" i="23"/>
  <c r="AX303" i="23"/>
  <c r="BJ28" i="23"/>
  <c r="BK28" i="23"/>
  <c r="AY57" i="23"/>
  <c r="BJ326" i="23"/>
  <c r="BK326" i="23"/>
  <c r="AY129" i="23"/>
  <c r="BA105" i="23"/>
  <c r="AZ105" i="23"/>
  <c r="AY9" i="23"/>
  <c r="BK619" i="23"/>
  <c r="BJ619" i="23"/>
  <c r="BL619" i="23" s="1"/>
  <c r="BM619" i="23" s="1"/>
  <c r="BN619" i="23" s="1"/>
  <c r="AX111" i="23"/>
  <c r="AY324" i="23"/>
  <c r="BB189" i="23"/>
  <c r="BC189" i="23" s="1"/>
  <c r="BD189" i="23" s="1"/>
  <c r="AX65" i="23"/>
  <c r="BJ110" i="23"/>
  <c r="BL110" i="23" s="1"/>
  <c r="BM110" i="23" s="1"/>
  <c r="BN110" i="23" s="1"/>
  <c r="BK110" i="23"/>
  <c r="AY307" i="23"/>
  <c r="AZ535" i="23"/>
  <c r="BA535" i="23"/>
  <c r="BJ451" i="23"/>
  <c r="BL451" i="23" s="1"/>
  <c r="BM451" i="23" s="1"/>
  <c r="BN451" i="23" s="1"/>
  <c r="BK451" i="23"/>
  <c r="AY28" i="23"/>
  <c r="BJ340" i="23"/>
  <c r="BL340" i="23" s="1"/>
  <c r="BM340" i="23" s="1"/>
  <c r="BN340" i="23" s="1"/>
  <c r="BK340" i="23"/>
  <c r="BL516" i="23"/>
  <c r="BM516" i="23" s="1"/>
  <c r="BN516" i="23" s="1"/>
  <c r="AZ460" i="23"/>
  <c r="BB460" i="23" s="1"/>
  <c r="BC460" i="23" s="1"/>
  <c r="BD460" i="23" s="1"/>
  <c r="BA460" i="23"/>
  <c r="BK292" i="23"/>
  <c r="BJ292" i="23"/>
  <c r="BJ228" i="23"/>
  <c r="BK228" i="23"/>
  <c r="AY563" i="23"/>
  <c r="BA446" i="23"/>
  <c r="AZ446" i="23"/>
  <c r="BJ398" i="23"/>
  <c r="BL398" i="23" s="1"/>
  <c r="BM398" i="23" s="1"/>
  <c r="BN398" i="23" s="1"/>
  <c r="BK398" i="23"/>
  <c r="BK171" i="23"/>
  <c r="BJ171" i="23"/>
  <c r="BL171" i="23" s="1"/>
  <c r="BM171" i="23" s="1"/>
  <c r="BN171" i="23" s="1"/>
  <c r="BJ210" i="23"/>
  <c r="BK210" i="23"/>
  <c r="BA89" i="23"/>
  <c r="AZ89" i="23"/>
  <c r="BA508" i="23"/>
  <c r="AZ508" i="23"/>
  <c r="AY421" i="23"/>
  <c r="BJ493" i="23"/>
  <c r="BL493" i="23" s="1"/>
  <c r="BM493" i="23" s="1"/>
  <c r="BN493" i="23" s="1"/>
  <c r="BK493" i="23"/>
  <c r="BK291" i="23"/>
  <c r="BJ291" i="23"/>
  <c r="BJ41" i="23"/>
  <c r="BK41" i="23"/>
  <c r="AY434" i="23"/>
  <c r="BJ63" i="23"/>
  <c r="BK63" i="23"/>
  <c r="BJ258" i="23"/>
  <c r="BL258" i="23" s="1"/>
  <c r="BM258" i="23" s="1"/>
  <c r="BN258" i="23" s="1"/>
  <c r="BK258" i="23"/>
  <c r="BB190" i="23"/>
  <c r="BC190" i="23" s="1"/>
  <c r="BD190" i="23" s="1"/>
  <c r="BK199" i="23"/>
  <c r="BJ199" i="23"/>
  <c r="BJ282" i="23"/>
  <c r="BL282" i="23" s="1"/>
  <c r="BM282" i="23" s="1"/>
  <c r="BN282" i="23" s="1"/>
  <c r="BK282" i="23"/>
  <c r="BK221" i="23"/>
  <c r="BJ221" i="23"/>
  <c r="BK93" i="23"/>
  <c r="BJ93" i="23"/>
  <c r="BL93" i="23" s="1"/>
  <c r="BM93" i="23" s="1"/>
  <c r="BN93" i="23" s="1"/>
  <c r="AX326" i="23"/>
  <c r="AX71" i="23"/>
  <c r="BA281" i="23"/>
  <c r="AZ281" i="23"/>
  <c r="BK208" i="23"/>
  <c r="BJ208" i="23"/>
  <c r="AY152" i="23"/>
  <c r="AY140" i="23"/>
  <c r="AY451" i="23"/>
  <c r="BJ450" i="23"/>
  <c r="BL450" i="23" s="1"/>
  <c r="BM450" i="23" s="1"/>
  <c r="BN450" i="23" s="1"/>
  <c r="BK450" i="23"/>
  <c r="AX53" i="23"/>
  <c r="BJ25" i="23"/>
  <c r="BL25" i="23" s="1"/>
  <c r="BM25" i="23" s="1"/>
  <c r="BN25" i="23" s="1"/>
  <c r="BK25" i="23"/>
  <c r="BA124" i="23"/>
  <c r="AZ124" i="23"/>
  <c r="BB124" i="23" s="1"/>
  <c r="BC124" i="23" s="1"/>
  <c r="BD124" i="23" s="1"/>
  <c r="AZ296" i="23"/>
  <c r="BB296" i="23" s="1"/>
  <c r="BC296" i="23" s="1"/>
  <c r="BD296" i="23" s="1"/>
  <c r="BA296" i="23"/>
  <c r="BK86" i="23"/>
  <c r="BJ86" i="23"/>
  <c r="BL86" i="23" s="1"/>
  <c r="BM86" i="23" s="1"/>
  <c r="BN86" i="23" s="1"/>
  <c r="AX110" i="23"/>
  <c r="BK535" i="23"/>
  <c r="BJ535" i="23"/>
  <c r="BL535" i="23" s="1"/>
  <c r="BM535" i="23" s="1"/>
  <c r="BN535" i="23" s="1"/>
  <c r="AX340" i="23"/>
  <c r="AY136" i="23"/>
  <c r="F806" i="23"/>
  <c r="BB516" i="23"/>
  <c r="BC516" i="23" s="1"/>
  <c r="BD516" i="23" s="1"/>
  <c r="BK108" i="23"/>
  <c r="BJ108" i="23"/>
  <c r="BL108" i="23" s="1"/>
  <c r="BM108" i="23" s="1"/>
  <c r="BN108" i="23" s="1"/>
  <c r="BJ81" i="23"/>
  <c r="BL81" i="23" s="1"/>
  <c r="BM81" i="23" s="1"/>
  <c r="BN81" i="23" s="1"/>
  <c r="BK81" i="23"/>
  <c r="BK465" i="23"/>
  <c r="BJ465" i="23"/>
  <c r="BL465" i="23" s="1"/>
  <c r="BM465" i="23" s="1"/>
  <c r="BN465" i="23" s="1"/>
  <c r="BK449" i="23"/>
  <c r="BJ449" i="23"/>
  <c r="BL449" i="23" s="1"/>
  <c r="BM449" i="23" s="1"/>
  <c r="BN449" i="23" s="1"/>
  <c r="BA98" i="23"/>
  <c r="AZ98" i="23"/>
  <c r="AU585" i="23"/>
  <c r="F585" i="23"/>
  <c r="AZ160" i="23"/>
  <c r="BA160" i="23"/>
  <c r="BJ197" i="23"/>
  <c r="BL197" i="23" s="1"/>
  <c r="BM197" i="23" s="1"/>
  <c r="BN197" i="23" s="1"/>
  <c r="BK197" i="23"/>
  <c r="BA523" i="23"/>
  <c r="AZ523" i="23"/>
  <c r="BB523" i="23" s="1"/>
  <c r="BC523" i="23" s="1"/>
  <c r="BD523" i="23" s="1"/>
  <c r="BK127" i="23"/>
  <c r="BJ127" i="23"/>
  <c r="BJ324" i="23"/>
  <c r="BK324" i="23"/>
  <c r="BJ10" i="23"/>
  <c r="BK10" i="23"/>
  <c r="AX398" i="23"/>
  <c r="AX171" i="23"/>
  <c r="BA210" i="23"/>
  <c r="AZ210" i="23"/>
  <c r="AX608" i="23"/>
  <c r="AX592" i="23"/>
  <c r="BA83" i="23"/>
  <c r="AZ83" i="23"/>
  <c r="E805" i="23"/>
  <c r="AU488" i="23"/>
  <c r="F488" i="23"/>
  <c r="BJ308" i="23"/>
  <c r="BL308" i="23" s="1"/>
  <c r="BM308" i="23" s="1"/>
  <c r="BN308" i="23" s="1"/>
  <c r="BK308" i="23"/>
  <c r="AX56" i="23"/>
  <c r="AX300" i="23"/>
  <c r="AY122" i="23"/>
  <c r="BJ73" i="23"/>
  <c r="BL73" i="23" s="1"/>
  <c r="BM73" i="23" s="1"/>
  <c r="BN73" i="23" s="1"/>
  <c r="BK73" i="23"/>
  <c r="AS586" i="23"/>
  <c r="BK438" i="23"/>
  <c r="BJ438" i="23"/>
  <c r="BL438" i="23" s="1"/>
  <c r="BM438" i="23" s="1"/>
  <c r="BN438" i="23" s="1"/>
  <c r="AX327" i="23"/>
  <c r="AY340" i="23"/>
  <c r="BJ186" i="23"/>
  <c r="BL186" i="23" s="1"/>
  <c r="BM186" i="23" s="1"/>
  <c r="BN186" i="23" s="1"/>
  <c r="BK186" i="23"/>
  <c r="AX329" i="23"/>
  <c r="AX291" i="23"/>
  <c r="AY291" i="23"/>
  <c r="BK511" i="23"/>
  <c r="BJ511" i="23"/>
  <c r="BL511" i="23" s="1"/>
  <c r="BM511" i="23" s="1"/>
  <c r="BN511" i="23" s="1"/>
  <c r="BK16" i="23"/>
  <c r="BJ16" i="23"/>
  <c r="AX514" i="23"/>
  <c r="AX79" i="23"/>
  <c r="BK355" i="23"/>
  <c r="BJ355" i="23"/>
  <c r="AY34" i="23"/>
  <c r="BJ328" i="23"/>
  <c r="BL328" i="23" s="1"/>
  <c r="BM328" i="23" s="1"/>
  <c r="BN328" i="23" s="1"/>
  <c r="BK328" i="23"/>
  <c r="BB12" i="23"/>
  <c r="BC12" i="23" s="1"/>
  <c r="BD12" i="23" s="1"/>
  <c r="AX199" i="23"/>
  <c r="AY10" i="23"/>
  <c r="AX59" i="23"/>
  <c r="AY554" i="23"/>
  <c r="AX221" i="23"/>
  <c r="AZ408" i="23"/>
  <c r="BA408" i="23"/>
  <c r="AX218" i="23"/>
  <c r="E552" i="23"/>
  <c r="AR552" i="23"/>
  <c r="AY286" i="23"/>
  <c r="AZ315" i="23"/>
  <c r="BA315" i="23"/>
  <c r="AY255" i="23"/>
  <c r="BJ295" i="23"/>
  <c r="BK295" i="23"/>
  <c r="AY398" i="23"/>
  <c r="AY53" i="23"/>
  <c r="BK217" i="23"/>
  <c r="BJ217" i="23"/>
  <c r="AX208" i="23"/>
  <c r="BA145" i="23"/>
  <c r="AZ145" i="23"/>
  <c r="BB145" i="23" s="1"/>
  <c r="BC145" i="23" s="1"/>
  <c r="BD145" i="23" s="1"/>
  <c r="BJ249" i="23"/>
  <c r="BK249" i="23"/>
  <c r="AY180" i="23"/>
  <c r="BJ180" i="23"/>
  <c r="BK180" i="23"/>
  <c r="AY5" i="23"/>
  <c r="AY100" i="23"/>
  <c r="AY472" i="23"/>
  <c r="BB344" i="23"/>
  <c r="BC344" i="23" s="1"/>
  <c r="BD344" i="23" s="1"/>
  <c r="BK348" i="23"/>
  <c r="BJ348" i="23"/>
  <c r="BA104" i="23"/>
  <c r="AZ104" i="23"/>
  <c r="AY90" i="23"/>
  <c r="AY592" i="23"/>
  <c r="AY141" i="23"/>
  <c r="BL512" i="23"/>
  <c r="BM512" i="23" s="1"/>
  <c r="BN512" i="23" s="1"/>
  <c r="BJ482" i="23"/>
  <c r="BL482" i="23" s="1"/>
  <c r="BM482" i="23" s="1"/>
  <c r="BN482" i="23" s="1"/>
  <c r="BK482" i="23"/>
  <c r="BK150" i="23"/>
  <c r="BJ150" i="23"/>
  <c r="AY93" i="23"/>
  <c r="AY310" i="23"/>
  <c r="BA175" i="23"/>
  <c r="AZ175" i="23"/>
  <c r="BB175" i="23" s="1"/>
  <c r="BC175" i="23" s="1"/>
  <c r="BD175" i="23" s="1"/>
  <c r="AU515" i="23"/>
  <c r="F515" i="23"/>
  <c r="AS622" i="23"/>
  <c r="BK92" i="23"/>
  <c r="BJ92" i="23"/>
  <c r="BL92" i="23" s="1"/>
  <c r="BM92" i="23" s="1"/>
  <c r="BN92" i="23" s="1"/>
  <c r="BK183" i="23"/>
  <c r="BJ183" i="23"/>
  <c r="BL183" i="23" s="1"/>
  <c r="BM183" i="23" s="1"/>
  <c r="BN183" i="23" s="1"/>
  <c r="AY123" i="23"/>
  <c r="AX123" i="23"/>
  <c r="BK310" i="23"/>
  <c r="BJ310" i="23"/>
  <c r="BL310" i="23" s="1"/>
  <c r="BM310" i="23" s="1"/>
  <c r="BN310" i="23" s="1"/>
  <c r="BK300" i="23"/>
  <c r="BJ300" i="23"/>
  <c r="BK590" i="23"/>
  <c r="BJ590" i="23"/>
  <c r="BJ534" i="23"/>
  <c r="BL534" i="23" s="1"/>
  <c r="BM534" i="23" s="1"/>
  <c r="BN534" i="23" s="1"/>
  <c r="BK534" i="23"/>
  <c r="BJ71" i="23"/>
  <c r="BL71" i="23" s="1"/>
  <c r="BM71" i="23" s="1"/>
  <c r="BN71" i="23" s="1"/>
  <c r="BK71" i="23"/>
  <c r="BJ554" i="23"/>
  <c r="BK554" i="23"/>
  <c r="AX155" i="23"/>
  <c r="BJ592" i="23"/>
  <c r="BK592" i="23"/>
  <c r="AX31" i="23"/>
  <c r="AX217" i="23"/>
  <c r="BJ445" i="23"/>
  <c r="BK445" i="23"/>
  <c r="BJ287" i="23"/>
  <c r="BK287" i="23"/>
  <c r="BK218" i="23"/>
  <c r="BJ218" i="23"/>
  <c r="BK56" i="23"/>
  <c r="BJ56" i="23"/>
  <c r="BL56" i="23" s="1"/>
  <c r="BM56" i="23" s="1"/>
  <c r="BN56" i="23" s="1"/>
  <c r="AS515" i="23"/>
  <c r="E488" i="23"/>
  <c r="AR488" i="23"/>
  <c r="BK452" i="23"/>
  <c r="BJ452" i="23"/>
  <c r="BL452" i="23" s="1"/>
  <c r="BM452" i="23" s="1"/>
  <c r="BN452" i="23" s="1"/>
  <c r="AY625" i="23"/>
  <c r="AX493" i="23"/>
  <c r="BJ329" i="23"/>
  <c r="BL329" i="23" s="1"/>
  <c r="BM329" i="23" s="1"/>
  <c r="BN329" i="23" s="1"/>
  <c r="BK329" i="23"/>
  <c r="AR622" i="23"/>
  <c r="E622" i="23"/>
  <c r="AX511" i="23"/>
  <c r="AY511" i="23"/>
  <c r="AY582" i="23"/>
  <c r="BK79" i="23"/>
  <c r="BJ79" i="23"/>
  <c r="BL79" i="23" s="1"/>
  <c r="BM79" i="23" s="1"/>
  <c r="BN79" i="23" s="1"/>
  <c r="AX337" i="23"/>
  <c r="AX355" i="23"/>
  <c r="BJ54" i="23"/>
  <c r="BL54" i="23" s="1"/>
  <c r="BM54" i="23" s="1"/>
  <c r="BN54" i="23" s="1"/>
  <c r="BK54" i="23"/>
  <c r="AX63" i="23"/>
  <c r="BJ487" i="23"/>
  <c r="BL487" i="23" s="1"/>
  <c r="BM487" i="23" s="1"/>
  <c r="BN487" i="23" s="1"/>
  <c r="BK487" i="23"/>
  <c r="BK19" i="23"/>
  <c r="BJ19" i="23"/>
  <c r="BL19" i="23" s="1"/>
  <c r="BM19" i="23" s="1"/>
  <c r="BN19" i="23" s="1"/>
  <c r="AX249" i="23"/>
  <c r="AX465" i="23"/>
  <c r="AX424" i="23"/>
  <c r="BK129" i="23"/>
  <c r="BJ129" i="23"/>
  <c r="BL129" i="23" s="1"/>
  <c r="BM129" i="23" s="1"/>
  <c r="BN129" i="23" s="1"/>
  <c r="AY142" i="23"/>
  <c r="AX29" i="23"/>
  <c r="BK50" i="23"/>
  <c r="BJ50" i="23"/>
  <c r="BJ59" i="23"/>
  <c r="BL59" i="23" s="1"/>
  <c r="BM59" i="23" s="1"/>
  <c r="BN59" i="23" s="1"/>
  <c r="BK59" i="23"/>
  <c r="BA509" i="23"/>
  <c r="AZ509" i="23"/>
  <c r="BB509" i="23" s="1"/>
  <c r="BC509" i="23" s="1"/>
  <c r="BD509" i="23" s="1"/>
  <c r="BK77" i="23"/>
  <c r="BJ77" i="23"/>
  <c r="BL77" i="23" s="1"/>
  <c r="BM77" i="23" s="1"/>
  <c r="BN77" i="23" s="1"/>
  <c r="AY108" i="23"/>
  <c r="AX93" i="23"/>
  <c r="BJ21" i="23"/>
  <c r="BL21" i="23" s="1"/>
  <c r="BM21" i="23" s="1"/>
  <c r="BN21" i="23" s="1"/>
  <c r="BK21" i="23"/>
  <c r="AX8" i="23"/>
  <c r="BA295" i="23"/>
  <c r="AZ295" i="23"/>
  <c r="BK307" i="23"/>
  <c r="BJ307" i="23"/>
  <c r="BL307" i="23" s="1"/>
  <c r="BM307" i="23" s="1"/>
  <c r="BN307" i="23" s="1"/>
  <c r="BJ306" i="23"/>
  <c r="BK306" i="23"/>
  <c r="AY217" i="23"/>
  <c r="BK251" i="23"/>
  <c r="BJ251" i="23"/>
  <c r="BJ53" i="23"/>
  <c r="BL53" i="23" s="1"/>
  <c r="BM53" i="23" s="1"/>
  <c r="BN53" i="23" s="1"/>
  <c r="BK53" i="23"/>
  <c r="AX25" i="23"/>
  <c r="AY155" i="23"/>
  <c r="BB158" i="23"/>
  <c r="BC158" i="23" s="1"/>
  <c r="BD158" i="23" s="1"/>
  <c r="AX348" i="23"/>
  <c r="BJ413" i="23"/>
  <c r="BK413" i="23"/>
  <c r="AY171" i="23"/>
  <c r="BK341" i="23"/>
  <c r="BJ341" i="23"/>
  <c r="BL341" i="23" s="1"/>
  <c r="BM341" i="23" s="1"/>
  <c r="BN341" i="23" s="1"/>
  <c r="AX482" i="23"/>
  <c r="BK563" i="23"/>
  <c r="BJ563" i="23"/>
  <c r="BL563" i="23" s="1"/>
  <c r="BM563" i="23" s="1"/>
  <c r="BN563" i="23" s="1"/>
  <c r="AZ156" i="23"/>
  <c r="BA156" i="23"/>
  <c r="AS246" i="23"/>
  <c r="F805" i="23"/>
  <c r="BA487" i="23"/>
  <c r="AZ487" i="23"/>
  <c r="BB487" i="23" s="1"/>
  <c r="BC487" i="23" s="1"/>
  <c r="BD487" i="23" s="1"/>
  <c r="BJ29" i="23"/>
  <c r="BL29" i="23" s="1"/>
  <c r="BM29" i="23" s="1"/>
  <c r="BN29" i="23" s="1"/>
  <c r="BK29" i="23"/>
  <c r="BK408" i="23"/>
  <c r="BJ408" i="23"/>
  <c r="AZ18" i="23"/>
  <c r="BB18" i="23" s="1"/>
  <c r="BC18" i="23" s="1"/>
  <c r="BD18" i="23" s="1"/>
  <c r="BA18" i="23"/>
  <c r="AR585" i="23"/>
  <c r="E585" i="23"/>
  <c r="AY251" i="23"/>
  <c r="AY355" i="23"/>
  <c r="AX21" i="23"/>
  <c r="BK8" i="23"/>
  <c r="BJ8" i="23"/>
  <c r="AZ307" i="23"/>
  <c r="BA307" i="23"/>
  <c r="AX306" i="23"/>
  <c r="BA170" i="23"/>
  <c r="AZ170" i="23"/>
  <c r="BB170" i="23" s="1"/>
  <c r="BC170" i="23" s="1"/>
  <c r="BD170" i="23" s="1"/>
  <c r="BB224" i="23"/>
  <c r="BC224" i="23" s="1"/>
  <c r="BD224" i="23" s="1"/>
  <c r="BJ144" i="23"/>
  <c r="BK144" i="23"/>
  <c r="BJ248" i="23"/>
  <c r="BL248" i="23" s="1"/>
  <c r="BM248" i="23" s="1"/>
  <c r="BN248" i="23" s="1"/>
  <c r="BK248" i="23"/>
  <c r="AZ180" i="23"/>
  <c r="BA180" i="23"/>
  <c r="BJ459" i="23"/>
  <c r="BL459" i="23" s="1"/>
  <c r="BM459" i="23" s="1"/>
  <c r="BN459" i="23" s="1"/>
  <c r="BK459" i="23"/>
  <c r="AZ14" i="23"/>
  <c r="BA14" i="23"/>
  <c r="BK152" i="23"/>
  <c r="BJ152" i="23"/>
  <c r="BA92" i="23" l="1"/>
  <c r="BL249" i="23"/>
  <c r="BM249" i="23" s="1"/>
  <c r="BN249" i="23" s="1"/>
  <c r="BA449" i="23"/>
  <c r="BA78" i="23"/>
  <c r="BA282" i="23"/>
  <c r="AZ590" i="23"/>
  <c r="BB590" i="23" s="1"/>
  <c r="BC590" i="23" s="1"/>
  <c r="BD590" i="23" s="1"/>
  <c r="AZ250" i="23"/>
  <c r="BB250" i="23" s="1"/>
  <c r="BC250" i="23" s="1"/>
  <c r="BD250" i="23" s="1"/>
  <c r="BA127" i="23"/>
  <c r="BB127" i="23" s="1"/>
  <c r="BC127" i="23" s="1"/>
  <c r="BD127" i="23" s="1"/>
  <c r="BA321" i="23"/>
  <c r="BB321" i="23" s="1"/>
  <c r="BC321" i="23" s="1"/>
  <c r="BD321" i="23" s="1"/>
  <c r="BA338" i="23"/>
  <c r="AZ6" i="23"/>
  <c r="BB6" i="23" s="1"/>
  <c r="BC6" i="23" s="1"/>
  <c r="BD6" i="23" s="1"/>
  <c r="BL286" i="23"/>
  <c r="BM286" i="23" s="1"/>
  <c r="BN286" i="23" s="1"/>
  <c r="BL107" i="23"/>
  <c r="BM107" i="23" s="1"/>
  <c r="BN107" i="23" s="1"/>
  <c r="BA3" i="23"/>
  <c r="BB3" i="23" s="1"/>
  <c r="BC3" i="23" s="1"/>
  <c r="BD3" i="23" s="1"/>
  <c r="AZ533" i="23"/>
  <c r="BB533" i="23" s="1"/>
  <c r="BC533" i="23" s="1"/>
  <c r="BD533" i="23" s="1"/>
  <c r="BA346" i="23"/>
  <c r="BB346" i="23" s="1"/>
  <c r="BC346" i="23" s="1"/>
  <c r="BD346" i="23" s="1"/>
  <c r="BA450" i="23"/>
  <c r="AZ144" i="23"/>
  <c r="BB144" i="23" s="1"/>
  <c r="BC144" i="23" s="1"/>
  <c r="BD144" i="23" s="1"/>
  <c r="BA154" i="23"/>
  <c r="BB154" i="23" s="1"/>
  <c r="BC154" i="23" s="1"/>
  <c r="BD154" i="23" s="1"/>
  <c r="AZ563" i="23"/>
  <c r="BB563" i="23" s="1"/>
  <c r="BC563" i="23" s="1"/>
  <c r="BD563" i="23" s="1"/>
  <c r="BA186" i="23"/>
  <c r="AZ108" i="23"/>
  <c r="BB108" i="23" s="1"/>
  <c r="BC108" i="23" s="1"/>
  <c r="BD108" i="23" s="1"/>
  <c r="AZ829" i="23"/>
  <c r="BB829" i="23" s="1"/>
  <c r="BC829" i="23" s="1"/>
  <c r="BD829" i="23" s="1"/>
  <c r="BA74" i="23"/>
  <c r="BA612" i="23"/>
  <c r="BA324" i="23"/>
  <c r="BB324" i="23" s="1"/>
  <c r="BC324" i="23" s="1"/>
  <c r="BD324" i="23" s="1"/>
  <c r="AZ500" i="23"/>
  <c r="BB500" i="23" s="1"/>
  <c r="BC500" i="23" s="1"/>
  <c r="BD500" i="23" s="1"/>
  <c r="BA181" i="23"/>
  <c r="BB181" i="23" s="1"/>
  <c r="BC181" i="23" s="1"/>
  <c r="BD181" i="23" s="1"/>
  <c r="AZ554" i="23"/>
  <c r="BB554" i="23" s="1"/>
  <c r="BC554" i="23" s="1"/>
  <c r="BD554" i="23" s="1"/>
  <c r="BA136" i="23"/>
  <c r="BB136" i="23" s="1"/>
  <c r="BC136" i="23" s="1"/>
  <c r="BD136" i="23" s="1"/>
  <c r="AZ151" i="23"/>
  <c r="BB151" i="23" s="1"/>
  <c r="BC151" i="23" s="1"/>
  <c r="BD151" i="23" s="1"/>
  <c r="AZ233" i="23"/>
  <c r="BB233" i="23" s="1"/>
  <c r="BC233" i="23" s="1"/>
  <c r="BD233" i="23" s="1"/>
  <c r="BB450" i="23"/>
  <c r="BC450" i="23" s="1"/>
  <c r="BD450" i="23" s="1"/>
  <c r="BB535" i="23"/>
  <c r="BC535" i="23" s="1"/>
  <c r="BD535" i="23" s="1"/>
  <c r="AZ828" i="23"/>
  <c r="BB828" i="23" s="1"/>
  <c r="BC828" i="23" s="1"/>
  <c r="BD828" i="23" s="1"/>
  <c r="BB74" i="23"/>
  <c r="BC74" i="23" s="1"/>
  <c r="BD74" i="23" s="1"/>
  <c r="AY585" i="23"/>
  <c r="AZ251" i="23"/>
  <c r="BB251" i="23" s="1"/>
  <c r="BC251" i="23" s="1"/>
  <c r="BD251" i="23" s="1"/>
  <c r="AZ100" i="23"/>
  <c r="BB100" i="23" s="1"/>
  <c r="BC100" i="23" s="1"/>
  <c r="BD100" i="23" s="1"/>
  <c r="BA255" i="23"/>
  <c r="BB255" i="23" s="1"/>
  <c r="BC255" i="23" s="1"/>
  <c r="BD255" i="23" s="1"/>
  <c r="BA356" i="23"/>
  <c r="BB356" i="23" s="1"/>
  <c r="BC356" i="23" s="1"/>
  <c r="BD356" i="23" s="1"/>
  <c r="BA323" i="23"/>
  <c r="BB323" i="23" s="1"/>
  <c r="BC323" i="23" s="1"/>
  <c r="BD323" i="23" s="1"/>
  <c r="BL14" i="23"/>
  <c r="BM14" i="23" s="1"/>
  <c r="BN14" i="23" s="1"/>
  <c r="BB282" i="23"/>
  <c r="BC282" i="23" s="1"/>
  <c r="BD282" i="23" s="1"/>
  <c r="BB197" i="23"/>
  <c r="BC197" i="23" s="1"/>
  <c r="BD197" i="23" s="1"/>
  <c r="BB338" i="23"/>
  <c r="BC338" i="23" s="1"/>
  <c r="BD338" i="23" s="1"/>
  <c r="AZ213" i="23"/>
  <c r="BB213" i="23" s="1"/>
  <c r="BC213" i="23" s="1"/>
  <c r="BD213" i="23" s="1"/>
  <c r="AZ140" i="23"/>
  <c r="BB140" i="23" s="1"/>
  <c r="BC140" i="23" s="1"/>
  <c r="BD140" i="23" s="1"/>
  <c r="BA197" i="23"/>
  <c r="BA86" i="23"/>
  <c r="BB86" i="23" s="1"/>
  <c r="BC86" i="23" s="1"/>
  <c r="BD86" i="23" s="1"/>
  <c r="AZ244" i="23"/>
  <c r="BB244" i="23" s="1"/>
  <c r="BC244" i="23" s="1"/>
  <c r="BD244" i="23" s="1"/>
  <c r="AZ4" i="23"/>
  <c r="BB4" i="23" s="1"/>
  <c r="BC4" i="23" s="1"/>
  <c r="BD4" i="23" s="1"/>
  <c r="AZ544" i="23"/>
  <c r="BB544" i="23" s="1"/>
  <c r="BC544" i="23" s="1"/>
  <c r="BD544" i="23" s="1"/>
  <c r="BA90" i="23"/>
  <c r="BB90" i="23" s="1"/>
  <c r="BC90" i="23" s="1"/>
  <c r="BD90" i="23" s="1"/>
  <c r="BL346" i="23"/>
  <c r="BM346" i="23" s="1"/>
  <c r="BN346" i="23" s="1"/>
  <c r="AZ214" i="23"/>
  <c r="BB214" i="23" s="1"/>
  <c r="BC214" i="23" s="1"/>
  <c r="BD214" i="23" s="1"/>
  <c r="BA54" i="23"/>
  <c r="BL5" i="23"/>
  <c r="BM5" i="23" s="1"/>
  <c r="BN5" i="23" s="1"/>
  <c r="BB139" i="23"/>
  <c r="BC139" i="23" s="1"/>
  <c r="BD139" i="23" s="1"/>
  <c r="BA16" i="23"/>
  <c r="BB16" i="23" s="1"/>
  <c r="BC16" i="23" s="1"/>
  <c r="BD16" i="23" s="1"/>
  <c r="AZ149" i="23"/>
  <c r="BB149" i="23" s="1"/>
  <c r="BC149" i="23" s="1"/>
  <c r="BD149" i="23" s="1"/>
  <c r="AZ228" i="23"/>
  <c r="BB228" i="23" s="1"/>
  <c r="BC228" i="23" s="1"/>
  <c r="BD228" i="23" s="1"/>
  <c r="AZ28" i="23"/>
  <c r="BB28" i="23" s="1"/>
  <c r="BC28" i="23" s="1"/>
  <c r="BD28" i="23" s="1"/>
  <c r="BL152" i="23"/>
  <c r="BM152" i="23" s="1"/>
  <c r="BN152" i="23" s="1"/>
  <c r="BL41" i="23"/>
  <c r="BM41" i="23" s="1"/>
  <c r="BN41" i="23" s="1"/>
  <c r="BL379" i="23"/>
  <c r="BM379" i="23" s="1"/>
  <c r="BN379" i="23" s="1"/>
  <c r="AZ81" i="23"/>
  <c r="BB81" i="23" s="1"/>
  <c r="BC81" i="23" s="1"/>
  <c r="BD81" i="23" s="1"/>
  <c r="AZ19" i="23"/>
  <c r="BB19" i="23" s="1"/>
  <c r="BC19" i="23" s="1"/>
  <c r="BD19" i="23" s="1"/>
  <c r="BB37" i="23"/>
  <c r="BC37" i="23" s="1"/>
  <c r="BD37" i="23" s="1"/>
  <c r="AZ141" i="23"/>
  <c r="BB141" i="23" s="1"/>
  <c r="BC141" i="23" s="1"/>
  <c r="BD141" i="23" s="1"/>
  <c r="BL348" i="23"/>
  <c r="BM348" i="23" s="1"/>
  <c r="BN348" i="23" s="1"/>
  <c r="BL280" i="23"/>
  <c r="BM280" i="23" s="1"/>
  <c r="BN280" i="23" s="1"/>
  <c r="BL214" i="23"/>
  <c r="BM214" i="23" s="1"/>
  <c r="BN214" i="23" s="1"/>
  <c r="AZ280" i="23"/>
  <c r="BB280" i="23" s="1"/>
  <c r="BC280" i="23" s="1"/>
  <c r="BD280" i="23" s="1"/>
  <c r="BA57" i="23"/>
  <c r="BL324" i="23"/>
  <c r="BM324" i="23" s="1"/>
  <c r="BN324" i="23" s="1"/>
  <c r="BL251" i="23"/>
  <c r="BM251" i="23" s="1"/>
  <c r="BN251" i="23" s="1"/>
  <c r="BL339" i="23"/>
  <c r="BM339" i="23" s="1"/>
  <c r="BN339" i="23" s="1"/>
  <c r="BL10" i="23"/>
  <c r="BM10" i="23" s="1"/>
  <c r="BN10" i="23" s="1"/>
  <c r="BA366" i="23"/>
  <c r="BB366" i="23" s="1"/>
  <c r="BC366" i="23" s="1"/>
  <c r="BD366" i="23" s="1"/>
  <c r="BB54" i="23"/>
  <c r="BC54" i="23" s="1"/>
  <c r="BD54" i="23" s="1"/>
  <c r="BL355" i="23"/>
  <c r="BM355" i="23" s="1"/>
  <c r="BN355" i="23" s="1"/>
  <c r="BB76" i="23"/>
  <c r="BC76" i="23" s="1"/>
  <c r="BD76" i="23" s="1"/>
  <c r="BL105" i="23"/>
  <c r="BM105" i="23" s="1"/>
  <c r="BN105" i="23" s="1"/>
  <c r="BB350" i="23"/>
  <c r="BC350" i="23" s="1"/>
  <c r="BD350" i="23" s="1"/>
  <c r="BA34" i="23"/>
  <c r="BB34" i="23" s="1"/>
  <c r="BC34" i="23" s="1"/>
  <c r="BD34" i="23" s="1"/>
  <c r="BL4" i="23"/>
  <c r="BM4" i="23" s="1"/>
  <c r="BN4" i="23" s="1"/>
  <c r="BL65" i="23"/>
  <c r="BM65" i="23" s="1"/>
  <c r="BN65" i="23" s="1"/>
  <c r="BL200" i="23"/>
  <c r="BM200" i="23" s="1"/>
  <c r="BN200" i="23" s="1"/>
  <c r="BL181" i="23"/>
  <c r="BM181" i="23" s="1"/>
  <c r="BN181" i="23" s="1"/>
  <c r="BA203" i="23"/>
  <c r="BB203" i="23" s="1"/>
  <c r="BC203" i="23" s="1"/>
  <c r="BD203" i="23" s="1"/>
  <c r="BA2" i="23"/>
  <c r="BB2" i="23" s="1"/>
  <c r="BC2" i="23" s="1"/>
  <c r="BD2" i="23" s="1"/>
  <c r="BL434" i="23"/>
  <c r="BM434" i="23" s="1"/>
  <c r="BN434" i="23" s="1"/>
  <c r="AY626" i="23"/>
  <c r="AZ559" i="23"/>
  <c r="BB559" i="23" s="1"/>
  <c r="BC559" i="23" s="1"/>
  <c r="BD559" i="23" s="1"/>
  <c r="BL300" i="23"/>
  <c r="BM300" i="23" s="1"/>
  <c r="BN300" i="23" s="1"/>
  <c r="BA413" i="23"/>
  <c r="BB413" i="23" s="1"/>
  <c r="BC413" i="23" s="1"/>
  <c r="BD413" i="23" s="1"/>
  <c r="BL221" i="23"/>
  <c r="BM221" i="23" s="1"/>
  <c r="BN221" i="23" s="1"/>
  <c r="BL292" i="23"/>
  <c r="BM292" i="23" s="1"/>
  <c r="BN292" i="23" s="1"/>
  <c r="BL201" i="23"/>
  <c r="BM201" i="23" s="1"/>
  <c r="BN201" i="23" s="1"/>
  <c r="BB318" i="23"/>
  <c r="BC318" i="23" s="1"/>
  <c r="BD318" i="23" s="1"/>
  <c r="BA76" i="23"/>
  <c r="BL232" i="23"/>
  <c r="BM232" i="23" s="1"/>
  <c r="BN232" i="23" s="1"/>
  <c r="AZ310" i="23"/>
  <c r="BB310" i="23" s="1"/>
  <c r="BC310" i="23" s="1"/>
  <c r="BD310" i="23" s="1"/>
  <c r="BB160" i="23"/>
  <c r="BC160" i="23" s="1"/>
  <c r="BD160" i="23" s="1"/>
  <c r="AX626" i="23"/>
  <c r="BA626" i="23" s="1"/>
  <c r="BL7" i="23"/>
  <c r="BM7" i="23" s="1"/>
  <c r="BN7" i="23" s="1"/>
  <c r="BB421" i="23"/>
  <c r="BC421" i="23" s="1"/>
  <c r="BD421" i="23" s="1"/>
  <c r="BB333" i="23"/>
  <c r="BC333" i="23" s="1"/>
  <c r="BD333" i="23" s="1"/>
  <c r="BB196" i="23"/>
  <c r="BC196" i="23" s="1"/>
  <c r="BD196" i="23" s="1"/>
  <c r="BL326" i="23"/>
  <c r="BM326" i="23" s="1"/>
  <c r="BN326" i="23" s="1"/>
  <c r="BB83" i="23"/>
  <c r="BC83" i="23" s="1"/>
  <c r="BD83" i="23" s="1"/>
  <c r="BB281" i="23"/>
  <c r="BC281" i="23" s="1"/>
  <c r="BD281" i="23" s="1"/>
  <c r="BL323" i="23"/>
  <c r="BM323" i="23" s="1"/>
  <c r="BN323" i="23" s="1"/>
  <c r="BL210" i="23"/>
  <c r="BM210" i="23" s="1"/>
  <c r="BN210" i="23" s="1"/>
  <c r="BB432" i="23"/>
  <c r="BC432" i="23" s="1"/>
  <c r="BD432" i="23" s="1"/>
  <c r="BL63" i="23"/>
  <c r="BM63" i="23" s="1"/>
  <c r="BN63" i="23" s="1"/>
  <c r="BL40" i="23"/>
  <c r="BM40" i="23" s="1"/>
  <c r="BN40" i="23" s="1"/>
  <c r="BA196" i="23"/>
  <c r="BL3" i="23"/>
  <c r="BM3" i="23" s="1"/>
  <c r="BN3" i="23" s="1"/>
  <c r="BA258" i="23"/>
  <c r="BL215" i="23"/>
  <c r="BM215" i="23" s="1"/>
  <c r="BN215" i="23" s="1"/>
  <c r="BL828" i="23"/>
  <c r="BM828" i="23" s="1"/>
  <c r="BN828" i="23" s="1"/>
  <c r="AZ379" i="23"/>
  <c r="BB379" i="23" s="1"/>
  <c r="BC379" i="23" s="1"/>
  <c r="BD379" i="23" s="1"/>
  <c r="BL199" i="23"/>
  <c r="BM199" i="23" s="1"/>
  <c r="BN199" i="23" s="1"/>
  <c r="BL241" i="23"/>
  <c r="BM241" i="23" s="1"/>
  <c r="BN241" i="23" s="1"/>
  <c r="BL34" i="23"/>
  <c r="BM34" i="23" s="1"/>
  <c r="BN34" i="23" s="1"/>
  <c r="BB295" i="23"/>
  <c r="BC295" i="23" s="1"/>
  <c r="BD295" i="23" s="1"/>
  <c r="BL554" i="23"/>
  <c r="BM554" i="23" s="1"/>
  <c r="BN554" i="23" s="1"/>
  <c r="BL233" i="23"/>
  <c r="BM233" i="23" s="1"/>
  <c r="BN233" i="23" s="1"/>
  <c r="BB580" i="23"/>
  <c r="BC580" i="23" s="1"/>
  <c r="BD580" i="23" s="1"/>
  <c r="BL136" i="23"/>
  <c r="BM136" i="23" s="1"/>
  <c r="BN136" i="23" s="1"/>
  <c r="BL31" i="23"/>
  <c r="BM31" i="23" s="1"/>
  <c r="BN31" i="23" s="1"/>
  <c r="BL559" i="23"/>
  <c r="BM559" i="23" s="1"/>
  <c r="BN559" i="23" s="1"/>
  <c r="BL413" i="23"/>
  <c r="BM413" i="23" s="1"/>
  <c r="BN413" i="23" s="1"/>
  <c r="AX488" i="23"/>
  <c r="AZ488" i="23" s="1"/>
  <c r="BL127" i="23"/>
  <c r="BM127" i="23" s="1"/>
  <c r="BN127" i="23" s="1"/>
  <c r="BB97" i="23"/>
  <c r="BC97" i="23" s="1"/>
  <c r="BD97" i="23" s="1"/>
  <c r="AZ52" i="23"/>
  <c r="BB52" i="23" s="1"/>
  <c r="BC52" i="23" s="1"/>
  <c r="BD52" i="23" s="1"/>
  <c r="BA434" i="23"/>
  <c r="BB434" i="23" s="1"/>
  <c r="BC434" i="23" s="1"/>
  <c r="BD434" i="23" s="1"/>
  <c r="AZ69" i="23"/>
  <c r="BB69" i="23" s="1"/>
  <c r="BC69" i="23" s="1"/>
  <c r="BD69" i="23" s="1"/>
  <c r="AZ438" i="23"/>
  <c r="BB438" i="23" s="1"/>
  <c r="BC438" i="23" s="1"/>
  <c r="BD438" i="23" s="1"/>
  <c r="BL98" i="23"/>
  <c r="BM98" i="23" s="1"/>
  <c r="BN98" i="23" s="1"/>
  <c r="BB317" i="23"/>
  <c r="BC317" i="23" s="1"/>
  <c r="BD317" i="23" s="1"/>
  <c r="BL6" i="23"/>
  <c r="BM6" i="23" s="1"/>
  <c r="BN6" i="23" s="1"/>
  <c r="BL144" i="23"/>
  <c r="BM144" i="23" s="1"/>
  <c r="BN144" i="23" s="1"/>
  <c r="BA85" i="23"/>
  <c r="BB85" i="23" s="1"/>
  <c r="BC85" i="23" s="1"/>
  <c r="BD85" i="23" s="1"/>
  <c r="BA9" i="23"/>
  <c r="BB9" i="23" s="1"/>
  <c r="BC9" i="23" s="1"/>
  <c r="BD9" i="23" s="1"/>
  <c r="BL303" i="23"/>
  <c r="BM303" i="23" s="1"/>
  <c r="BN303" i="23" s="1"/>
  <c r="BL359" i="23"/>
  <c r="BM359" i="23" s="1"/>
  <c r="BN359" i="23" s="1"/>
  <c r="BB567" i="23"/>
  <c r="BC567" i="23" s="1"/>
  <c r="BD567" i="23" s="1"/>
  <c r="AY488" i="23"/>
  <c r="BL500" i="23"/>
  <c r="BM500" i="23" s="1"/>
  <c r="BN500" i="23" s="1"/>
  <c r="BL203" i="23"/>
  <c r="BM203" i="23" s="1"/>
  <c r="BN203" i="23" s="1"/>
  <c r="BL218" i="23"/>
  <c r="BM218" i="23" s="1"/>
  <c r="BN218" i="23" s="1"/>
  <c r="BL150" i="23"/>
  <c r="BM150" i="23" s="1"/>
  <c r="BN150" i="23" s="1"/>
  <c r="BL180" i="23"/>
  <c r="BM180" i="23" s="1"/>
  <c r="BN180" i="23" s="1"/>
  <c r="BL111" i="23"/>
  <c r="BM111" i="23" s="1"/>
  <c r="BN111" i="23" s="1"/>
  <c r="AZ49" i="23"/>
  <c r="BB49" i="23" s="1"/>
  <c r="BC49" i="23" s="1"/>
  <c r="BD49" i="23" s="1"/>
  <c r="BB339" i="23"/>
  <c r="BC339" i="23" s="1"/>
  <c r="BD339" i="23" s="1"/>
  <c r="BA142" i="23"/>
  <c r="BL366" i="23"/>
  <c r="BM366" i="23" s="1"/>
  <c r="BN366" i="23" s="1"/>
  <c r="BB210" i="23"/>
  <c r="BC210" i="23" s="1"/>
  <c r="BD210" i="23" s="1"/>
  <c r="BL213" i="23"/>
  <c r="BM213" i="23" s="1"/>
  <c r="BN213" i="23" s="1"/>
  <c r="BL151" i="23"/>
  <c r="BM151" i="23" s="1"/>
  <c r="BN151" i="23" s="1"/>
  <c r="BL408" i="23"/>
  <c r="BM408" i="23" s="1"/>
  <c r="BN408" i="23" s="1"/>
  <c r="BB156" i="23"/>
  <c r="BC156" i="23" s="1"/>
  <c r="BD156" i="23" s="1"/>
  <c r="BL16" i="23"/>
  <c r="BM16" i="23" s="1"/>
  <c r="BN16" i="23" s="1"/>
  <c r="BB92" i="23"/>
  <c r="BC92" i="23" s="1"/>
  <c r="BD92" i="23" s="1"/>
  <c r="BB606" i="23"/>
  <c r="BC606" i="23" s="1"/>
  <c r="BD606" i="23" s="1"/>
  <c r="BL333" i="23"/>
  <c r="BM333" i="23" s="1"/>
  <c r="BN333" i="23" s="1"/>
  <c r="BL153" i="23"/>
  <c r="BM153" i="23" s="1"/>
  <c r="BN153" i="23" s="1"/>
  <c r="BL306" i="23"/>
  <c r="BM306" i="23" s="1"/>
  <c r="BN306" i="23" s="1"/>
  <c r="BA367" i="23"/>
  <c r="BB367" i="23" s="1"/>
  <c r="BC367" i="23" s="1"/>
  <c r="BD367" i="23" s="1"/>
  <c r="BL250" i="23"/>
  <c r="BM250" i="23" s="1"/>
  <c r="BN250" i="23" s="1"/>
  <c r="BL47" i="23"/>
  <c r="BM47" i="23" s="1"/>
  <c r="BN47" i="23" s="1"/>
  <c r="BL429" i="23"/>
  <c r="BM429" i="23" s="1"/>
  <c r="BN429" i="23" s="1"/>
  <c r="BA567" i="23"/>
  <c r="BL287" i="23"/>
  <c r="BM287" i="23" s="1"/>
  <c r="BN287" i="23" s="1"/>
  <c r="AZ292" i="23"/>
  <c r="BB292" i="23" s="1"/>
  <c r="BC292" i="23" s="1"/>
  <c r="BD292" i="23" s="1"/>
  <c r="BA472" i="23"/>
  <c r="BB105" i="23"/>
  <c r="BC105" i="23" s="1"/>
  <c r="BD105" i="23" s="1"/>
  <c r="BB43" i="23"/>
  <c r="BC43" i="23" s="1"/>
  <c r="BD43" i="23" s="1"/>
  <c r="BL255" i="23"/>
  <c r="BM255" i="23" s="1"/>
  <c r="BN255" i="23" s="1"/>
  <c r="BL367" i="23"/>
  <c r="BM367" i="23" s="1"/>
  <c r="BN367" i="23" s="1"/>
  <c r="BB258" i="23"/>
  <c r="BC258" i="23" s="1"/>
  <c r="BD258" i="23" s="1"/>
  <c r="BL514" i="23"/>
  <c r="BM514" i="23" s="1"/>
  <c r="BN514" i="23" s="1"/>
  <c r="BL149" i="23"/>
  <c r="BM149" i="23" s="1"/>
  <c r="BN149" i="23" s="1"/>
  <c r="BL8" i="23"/>
  <c r="BM8" i="23" s="1"/>
  <c r="BN8" i="23" s="1"/>
  <c r="BL445" i="23"/>
  <c r="BM445" i="23" s="1"/>
  <c r="BN445" i="23" s="1"/>
  <c r="BB315" i="23"/>
  <c r="BC315" i="23" s="1"/>
  <c r="BD315" i="23" s="1"/>
  <c r="BB15" i="23"/>
  <c r="BC15" i="23" s="1"/>
  <c r="BD15" i="23" s="1"/>
  <c r="BL49" i="23"/>
  <c r="BM49" i="23" s="1"/>
  <c r="BN49" i="23" s="1"/>
  <c r="BL217" i="23"/>
  <c r="BM217" i="23" s="1"/>
  <c r="BN217" i="23" s="1"/>
  <c r="BL208" i="23"/>
  <c r="BM208" i="23" s="1"/>
  <c r="BN208" i="23" s="1"/>
  <c r="BB534" i="23"/>
  <c r="BC534" i="23" s="1"/>
  <c r="BD534" i="23" s="1"/>
  <c r="BB512" i="23"/>
  <c r="BC512" i="23" s="1"/>
  <c r="BD512" i="23" s="1"/>
  <c r="BL829" i="23"/>
  <c r="BM829" i="23" s="1"/>
  <c r="BN829" i="23" s="1"/>
  <c r="BL244" i="23"/>
  <c r="BM244" i="23" s="1"/>
  <c r="BN244" i="23" s="1"/>
  <c r="AZ429" i="23"/>
  <c r="BB429" i="23" s="1"/>
  <c r="BC429" i="23" s="1"/>
  <c r="BD429" i="23" s="1"/>
  <c r="BL112" i="23"/>
  <c r="BM112" i="23" s="1"/>
  <c r="BN112" i="23" s="1"/>
  <c r="BA10" i="23"/>
  <c r="BB10" i="23" s="1"/>
  <c r="BC10" i="23" s="1"/>
  <c r="BD10" i="23" s="1"/>
  <c r="BL97" i="23"/>
  <c r="BM97" i="23" s="1"/>
  <c r="BN97" i="23" s="1"/>
  <c r="BB172" i="23"/>
  <c r="BC172" i="23" s="1"/>
  <c r="BD172" i="23" s="1"/>
  <c r="AZ308" i="23"/>
  <c r="BB308" i="23" s="1"/>
  <c r="BC308" i="23" s="1"/>
  <c r="BD308" i="23" s="1"/>
  <c r="BB446" i="23"/>
  <c r="BC446" i="23" s="1"/>
  <c r="BD446" i="23" s="1"/>
  <c r="BB14" i="23"/>
  <c r="BC14" i="23" s="1"/>
  <c r="BD14" i="23" s="1"/>
  <c r="AY246" i="23"/>
  <c r="AZ232" i="23"/>
  <c r="BB232" i="23" s="1"/>
  <c r="BC232" i="23" s="1"/>
  <c r="BD232" i="23" s="1"/>
  <c r="BB166" i="23"/>
  <c r="BC166" i="23" s="1"/>
  <c r="BD166" i="23" s="1"/>
  <c r="BB104" i="23"/>
  <c r="BC104" i="23" s="1"/>
  <c r="BD104" i="23" s="1"/>
  <c r="BB98" i="23"/>
  <c r="BC98" i="23" s="1"/>
  <c r="BD98" i="23" s="1"/>
  <c r="AZ150" i="23"/>
  <c r="BB150" i="23" s="1"/>
  <c r="BC150" i="23" s="1"/>
  <c r="BD150" i="23" s="1"/>
  <c r="BL28" i="23"/>
  <c r="BM28" i="23" s="1"/>
  <c r="BN28" i="23" s="1"/>
  <c r="BL9" i="23"/>
  <c r="BM9" i="23" s="1"/>
  <c r="BN9" i="23" s="1"/>
  <c r="AY586" i="23"/>
  <c r="AZ77" i="23"/>
  <c r="BB77" i="23" s="1"/>
  <c r="BC77" i="23" s="1"/>
  <c r="BD77" i="23" s="1"/>
  <c r="BB612" i="23"/>
  <c r="BC612" i="23" s="1"/>
  <c r="BD612" i="23" s="1"/>
  <c r="AY622" i="23"/>
  <c r="BA445" i="23"/>
  <c r="BB445" i="23" s="1"/>
  <c r="BC445" i="23" s="1"/>
  <c r="BD445" i="23" s="1"/>
  <c r="BB472" i="23"/>
  <c r="BC472" i="23" s="1"/>
  <c r="BD472" i="23" s="1"/>
  <c r="AX552" i="23"/>
  <c r="BA552" i="23" s="1"/>
  <c r="BA328" i="23"/>
  <c r="BB328" i="23" s="1"/>
  <c r="BC328" i="23" s="1"/>
  <c r="BD328" i="23" s="1"/>
  <c r="BB57" i="23"/>
  <c r="BC57" i="23" s="1"/>
  <c r="BD57" i="23" s="1"/>
  <c r="BL356" i="23"/>
  <c r="BM356" i="23" s="1"/>
  <c r="BN356" i="23" s="1"/>
  <c r="BA183" i="23"/>
  <c r="BA122" i="23"/>
  <c r="AX622" i="23"/>
  <c r="AZ622" i="23" s="1"/>
  <c r="BB122" i="23"/>
  <c r="BC122" i="23" s="1"/>
  <c r="BD122" i="23" s="1"/>
  <c r="BL358" i="23"/>
  <c r="BM358" i="23" s="1"/>
  <c r="BN358" i="23" s="1"/>
  <c r="BB78" i="23"/>
  <c r="BC78" i="23" s="1"/>
  <c r="BD78" i="23" s="1"/>
  <c r="BJ515" i="23"/>
  <c r="BK515" i="23"/>
  <c r="AZ514" i="23"/>
  <c r="BA514" i="23"/>
  <c r="BA398" i="23"/>
  <c r="AZ398" i="23"/>
  <c r="BB398" i="23" s="1"/>
  <c r="BC398" i="23" s="1"/>
  <c r="BD398" i="23" s="1"/>
  <c r="AZ111" i="23"/>
  <c r="BA111" i="23"/>
  <c r="BJ586" i="23"/>
  <c r="BL586" i="23" s="1"/>
  <c r="BM586" i="23" s="1"/>
  <c r="BN586" i="23" s="1"/>
  <c r="BK586" i="23"/>
  <c r="BB408" i="23"/>
  <c r="BC408" i="23" s="1"/>
  <c r="BD408" i="23" s="1"/>
  <c r="AZ297" i="23"/>
  <c r="BA297" i="23"/>
  <c r="BL533" i="23"/>
  <c r="BM533" i="23" s="1"/>
  <c r="BN533" i="23" s="1"/>
  <c r="BA327" i="23"/>
  <c r="AZ327" i="23"/>
  <c r="AZ341" i="23"/>
  <c r="BB341" i="23" s="1"/>
  <c r="BC341" i="23" s="1"/>
  <c r="BD341" i="23" s="1"/>
  <c r="BA341" i="23"/>
  <c r="BA8" i="23"/>
  <c r="AZ8" i="23"/>
  <c r="AZ465" i="23"/>
  <c r="BB465" i="23" s="1"/>
  <c r="BC465" i="23" s="1"/>
  <c r="BD465" i="23" s="1"/>
  <c r="BA465" i="23"/>
  <c r="AZ511" i="23"/>
  <c r="BB511" i="23" s="1"/>
  <c r="BC511" i="23" s="1"/>
  <c r="BD511" i="23" s="1"/>
  <c r="BA511" i="23"/>
  <c r="AZ592" i="23"/>
  <c r="BB592" i="23" s="1"/>
  <c r="BC592" i="23" s="1"/>
  <c r="BD592" i="23" s="1"/>
  <c r="BA592" i="23"/>
  <c r="BL291" i="23"/>
  <c r="BM291" i="23" s="1"/>
  <c r="BN291" i="23" s="1"/>
  <c r="BL228" i="23"/>
  <c r="BM228" i="23" s="1"/>
  <c r="BN228" i="23" s="1"/>
  <c r="AZ131" i="23"/>
  <c r="BB131" i="23" s="1"/>
  <c r="BC131" i="23" s="1"/>
  <c r="BD131" i="23" s="1"/>
  <c r="BA131" i="23"/>
  <c r="AX586" i="23"/>
  <c r="BB73" i="23"/>
  <c r="BC73" i="23" s="1"/>
  <c r="BD73" i="23" s="1"/>
  <c r="AZ82" i="23"/>
  <c r="BA82" i="23"/>
  <c r="BL318" i="23"/>
  <c r="BM318" i="23" s="1"/>
  <c r="BN318" i="23" s="1"/>
  <c r="BL179" i="23"/>
  <c r="BM179" i="23" s="1"/>
  <c r="BN179" i="23" s="1"/>
  <c r="BL544" i="23"/>
  <c r="BM544" i="23" s="1"/>
  <c r="BN544" i="23" s="1"/>
  <c r="BB587" i="23"/>
  <c r="BC587" i="23" s="1"/>
  <c r="BD587" i="23" s="1"/>
  <c r="BA459" i="23"/>
  <c r="AZ459" i="23"/>
  <c r="BB459" i="23" s="1"/>
  <c r="BC459" i="23" s="1"/>
  <c r="BD459" i="23" s="1"/>
  <c r="BA7" i="23"/>
  <c r="AZ7" i="23"/>
  <c r="BA436" i="23"/>
  <c r="AZ436" i="23"/>
  <c r="BB508" i="23"/>
  <c r="BC508" i="23" s="1"/>
  <c r="BD508" i="23" s="1"/>
  <c r="BB625" i="23"/>
  <c r="BC625" i="23" s="1"/>
  <c r="BD625" i="23" s="1"/>
  <c r="BA50" i="23"/>
  <c r="AZ50" i="23"/>
  <c r="AZ218" i="23"/>
  <c r="BA218" i="23"/>
  <c r="AZ300" i="23"/>
  <c r="BA300" i="23"/>
  <c r="AZ71" i="23"/>
  <c r="BA71" i="23"/>
  <c r="BB183" i="23"/>
  <c r="BC183" i="23" s="1"/>
  <c r="BD183" i="23" s="1"/>
  <c r="BA452" i="23"/>
  <c r="AZ452" i="23"/>
  <c r="BB452" i="23" s="1"/>
  <c r="BC452" i="23" s="1"/>
  <c r="BD452" i="23" s="1"/>
  <c r="BL612" i="23"/>
  <c r="BM612" i="23" s="1"/>
  <c r="BN612" i="23" s="1"/>
  <c r="BA619" i="23"/>
  <c r="AZ619" i="23"/>
  <c r="BB619" i="23" s="1"/>
  <c r="BC619" i="23" s="1"/>
  <c r="BD619" i="23" s="1"/>
  <c r="BA201" i="23"/>
  <c r="AZ201" i="23"/>
  <c r="BK552" i="23"/>
  <c r="BJ552" i="23"/>
  <c r="BL552" i="23" s="1"/>
  <c r="BM552" i="23" s="1"/>
  <c r="BN552" i="23" s="1"/>
  <c r="AZ152" i="23"/>
  <c r="BA152" i="23"/>
  <c r="BA241" i="23"/>
  <c r="AZ241" i="23"/>
  <c r="BA482" i="23"/>
  <c r="AZ482" i="23"/>
  <c r="BB482" i="23" s="1"/>
  <c r="BC482" i="23" s="1"/>
  <c r="BD482" i="23" s="1"/>
  <c r="AZ129" i="23"/>
  <c r="BB129" i="23" s="1"/>
  <c r="BC129" i="23" s="1"/>
  <c r="BD129" i="23" s="1"/>
  <c r="BA129" i="23"/>
  <c r="BA215" i="23"/>
  <c r="AZ215" i="23"/>
  <c r="AZ25" i="23"/>
  <c r="BB25" i="23" s="1"/>
  <c r="BC25" i="23" s="1"/>
  <c r="BD25" i="23" s="1"/>
  <c r="BA25" i="23"/>
  <c r="AZ208" i="23"/>
  <c r="BA208" i="23"/>
  <c r="BA329" i="23"/>
  <c r="AZ329" i="23"/>
  <c r="BA56" i="23"/>
  <c r="AZ56" i="23"/>
  <c r="BB56" i="23" s="1"/>
  <c r="BC56" i="23" s="1"/>
  <c r="BD56" i="23" s="1"/>
  <c r="BJ488" i="23"/>
  <c r="BL488" i="23" s="1"/>
  <c r="BM488" i="23" s="1"/>
  <c r="BN488" i="23" s="1"/>
  <c r="BK488" i="23"/>
  <c r="AZ608" i="23"/>
  <c r="BB608" i="23" s="1"/>
  <c r="BC608" i="23" s="1"/>
  <c r="BD608" i="23" s="1"/>
  <c r="BA608" i="23"/>
  <c r="BA171" i="23"/>
  <c r="AZ171" i="23"/>
  <c r="BB171" i="23" s="1"/>
  <c r="BC171" i="23" s="1"/>
  <c r="BD171" i="23" s="1"/>
  <c r="AX585" i="23"/>
  <c r="BA110" i="23"/>
  <c r="AZ110" i="23"/>
  <c r="BA326" i="23"/>
  <c r="AZ326" i="23"/>
  <c r="BA200" i="23"/>
  <c r="AZ200" i="23"/>
  <c r="BA5" i="23"/>
  <c r="AZ5" i="23"/>
  <c r="AZ396" i="23"/>
  <c r="BB396" i="23" s="1"/>
  <c r="BC396" i="23" s="1"/>
  <c r="BD396" i="23" s="1"/>
  <c r="BA396" i="23"/>
  <c r="AX515" i="23"/>
  <c r="BB307" i="23"/>
  <c r="BC307" i="23" s="1"/>
  <c r="BD307" i="23" s="1"/>
  <c r="BA93" i="23"/>
  <c r="AZ93" i="23"/>
  <c r="BB93" i="23" s="1"/>
  <c r="BC93" i="23" s="1"/>
  <c r="BD93" i="23" s="1"/>
  <c r="AZ424" i="23"/>
  <c r="BA424" i="23"/>
  <c r="BB582" i="23"/>
  <c r="BC582" i="23" s="1"/>
  <c r="BD582" i="23" s="1"/>
  <c r="AZ31" i="23"/>
  <c r="BA31" i="23"/>
  <c r="BL592" i="23"/>
  <c r="BM592" i="23" s="1"/>
  <c r="BN592" i="23" s="1"/>
  <c r="AZ221" i="23"/>
  <c r="BA221" i="23"/>
  <c r="BA303" i="23"/>
  <c r="AZ303" i="23"/>
  <c r="BK246" i="23"/>
  <c r="BJ246" i="23"/>
  <c r="BL246" i="23" s="1"/>
  <c r="BM246" i="23" s="1"/>
  <c r="BN246" i="23" s="1"/>
  <c r="BK626" i="23"/>
  <c r="BJ626" i="23"/>
  <c r="BL626" i="23" s="1"/>
  <c r="BM626" i="23" s="1"/>
  <c r="BN626" i="23" s="1"/>
  <c r="AZ40" i="23"/>
  <c r="BA40" i="23"/>
  <c r="AZ287" i="23"/>
  <c r="BA287" i="23"/>
  <c r="BL90" i="23"/>
  <c r="BM90" i="23" s="1"/>
  <c r="BN90" i="23" s="1"/>
  <c r="BB548" i="23"/>
  <c r="BC548" i="23" s="1"/>
  <c r="BD548" i="23" s="1"/>
  <c r="AZ248" i="23"/>
  <c r="BA248" i="23"/>
  <c r="AZ121" i="23"/>
  <c r="BB121" i="23" s="1"/>
  <c r="BC121" i="23" s="1"/>
  <c r="BD121" i="23" s="1"/>
  <c r="BA121" i="23"/>
  <c r="BA21" i="23"/>
  <c r="AZ21" i="23"/>
  <c r="BB21" i="23" s="1"/>
  <c r="BC21" i="23" s="1"/>
  <c r="BD21" i="23" s="1"/>
  <c r="BA493" i="23"/>
  <c r="AZ493" i="23"/>
  <c r="BB493" i="23" s="1"/>
  <c r="BC493" i="23" s="1"/>
  <c r="BD493" i="23" s="1"/>
  <c r="BA217" i="23"/>
  <c r="AZ217" i="23"/>
  <c r="BA155" i="23"/>
  <c r="AZ155" i="23"/>
  <c r="BJ585" i="23"/>
  <c r="BL585" i="23" s="1"/>
  <c r="BM585" i="23" s="1"/>
  <c r="BN585" i="23" s="1"/>
  <c r="BK585" i="23"/>
  <c r="BA340" i="23"/>
  <c r="AZ340" i="23"/>
  <c r="BB340" i="23" s="1"/>
  <c r="BC340" i="23" s="1"/>
  <c r="BD340" i="23" s="1"/>
  <c r="AY515" i="23"/>
  <c r="BA306" i="23"/>
  <c r="AZ306" i="23"/>
  <c r="AZ348" i="23"/>
  <c r="BA348" i="23"/>
  <c r="BL50" i="23"/>
  <c r="BM50" i="23" s="1"/>
  <c r="BN50" i="23" s="1"/>
  <c r="BA63" i="23"/>
  <c r="AZ63" i="23"/>
  <c r="AZ59" i="23"/>
  <c r="BB59" i="23" s="1"/>
  <c r="BC59" i="23" s="1"/>
  <c r="BD59" i="23" s="1"/>
  <c r="BA59" i="23"/>
  <c r="BA79" i="23"/>
  <c r="AZ79" i="23"/>
  <c r="BB79" i="23" s="1"/>
  <c r="BC79" i="23" s="1"/>
  <c r="BD79" i="23" s="1"/>
  <c r="AZ53" i="23"/>
  <c r="BA53" i="23"/>
  <c r="BA65" i="23"/>
  <c r="AZ65" i="23"/>
  <c r="BA179" i="23"/>
  <c r="AZ179" i="23"/>
  <c r="AZ153" i="23"/>
  <c r="BA153" i="23"/>
  <c r="AX246" i="23"/>
  <c r="BJ622" i="23"/>
  <c r="BL622" i="23" s="1"/>
  <c r="BM622" i="23" s="1"/>
  <c r="BN622" i="23" s="1"/>
  <c r="BK622" i="23"/>
  <c r="BA286" i="23"/>
  <c r="AZ286" i="23"/>
  <c r="BB286" i="23" s="1"/>
  <c r="BC286" i="23" s="1"/>
  <c r="BD286" i="23" s="1"/>
  <c r="BL321" i="23"/>
  <c r="BM321" i="23" s="1"/>
  <c r="BN321" i="23" s="1"/>
  <c r="BA359" i="23"/>
  <c r="AZ359" i="23"/>
  <c r="BB130" i="23"/>
  <c r="BC130" i="23" s="1"/>
  <c r="BD130" i="23" s="1"/>
  <c r="AZ47" i="23"/>
  <c r="BB47" i="23" s="1"/>
  <c r="BC47" i="23" s="1"/>
  <c r="BD47" i="23" s="1"/>
  <c r="BA47" i="23"/>
  <c r="BB89" i="23"/>
  <c r="BC89" i="23" s="1"/>
  <c r="BD89" i="23" s="1"/>
  <c r="AY552" i="23"/>
  <c r="BA337" i="23"/>
  <c r="AZ337" i="23"/>
  <c r="BA123" i="23"/>
  <c r="AZ123" i="23"/>
  <c r="BB123" i="23" s="1"/>
  <c r="BC123" i="23" s="1"/>
  <c r="BD123" i="23" s="1"/>
  <c r="AZ451" i="23"/>
  <c r="BB451" i="23" s="1"/>
  <c r="BC451" i="23" s="1"/>
  <c r="BD451" i="23" s="1"/>
  <c r="BA451" i="23"/>
  <c r="AZ609" i="23"/>
  <c r="BB609" i="23" s="1"/>
  <c r="BC609" i="23" s="1"/>
  <c r="BD609" i="23" s="1"/>
  <c r="BA609" i="23"/>
  <c r="AZ249" i="23"/>
  <c r="BA249" i="23"/>
  <c r="BA355" i="23"/>
  <c r="AZ355" i="23"/>
  <c r="AZ29" i="23"/>
  <c r="BB29" i="23" s="1"/>
  <c r="BC29" i="23" s="1"/>
  <c r="BD29" i="23" s="1"/>
  <c r="BA29" i="23"/>
  <c r="BL590" i="23"/>
  <c r="BM590" i="23" s="1"/>
  <c r="BN590" i="23" s="1"/>
  <c r="BB180" i="23"/>
  <c r="BC180" i="23" s="1"/>
  <c r="BD180" i="23" s="1"/>
  <c r="BL295" i="23"/>
  <c r="BM295" i="23" s="1"/>
  <c r="BN295" i="23" s="1"/>
  <c r="BA199" i="23"/>
  <c r="AZ199" i="23"/>
  <c r="BA291" i="23"/>
  <c r="AZ291" i="23"/>
  <c r="AZ41" i="23"/>
  <c r="BA41" i="23"/>
  <c r="BA358" i="23"/>
  <c r="AZ358" i="23"/>
  <c r="BA80" i="23"/>
  <c r="AZ80" i="23"/>
  <c r="BB80" i="23" s="1"/>
  <c r="BC80" i="23" s="1"/>
  <c r="BD80" i="23" s="1"/>
  <c r="BA107" i="23"/>
  <c r="AZ107" i="23"/>
  <c r="BB142" i="23"/>
  <c r="BC142" i="23" s="1"/>
  <c r="BD142" i="23" s="1"/>
  <c r="BB186" i="23"/>
  <c r="BC186" i="23" s="1"/>
  <c r="BD186" i="23" s="1"/>
  <c r="AZ626" i="23" l="1"/>
  <c r="BB626" i="23" s="1"/>
  <c r="BC626" i="23" s="1"/>
  <c r="BD626" i="23" s="1"/>
  <c r="BB488" i="23"/>
  <c r="BC488" i="23" s="1"/>
  <c r="BD488" i="23" s="1"/>
  <c r="BA488" i="23"/>
  <c r="BB291" i="23"/>
  <c r="BC291" i="23" s="1"/>
  <c r="BD291" i="23" s="1"/>
  <c r="BB200" i="23"/>
  <c r="BC200" i="23" s="1"/>
  <c r="BD200" i="23" s="1"/>
  <c r="BB107" i="23"/>
  <c r="BC107" i="23" s="1"/>
  <c r="BD107" i="23" s="1"/>
  <c r="BB5" i="23"/>
  <c r="BC5" i="23" s="1"/>
  <c r="BD5" i="23" s="1"/>
  <c r="BB201" i="23"/>
  <c r="BC201" i="23" s="1"/>
  <c r="BD201" i="23" s="1"/>
  <c r="BA622" i="23"/>
  <c r="BB326" i="23"/>
  <c r="BC326" i="23" s="1"/>
  <c r="BD326" i="23" s="1"/>
  <c r="BB152" i="23"/>
  <c r="BC152" i="23" s="1"/>
  <c r="BD152" i="23" s="1"/>
  <c r="BB327" i="23"/>
  <c r="BC327" i="23" s="1"/>
  <c r="BD327" i="23" s="1"/>
  <c r="BB249" i="23"/>
  <c r="BC249" i="23" s="1"/>
  <c r="BD249" i="23" s="1"/>
  <c r="BB110" i="23"/>
  <c r="BC110" i="23" s="1"/>
  <c r="BD110" i="23" s="1"/>
  <c r="BB303" i="23"/>
  <c r="BC303" i="23" s="1"/>
  <c r="BD303" i="23" s="1"/>
  <c r="BB329" i="23"/>
  <c r="BC329" i="23" s="1"/>
  <c r="BD329" i="23" s="1"/>
  <c r="BB218" i="23"/>
  <c r="BC218" i="23" s="1"/>
  <c r="BD218" i="23" s="1"/>
  <c r="BB153" i="23"/>
  <c r="BC153" i="23" s="1"/>
  <c r="BD153" i="23" s="1"/>
  <c r="BB155" i="23"/>
  <c r="BC155" i="23" s="1"/>
  <c r="BD155" i="23" s="1"/>
  <c r="BB359" i="23"/>
  <c r="BC359" i="23" s="1"/>
  <c r="BD359" i="23" s="1"/>
  <c r="BB50" i="23"/>
  <c r="BC50" i="23" s="1"/>
  <c r="BD50" i="23" s="1"/>
  <c r="BB82" i="23"/>
  <c r="BC82" i="23" s="1"/>
  <c r="BD82" i="23" s="1"/>
  <c r="BB215" i="23"/>
  <c r="BC215" i="23" s="1"/>
  <c r="BD215" i="23" s="1"/>
  <c r="BL515" i="23"/>
  <c r="BM515" i="23" s="1"/>
  <c r="BN515" i="23" s="1"/>
  <c r="BR37" i="23" s="1"/>
  <c r="BR39" i="23" s="1"/>
  <c r="BB111" i="23"/>
  <c r="BC111" i="23" s="1"/>
  <c r="BD111" i="23" s="1"/>
  <c r="BB355" i="23"/>
  <c r="BC355" i="23" s="1"/>
  <c r="BD355" i="23" s="1"/>
  <c r="BB40" i="23"/>
  <c r="BC40" i="23" s="1"/>
  <c r="BD40" i="23" s="1"/>
  <c r="AZ552" i="23"/>
  <c r="BB552" i="23" s="1"/>
  <c r="BC552" i="23" s="1"/>
  <c r="BD552" i="23" s="1"/>
  <c r="BB7" i="23"/>
  <c r="BC7" i="23" s="1"/>
  <c r="BD7" i="23" s="1"/>
  <c r="BB63" i="23"/>
  <c r="BC63" i="23" s="1"/>
  <c r="BD63" i="23" s="1"/>
  <c r="BB306" i="23"/>
  <c r="BC306" i="23" s="1"/>
  <c r="BD306" i="23" s="1"/>
  <c r="BB221" i="23"/>
  <c r="BC221" i="23" s="1"/>
  <c r="BD221" i="23" s="1"/>
  <c r="BB41" i="23"/>
  <c r="BC41" i="23" s="1"/>
  <c r="BD41" i="23" s="1"/>
  <c r="BB199" i="23"/>
  <c r="BC199" i="23" s="1"/>
  <c r="BD199" i="23" s="1"/>
  <c r="BB217" i="23"/>
  <c r="BC217" i="23" s="1"/>
  <c r="BD217" i="23" s="1"/>
  <c r="BB53" i="23"/>
  <c r="BC53" i="23" s="1"/>
  <c r="BD53" i="23" s="1"/>
  <c r="BB248" i="23"/>
  <c r="BC248" i="23" s="1"/>
  <c r="BD248" i="23" s="1"/>
  <c r="BB300" i="23"/>
  <c r="BC300" i="23" s="1"/>
  <c r="BD300" i="23" s="1"/>
  <c r="BB436" i="23"/>
  <c r="BC436" i="23" s="1"/>
  <c r="BD436" i="23" s="1"/>
  <c r="BA586" i="23"/>
  <c r="AZ586" i="23"/>
  <c r="BB586" i="23" s="1"/>
  <c r="BC586" i="23" s="1"/>
  <c r="BD586" i="23" s="1"/>
  <c r="BA585" i="23"/>
  <c r="AZ585" i="23"/>
  <c r="BB348" i="23"/>
  <c r="BC348" i="23" s="1"/>
  <c r="BD348" i="23" s="1"/>
  <c r="BB31" i="23"/>
  <c r="BC31" i="23" s="1"/>
  <c r="BD31" i="23" s="1"/>
  <c r="BB241" i="23"/>
  <c r="BC241" i="23" s="1"/>
  <c r="BD241" i="23" s="1"/>
  <c r="BB71" i="23"/>
  <c r="BC71" i="23" s="1"/>
  <c r="BD71" i="23" s="1"/>
  <c r="BB8" i="23"/>
  <c r="BC8" i="23" s="1"/>
  <c r="BD8" i="23" s="1"/>
  <c r="BB514" i="23"/>
  <c r="BC514" i="23" s="1"/>
  <c r="BD514" i="23" s="1"/>
  <c r="BB65" i="23"/>
  <c r="BC65" i="23" s="1"/>
  <c r="BD65" i="23" s="1"/>
  <c r="BA515" i="23"/>
  <c r="AZ515" i="23"/>
  <c r="BB622" i="23"/>
  <c r="BC622" i="23" s="1"/>
  <c r="BD622" i="23" s="1"/>
  <c r="BB287" i="23"/>
  <c r="BC287" i="23" s="1"/>
  <c r="BD287" i="23" s="1"/>
  <c r="BB208" i="23"/>
  <c r="BC208" i="23" s="1"/>
  <c r="BD208" i="23" s="1"/>
  <c r="BA246" i="23"/>
  <c r="AZ246" i="23"/>
  <c r="BB246" i="23" s="1"/>
  <c r="BC246" i="23" s="1"/>
  <c r="BD246" i="23" s="1"/>
  <c r="BB358" i="23"/>
  <c r="BC358" i="23" s="1"/>
  <c r="BD358" i="23" s="1"/>
  <c r="BB337" i="23"/>
  <c r="BC337" i="23" s="1"/>
  <c r="BD337" i="23" s="1"/>
  <c r="BB179" i="23"/>
  <c r="BC179" i="23" s="1"/>
  <c r="BD179" i="23" s="1"/>
  <c r="BB424" i="23"/>
  <c r="BC424" i="23" s="1"/>
  <c r="BD424" i="23" s="1"/>
  <c r="BB297" i="23"/>
  <c r="BC297" i="23" s="1"/>
  <c r="BD297" i="23" s="1"/>
  <c r="BB515" i="23" l="1"/>
  <c r="BC515" i="23" s="1"/>
  <c r="BD515" i="23" s="1"/>
  <c r="BB585" i="23"/>
  <c r="BC585" i="23" s="1"/>
  <c r="BD585" i="23" s="1"/>
</calcChain>
</file>

<file path=xl/sharedStrings.xml><?xml version="1.0" encoding="utf-8"?>
<sst xmlns="http://schemas.openxmlformats.org/spreadsheetml/2006/main" count="5306" uniqueCount="876">
  <si>
    <t>CaO</t>
  </si>
  <si>
    <t>NMR</t>
  </si>
  <si>
    <t>BN0.11</t>
  </si>
  <si>
    <t>BN0.25</t>
  </si>
  <si>
    <t>BN0.50</t>
  </si>
  <si>
    <t>BN0.67</t>
  </si>
  <si>
    <t>NBS2-0.25(33)</t>
  </si>
  <si>
    <t>NBS2-0.50(33)</t>
  </si>
  <si>
    <t>NBS2-0.75(33)</t>
  </si>
  <si>
    <t>NBS2-2.50(33)</t>
  </si>
  <si>
    <t>NBS0.5-0.50(67)</t>
  </si>
  <si>
    <t>NBS4-4.00(20)</t>
  </si>
  <si>
    <t>NBS5.10-1.31(16)</t>
  </si>
  <si>
    <t>sum</t>
  </si>
  <si>
    <t>0Zr10Na</t>
  </si>
  <si>
    <t>4Zr10Na</t>
  </si>
  <si>
    <t>0Ca</t>
  </si>
  <si>
    <t>3Ca</t>
  </si>
  <si>
    <t>6Ca</t>
  </si>
  <si>
    <t>9Ca</t>
  </si>
  <si>
    <t>0Zr</t>
  </si>
  <si>
    <t>1Zr</t>
  </si>
  <si>
    <t>2Zr</t>
  </si>
  <si>
    <t>6Zr</t>
  </si>
  <si>
    <t>8Zr</t>
  </si>
  <si>
    <t>4Zr</t>
  </si>
  <si>
    <t>0Ca0La</t>
  </si>
  <si>
    <t>0Ca1La</t>
  </si>
  <si>
    <t>0Ca2La</t>
  </si>
  <si>
    <t>0Ca4La</t>
  </si>
  <si>
    <t>0Ca8La</t>
  </si>
  <si>
    <t>0Ca10La</t>
  </si>
  <si>
    <t>4Ca0La</t>
  </si>
  <si>
    <t>8Ca0La</t>
  </si>
  <si>
    <t>10Ca0La</t>
  </si>
  <si>
    <t>17O 12La</t>
  </si>
  <si>
    <t>17O 5Ca4La</t>
  </si>
  <si>
    <t>CABS5</t>
  </si>
  <si>
    <t>CABS10</t>
  </si>
  <si>
    <t>CABS20</t>
  </si>
  <si>
    <t>CABS25</t>
  </si>
  <si>
    <t>MgO</t>
  </si>
  <si>
    <t>Na-I</t>
  </si>
  <si>
    <t>Ca-I</t>
  </si>
  <si>
    <t>Mg-I</t>
  </si>
  <si>
    <t>Na-II</t>
  </si>
  <si>
    <t>Ca-II</t>
  </si>
  <si>
    <t>Mg-II</t>
  </si>
  <si>
    <t>LBS</t>
  </si>
  <si>
    <t>NBS</t>
  </si>
  <si>
    <t>LN-BS</t>
  </si>
  <si>
    <t>LK-BS</t>
  </si>
  <si>
    <t>NK-BS</t>
  </si>
  <si>
    <t>HF-1</t>
  </si>
  <si>
    <t>HF-2</t>
  </si>
  <si>
    <t>HF-3</t>
  </si>
  <si>
    <t>HF-4</t>
  </si>
  <si>
    <t>HF-5</t>
  </si>
  <si>
    <t>AB-0</t>
  </si>
  <si>
    <t>AB-5</t>
  </si>
  <si>
    <t>AB-10</t>
  </si>
  <si>
    <t>AB-15</t>
  </si>
  <si>
    <t>AB-20</t>
  </si>
  <si>
    <t>AB-25</t>
  </si>
  <si>
    <t>NB-15</t>
  </si>
  <si>
    <t>NB-25</t>
  </si>
  <si>
    <t>NB-30</t>
  </si>
  <si>
    <t>NB-35</t>
  </si>
  <si>
    <t>NB-40</t>
  </si>
  <si>
    <t>NB-45</t>
  </si>
  <si>
    <t>NB-50</t>
  </si>
  <si>
    <t>B7N20</t>
  </si>
  <si>
    <t>B7N15</t>
  </si>
  <si>
    <t>B7N10</t>
  </si>
  <si>
    <t>B7N00</t>
  </si>
  <si>
    <t>B7N05</t>
  </si>
  <si>
    <t>B21N20</t>
  </si>
  <si>
    <t>B21N15</t>
  </si>
  <si>
    <t>B21N10</t>
  </si>
  <si>
    <t>B21N05</t>
  </si>
  <si>
    <t>B21N00</t>
  </si>
  <si>
    <t>Al0</t>
  </si>
  <si>
    <t>Al1</t>
  </si>
  <si>
    <t>Al5</t>
  </si>
  <si>
    <t>Al10</t>
  </si>
  <si>
    <t>Al2.5</t>
  </si>
  <si>
    <t>Al7.5</t>
  </si>
  <si>
    <t>Al12.5</t>
  </si>
  <si>
    <t>Al15</t>
  </si>
  <si>
    <t>Al17.5</t>
  </si>
  <si>
    <t>Al20</t>
  </si>
  <si>
    <t>LB2</t>
  </si>
  <si>
    <t>NB2</t>
  </si>
  <si>
    <t>KB2</t>
  </si>
  <si>
    <t>BaO</t>
  </si>
  <si>
    <t>NB25</t>
  </si>
  <si>
    <t>NB30</t>
  </si>
  <si>
    <t>NB33</t>
  </si>
  <si>
    <t>NB37.5</t>
  </si>
  <si>
    <t>BB25</t>
  </si>
  <si>
    <t>BB30</t>
  </si>
  <si>
    <t>BB40</t>
  </si>
  <si>
    <t>BB50</t>
  </si>
  <si>
    <t>CB25</t>
  </si>
  <si>
    <t>CB30</t>
  </si>
  <si>
    <t>CB33</t>
  </si>
  <si>
    <t>CB40</t>
  </si>
  <si>
    <t>CB50</t>
  </si>
  <si>
    <t>BB33</t>
  </si>
  <si>
    <t>75B</t>
  </si>
  <si>
    <t>63B-12Si</t>
  </si>
  <si>
    <t>51B-24Si</t>
  </si>
  <si>
    <t>37B-37Si</t>
  </si>
  <si>
    <t>24B-51Si</t>
  </si>
  <si>
    <t>12B-63Si</t>
  </si>
  <si>
    <t>6B-69Si</t>
  </si>
  <si>
    <t>Li10</t>
  </si>
  <si>
    <t>Li15</t>
  </si>
  <si>
    <t>Li20</t>
  </si>
  <si>
    <t>Li25</t>
  </si>
  <si>
    <t>Li30</t>
  </si>
  <si>
    <t>Li35</t>
  </si>
  <si>
    <t>Li40</t>
  </si>
  <si>
    <t>Li48</t>
  </si>
  <si>
    <t>BABS27_FQ</t>
  </si>
  <si>
    <t>BABS21_FQ</t>
  </si>
  <si>
    <t>Cm doped ISG</t>
  </si>
  <si>
    <t>NBF67.18.0</t>
  </si>
  <si>
    <t>NBF67.18.1</t>
  </si>
  <si>
    <t>NBF67.18.1-R12</t>
  </si>
  <si>
    <t>NBF67.18.5-800</t>
  </si>
  <si>
    <t>NBF67.18.5-R5</t>
  </si>
  <si>
    <t>NBF67.18.5-R17</t>
  </si>
  <si>
    <t>NBF67.18.10-R5</t>
  </si>
  <si>
    <t>NBF67.18.10-R15</t>
  </si>
  <si>
    <t>Zr0La</t>
  </si>
  <si>
    <t>Zr1La</t>
  </si>
  <si>
    <t>Zr2La</t>
  </si>
  <si>
    <t>Zr3La</t>
  </si>
  <si>
    <t>K</t>
  </si>
  <si>
    <t>N4</t>
  </si>
  <si>
    <t>SiO2</t>
  </si>
  <si>
    <t>Na2O</t>
  </si>
  <si>
    <t>B2O3</t>
  </si>
  <si>
    <t>BSN</t>
  </si>
  <si>
    <t>BSNC</t>
  </si>
  <si>
    <t>BSNS</t>
  </si>
  <si>
    <t>BSNB</t>
  </si>
  <si>
    <t>SrO</t>
  </si>
  <si>
    <t>NABS-Zr</t>
  </si>
  <si>
    <t>NABS21</t>
  </si>
  <si>
    <t>BS3</t>
  </si>
  <si>
    <t>BS6</t>
  </si>
  <si>
    <t>NAB10</t>
  </si>
  <si>
    <t>NAB15</t>
  </si>
  <si>
    <t>NAB20</t>
  </si>
  <si>
    <t>NAB40</t>
  </si>
  <si>
    <t>NAB60</t>
  </si>
  <si>
    <t>NAB80</t>
  </si>
  <si>
    <t>LiB15</t>
  </si>
  <si>
    <t>LiB10</t>
  </si>
  <si>
    <t>LiB5</t>
  </si>
  <si>
    <t>NBS-K0.5R0.25</t>
  </si>
  <si>
    <t>NBS-K0.5R0.5</t>
  </si>
  <si>
    <t>NBS-K0.5R0.75</t>
  </si>
  <si>
    <t>NBS-K2R0.25</t>
  </si>
  <si>
    <t>NBS-K2R0.5</t>
  </si>
  <si>
    <t>NBS-K2R0.75</t>
  </si>
  <si>
    <t>NBS-K4R0.25</t>
  </si>
  <si>
    <t>NBS-K4R0.5</t>
  </si>
  <si>
    <t>NBS-K4R0.75</t>
  </si>
  <si>
    <t>ISG</t>
  </si>
  <si>
    <t>ISGV</t>
  </si>
  <si>
    <t>ISG-Si</t>
  </si>
  <si>
    <t>BFS</t>
  </si>
  <si>
    <t>BFS-Si</t>
  </si>
  <si>
    <t>BFS-B1</t>
  </si>
  <si>
    <t>BFS-B2</t>
  </si>
  <si>
    <t>BASN1</t>
  </si>
  <si>
    <t>BASN2</t>
  </si>
  <si>
    <t>BASN3</t>
  </si>
  <si>
    <t>BASN4</t>
  </si>
  <si>
    <t>LJ1</t>
  </si>
  <si>
    <t>LJ2</t>
  </si>
  <si>
    <t>LJ3</t>
  </si>
  <si>
    <t>LJ4</t>
  </si>
  <si>
    <t>LJ5</t>
  </si>
  <si>
    <t>LJ6</t>
  </si>
  <si>
    <t>LJ2b Al</t>
  </si>
  <si>
    <t>LJ4b Al free</t>
  </si>
  <si>
    <t>Cs2O</t>
  </si>
  <si>
    <t>U-0</t>
  </si>
  <si>
    <t>U-2</t>
  </si>
  <si>
    <t>U-3</t>
  </si>
  <si>
    <t>U-4</t>
  </si>
  <si>
    <t>U-5</t>
  </si>
  <si>
    <t>UO3</t>
  </si>
  <si>
    <t>Al2O3</t>
  </si>
  <si>
    <t>(NC)BS</t>
  </si>
  <si>
    <t>(NC)ABS</t>
  </si>
  <si>
    <t>S3</t>
  </si>
  <si>
    <t>S4</t>
  </si>
  <si>
    <t>S5</t>
  </si>
  <si>
    <t>S6</t>
  </si>
  <si>
    <t>KBS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</si>
  <si>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</si>
  <si>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</si>
  <si>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</si>
  <si>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</si>
  <si>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</si>
  <si>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</si>
  <si>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</si>
  <si>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</si>
  <si>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</si>
  <si>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SNB-K2.12-R0.43</t>
  </si>
  <si>
    <t>SNB-K2.12-R0.56</t>
  </si>
  <si>
    <t>SNB-K2.12-R0.8</t>
  </si>
  <si>
    <t>SNB-K2.12-R1.06</t>
  </si>
  <si>
    <t>SNB-K2.12-R1.36</t>
  </si>
  <si>
    <t>SNB-K2.12-R0.72</t>
  </si>
  <si>
    <t xml:space="preserve">Pyrex® </t>
  </si>
  <si>
    <t>Bi2O3</t>
  </si>
  <si>
    <t>Bi40B</t>
  </si>
  <si>
    <t>Bi40BSi5</t>
  </si>
  <si>
    <t>Bi40BSi10</t>
  </si>
  <si>
    <t>Bi40BSi20</t>
  </si>
  <si>
    <t>Bi50B</t>
  </si>
  <si>
    <t>Bi50BSi5</t>
  </si>
  <si>
    <t>Bi50BSi10</t>
  </si>
  <si>
    <t>Bi50BSi20</t>
  </si>
  <si>
    <t>Bi50BAl2</t>
  </si>
  <si>
    <t>Bi50BAl4</t>
  </si>
  <si>
    <t>Bi50BAl6</t>
  </si>
  <si>
    <t>Bi50BAl8</t>
  </si>
  <si>
    <t>Bi50BAl2Si5</t>
  </si>
  <si>
    <t>Bi50BAl2Si10</t>
  </si>
  <si>
    <t>Bi50BAl2Si20</t>
  </si>
  <si>
    <t>Bi50BAl4Si5</t>
  </si>
  <si>
    <t>Bi50BAl4Si10</t>
  </si>
  <si>
    <t>Bi50BAl6Si5</t>
  </si>
  <si>
    <t>Bi50BAl6Si10</t>
  </si>
  <si>
    <t>Bi50BAl6Si20</t>
  </si>
  <si>
    <t>Bi50BAl8Si5</t>
  </si>
  <si>
    <t>Bi50BAl8Si10</t>
  </si>
  <si>
    <t>Bi50BAl8Si20</t>
  </si>
  <si>
    <t>Bi50BAl4Si20</t>
  </si>
  <si>
    <t>E-glass</t>
  </si>
  <si>
    <t>Li-R0.1</t>
  </si>
  <si>
    <t>Li-R0.2</t>
  </si>
  <si>
    <t>Li-R0.3</t>
  </si>
  <si>
    <t>Li-R0.4</t>
  </si>
  <si>
    <t>Li-R0.5</t>
  </si>
  <si>
    <t>Li-R0.7</t>
  </si>
  <si>
    <t>Li-R0.9</t>
  </si>
  <si>
    <t>Na-R0.03</t>
  </si>
  <si>
    <t>Na-R0.2</t>
  </si>
  <si>
    <t>Na-R0.4</t>
  </si>
  <si>
    <t>Na-R0.7</t>
  </si>
  <si>
    <t>Na-R0.8</t>
  </si>
  <si>
    <t>K-R0.2</t>
  </si>
  <si>
    <t>K-R0.7</t>
  </si>
  <si>
    <t>Rb-R0.1</t>
  </si>
  <si>
    <t>Rb-R0.2</t>
  </si>
  <si>
    <t>Rb-R0.48</t>
  </si>
  <si>
    <t>Rb-R0.54</t>
  </si>
  <si>
    <t>Rb-R0.7</t>
  </si>
  <si>
    <t>Rb-R0.8</t>
  </si>
  <si>
    <t>Cs-R0.03</t>
  </si>
  <si>
    <t>Cs-R0.1</t>
  </si>
  <si>
    <t>Cs-R0.2</t>
  </si>
  <si>
    <t>Cs-R0.4</t>
  </si>
  <si>
    <t>Cs-R0.54</t>
  </si>
  <si>
    <t>Cs-R0.7</t>
  </si>
  <si>
    <t>Cs-R0.8</t>
  </si>
  <si>
    <t>Cs-R0.9</t>
  </si>
  <si>
    <t>Cs-R1.1</t>
  </si>
  <si>
    <t>Y2O3</t>
  </si>
  <si>
    <t>CABS-20_0.1</t>
  </si>
  <si>
    <t>CABS-43_0.1</t>
  </si>
  <si>
    <t>LABS-43_0.1</t>
  </si>
  <si>
    <t>CABS-20_0.3</t>
  </si>
  <si>
    <t>CABS-43_0.5</t>
  </si>
  <si>
    <t>LABS-43_0.5</t>
  </si>
  <si>
    <t>YABS-43_0.5</t>
  </si>
  <si>
    <t>CABS-43_0.7</t>
  </si>
  <si>
    <t>LABS-43_0.7</t>
  </si>
  <si>
    <t>YABS-43_0.7</t>
  </si>
  <si>
    <t>LAB-33_1.0</t>
  </si>
  <si>
    <t>LAB-47_1.0</t>
  </si>
  <si>
    <t>YABS-43_0.1</t>
  </si>
  <si>
    <t>Ba1M</t>
  </si>
  <si>
    <t>Ca1M</t>
  </si>
  <si>
    <t>Y1M</t>
  </si>
  <si>
    <t>La1M</t>
  </si>
  <si>
    <t>Ba2M</t>
  </si>
  <si>
    <t>Ca2M</t>
  </si>
  <si>
    <t>La2M</t>
  </si>
  <si>
    <t>Y2M</t>
  </si>
  <si>
    <t>La2O3</t>
  </si>
  <si>
    <t>PbO</t>
  </si>
  <si>
    <t>ZnO</t>
  </si>
  <si>
    <t>P2O5</t>
  </si>
  <si>
    <t>TeO2</t>
  </si>
  <si>
    <t>CABS7</t>
  </si>
  <si>
    <t>NABS7</t>
  </si>
  <si>
    <t>CABS21</t>
  </si>
  <si>
    <t>BBS433</t>
  </si>
  <si>
    <t>BBS352</t>
  </si>
  <si>
    <t>BBS252</t>
  </si>
  <si>
    <t>B2</t>
  </si>
  <si>
    <t>B23</t>
  </si>
  <si>
    <t>B3</t>
  </si>
  <si>
    <t>B6</t>
  </si>
  <si>
    <t>B7</t>
  </si>
  <si>
    <t>B9</t>
  </si>
  <si>
    <t>B10</t>
  </si>
  <si>
    <t>B11</t>
  </si>
  <si>
    <t>B1112</t>
  </si>
  <si>
    <t>B12.5</t>
  </si>
  <si>
    <t>B12.5-Mg5</t>
  </si>
  <si>
    <t>B12.5-Mg10</t>
  </si>
  <si>
    <t>B12.5-Sr5</t>
  </si>
  <si>
    <t>B12.5-Sr10</t>
  </si>
  <si>
    <t>B12.5-Mg5-Sr10</t>
  </si>
  <si>
    <t>LiB-90</t>
  </si>
  <si>
    <t>CsB-70</t>
  </si>
  <si>
    <t>CsB-90</t>
  </si>
  <si>
    <t>LiB-70</t>
  </si>
  <si>
    <t>Li2O</t>
  </si>
  <si>
    <t>a1.00</t>
  </si>
  <si>
    <t>a0.75</t>
  </si>
  <si>
    <t>a0.60</t>
  </si>
  <si>
    <t>a0.50</t>
  </si>
  <si>
    <t>a0.40</t>
  </si>
  <si>
    <t>a0.25</t>
  </si>
  <si>
    <t>a0.00</t>
  </si>
  <si>
    <t>b0.75</t>
  </si>
  <si>
    <t>b0.50</t>
  </si>
  <si>
    <t>b0.25</t>
  </si>
  <si>
    <t>b0.00</t>
  </si>
  <si>
    <t>Li-R0.03</t>
  </si>
  <si>
    <t>Cs-R0.32</t>
  </si>
  <si>
    <t>Cs-R0.6</t>
  </si>
  <si>
    <t>Cs-R1.4</t>
  </si>
  <si>
    <t>K2O</t>
  </si>
  <si>
    <t>Rb2O</t>
  </si>
  <si>
    <t>Na</t>
  </si>
  <si>
    <t>Rb</t>
  </si>
  <si>
    <t>Na-R0.1</t>
  </si>
  <si>
    <t>K-R0.54</t>
  </si>
  <si>
    <t>Method</t>
  </si>
  <si>
    <t>XAFS</t>
  </si>
  <si>
    <t>LAWA44</t>
  </si>
  <si>
    <t>LAWABP1</t>
  </si>
  <si>
    <t>HLP-9</t>
  </si>
  <si>
    <t>Neutraon diffraction</t>
  </si>
  <si>
    <t>Cr2O3</t>
  </si>
  <si>
    <t>Fe2O3</t>
  </si>
  <si>
    <t>SO3</t>
  </si>
  <si>
    <t>TiO2</t>
  </si>
  <si>
    <t>ZrO2</t>
  </si>
  <si>
    <t>LAWE-1A</t>
  </si>
  <si>
    <t>LAWE-95A</t>
  </si>
  <si>
    <t>LAWE-290A</t>
  </si>
  <si>
    <t>NeB1</t>
  </si>
  <si>
    <t>NeB2</t>
  </si>
  <si>
    <t>NeB3</t>
  </si>
  <si>
    <t>NeB4</t>
  </si>
  <si>
    <t>Cooling rate</t>
  </si>
  <si>
    <t>Annealing</t>
  </si>
  <si>
    <t>Sample form</t>
  </si>
  <si>
    <t>Pressure</t>
  </si>
  <si>
    <t>Water quench</t>
  </si>
  <si>
    <t>Powder</t>
  </si>
  <si>
    <t>Air quench</t>
  </si>
  <si>
    <t>Atm.</t>
  </si>
  <si>
    <t>0.0001 GPa</t>
  </si>
  <si>
    <t>Annealed</t>
  </si>
  <si>
    <t>Atm</t>
  </si>
  <si>
    <t>Annealed for 2-2.5h at their respective Tg</t>
  </si>
  <si>
    <t>Fast quench</t>
  </si>
  <si>
    <t>Slow cooled</t>
  </si>
  <si>
    <t>BABS27_WQ</t>
  </si>
  <si>
    <t>BABS27_FQ-AN</t>
  </si>
  <si>
    <t>BABS21_WQ</t>
  </si>
  <si>
    <t>BABS21_FQ-AN</t>
  </si>
  <si>
    <t>Slow cooled (1K/min)</t>
  </si>
  <si>
    <t>Crushed not ground</t>
  </si>
  <si>
    <t>Annealed above Tg</t>
  </si>
  <si>
    <t>Annealed 3h at Tg</t>
  </si>
  <si>
    <t>Slow cooling (0.017 °C/s)</t>
  </si>
  <si>
    <t>Annealed at 550 °C</t>
  </si>
  <si>
    <t>Annealed 50 °C below Tg</t>
  </si>
  <si>
    <t>Slow cooled (10 °C/min)</t>
  </si>
  <si>
    <t>2h 450 and 560 °C</t>
  </si>
  <si>
    <t>2h at 570 °C</t>
  </si>
  <si>
    <t>Annealed 50 °C  above Tg</t>
  </si>
  <si>
    <t>water quench without annealing</t>
  </si>
  <si>
    <t>Fast quenched</t>
  </si>
  <si>
    <t>0.1 MPa</t>
  </si>
  <si>
    <t>Annealed at 15-40 K below Tg for 5-12h</t>
  </si>
  <si>
    <t>XANES</t>
  </si>
  <si>
    <t>Note</t>
  </si>
  <si>
    <t>Total iron reported as FeO. FeO was added as a raw material when preperaing glass samples. Wet chemical and Mossbauer spectroscopy analysis show that Fe3+ dominates in most of glasses, except 18.5-R17 and 18.10-R15</t>
  </si>
  <si>
    <t>ZrO2 reported as Zr1/2O</t>
  </si>
  <si>
    <t>du-stebbins</t>
  </si>
  <si>
    <t>K'=[SiO2]/([B2O3]+[Al2O3])</t>
  </si>
  <si>
    <t>R'=([Alk])/([B2O3]+[Al2O3])</t>
  </si>
  <si>
    <t>Alk=[Cs,K,Na,Li]2O</t>
  </si>
  <si>
    <t>R'max=0.5+K'/16</t>
  </si>
  <si>
    <t>R'D1=0.5+K'/4</t>
  </si>
  <si>
    <t>N'4</t>
  </si>
  <si>
    <t>Annealed at 350 °C for 30 min</t>
  </si>
  <si>
    <t>Annealed at 5 °C below Tg</t>
  </si>
  <si>
    <t>Annealed at 500 °C for 1h</t>
  </si>
  <si>
    <t>Annealed at 570 °C for 2h</t>
  </si>
  <si>
    <t>Adj N'4</t>
  </si>
  <si>
    <t>abs Res</t>
  </si>
  <si>
    <t>Modified</t>
  </si>
  <si>
    <t>K'' coef</t>
  </si>
  <si>
    <t>R'' coef</t>
  </si>
  <si>
    <t>Thresholds</t>
  </si>
  <si>
    <t>Rmax cons</t>
  </si>
  <si>
    <t>Rmax slope</t>
  </si>
  <si>
    <t>RD1 const</t>
  </si>
  <si>
    <t>RD1 slope</t>
  </si>
  <si>
    <t>R''max=m+K''*n</t>
  </si>
  <si>
    <t>R''D1=o+K''*p</t>
  </si>
  <si>
    <t>squares</t>
  </si>
  <si>
    <t>Stats</t>
  </si>
  <si>
    <t>SOS</t>
  </si>
  <si>
    <t>SOV</t>
  </si>
  <si>
    <t>R2</t>
  </si>
  <si>
    <t>R''=([Na2O]+x[Li2O]+...)/(a[B2O3]+b[Al2O3]+...)</t>
  </si>
  <si>
    <t>N''4</t>
  </si>
  <si>
    <t>Adj N''4</t>
  </si>
  <si>
    <t>var</t>
  </si>
  <si>
    <r>
      <t>B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3</t>
    </r>
  </si>
  <si>
    <r>
      <t>Al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3</t>
    </r>
  </si>
  <si>
    <r>
      <t>P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5</t>
    </r>
  </si>
  <si>
    <r>
      <t>Fe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3</t>
    </r>
  </si>
  <si>
    <r>
      <t>TiO</t>
    </r>
    <r>
      <rPr>
        <vertAlign val="subscript"/>
        <sz val="12"/>
        <color theme="1"/>
        <rFont val="Times New Roman"/>
        <family val="1"/>
      </rPr>
      <t>2</t>
    </r>
  </si>
  <si>
    <r>
      <t>ZrO</t>
    </r>
    <r>
      <rPr>
        <vertAlign val="subscript"/>
        <sz val="12"/>
        <color theme="1"/>
        <rFont val="Times New Roman"/>
        <family val="1"/>
      </rPr>
      <t>2</t>
    </r>
  </si>
  <si>
    <r>
      <t>HfO</t>
    </r>
    <r>
      <rPr>
        <vertAlign val="subscript"/>
        <sz val="12"/>
        <color theme="1"/>
        <rFont val="Times New Roman"/>
        <family val="1"/>
      </rPr>
      <t>2</t>
    </r>
  </si>
  <si>
    <r>
      <t>Li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</si>
  <si>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K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</si>
  <si>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Cs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</si>
  <si>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Rb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</si>
  <si>
    <r>
      <t>Bi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O</t>
    </r>
    <r>
      <rPr>
        <vertAlign val="subscript"/>
        <sz val="12"/>
        <color theme="1"/>
        <rFont val="Times New Roman"/>
        <family val="1"/>
      </rPr>
      <t>3</t>
    </r>
  </si>
  <si>
    <t>Berstein equation</t>
  </si>
  <si>
    <t>b</t>
  </si>
  <si>
    <t>a</t>
  </si>
  <si>
    <t>c</t>
  </si>
  <si>
    <t>d cons</t>
  </si>
  <si>
    <t>Outlier</t>
  </si>
  <si>
    <t>XL OL Set</t>
  </si>
  <si>
    <t>Alk+AE</t>
  </si>
  <si>
    <t>Si/(Si+B+P+Te)</t>
  </si>
  <si>
    <t>OL</t>
  </si>
  <si>
    <t>valence</t>
  </si>
  <si>
    <t>K''=([SiO2]+e[TeO2])/(a[B2O3]+b[Al2O3]+c[P2O5]+...)</t>
  </si>
  <si>
    <t>d slope / e</t>
  </si>
  <si>
    <t>Glass Name</t>
  </si>
  <si>
    <t>S462.6(5)</t>
  </si>
  <si>
    <t>S462.6(9)</t>
  </si>
  <si>
    <t>S462.6(14)</t>
  </si>
  <si>
    <t>S462.6(18)</t>
  </si>
  <si>
    <t>S462.6(28)</t>
  </si>
  <si>
    <t>S462.6(37)</t>
  </si>
  <si>
    <t>S462.6(46)</t>
  </si>
  <si>
    <t>S464.0(2)</t>
  </si>
  <si>
    <t>S464.0(5)</t>
  </si>
  <si>
    <t>S464.0(7)</t>
  </si>
  <si>
    <t>S464.0(10)</t>
  </si>
  <si>
    <t>S464.0(15)</t>
  </si>
  <si>
    <t>S464.0(19)</t>
  </si>
  <si>
    <t>S464.0(24)</t>
  </si>
  <si>
    <t>S464.0(39)</t>
  </si>
  <si>
    <t>Priven-1</t>
  </si>
  <si>
    <t>Priven-2</t>
  </si>
  <si>
    <t>Priven-3</t>
  </si>
  <si>
    <t>Priven-4</t>
  </si>
  <si>
    <t>a)-R0.11</t>
  </si>
  <si>
    <t>a)-R0.177</t>
  </si>
  <si>
    <t>a)-R0.205</t>
  </si>
  <si>
    <t>a)-R0.250</t>
  </si>
  <si>
    <t>a)-R0.282</t>
  </si>
  <si>
    <t>a)-R0.333</t>
  </si>
  <si>
    <t>a)-R0.370</t>
  </si>
  <si>
    <t>a)-R0.408</t>
  </si>
  <si>
    <t>a)-R0.450</t>
  </si>
  <si>
    <t>a)-R0.5</t>
  </si>
  <si>
    <t>a)-R0.667</t>
  </si>
  <si>
    <t>a)-R1.85</t>
  </si>
  <si>
    <t>a)-R2.0</t>
  </si>
  <si>
    <t>a)-R2.33</t>
  </si>
  <si>
    <t>K1-R0.2</t>
  </si>
  <si>
    <t>K1-R0.32</t>
  </si>
  <si>
    <t>K1-R0.352</t>
  </si>
  <si>
    <t>K1-R0.4</t>
  </si>
  <si>
    <t>K1-R0.5</t>
  </si>
  <si>
    <t>K1-R0.66</t>
  </si>
  <si>
    <t>K1-R0.75</t>
  </si>
  <si>
    <t>K1-R0.86</t>
  </si>
  <si>
    <t>K1-R1</t>
  </si>
  <si>
    <t>K1-R1.5</t>
  </si>
  <si>
    <t>K2-R0.15</t>
  </si>
  <si>
    <t>K2-R0.25</t>
  </si>
  <si>
    <t>K2-R0.33</t>
  </si>
  <si>
    <t>K2-R0.5</t>
  </si>
  <si>
    <t>K2-R0.6</t>
  </si>
  <si>
    <t>K2-R0.636</t>
  </si>
  <si>
    <t>K2-R0.64</t>
  </si>
  <si>
    <t>K2-R0.7</t>
  </si>
  <si>
    <t>K2-R1</t>
  </si>
  <si>
    <t>K2-R1.22</t>
  </si>
  <si>
    <t>K2-R1.7</t>
  </si>
  <si>
    <t>K2-R2</t>
  </si>
  <si>
    <t>K2-R2.26</t>
  </si>
  <si>
    <t>K2-R2.5</t>
  </si>
  <si>
    <t>K2.41-R0.15</t>
  </si>
  <si>
    <t>K2.41-R0.25</t>
  </si>
  <si>
    <t>K2.41-R0.379</t>
  </si>
  <si>
    <t>K2.41-R0.59</t>
  </si>
  <si>
    <t>K2.41-R0.723</t>
  </si>
  <si>
    <t>K2.41-R0.852</t>
  </si>
  <si>
    <t>K2.41-R1.136</t>
  </si>
  <si>
    <t>K2.41-R1.29</t>
  </si>
  <si>
    <t>K2.41-R1.46</t>
  </si>
  <si>
    <t>K2.41-R1.75</t>
  </si>
  <si>
    <t>K2.41-R2.26</t>
  </si>
  <si>
    <t>K3-R0.15</t>
  </si>
  <si>
    <t>K3-R0.25</t>
  </si>
  <si>
    <t>K3-R0.379</t>
  </si>
  <si>
    <t>K3-R0.5</t>
  </si>
  <si>
    <t>K3-R0.545</t>
  </si>
  <si>
    <t>K3-R0.75</t>
  </si>
  <si>
    <t>K3-R1</t>
  </si>
  <si>
    <t>K3-R1.263</t>
  </si>
  <si>
    <t>K3-R1.6</t>
  </si>
  <si>
    <t>K3-R1.7</t>
  </si>
  <si>
    <t>K3-R2.25</t>
  </si>
  <si>
    <t>K4-R0.333</t>
  </si>
  <si>
    <t>K4-R0.714</t>
  </si>
  <si>
    <t>K4-R1</t>
  </si>
  <si>
    <t>K4-R1.153</t>
  </si>
  <si>
    <t>K4-R1.666</t>
  </si>
  <si>
    <t>K4-R2,27</t>
  </si>
  <si>
    <t>K4-R2.56</t>
  </si>
  <si>
    <t>K4-R3</t>
  </si>
  <si>
    <t>K4-R3.88</t>
  </si>
  <si>
    <t>K0.5-R0</t>
  </si>
  <si>
    <t>K0.5-R0.4</t>
  </si>
  <si>
    <t>K0.5-R0.8</t>
  </si>
  <si>
    <t>K0.5-R1.0</t>
  </si>
  <si>
    <t>K0.5-R1.2</t>
  </si>
  <si>
    <t>K2.0-R0.45</t>
  </si>
  <si>
    <t>K2.0-R0.6</t>
  </si>
  <si>
    <t>K2.0-R1.0</t>
  </si>
  <si>
    <t>K2.0-R2.0</t>
  </si>
  <si>
    <t>K2.0-R2.5</t>
  </si>
  <si>
    <t>Cs0</t>
  </si>
  <si>
    <t>Cs2.42</t>
  </si>
  <si>
    <t>Cs3.62</t>
  </si>
  <si>
    <t>Cs4.83</t>
  </si>
  <si>
    <t>Cs7.25</t>
  </si>
  <si>
    <t>Cs9.66</t>
  </si>
  <si>
    <t>Yamashita-Al2-B1-Na2</t>
  </si>
  <si>
    <t>Yamashita-Al1.5-B1.5-Na2</t>
  </si>
  <si>
    <t>Yamashita-AL1-B2-Na2</t>
  </si>
  <si>
    <t>Yamashita-Al0.5-B2.5-Na2</t>
  </si>
  <si>
    <t>Yamashita-B3-Na2</t>
  </si>
  <si>
    <t>Yamashita-B2-Na3</t>
  </si>
  <si>
    <t>Yamashita-Al0.5-B2-Na3</t>
  </si>
  <si>
    <t>Yamashita-Al0.5-B1.5-Na3</t>
  </si>
  <si>
    <t>Yamashita-Al1-B1-Na3</t>
  </si>
  <si>
    <t>Yamashita-Al1.5-B1-Na3</t>
  </si>
  <si>
    <t>Yamashita-Al2-B0.5-Na3</t>
  </si>
  <si>
    <t>Al0.5</t>
  </si>
  <si>
    <t>Al2</t>
  </si>
  <si>
    <t>Al3</t>
  </si>
  <si>
    <t>Pb80</t>
  </si>
  <si>
    <t>Pb70</t>
  </si>
  <si>
    <t>Pb60</t>
  </si>
  <si>
    <t>Pb50</t>
  </si>
  <si>
    <t>Pb40</t>
  </si>
  <si>
    <t>Pb30</t>
  </si>
  <si>
    <t>Pb25</t>
  </si>
  <si>
    <t>5x-0.2y</t>
  </si>
  <si>
    <t>10x-0.2y</t>
  </si>
  <si>
    <t>15x-0.2y</t>
  </si>
  <si>
    <t>5x-0.4y</t>
  </si>
  <si>
    <t>10x-0.4y</t>
  </si>
  <si>
    <t>15x-0.4y</t>
  </si>
  <si>
    <t>5x-0.6y</t>
  </si>
  <si>
    <t>10x-0.6y</t>
  </si>
  <si>
    <t>15x-0.6y</t>
  </si>
  <si>
    <t>K0</t>
  </si>
  <si>
    <t>K8</t>
  </si>
  <si>
    <t>K13</t>
  </si>
  <si>
    <t>K18</t>
  </si>
  <si>
    <t>K23</t>
  </si>
  <si>
    <t>K28</t>
  </si>
  <si>
    <t>K33</t>
  </si>
  <si>
    <t>K38</t>
  </si>
  <si>
    <t>Zhong-Li-0.167</t>
  </si>
  <si>
    <t>Zhong-Li-0.334</t>
  </si>
  <si>
    <t>Zhong-Li-0.5</t>
  </si>
  <si>
    <t>Zhong-Li-0.667</t>
  </si>
  <si>
    <t>Zhong-Li-0.818</t>
  </si>
  <si>
    <t>Zhong-Na-0.167</t>
  </si>
  <si>
    <t>Zhong-Na-0.334</t>
  </si>
  <si>
    <t>Zhong-Na-0.5</t>
  </si>
  <si>
    <t>Zhong-Na-0.667</t>
  </si>
  <si>
    <t>Zhong-Na-0.818</t>
  </si>
  <si>
    <t>Zhong-K-0.167</t>
  </si>
  <si>
    <t>Zhong-K-0.334</t>
  </si>
  <si>
    <t>Zhong-K-0.5</t>
  </si>
  <si>
    <t>Zhong-K-0.667</t>
  </si>
  <si>
    <t>Zhong-K-0.818</t>
  </si>
  <si>
    <t>Zhong-Rb-0.167</t>
  </si>
  <si>
    <t>Zhong-Rb-0.334</t>
  </si>
  <si>
    <t>Zhong-Rb-0.5</t>
  </si>
  <si>
    <t>Zhong-Rb-0.667</t>
  </si>
  <si>
    <t>Zhong-Rb-0.818</t>
  </si>
  <si>
    <t>Zhong-Cs-0.167</t>
  </si>
  <si>
    <t>Zhong-Cs-0.334</t>
  </si>
  <si>
    <t>Zhong-Cs-0.5</t>
  </si>
  <si>
    <t>Zhong-Cs-0.667</t>
  </si>
  <si>
    <t>Zhong-Cs-0.818</t>
  </si>
  <si>
    <t>Silver-Na-0.767</t>
  </si>
  <si>
    <t>Silver-Na-2.17</t>
  </si>
  <si>
    <t>Silver-Na-4.82</t>
  </si>
  <si>
    <t>Silver-Na-10.02</t>
  </si>
  <si>
    <t>Silver-Na-13.66</t>
  </si>
  <si>
    <t>Silver-Na-16.15</t>
  </si>
  <si>
    <t>Silver-Na-19.95</t>
  </si>
  <si>
    <t>Silver-Na-26.31</t>
  </si>
  <si>
    <t>Silver-Na-33.75</t>
  </si>
  <si>
    <t>Svanson-K-7.67</t>
  </si>
  <si>
    <t>Svanson-K-12.24</t>
  </si>
  <si>
    <t>Svanson-K-15.45</t>
  </si>
  <si>
    <t>Svanson-K-22.50</t>
  </si>
  <si>
    <t>Svanson-K-30.53</t>
  </si>
  <si>
    <t>Kroeker-Cs-3.4</t>
  </si>
  <si>
    <t>Kroeker-Cs-9.12</t>
  </si>
  <si>
    <t>Kroeker-Cs-16.54</t>
  </si>
  <si>
    <t>Kroeker-Cs-23.07</t>
  </si>
  <si>
    <t>Kroeker-Cs-24.29</t>
  </si>
  <si>
    <t>Kroeker-Cs-32.31</t>
  </si>
  <si>
    <t>Kroeker-Cs-33.37</t>
  </si>
  <si>
    <t>Kroeker-Cs-35.01</t>
  </si>
  <si>
    <t>1% Al</t>
  </si>
  <si>
    <t>1.5% Al</t>
  </si>
  <si>
    <t>2% Al</t>
  </si>
  <si>
    <t>4% Al</t>
  </si>
  <si>
    <t>Lee-XMa0-non-enriched</t>
  </si>
  <si>
    <t>Lee-XMa0.25-non-enriched</t>
  </si>
  <si>
    <t>Lee-Xa0.5-non-enriched</t>
  </si>
  <si>
    <t>Lee-XMa0.75-non-enriched</t>
  </si>
  <si>
    <t>Lee-XMa1-non-enriched</t>
  </si>
  <si>
    <t>Lee-XRd0.1-non-enriched</t>
  </si>
  <si>
    <t>Lee-XRd0.25-non-enriched</t>
  </si>
  <si>
    <t>Lee-XRd0.5-non-enriched</t>
  </si>
  <si>
    <t>Lee-XRd0.75-non-enriched</t>
  </si>
  <si>
    <t>Lee-XRd1-non-enriched</t>
  </si>
  <si>
    <t>CABS5-0.0001GPa</t>
  </si>
  <si>
    <t>CABS5-1GPa</t>
  </si>
  <si>
    <t>CABS5-2GPa</t>
  </si>
  <si>
    <t>CABS10-0.0001GPa</t>
  </si>
  <si>
    <t>CABS10-1GPa</t>
  </si>
  <si>
    <t>CABS10-2GPa</t>
  </si>
  <si>
    <t>CABS15-0.0001GPa</t>
  </si>
  <si>
    <t>CABS15-1GPa</t>
  </si>
  <si>
    <t>CABS15-2GPa</t>
  </si>
  <si>
    <t>CABS20-0.0001GPa</t>
  </si>
  <si>
    <t>CABS20-1GPa</t>
  </si>
  <si>
    <t>CABS20-2GPa</t>
  </si>
  <si>
    <t>CABS25-0.0001GPa</t>
  </si>
  <si>
    <t>CABS25-1GPa</t>
  </si>
  <si>
    <t>CABS25-2GPa</t>
  </si>
  <si>
    <t>NBS-10-10-80</t>
  </si>
  <si>
    <t>NBS-10-20-80</t>
  </si>
  <si>
    <t>NBS-10-30-60</t>
  </si>
  <si>
    <t>NBS-10-60-30</t>
  </si>
  <si>
    <t>NBS-10-70-20</t>
  </si>
  <si>
    <t>NBS-10-80-10</t>
  </si>
  <si>
    <t>NBS-20-10-70</t>
  </si>
  <si>
    <t>NBS-20-20-60</t>
  </si>
  <si>
    <t>NBS-20-30-50</t>
  </si>
  <si>
    <t>NBS-20-40-40</t>
  </si>
  <si>
    <t>NBS-20-50-30</t>
  </si>
  <si>
    <t>NBS-20-60-20</t>
  </si>
  <si>
    <t>NBS-30-10-60</t>
  </si>
  <si>
    <t>NBS-30-20-50</t>
  </si>
  <si>
    <t>NBS-30-30-40</t>
  </si>
  <si>
    <t>NBS-30-60-10</t>
  </si>
  <si>
    <t>NBS-40-10-50</t>
  </si>
  <si>
    <t>NBS-40-30-30</t>
  </si>
  <si>
    <t>NABS-10-5-10-75</t>
  </si>
  <si>
    <t>NABS-10-5-20-65</t>
  </si>
  <si>
    <t>NABS-10-5-30-60</t>
  </si>
  <si>
    <t>NABS-10-5-35-50</t>
  </si>
  <si>
    <t>NABS-10-5-45-40</t>
  </si>
  <si>
    <t>NABS-10-5-55-30</t>
  </si>
  <si>
    <t>NABS-10-5-65-20</t>
  </si>
  <si>
    <t>NABS-10-5-75-10</t>
  </si>
  <si>
    <t>40L30B30S</t>
  </si>
  <si>
    <t>40L50B10S</t>
  </si>
  <si>
    <t>60L25B15S</t>
  </si>
  <si>
    <t>Lv-K2.0-0.75</t>
  </si>
  <si>
    <t>Lv-Na2.0-0.75</t>
  </si>
  <si>
    <t>Lv-K4.0-0.75</t>
  </si>
  <si>
    <t>Lv-RbNa4.0-0.75</t>
  </si>
  <si>
    <t>Lv-Na4.0-0.75</t>
  </si>
  <si>
    <t>Lv-MgNa4.0-0.75</t>
  </si>
  <si>
    <t>Lv-LiNa2.02.1</t>
  </si>
  <si>
    <t>Lv-Na2.0-0.26</t>
  </si>
  <si>
    <t>Lv-Na2.0-0.5</t>
  </si>
  <si>
    <t>Lv-Na2.0-2.5</t>
  </si>
  <si>
    <t>Lv-Na4.0-1.2</t>
  </si>
  <si>
    <t>Lv-CaNa0.5-0.5</t>
  </si>
  <si>
    <t>Lv-CaNa2.0-0.5</t>
  </si>
  <si>
    <t>Lv-CaNa4.0-1.2</t>
  </si>
  <si>
    <t>Lv-CaNa4.0-2.0</t>
  </si>
  <si>
    <t>Lv-CaNa4.0-3.3</t>
  </si>
  <si>
    <t>DPG0</t>
  </si>
  <si>
    <t>DPG2</t>
  </si>
  <si>
    <t>DPG4</t>
  </si>
  <si>
    <t>DPG6</t>
  </si>
  <si>
    <t>DPG8</t>
  </si>
  <si>
    <t>Li2.0-0.75</t>
  </si>
  <si>
    <t>Na2.0-0.75</t>
  </si>
  <si>
    <t>K2.0-0.75</t>
  </si>
  <si>
    <t>Rb2.0-0.75</t>
  </si>
  <si>
    <t>Mg2.0-0.75</t>
  </si>
  <si>
    <t>Ca2.0-0.75</t>
  </si>
  <si>
    <t>Sr2.0-0.75</t>
  </si>
  <si>
    <t>Ba2.0-0.75</t>
  </si>
  <si>
    <t>Li4.0-0.75</t>
  </si>
  <si>
    <t>Na4.0-0.75</t>
  </si>
  <si>
    <t>K4.0-0.75</t>
  </si>
  <si>
    <t>Rb4.0-0.75</t>
  </si>
  <si>
    <t>Mg4.0-0.75</t>
  </si>
  <si>
    <t>Ca4.0-0.75</t>
  </si>
  <si>
    <t>Sr4.0-0.75</t>
  </si>
  <si>
    <t>Ba4.0-0.75</t>
  </si>
  <si>
    <t>Li2.0-2.1</t>
  </si>
  <si>
    <t>Na2.0-2.1</t>
  </si>
  <si>
    <t>K2.0-2.1</t>
  </si>
  <si>
    <t>Rb2.0-2.1</t>
  </si>
  <si>
    <t>Mg2.0-2.1</t>
  </si>
  <si>
    <t>Ca2.0-2.1</t>
  </si>
  <si>
    <t>Sr2.0-2.1</t>
  </si>
  <si>
    <t>Ba2.0-2.1</t>
  </si>
  <si>
    <t>Li4.0-2.1</t>
  </si>
  <si>
    <t>Na4.0-2.1</t>
  </si>
  <si>
    <t>K4.0-2.1</t>
  </si>
  <si>
    <t>Rb4.0-2.1</t>
  </si>
  <si>
    <t>Mg4.0-2.1</t>
  </si>
  <si>
    <t>Ca4.0-2.1</t>
  </si>
  <si>
    <t>Sr4.0-2.1</t>
  </si>
  <si>
    <t>Ba4.0-2.1</t>
  </si>
  <si>
    <t>pLi4.0-0.75</t>
  </si>
  <si>
    <t>pK4.0-0.75</t>
  </si>
  <si>
    <t>pRb4.0-0.75</t>
  </si>
  <si>
    <t>pLi2.0-2.1</t>
  </si>
  <si>
    <t>pK2.0-2.1</t>
  </si>
  <si>
    <t>pRb2.0-2.1</t>
  </si>
  <si>
    <t>RbNa</t>
  </si>
  <si>
    <t>KNa</t>
  </si>
  <si>
    <t>LiNa</t>
  </si>
  <si>
    <t>BaNa</t>
  </si>
  <si>
    <t>SrNa</t>
  </si>
  <si>
    <t>MgNa</t>
  </si>
  <si>
    <t>MgNa4.0-0.75</t>
  </si>
  <si>
    <t>MgNa4.0-2.1</t>
  </si>
  <si>
    <t>ISG-C</t>
  </si>
  <si>
    <t>ISG-A00</t>
  </si>
  <si>
    <t>ISG-A12</t>
  </si>
  <si>
    <t>ISG-A22</t>
  </si>
  <si>
    <t>ISG-A00N</t>
  </si>
  <si>
    <t>ISG-A11N</t>
  </si>
  <si>
    <t>ISG-A18N</t>
  </si>
  <si>
    <t>ISG-A23N</t>
  </si>
  <si>
    <t>NaBSi1</t>
  </si>
  <si>
    <t>NaBSi2</t>
  </si>
  <si>
    <t>NabSi3</t>
  </si>
  <si>
    <t>NaBSi4</t>
  </si>
  <si>
    <t>NaBSi5</t>
  </si>
  <si>
    <t>BNaSi1</t>
  </si>
  <si>
    <t>BNaSi2</t>
  </si>
  <si>
    <t>BNaSi3</t>
  </si>
  <si>
    <t>BNaSi4</t>
  </si>
  <si>
    <t>BNaSi5</t>
  </si>
  <si>
    <t>0BNCZ</t>
  </si>
  <si>
    <t>5BNCZ</t>
  </si>
  <si>
    <t>10BNCZ</t>
  </si>
  <si>
    <t>15BNCZ</t>
  </si>
  <si>
    <t>20BNCZ</t>
  </si>
  <si>
    <t>RBS</t>
  </si>
  <si>
    <t>CBS</t>
  </si>
  <si>
    <t>LNBS</t>
  </si>
  <si>
    <t>RCBS</t>
  </si>
  <si>
    <t>N26M0</t>
  </si>
  <si>
    <t>N19M8</t>
  </si>
  <si>
    <t>N13M13</t>
  </si>
  <si>
    <t>N8M19</t>
  </si>
  <si>
    <t>N0M12</t>
  </si>
  <si>
    <t>N19C8</t>
  </si>
  <si>
    <t>A0B0</t>
  </si>
  <si>
    <t>HfO2</t>
  </si>
  <si>
    <t>SnO2</t>
  </si>
  <si>
    <t>Sb2O3</t>
  </si>
  <si>
    <t>CoO</t>
  </si>
  <si>
    <t>N4 %</t>
  </si>
  <si>
    <t>FT-IR</t>
  </si>
  <si>
    <t>Water or liquid nitrogen quench</t>
  </si>
  <si>
    <t>Air quenched (20K/min)</t>
  </si>
  <si>
    <t>Furnace cooled (30K/h)</t>
  </si>
  <si>
    <t>"quenched into glasses".. Treating as cold water quench based on https://www.sciencedirect.com/topics/engineering/melt-quenching</t>
  </si>
  <si>
    <t>783°C</t>
  </si>
  <si>
    <t>0.0001Gpa</t>
  </si>
  <si>
    <t>Annealing temp is holding temp for compression experiments. Annealed for 4 hours to reduce thermal stress, beam-bending viscometer measurement made, then annealed for 24h to reach structural equilibrium</t>
  </si>
  <si>
    <t>795°C</t>
  </si>
  <si>
    <t>1GPa</t>
  </si>
  <si>
    <t>810°C</t>
  </si>
  <si>
    <t>2 Gpa</t>
  </si>
  <si>
    <t>740°C</t>
  </si>
  <si>
    <t>745°C</t>
  </si>
  <si>
    <t>760°C</t>
  </si>
  <si>
    <t>710°C</t>
  </si>
  <si>
    <t>720°C</t>
  </si>
  <si>
    <t>681°C</t>
  </si>
  <si>
    <t>690°C</t>
  </si>
  <si>
    <t>657°C</t>
  </si>
  <si>
    <t>670°C</t>
  </si>
  <si>
    <t>course annealed then BBV and re-anneal at measured anneal point</t>
  </si>
  <si>
    <t>usual melt-quench method'.. Treating as cold water quench based on https://www.sciencedirect.com/topics/engineering/melt-quenching</t>
  </si>
  <si>
    <t>glass flake</t>
  </si>
  <si>
    <t>atm</t>
  </si>
  <si>
    <t>N4 values also obtained via AIMD, DBX, CMD0300, CMD700, Rapidly cooled using rollout machine</t>
  </si>
  <si>
    <t>680 C for 2h</t>
  </si>
  <si>
    <t>La glass is missing from  initial composition table but included in N4 measures, typo in comp table?</t>
  </si>
  <si>
    <t>Some N4 NMR data from Lv et al. 2022. MD data also in paper</t>
  </si>
  <si>
    <t>annealed for 20 min</t>
  </si>
  <si>
    <t>N4 data also simulated by MD, YBDX</t>
  </si>
  <si>
    <t>Air quench 0.5-1CC/min</t>
  </si>
  <si>
    <t>annealed at 450-600C</t>
  </si>
  <si>
    <t>1C/min</t>
  </si>
  <si>
    <t>370C for 3h</t>
  </si>
  <si>
    <t>FT-IR Spectroscapy instead of NMR - does this make sense?</t>
  </si>
  <si>
    <t>Air quench for 10h</t>
  </si>
  <si>
    <t>Tg-20C for 30min</t>
  </si>
  <si>
    <t>Quenched between 2 metal plates rapid quenching essential to reduce sub-liquidus phase separation</t>
  </si>
  <si>
    <t>Tg+20C for 1.5h</t>
  </si>
  <si>
    <t>quenched on fall plate</t>
  </si>
  <si>
    <t>for K''</t>
  </si>
  <si>
    <t>for R''</t>
  </si>
  <si>
    <t>max</t>
  </si>
  <si>
    <r>
      <t>K''=([SiO2]</t>
    </r>
    <r>
      <rPr>
        <sz val="9.6"/>
        <color rgb="FFFF0000"/>
        <rFont val="Times New Roman"/>
        <family val="1"/>
      </rPr>
      <t>+e[TeO2]</t>
    </r>
    <r>
      <rPr>
        <sz val="12"/>
        <color theme="1"/>
        <rFont val="Times New Roman"/>
        <family val="1"/>
      </rPr>
      <t>)/(a[B2O3]+b[Al2O3]+c[P2O5]+...)</t>
    </r>
  </si>
  <si>
    <t>i</t>
  </si>
  <si>
    <t>d</t>
  </si>
  <si>
    <t>e</t>
  </si>
  <si>
    <t>f</t>
  </si>
  <si>
    <t>g</t>
  </si>
  <si>
    <t>h</t>
  </si>
  <si>
    <t>j</t>
  </si>
  <si>
    <t>k</t>
  </si>
  <si>
    <t>l</t>
  </si>
  <si>
    <t>m</t>
  </si>
  <si>
    <t>x</t>
  </si>
  <si>
    <t>y</t>
  </si>
  <si>
    <t>z</t>
  </si>
  <si>
    <t>rounded</t>
  </si>
  <si>
    <t>original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</si>
</sst>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.6"/>
      <color rgb="FFFF0000"/>
      <name val="Times New Roman"/>
      <family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7F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1" fillId="5" borderId="0" xfId="0" applyFont="1" applyFill="1" applyAlignment="1">
      <alignment horizontal="left" vertical="center" indent="2"/>
    </xf>
    <xf numFmtId="0" fontId="3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1" fillId="0" borderId="0" xfId="1" applyNumberFormat="1" applyFont="1" applyAlignment="1">
      <alignment horizontal="left" vertical="center"/>
    </xf>
    <xf numFmtId="165" fontId="1" fillId="0" borderId="0" xfId="1" applyNumberFormat="1" applyFont="1" applyAlignment="1">
      <alignment horizontal="center" vertical="center"/>
    </xf>
    <xf numFmtId="0" fontId="0" fillId="6" borderId="0" xfId="0" applyFill="1"/>
    <xf numFmtId="0" fontId="8" fillId="0" borderId="0" xfId="0" applyFont="1" applyAlignment="1">
      <alignment horizontal="right" vertic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7FE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'DS model'!$BM$1</c:f>
              <c:strCache>
                <c:ptCount val="1"/>
                <c:pt idx="0">
                  <c:v>Adj N''4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model'!$AV$2:$AV$787</c:f>
              <c:numCache>
                <c:formatCode>General</c:formatCode>
                <c:ptCount val="786"/>
                <c:pt idx="0">
                  <c:v>0.16899999999999998</c:v>
                </c:pt>
                <c:pt idx="1">
                  <c:v>0.26</c:v>
                </c:pt>
                <c:pt idx="2">
                  <c:v>0.29499999999999998</c:v>
                </c:pt>
                <c:pt idx="3">
                  <c:v>0.316</c:v>
                </c:pt>
                <c:pt idx="4">
                  <c:v>0.33500000000000002</c:v>
                </c:pt>
                <c:pt idx="5">
                  <c:v>0.34</c:v>
                </c:pt>
                <c:pt idx="6">
                  <c:v>0.33399999999999996</c:v>
                </c:pt>
                <c:pt idx="7">
                  <c:v>0.36499999999999999</c:v>
                </c:pt>
                <c:pt idx="8">
                  <c:v>0.38799999999999996</c:v>
                </c:pt>
                <c:pt idx="9">
                  <c:v>0.41100000000000003</c:v>
                </c:pt>
                <c:pt idx="10">
                  <c:v>0.42399999999999999</c:v>
                </c:pt>
                <c:pt idx="11">
                  <c:v>0.43200000000000005</c:v>
                </c:pt>
                <c:pt idx="12">
                  <c:v>0.433</c:v>
                </c:pt>
                <c:pt idx="13">
                  <c:v>0.433</c:v>
                </c:pt>
                <c:pt idx="14">
                  <c:v>0.41899999999999998</c:v>
                </c:pt>
                <c:pt idx="15">
                  <c:v>0.11599999999999999</c:v>
                </c:pt>
                <c:pt idx="16">
                  <c:v>0.32</c:v>
                </c:pt>
                <c:pt idx="17">
                  <c:v>0.43</c:v>
                </c:pt>
                <c:pt idx="18">
                  <c:v>0.43799999999999994</c:v>
                </c:pt>
                <c:pt idx="19">
                  <c:v>0.23</c:v>
                </c:pt>
                <c:pt idx="20">
                  <c:v>0.45</c:v>
                </c:pt>
                <c:pt idx="21">
                  <c:v>0.58099999999999996</c:v>
                </c:pt>
                <c:pt idx="22">
                  <c:v>0.35</c:v>
                </c:pt>
                <c:pt idx="23">
                  <c:v>0.42</c:v>
                </c:pt>
                <c:pt idx="24">
                  <c:v>0.83</c:v>
                </c:pt>
                <c:pt idx="25">
                  <c:v>0.38</c:v>
                </c:pt>
                <c:pt idx="26">
                  <c:v>0.61</c:v>
                </c:pt>
                <c:pt idx="27">
                  <c:v>0.47</c:v>
                </c:pt>
                <c:pt idx="28">
                  <c:v>0.73</c:v>
                </c:pt>
                <c:pt idx="29">
                  <c:v>0.67</c:v>
                </c:pt>
                <c:pt idx="30">
                  <c:v>0.61</c:v>
                </c:pt>
                <c:pt idx="31">
                  <c:v>0.51</c:v>
                </c:pt>
                <c:pt idx="32">
                  <c:v>0.73</c:v>
                </c:pt>
                <c:pt idx="33">
                  <c:v>0.71</c:v>
                </c:pt>
                <c:pt idx="34">
                  <c:v>0.68</c:v>
                </c:pt>
                <c:pt idx="35">
                  <c:v>0.64</c:v>
                </c:pt>
                <c:pt idx="36">
                  <c:v>0.56000000000000005</c:v>
                </c:pt>
                <c:pt idx="37">
                  <c:v>0.53</c:v>
                </c:pt>
                <c:pt idx="38">
                  <c:v>0.71</c:v>
                </c:pt>
                <c:pt idx="39">
                  <c:v>0.66</c:v>
                </c:pt>
                <c:pt idx="40">
                  <c:v>0.62</c:v>
                </c:pt>
                <c:pt idx="41">
                  <c:v>0.52</c:v>
                </c:pt>
                <c:pt idx="42">
                  <c:v>0.41</c:v>
                </c:pt>
                <c:pt idx="43">
                  <c:v>0.35</c:v>
                </c:pt>
                <c:pt idx="44">
                  <c:v>0.64</c:v>
                </c:pt>
                <c:pt idx="45">
                  <c:v>0.56999999999999995</c:v>
                </c:pt>
                <c:pt idx="46">
                  <c:v>0.53</c:v>
                </c:pt>
                <c:pt idx="47">
                  <c:v>0.56999999999999995</c:v>
                </c:pt>
                <c:pt idx="48">
                  <c:v>0.54</c:v>
                </c:pt>
                <c:pt idx="49">
                  <c:v>0.04</c:v>
                </c:pt>
                <c:pt idx="50">
                  <c:v>0.04</c:v>
                </c:pt>
                <c:pt idx="51">
                  <c:v>0.06</c:v>
                </c:pt>
                <c:pt idx="52">
                  <c:v>7.0000000000000007E-2</c:v>
                </c:pt>
                <c:pt idx="53">
                  <c:v>2.6000000000000002E-2</c:v>
                </c:pt>
                <c:pt idx="54">
                  <c:v>0.10800000000000001</c:v>
                </c:pt>
                <c:pt idx="55">
                  <c:v>0.08</c:v>
                </c:pt>
                <c:pt idx="56">
                  <c:v>0.13699999999999998</c:v>
                </c:pt>
                <c:pt idx="57">
                  <c:v>0.12</c:v>
                </c:pt>
                <c:pt idx="58">
                  <c:v>8.900000000000001E-2</c:v>
                </c:pt>
                <c:pt idx="59">
                  <c:v>0.45</c:v>
                </c:pt>
                <c:pt idx="60">
                  <c:v>0.56700000000000006</c:v>
                </c:pt>
                <c:pt idx="61">
                  <c:v>0.6</c:v>
                </c:pt>
                <c:pt idx="62">
                  <c:v>0.55200000000000005</c:v>
                </c:pt>
                <c:pt idx="63">
                  <c:v>0.52300000000000002</c:v>
                </c:pt>
                <c:pt idx="64">
                  <c:v>0.55700000000000005</c:v>
                </c:pt>
                <c:pt idx="65">
                  <c:v>0.755</c:v>
                </c:pt>
                <c:pt idx="66">
                  <c:v>0.72400000000000009</c:v>
                </c:pt>
                <c:pt idx="67">
                  <c:v>0.69700000000000006</c:v>
                </c:pt>
                <c:pt idx="68">
                  <c:v>0.65400000000000003</c:v>
                </c:pt>
                <c:pt idx="69">
                  <c:v>0.60199999999999998</c:v>
                </c:pt>
                <c:pt idx="70">
                  <c:v>0.29499999999999998</c:v>
                </c:pt>
                <c:pt idx="71">
                  <c:v>0.24199999999999999</c:v>
                </c:pt>
                <c:pt idx="72">
                  <c:v>0.185</c:v>
                </c:pt>
                <c:pt idx="73">
                  <c:v>0.13600000000000001</c:v>
                </c:pt>
                <c:pt idx="74">
                  <c:v>0.1</c:v>
                </c:pt>
                <c:pt idx="75">
                  <c:v>0.08</c:v>
                </c:pt>
                <c:pt idx="76">
                  <c:v>9.4E-2</c:v>
                </c:pt>
                <c:pt idx="77">
                  <c:v>0.13100000000000001</c:v>
                </c:pt>
                <c:pt idx="78">
                  <c:v>0.19399999999999998</c:v>
                </c:pt>
                <c:pt idx="79">
                  <c:v>0.22800000000000001</c:v>
                </c:pt>
                <c:pt idx="80">
                  <c:v>0.18600000000000003</c:v>
                </c:pt>
                <c:pt idx="81">
                  <c:v>0.12300000000000001</c:v>
                </c:pt>
                <c:pt idx="82">
                  <c:v>0.04</c:v>
                </c:pt>
                <c:pt idx="83">
                  <c:v>0.62</c:v>
                </c:pt>
                <c:pt idx="84">
                  <c:v>0.44</c:v>
                </c:pt>
                <c:pt idx="85">
                  <c:v>0.28000000000000003</c:v>
                </c:pt>
                <c:pt idx="86">
                  <c:v>0.19</c:v>
                </c:pt>
                <c:pt idx="87">
                  <c:v>0.15</c:v>
                </c:pt>
                <c:pt idx="88">
                  <c:v>0.51</c:v>
                </c:pt>
                <c:pt idx="89">
                  <c:v>0.36</c:v>
                </c:pt>
                <c:pt idx="90">
                  <c:v>0.32</c:v>
                </c:pt>
                <c:pt idx="91">
                  <c:v>0.27</c:v>
                </c:pt>
                <c:pt idx="92">
                  <c:v>0.21</c:v>
                </c:pt>
                <c:pt idx="93">
                  <c:v>0.94900000000000007</c:v>
                </c:pt>
                <c:pt idx="94">
                  <c:v>0.93200000000000005</c:v>
                </c:pt>
                <c:pt idx="95">
                  <c:v>0.94599999999999995</c:v>
                </c:pt>
                <c:pt idx="96">
                  <c:v>0.91599999999999993</c:v>
                </c:pt>
                <c:pt idx="97">
                  <c:v>0.83099999999999996</c:v>
                </c:pt>
                <c:pt idx="98">
                  <c:v>0.74400000000000011</c:v>
                </c:pt>
                <c:pt idx="99">
                  <c:v>0.436</c:v>
                </c:pt>
                <c:pt idx="100">
                  <c:v>0.19899999999999998</c:v>
                </c:pt>
                <c:pt idx="101">
                  <c:v>0.01</c:v>
                </c:pt>
                <c:pt idx="102">
                  <c:v>8.0000000000000002E-3</c:v>
                </c:pt>
                <c:pt idx="103">
                  <c:v>0.46</c:v>
                </c:pt>
                <c:pt idx="104">
                  <c:v>0.43</c:v>
                </c:pt>
                <c:pt idx="105">
                  <c:v>0.4</c:v>
                </c:pt>
                <c:pt idx="106">
                  <c:v>0.35100000000000003</c:v>
                </c:pt>
                <c:pt idx="107">
                  <c:v>0.41600000000000004</c:v>
                </c:pt>
                <c:pt idx="108">
                  <c:v>0.434</c:v>
                </c:pt>
                <c:pt idx="109">
                  <c:v>0.41100000000000003</c:v>
                </c:pt>
                <c:pt idx="110">
                  <c:v>0.34100000000000003</c:v>
                </c:pt>
                <c:pt idx="111">
                  <c:v>0.39500000000000002</c:v>
                </c:pt>
                <c:pt idx="112">
                  <c:v>0.43099999999999999</c:v>
                </c:pt>
                <c:pt idx="113">
                  <c:v>0.44500000000000001</c:v>
                </c:pt>
                <c:pt idx="114">
                  <c:v>0.35899999999999999</c:v>
                </c:pt>
                <c:pt idx="115">
                  <c:v>0.32899999999999996</c:v>
                </c:pt>
                <c:pt idx="116">
                  <c:v>0.36700000000000005</c:v>
                </c:pt>
                <c:pt idx="117">
                  <c:v>0.39399999999999996</c:v>
                </c:pt>
                <c:pt idx="118">
                  <c:v>0.41899999999999998</c:v>
                </c:pt>
                <c:pt idx="119">
                  <c:v>0.38299999999999995</c:v>
                </c:pt>
                <c:pt idx="120">
                  <c:v>0.39899999999999997</c:v>
                </c:pt>
                <c:pt idx="121">
                  <c:v>0.45299999999999996</c:v>
                </c:pt>
                <c:pt idx="122">
                  <c:v>0.48899999999999999</c:v>
                </c:pt>
                <c:pt idx="123">
                  <c:v>0.53500000000000003</c:v>
                </c:pt>
                <c:pt idx="124">
                  <c:v>0.65500000000000003</c:v>
                </c:pt>
                <c:pt idx="125">
                  <c:v>0.75800000000000001</c:v>
                </c:pt>
                <c:pt idx="126">
                  <c:v>0.80799999999999994</c:v>
                </c:pt>
                <c:pt idx="127">
                  <c:v>0.11199999999999999</c:v>
                </c:pt>
                <c:pt idx="128">
                  <c:v>0.17699999999999999</c:v>
                </c:pt>
                <c:pt idx="129">
                  <c:v>0.25</c:v>
                </c:pt>
                <c:pt idx="130">
                  <c:v>0.32899999999999996</c:v>
                </c:pt>
                <c:pt idx="131">
                  <c:v>0.39700000000000002</c:v>
                </c:pt>
                <c:pt idx="132">
                  <c:v>0.42899999999999999</c:v>
                </c:pt>
                <c:pt idx="133">
                  <c:v>0.434</c:v>
                </c:pt>
                <c:pt idx="134">
                  <c:v>0.38400000000000001</c:v>
                </c:pt>
                <c:pt idx="135">
                  <c:v>0.27</c:v>
                </c:pt>
                <c:pt idx="136">
                  <c:v>0.30399999999999999</c:v>
                </c:pt>
                <c:pt idx="137">
                  <c:v>0.40700000000000003</c:v>
                </c:pt>
                <c:pt idx="138">
                  <c:v>0.28800000000000003</c:v>
                </c:pt>
                <c:pt idx="139">
                  <c:v>0.32</c:v>
                </c:pt>
                <c:pt idx="140">
                  <c:v>0.35600000000000004</c:v>
                </c:pt>
                <c:pt idx="141">
                  <c:v>0.57999999999999996</c:v>
                </c:pt>
                <c:pt idx="142">
                  <c:v>0.71</c:v>
                </c:pt>
                <c:pt idx="143">
                  <c:v>0.7</c:v>
                </c:pt>
                <c:pt idx="144">
                  <c:v>0.75</c:v>
                </c:pt>
                <c:pt idx="145">
                  <c:v>0.7</c:v>
                </c:pt>
                <c:pt idx="146">
                  <c:v>0.72</c:v>
                </c:pt>
                <c:pt idx="147">
                  <c:v>0.76</c:v>
                </c:pt>
                <c:pt idx="148">
                  <c:v>0.68</c:v>
                </c:pt>
                <c:pt idx="149">
                  <c:v>0.74</c:v>
                </c:pt>
                <c:pt idx="150">
                  <c:v>0.46600000000000003</c:v>
                </c:pt>
                <c:pt idx="151">
                  <c:v>0.41600000000000004</c:v>
                </c:pt>
                <c:pt idx="152">
                  <c:v>0.37</c:v>
                </c:pt>
                <c:pt idx="153">
                  <c:v>0.29199999999999998</c:v>
                </c:pt>
                <c:pt idx="154">
                  <c:v>0.64</c:v>
                </c:pt>
                <c:pt idx="155">
                  <c:v>0.61</c:v>
                </c:pt>
                <c:pt idx="156">
                  <c:v>0.6</c:v>
                </c:pt>
                <c:pt idx="157">
                  <c:v>0.66</c:v>
                </c:pt>
                <c:pt idx="158">
                  <c:v>0.64</c:v>
                </c:pt>
                <c:pt idx="159">
                  <c:v>0.61</c:v>
                </c:pt>
                <c:pt idx="160">
                  <c:v>0.62</c:v>
                </c:pt>
                <c:pt idx="161">
                  <c:v>0.63</c:v>
                </c:pt>
                <c:pt idx="162">
                  <c:v>0.22</c:v>
                </c:pt>
                <c:pt idx="163">
                  <c:v>0.45</c:v>
                </c:pt>
                <c:pt idx="164">
                  <c:v>0.73699999999999999</c:v>
                </c:pt>
                <c:pt idx="165">
                  <c:v>0.49399999999999999</c:v>
                </c:pt>
                <c:pt idx="166">
                  <c:v>0.01</c:v>
                </c:pt>
                <c:pt idx="167">
                  <c:v>0.05</c:v>
                </c:pt>
                <c:pt idx="168">
                  <c:v>0.02</c:v>
                </c:pt>
                <c:pt idx="169">
                  <c:v>0.16</c:v>
                </c:pt>
                <c:pt idx="170">
                  <c:v>0.67</c:v>
                </c:pt>
                <c:pt idx="171">
                  <c:v>0.24</c:v>
                </c:pt>
                <c:pt idx="172">
                  <c:v>0.85</c:v>
                </c:pt>
                <c:pt idx="173">
                  <c:v>0.5</c:v>
                </c:pt>
                <c:pt idx="174">
                  <c:v>0.39</c:v>
                </c:pt>
                <c:pt idx="175">
                  <c:v>0.64</c:v>
                </c:pt>
                <c:pt idx="176">
                  <c:v>0.77</c:v>
                </c:pt>
                <c:pt idx="177">
                  <c:v>0.7</c:v>
                </c:pt>
                <c:pt idx="178">
                  <c:v>0.72</c:v>
                </c:pt>
                <c:pt idx="179">
                  <c:v>0.42</c:v>
                </c:pt>
                <c:pt idx="180">
                  <c:v>0.51</c:v>
                </c:pt>
                <c:pt idx="181">
                  <c:v>0.28000000000000003</c:v>
                </c:pt>
                <c:pt idx="182">
                  <c:v>0.28000000000000003</c:v>
                </c:pt>
                <c:pt idx="183">
                  <c:v>0.34</c:v>
                </c:pt>
                <c:pt idx="184">
                  <c:v>0.28000000000000003</c:v>
                </c:pt>
                <c:pt idx="185">
                  <c:v>0.41</c:v>
                </c:pt>
                <c:pt idx="186">
                  <c:v>0.38</c:v>
                </c:pt>
                <c:pt idx="187">
                  <c:v>0.48</c:v>
                </c:pt>
                <c:pt idx="188">
                  <c:v>0.59</c:v>
                </c:pt>
                <c:pt idx="189">
                  <c:v>0.59</c:v>
                </c:pt>
                <c:pt idx="190">
                  <c:v>0.67</c:v>
                </c:pt>
                <c:pt idx="191">
                  <c:v>0.3</c:v>
                </c:pt>
                <c:pt idx="192">
                  <c:v>0.55000000000000004</c:v>
                </c:pt>
                <c:pt idx="193">
                  <c:v>0.26</c:v>
                </c:pt>
                <c:pt idx="194">
                  <c:v>0.32</c:v>
                </c:pt>
                <c:pt idx="195">
                  <c:v>0.38</c:v>
                </c:pt>
                <c:pt idx="196">
                  <c:v>0.45</c:v>
                </c:pt>
                <c:pt idx="197">
                  <c:v>0.45</c:v>
                </c:pt>
                <c:pt idx="198">
                  <c:v>0.7</c:v>
                </c:pt>
                <c:pt idx="199">
                  <c:v>0.73</c:v>
                </c:pt>
                <c:pt idx="200">
                  <c:v>0.5</c:v>
                </c:pt>
                <c:pt idx="201">
                  <c:v>0.68</c:v>
                </c:pt>
                <c:pt idx="202">
                  <c:v>0.33</c:v>
                </c:pt>
                <c:pt idx="203">
                  <c:v>0.27</c:v>
                </c:pt>
                <c:pt idx="204">
                  <c:v>0.35</c:v>
                </c:pt>
                <c:pt idx="205">
                  <c:v>0.43</c:v>
                </c:pt>
                <c:pt idx="206">
                  <c:v>0.44</c:v>
                </c:pt>
                <c:pt idx="207">
                  <c:v>0.62</c:v>
                </c:pt>
                <c:pt idx="208">
                  <c:v>0.5</c:v>
                </c:pt>
                <c:pt idx="209">
                  <c:v>0.56999999999999995</c:v>
                </c:pt>
                <c:pt idx="210">
                  <c:v>0.39</c:v>
                </c:pt>
                <c:pt idx="211">
                  <c:v>0.45</c:v>
                </c:pt>
                <c:pt idx="212">
                  <c:v>0.4</c:v>
                </c:pt>
                <c:pt idx="213">
                  <c:v>0.3</c:v>
                </c:pt>
                <c:pt idx="214">
                  <c:v>0.44</c:v>
                </c:pt>
                <c:pt idx="215">
                  <c:v>0.49</c:v>
                </c:pt>
                <c:pt idx="216">
                  <c:v>0.6</c:v>
                </c:pt>
                <c:pt idx="217">
                  <c:v>0.18</c:v>
                </c:pt>
                <c:pt idx="218">
                  <c:v>0.55000000000000004</c:v>
                </c:pt>
                <c:pt idx="219">
                  <c:v>0.5</c:v>
                </c:pt>
                <c:pt idx="220">
                  <c:v>0.11599999999999999</c:v>
                </c:pt>
                <c:pt idx="221">
                  <c:v>0.16</c:v>
                </c:pt>
                <c:pt idx="222">
                  <c:v>0.22500000000000001</c:v>
                </c:pt>
                <c:pt idx="223">
                  <c:v>0.28000000000000003</c:v>
                </c:pt>
                <c:pt idx="224">
                  <c:v>0.27500000000000002</c:v>
                </c:pt>
                <c:pt idx="225">
                  <c:v>0.38</c:v>
                </c:pt>
                <c:pt idx="226">
                  <c:v>0.34</c:v>
                </c:pt>
                <c:pt idx="227">
                  <c:v>0.38</c:v>
                </c:pt>
                <c:pt idx="228">
                  <c:v>0.42</c:v>
                </c:pt>
                <c:pt idx="229">
                  <c:v>0.43</c:v>
                </c:pt>
                <c:pt idx="230">
                  <c:v>0.44500000000000001</c:v>
                </c:pt>
                <c:pt idx="231">
                  <c:v>9.7000000000000017E-2</c:v>
                </c:pt>
                <c:pt idx="232">
                  <c:v>0.08</c:v>
                </c:pt>
                <c:pt idx="233">
                  <c:v>2.8999999999999998E-2</c:v>
                </c:pt>
                <c:pt idx="234">
                  <c:v>0.11</c:v>
                </c:pt>
                <c:pt idx="235">
                  <c:v>0.21</c:v>
                </c:pt>
                <c:pt idx="236">
                  <c:v>0.33</c:v>
                </c:pt>
                <c:pt idx="237">
                  <c:v>0.45</c:v>
                </c:pt>
                <c:pt idx="238">
                  <c:v>0.5</c:v>
                </c:pt>
                <c:pt idx="239">
                  <c:v>0.49</c:v>
                </c:pt>
                <c:pt idx="240">
                  <c:v>0.47</c:v>
                </c:pt>
                <c:pt idx="241">
                  <c:v>0.45</c:v>
                </c:pt>
                <c:pt idx="242">
                  <c:v>0.41</c:v>
                </c:pt>
                <c:pt idx="243">
                  <c:v>0.12</c:v>
                </c:pt>
                <c:pt idx="244">
                  <c:v>0.22</c:v>
                </c:pt>
                <c:pt idx="245">
                  <c:v>0.35</c:v>
                </c:pt>
                <c:pt idx="246">
                  <c:v>0.45</c:v>
                </c:pt>
                <c:pt idx="247">
                  <c:v>0.54</c:v>
                </c:pt>
                <c:pt idx="248">
                  <c:v>0.55000000000000004</c:v>
                </c:pt>
                <c:pt idx="249">
                  <c:v>0.54</c:v>
                </c:pt>
                <c:pt idx="250">
                  <c:v>0.54</c:v>
                </c:pt>
                <c:pt idx="251">
                  <c:v>0.51</c:v>
                </c:pt>
                <c:pt idx="252">
                  <c:v>0.47</c:v>
                </c:pt>
                <c:pt idx="253">
                  <c:v>0.38</c:v>
                </c:pt>
                <c:pt idx="254">
                  <c:v>0.2</c:v>
                </c:pt>
                <c:pt idx="255">
                  <c:v>0.31</c:v>
                </c:pt>
                <c:pt idx="256">
                  <c:v>0.45</c:v>
                </c:pt>
                <c:pt idx="257">
                  <c:v>0.55000000000000004</c:v>
                </c:pt>
                <c:pt idx="258">
                  <c:v>0.61</c:v>
                </c:pt>
                <c:pt idx="259">
                  <c:v>0.6</c:v>
                </c:pt>
                <c:pt idx="260">
                  <c:v>0.6</c:v>
                </c:pt>
                <c:pt idx="261">
                  <c:v>0.57999999999999996</c:v>
                </c:pt>
                <c:pt idx="262">
                  <c:v>0.53</c:v>
                </c:pt>
                <c:pt idx="263">
                  <c:v>0.39</c:v>
                </c:pt>
                <c:pt idx="264">
                  <c:v>0.65</c:v>
                </c:pt>
                <c:pt idx="265">
                  <c:v>0.64</c:v>
                </c:pt>
                <c:pt idx="266">
                  <c:v>0.64</c:v>
                </c:pt>
                <c:pt idx="267">
                  <c:v>0.61</c:v>
                </c:pt>
                <c:pt idx="268">
                  <c:v>0.55000000000000004</c:v>
                </c:pt>
                <c:pt idx="269">
                  <c:v>0.44</c:v>
                </c:pt>
                <c:pt idx="270">
                  <c:v>0.25</c:v>
                </c:pt>
                <c:pt idx="271">
                  <c:v>0.34</c:v>
                </c:pt>
                <c:pt idx="272">
                  <c:v>0.4</c:v>
                </c:pt>
                <c:pt idx="273">
                  <c:v>0.42</c:v>
                </c:pt>
                <c:pt idx="274">
                  <c:v>0.48</c:v>
                </c:pt>
                <c:pt idx="275">
                  <c:v>0.56000000000000005</c:v>
                </c:pt>
                <c:pt idx="276">
                  <c:v>0.56000000000000005</c:v>
                </c:pt>
                <c:pt idx="277">
                  <c:v>0.57999999999999996</c:v>
                </c:pt>
                <c:pt idx="278">
                  <c:v>0.62</c:v>
                </c:pt>
                <c:pt idx="279">
                  <c:v>0.53</c:v>
                </c:pt>
                <c:pt idx="280">
                  <c:v>0.15</c:v>
                </c:pt>
                <c:pt idx="281">
                  <c:v>0.27</c:v>
                </c:pt>
                <c:pt idx="282">
                  <c:v>0.35</c:v>
                </c:pt>
                <c:pt idx="283">
                  <c:v>0.49</c:v>
                </c:pt>
                <c:pt idx="284">
                  <c:v>0.54</c:v>
                </c:pt>
                <c:pt idx="285">
                  <c:v>0.56999999999999995</c:v>
                </c:pt>
                <c:pt idx="286">
                  <c:v>0.55000000000000004</c:v>
                </c:pt>
                <c:pt idx="287">
                  <c:v>0.56999999999999995</c:v>
                </c:pt>
                <c:pt idx="288">
                  <c:v>0.67</c:v>
                </c:pt>
                <c:pt idx="289">
                  <c:v>0.66</c:v>
                </c:pt>
                <c:pt idx="290">
                  <c:v>0.63</c:v>
                </c:pt>
                <c:pt idx="291">
                  <c:v>0.63</c:v>
                </c:pt>
                <c:pt idx="292">
                  <c:v>0.56999999999999995</c:v>
                </c:pt>
                <c:pt idx="293">
                  <c:v>0.52</c:v>
                </c:pt>
                <c:pt idx="294">
                  <c:v>0.17</c:v>
                </c:pt>
                <c:pt idx="295">
                  <c:v>0.26</c:v>
                </c:pt>
                <c:pt idx="296">
                  <c:v>0.38</c:v>
                </c:pt>
                <c:pt idx="297">
                  <c:v>0.54</c:v>
                </c:pt>
                <c:pt idx="298">
                  <c:v>0.57999999999999996</c:v>
                </c:pt>
                <c:pt idx="299">
                  <c:v>0.59</c:v>
                </c:pt>
                <c:pt idx="300">
                  <c:v>0.65</c:v>
                </c:pt>
                <c:pt idx="301">
                  <c:v>0.69</c:v>
                </c:pt>
                <c:pt idx="302">
                  <c:v>0.7</c:v>
                </c:pt>
                <c:pt idx="303">
                  <c:v>0.68</c:v>
                </c:pt>
                <c:pt idx="304">
                  <c:v>0.61</c:v>
                </c:pt>
                <c:pt idx="305">
                  <c:v>0.18</c:v>
                </c:pt>
                <c:pt idx="306">
                  <c:v>0.28000000000000003</c:v>
                </c:pt>
                <c:pt idx="307">
                  <c:v>0.37</c:v>
                </c:pt>
                <c:pt idx="308">
                  <c:v>0.5</c:v>
                </c:pt>
                <c:pt idx="309">
                  <c:v>0.51</c:v>
                </c:pt>
                <c:pt idx="310">
                  <c:v>0.61</c:v>
                </c:pt>
                <c:pt idx="311">
                  <c:v>0.67</c:v>
                </c:pt>
                <c:pt idx="312">
                  <c:v>0.69</c:v>
                </c:pt>
                <c:pt idx="313">
                  <c:v>0.73</c:v>
                </c:pt>
                <c:pt idx="314">
                  <c:v>0.71</c:v>
                </c:pt>
                <c:pt idx="315">
                  <c:v>0.66</c:v>
                </c:pt>
                <c:pt idx="316">
                  <c:v>0.37</c:v>
                </c:pt>
                <c:pt idx="317">
                  <c:v>0.68</c:v>
                </c:pt>
                <c:pt idx="318">
                  <c:v>0.71</c:v>
                </c:pt>
                <c:pt idx="319">
                  <c:v>0.66</c:v>
                </c:pt>
                <c:pt idx="320">
                  <c:v>0.77</c:v>
                </c:pt>
                <c:pt idx="321">
                  <c:v>0.76</c:v>
                </c:pt>
                <c:pt idx="322">
                  <c:v>0.73</c:v>
                </c:pt>
                <c:pt idx="323">
                  <c:v>0.68</c:v>
                </c:pt>
                <c:pt idx="324">
                  <c:v>0.56999999999999995</c:v>
                </c:pt>
                <c:pt idx="325">
                  <c:v>0.13</c:v>
                </c:pt>
                <c:pt idx="326">
                  <c:v>0.18</c:v>
                </c:pt>
                <c:pt idx="327">
                  <c:v>0.33</c:v>
                </c:pt>
                <c:pt idx="328">
                  <c:v>0.68</c:v>
                </c:pt>
                <c:pt idx="329">
                  <c:v>0.78</c:v>
                </c:pt>
                <c:pt idx="330">
                  <c:v>0.83</c:v>
                </c:pt>
                <c:pt idx="331">
                  <c:v>0.85</c:v>
                </c:pt>
                <c:pt idx="332">
                  <c:v>0.1</c:v>
                </c:pt>
                <c:pt idx="333">
                  <c:v>0.11</c:v>
                </c:pt>
                <c:pt idx="334">
                  <c:v>0.17</c:v>
                </c:pt>
                <c:pt idx="335">
                  <c:v>0.23199999999999998</c:v>
                </c:pt>
                <c:pt idx="336">
                  <c:v>0.42700000000000005</c:v>
                </c:pt>
                <c:pt idx="337">
                  <c:v>0.48700000000000004</c:v>
                </c:pt>
                <c:pt idx="338">
                  <c:v>0.187</c:v>
                </c:pt>
                <c:pt idx="339">
                  <c:v>0.40399999999999997</c:v>
                </c:pt>
                <c:pt idx="340">
                  <c:v>0.56600000000000006</c:v>
                </c:pt>
                <c:pt idx="341">
                  <c:v>0.192</c:v>
                </c:pt>
                <c:pt idx="342">
                  <c:v>0.41200000000000003</c:v>
                </c:pt>
                <c:pt idx="343">
                  <c:v>0.56299999999999994</c:v>
                </c:pt>
                <c:pt idx="344">
                  <c:v>0.25</c:v>
                </c:pt>
                <c:pt idx="345">
                  <c:v>0.13</c:v>
                </c:pt>
                <c:pt idx="346">
                  <c:v>0.03</c:v>
                </c:pt>
                <c:pt idx="347">
                  <c:v>0</c:v>
                </c:pt>
                <c:pt idx="348">
                  <c:v>0.52</c:v>
                </c:pt>
                <c:pt idx="349">
                  <c:v>0.43</c:v>
                </c:pt>
                <c:pt idx="350">
                  <c:v>0.35</c:v>
                </c:pt>
                <c:pt idx="351">
                  <c:v>0.22</c:v>
                </c:pt>
                <c:pt idx="352">
                  <c:v>0.02</c:v>
                </c:pt>
                <c:pt idx="353">
                  <c:v>0</c:v>
                </c:pt>
                <c:pt idx="354">
                  <c:v>0.64</c:v>
                </c:pt>
                <c:pt idx="355">
                  <c:v>0.57999999999999996</c:v>
                </c:pt>
                <c:pt idx="356">
                  <c:v>0.49</c:v>
                </c:pt>
                <c:pt idx="357">
                  <c:v>0.4</c:v>
                </c:pt>
                <c:pt idx="358">
                  <c:v>0.22</c:v>
                </c:pt>
                <c:pt idx="359">
                  <c:v>0.01</c:v>
                </c:pt>
                <c:pt idx="360">
                  <c:v>0</c:v>
                </c:pt>
                <c:pt idx="361">
                  <c:v>0</c:v>
                </c:pt>
                <c:pt idx="362">
                  <c:v>0.72</c:v>
                </c:pt>
                <c:pt idx="363">
                  <c:v>0.7</c:v>
                </c:pt>
                <c:pt idx="364">
                  <c:v>0.66</c:v>
                </c:pt>
                <c:pt idx="365">
                  <c:v>0.63</c:v>
                </c:pt>
                <c:pt idx="366">
                  <c:v>0.56999999999999995</c:v>
                </c:pt>
                <c:pt idx="367">
                  <c:v>0.43</c:v>
                </c:pt>
                <c:pt idx="368">
                  <c:v>0.27</c:v>
                </c:pt>
                <c:pt idx="369">
                  <c:v>0.06</c:v>
                </c:pt>
                <c:pt idx="370">
                  <c:v>0</c:v>
                </c:pt>
                <c:pt idx="371">
                  <c:v>0.81</c:v>
                </c:pt>
                <c:pt idx="372">
                  <c:v>0.79</c:v>
                </c:pt>
                <c:pt idx="373">
                  <c:v>0.79</c:v>
                </c:pt>
                <c:pt idx="374">
                  <c:v>0.75</c:v>
                </c:pt>
                <c:pt idx="375">
                  <c:v>0.62</c:v>
                </c:pt>
                <c:pt idx="376">
                  <c:v>0.5</c:v>
                </c:pt>
                <c:pt idx="377">
                  <c:v>0.27</c:v>
                </c:pt>
                <c:pt idx="378">
                  <c:v>0.16</c:v>
                </c:pt>
                <c:pt idx="379">
                  <c:v>0.45</c:v>
                </c:pt>
                <c:pt idx="380">
                  <c:v>0.56999999999999995</c:v>
                </c:pt>
                <c:pt idx="381">
                  <c:v>0.81</c:v>
                </c:pt>
                <c:pt idx="382">
                  <c:v>0.28999999999999998</c:v>
                </c:pt>
                <c:pt idx="383">
                  <c:v>0.33</c:v>
                </c:pt>
                <c:pt idx="384">
                  <c:v>0.28000000000000003</c:v>
                </c:pt>
                <c:pt idx="385">
                  <c:v>0.25</c:v>
                </c:pt>
                <c:pt idx="386">
                  <c:v>0.31</c:v>
                </c:pt>
                <c:pt idx="387">
                  <c:v>0.28000000000000003</c:v>
                </c:pt>
                <c:pt idx="388">
                  <c:v>0.52</c:v>
                </c:pt>
                <c:pt idx="389">
                  <c:v>0.48</c:v>
                </c:pt>
                <c:pt idx="390">
                  <c:v>0.38</c:v>
                </c:pt>
                <c:pt idx="391">
                  <c:v>0.41</c:v>
                </c:pt>
                <c:pt idx="392">
                  <c:v>0.36</c:v>
                </c:pt>
                <c:pt idx="393">
                  <c:v>0.34</c:v>
                </c:pt>
                <c:pt idx="394">
                  <c:v>0.34</c:v>
                </c:pt>
                <c:pt idx="395">
                  <c:v>0.37</c:v>
                </c:pt>
                <c:pt idx="396">
                  <c:v>0.38</c:v>
                </c:pt>
                <c:pt idx="397">
                  <c:v>0.42</c:v>
                </c:pt>
                <c:pt idx="398">
                  <c:v>0</c:v>
                </c:pt>
                <c:pt idx="399">
                  <c:v>0.42</c:v>
                </c:pt>
                <c:pt idx="400">
                  <c:v>0.49</c:v>
                </c:pt>
                <c:pt idx="401">
                  <c:v>0.47</c:v>
                </c:pt>
                <c:pt idx="402">
                  <c:v>0.39</c:v>
                </c:pt>
                <c:pt idx="403">
                  <c:v>0.38</c:v>
                </c:pt>
                <c:pt idx="404">
                  <c:v>0.45</c:v>
                </c:pt>
                <c:pt idx="405">
                  <c:v>0.6</c:v>
                </c:pt>
                <c:pt idx="406">
                  <c:v>0.45</c:v>
                </c:pt>
                <c:pt idx="407">
                  <c:v>0.33</c:v>
                </c:pt>
                <c:pt idx="408">
                  <c:v>0.69</c:v>
                </c:pt>
                <c:pt idx="409">
                  <c:v>0.7</c:v>
                </c:pt>
                <c:pt idx="410">
                  <c:v>0.69</c:v>
                </c:pt>
                <c:pt idx="411">
                  <c:v>0.7</c:v>
                </c:pt>
                <c:pt idx="412">
                  <c:v>0.72</c:v>
                </c:pt>
                <c:pt idx="413">
                  <c:v>0.75</c:v>
                </c:pt>
                <c:pt idx="414">
                  <c:v>0.77099999999999991</c:v>
                </c:pt>
                <c:pt idx="415">
                  <c:v>0.74400000000000011</c:v>
                </c:pt>
                <c:pt idx="416">
                  <c:v>0.72699999999999998</c:v>
                </c:pt>
                <c:pt idx="417">
                  <c:v>0.71099999999999997</c:v>
                </c:pt>
                <c:pt idx="418">
                  <c:v>0.63100000000000001</c:v>
                </c:pt>
                <c:pt idx="419">
                  <c:v>0.18096309999999999</c:v>
                </c:pt>
                <c:pt idx="420">
                  <c:v>0.38708140000000002</c:v>
                </c:pt>
                <c:pt idx="421">
                  <c:v>0.48084840000000001</c:v>
                </c:pt>
                <c:pt idx="422">
                  <c:v>0.5163278</c:v>
                </c:pt>
                <c:pt idx="423">
                  <c:v>0.66099079999999999</c:v>
                </c:pt>
                <c:pt idx="424">
                  <c:v>0.6994267999999999</c:v>
                </c:pt>
                <c:pt idx="425">
                  <c:v>0.6994267999999999</c:v>
                </c:pt>
                <c:pt idx="426">
                  <c:v>0.66711519999999991</c:v>
                </c:pt>
                <c:pt idx="427">
                  <c:v>0.62867919999999999</c:v>
                </c:pt>
                <c:pt idx="428">
                  <c:v>0.58390759999999997</c:v>
                </c:pt>
                <c:pt idx="429">
                  <c:v>0.51316000000000006</c:v>
                </c:pt>
                <c:pt idx="430">
                  <c:v>0.64</c:v>
                </c:pt>
                <c:pt idx="431">
                  <c:v>0.72</c:v>
                </c:pt>
                <c:pt idx="432">
                  <c:v>0.73</c:v>
                </c:pt>
                <c:pt idx="433">
                  <c:v>0.52</c:v>
                </c:pt>
                <c:pt idx="434">
                  <c:v>0.51</c:v>
                </c:pt>
                <c:pt idx="435">
                  <c:v>0.47</c:v>
                </c:pt>
                <c:pt idx="436">
                  <c:v>0.29092199999999996</c:v>
                </c:pt>
                <c:pt idx="437">
                  <c:v>0.25114730000000002</c:v>
                </c:pt>
                <c:pt idx="438">
                  <c:v>0.25083709999999998</c:v>
                </c:pt>
                <c:pt idx="439">
                  <c:v>0.22605550000000002</c:v>
                </c:pt>
                <c:pt idx="440">
                  <c:v>0.20585799999999999</c:v>
                </c:pt>
                <c:pt idx="441">
                  <c:v>0.41</c:v>
                </c:pt>
                <c:pt idx="442">
                  <c:v>0.43</c:v>
                </c:pt>
                <c:pt idx="443">
                  <c:v>0.54</c:v>
                </c:pt>
                <c:pt idx="444">
                  <c:v>0.37</c:v>
                </c:pt>
                <c:pt idx="445">
                  <c:v>0.17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0.04</c:v>
                </c:pt>
                <c:pt idx="450">
                  <c:v>0.34</c:v>
                </c:pt>
                <c:pt idx="451">
                  <c:v>0.48</c:v>
                </c:pt>
                <c:pt idx="452">
                  <c:v>0.54</c:v>
                </c:pt>
                <c:pt idx="453">
                  <c:v>0.61</c:v>
                </c:pt>
                <c:pt idx="454">
                  <c:v>0.56999999999999995</c:v>
                </c:pt>
                <c:pt idx="455">
                  <c:v>0.49</c:v>
                </c:pt>
                <c:pt idx="456">
                  <c:v>0.26</c:v>
                </c:pt>
                <c:pt idx="457">
                  <c:v>0.14000000000000001</c:v>
                </c:pt>
                <c:pt idx="458">
                  <c:v>0.46</c:v>
                </c:pt>
                <c:pt idx="459">
                  <c:v>0.46</c:v>
                </c:pt>
                <c:pt idx="460">
                  <c:v>0.46</c:v>
                </c:pt>
                <c:pt idx="461">
                  <c:v>0.46</c:v>
                </c:pt>
                <c:pt idx="462">
                  <c:v>0.45</c:v>
                </c:pt>
                <c:pt idx="463">
                  <c:v>0.43</c:v>
                </c:pt>
                <c:pt idx="464">
                  <c:v>0.43</c:v>
                </c:pt>
                <c:pt idx="465">
                  <c:v>0.42</c:v>
                </c:pt>
                <c:pt idx="466">
                  <c:v>0.41</c:v>
                </c:pt>
                <c:pt idx="467">
                  <c:v>0.36</c:v>
                </c:pt>
                <c:pt idx="468">
                  <c:v>0.34</c:v>
                </c:pt>
                <c:pt idx="469">
                  <c:v>0.33</c:v>
                </c:pt>
                <c:pt idx="470">
                  <c:v>0.41</c:v>
                </c:pt>
                <c:pt idx="471">
                  <c:v>0.4</c:v>
                </c:pt>
                <c:pt idx="472">
                  <c:v>0.38</c:v>
                </c:pt>
                <c:pt idx="473">
                  <c:v>0.35</c:v>
                </c:pt>
                <c:pt idx="474">
                  <c:v>0.35</c:v>
                </c:pt>
                <c:pt idx="475">
                  <c:v>0.3</c:v>
                </c:pt>
                <c:pt idx="476">
                  <c:v>0.32</c:v>
                </c:pt>
                <c:pt idx="477">
                  <c:v>0.33</c:v>
                </c:pt>
                <c:pt idx="478">
                  <c:v>0.28999999999999998</c:v>
                </c:pt>
                <c:pt idx="479">
                  <c:v>0.28000000000000003</c:v>
                </c:pt>
                <c:pt idx="480">
                  <c:v>0.27</c:v>
                </c:pt>
                <c:pt idx="481">
                  <c:v>0.25</c:v>
                </c:pt>
                <c:pt idx="482">
                  <c:v>0.03</c:v>
                </c:pt>
                <c:pt idx="483">
                  <c:v>0.12</c:v>
                </c:pt>
                <c:pt idx="484">
                  <c:v>0.21</c:v>
                </c:pt>
                <c:pt idx="485">
                  <c:v>0.32</c:v>
                </c:pt>
                <c:pt idx="486">
                  <c:v>0.38</c:v>
                </c:pt>
                <c:pt idx="487">
                  <c:v>0.43</c:v>
                </c:pt>
                <c:pt idx="488">
                  <c:v>0.44</c:v>
                </c:pt>
                <c:pt idx="489">
                  <c:v>0.4</c:v>
                </c:pt>
                <c:pt idx="490">
                  <c:v>0.03</c:v>
                </c:pt>
                <c:pt idx="491">
                  <c:v>0.1</c:v>
                </c:pt>
                <c:pt idx="492">
                  <c:v>0.22</c:v>
                </c:pt>
                <c:pt idx="493">
                  <c:v>0.38</c:v>
                </c:pt>
                <c:pt idx="494">
                  <c:v>0.39</c:v>
                </c:pt>
                <c:pt idx="495">
                  <c:v>0.33</c:v>
                </c:pt>
                <c:pt idx="496">
                  <c:v>0.25</c:v>
                </c:pt>
                <c:pt idx="497">
                  <c:v>0.4</c:v>
                </c:pt>
                <c:pt idx="498">
                  <c:v>0.34</c:v>
                </c:pt>
                <c:pt idx="499">
                  <c:v>0.12</c:v>
                </c:pt>
                <c:pt idx="500">
                  <c:v>0.22</c:v>
                </c:pt>
                <c:pt idx="501">
                  <c:v>0.41</c:v>
                </c:pt>
                <c:pt idx="502">
                  <c:v>0.39</c:v>
                </c:pt>
                <c:pt idx="503">
                  <c:v>0.34</c:v>
                </c:pt>
                <c:pt idx="504">
                  <c:v>0.3</c:v>
                </c:pt>
                <c:pt idx="505">
                  <c:v>0.05</c:v>
                </c:pt>
                <c:pt idx="506">
                  <c:v>0.12</c:v>
                </c:pt>
                <c:pt idx="507">
                  <c:v>0.23</c:v>
                </c:pt>
                <c:pt idx="508">
                  <c:v>0.32</c:v>
                </c:pt>
                <c:pt idx="509">
                  <c:v>0.39</c:v>
                </c:pt>
                <c:pt idx="510">
                  <c:v>0.41</c:v>
                </c:pt>
                <c:pt idx="511">
                  <c:v>0.4</c:v>
                </c:pt>
                <c:pt idx="512">
                  <c:v>0.36</c:v>
                </c:pt>
                <c:pt idx="513">
                  <c:v>0.35</c:v>
                </c:pt>
                <c:pt idx="514">
                  <c:v>0.33</c:v>
                </c:pt>
                <c:pt idx="515">
                  <c:v>0.28000000000000003</c:v>
                </c:pt>
                <c:pt idx="516">
                  <c:v>0.3</c:v>
                </c:pt>
                <c:pt idx="517">
                  <c:v>0.17</c:v>
                </c:pt>
                <c:pt idx="518">
                  <c:v>5.5999999999999994E-2</c:v>
                </c:pt>
                <c:pt idx="519">
                  <c:v>8.199999999999999E-2</c:v>
                </c:pt>
                <c:pt idx="520">
                  <c:v>8.5000000000000006E-2</c:v>
                </c:pt>
                <c:pt idx="521">
                  <c:v>0.24</c:v>
                </c:pt>
                <c:pt idx="522">
                  <c:v>0.155</c:v>
                </c:pt>
                <c:pt idx="523">
                  <c:v>0.125</c:v>
                </c:pt>
                <c:pt idx="524">
                  <c:v>0.115</c:v>
                </c:pt>
                <c:pt idx="525">
                  <c:v>0.17100000000000001</c:v>
                </c:pt>
                <c:pt idx="526">
                  <c:v>0.157</c:v>
                </c:pt>
                <c:pt idx="527">
                  <c:v>0.14199999999999999</c:v>
                </c:pt>
                <c:pt idx="528">
                  <c:v>0.25</c:v>
                </c:pt>
                <c:pt idx="529">
                  <c:v>0.16600000000000001</c:v>
                </c:pt>
                <c:pt idx="530">
                  <c:v>0.16500000000000001</c:v>
                </c:pt>
                <c:pt idx="531">
                  <c:v>0.155</c:v>
                </c:pt>
                <c:pt idx="532">
                  <c:v>0.125</c:v>
                </c:pt>
                <c:pt idx="533">
                  <c:v>0.115</c:v>
                </c:pt>
                <c:pt idx="534">
                  <c:v>0.16800000000000001</c:v>
                </c:pt>
                <c:pt idx="535">
                  <c:v>0.17100000000000001</c:v>
                </c:pt>
                <c:pt idx="536">
                  <c:v>0.157</c:v>
                </c:pt>
                <c:pt idx="537">
                  <c:v>0.14199999999999999</c:v>
                </c:pt>
                <c:pt idx="538">
                  <c:v>0.12</c:v>
                </c:pt>
                <c:pt idx="539">
                  <c:v>0.2</c:v>
                </c:pt>
                <c:pt idx="540">
                  <c:v>0.33</c:v>
                </c:pt>
                <c:pt idx="541">
                  <c:v>0.43</c:v>
                </c:pt>
                <c:pt idx="542">
                  <c:v>0.4</c:v>
                </c:pt>
                <c:pt idx="543">
                  <c:v>0.32</c:v>
                </c:pt>
                <c:pt idx="544">
                  <c:v>0.26</c:v>
                </c:pt>
                <c:pt idx="545">
                  <c:v>0.13</c:v>
                </c:pt>
                <c:pt idx="546">
                  <c:v>0.64</c:v>
                </c:pt>
                <c:pt idx="547">
                  <c:v>0.21</c:v>
                </c:pt>
                <c:pt idx="548">
                  <c:v>0.45</c:v>
                </c:pt>
                <c:pt idx="549">
                  <c:v>0.55000000000000004</c:v>
                </c:pt>
                <c:pt idx="550">
                  <c:v>0.52</c:v>
                </c:pt>
                <c:pt idx="551">
                  <c:v>0.48</c:v>
                </c:pt>
                <c:pt idx="552">
                  <c:v>0.88800000000000001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0.91</c:v>
                </c:pt>
                <c:pt idx="557">
                  <c:v>0.83</c:v>
                </c:pt>
                <c:pt idx="558">
                  <c:v>0.76</c:v>
                </c:pt>
                <c:pt idx="559">
                  <c:v>0.56999999999999995</c:v>
                </c:pt>
                <c:pt idx="560">
                  <c:v>0.52</c:v>
                </c:pt>
                <c:pt idx="561">
                  <c:v>0.28000000000000003</c:v>
                </c:pt>
                <c:pt idx="562">
                  <c:v>0</c:v>
                </c:pt>
                <c:pt idx="563">
                  <c:v>0.04</c:v>
                </c:pt>
                <c:pt idx="564">
                  <c:v>0.11</c:v>
                </c:pt>
                <c:pt idx="565">
                  <c:v>0.15</c:v>
                </c:pt>
                <c:pt idx="566">
                  <c:v>0.22</c:v>
                </c:pt>
                <c:pt idx="567">
                  <c:v>0.35</c:v>
                </c:pt>
                <c:pt idx="568">
                  <c:v>0.4</c:v>
                </c:pt>
                <c:pt idx="569">
                  <c:v>0.4</c:v>
                </c:pt>
                <c:pt idx="570">
                  <c:v>0.48499999999999999</c:v>
                </c:pt>
                <c:pt idx="571">
                  <c:v>0.38</c:v>
                </c:pt>
                <c:pt idx="572">
                  <c:v>0.38</c:v>
                </c:pt>
                <c:pt idx="573">
                  <c:v>0.37</c:v>
                </c:pt>
                <c:pt idx="574">
                  <c:v>0.39</c:v>
                </c:pt>
                <c:pt idx="575">
                  <c:v>0.37</c:v>
                </c:pt>
                <c:pt idx="576">
                  <c:v>0.46</c:v>
                </c:pt>
                <c:pt idx="577">
                  <c:v>0.41</c:v>
                </c:pt>
                <c:pt idx="578">
                  <c:v>0.34</c:v>
                </c:pt>
                <c:pt idx="579">
                  <c:v>0.25</c:v>
                </c:pt>
                <c:pt idx="580">
                  <c:v>0.3969072983314017</c:v>
                </c:pt>
                <c:pt idx="581">
                  <c:v>0.36368000523699207</c:v>
                </c:pt>
                <c:pt idx="582">
                  <c:v>0.35725130843291725</c:v>
                </c:pt>
                <c:pt idx="583">
                  <c:v>0.36771194916750011</c:v>
                </c:pt>
                <c:pt idx="584">
                  <c:v>0.37740833695016318</c:v>
                </c:pt>
                <c:pt idx="585">
                  <c:v>0.39518350345983161</c:v>
                </c:pt>
                <c:pt idx="586">
                  <c:v>0.38598563361471688</c:v>
                </c:pt>
                <c:pt idx="587">
                  <c:v>0.40799340682654567</c:v>
                </c:pt>
                <c:pt idx="588">
                  <c:v>0.4314026626172337</c:v>
                </c:pt>
                <c:pt idx="589">
                  <c:v>0.38154541153488092</c:v>
                </c:pt>
                <c:pt idx="590">
                  <c:v>0.36901186004118175</c:v>
                </c:pt>
                <c:pt idx="591">
                  <c:v>0.16164999999999999</c:v>
                </c:pt>
                <c:pt idx="592">
                  <c:v>0.31691999999999998</c:v>
                </c:pt>
                <c:pt idx="593">
                  <c:v>0.38933999999999996</c:v>
                </c:pt>
                <c:pt idx="594">
                  <c:v>0.44831000000000004</c:v>
                </c:pt>
                <c:pt idx="595">
                  <c:v>0.39976999999999996</c:v>
                </c:pt>
                <c:pt idx="596">
                  <c:v>0.15437000000000001</c:v>
                </c:pt>
                <c:pt idx="597">
                  <c:v>0.29209000000000002</c:v>
                </c:pt>
                <c:pt idx="598">
                  <c:v>0.377</c:v>
                </c:pt>
                <c:pt idx="599">
                  <c:v>0.38412000000000002</c:v>
                </c:pt>
                <c:pt idx="600">
                  <c:v>0.33653</c:v>
                </c:pt>
                <c:pt idx="601">
                  <c:v>0.15548000000000001</c:v>
                </c:pt>
                <c:pt idx="602">
                  <c:v>0.28687999999999997</c:v>
                </c:pt>
                <c:pt idx="603">
                  <c:v>0.33857999999999999</c:v>
                </c:pt>
                <c:pt idx="604">
                  <c:v>0.31786999999999999</c:v>
                </c:pt>
                <c:pt idx="605">
                  <c:v>0.29826000000000003</c:v>
                </c:pt>
                <c:pt idx="606">
                  <c:v>0.15121000000000001</c:v>
                </c:pt>
                <c:pt idx="607">
                  <c:v>0.27754999999999996</c:v>
                </c:pt>
                <c:pt idx="608">
                  <c:v>0.31991999999999998</c:v>
                </c:pt>
                <c:pt idx="609">
                  <c:v>0.28893000000000002</c:v>
                </c:pt>
                <c:pt idx="610">
                  <c:v>0.27960000000000002</c:v>
                </c:pt>
                <c:pt idx="611">
                  <c:v>0.14410000000000001</c:v>
                </c:pt>
                <c:pt idx="612">
                  <c:v>0.25589000000000001</c:v>
                </c:pt>
                <c:pt idx="613">
                  <c:v>0.27960000000000002</c:v>
                </c:pt>
                <c:pt idx="614">
                  <c:v>0.27660000000000001</c:v>
                </c:pt>
                <c:pt idx="615">
                  <c:v>0.23723</c:v>
                </c:pt>
                <c:pt idx="616">
                  <c:v>6.9100000000000003E-3</c:v>
                </c:pt>
                <c:pt idx="617">
                  <c:v>3.4319999999999996E-2</c:v>
                </c:pt>
                <c:pt idx="618">
                  <c:v>7.1609999999999993E-2</c:v>
                </c:pt>
                <c:pt idx="619">
                  <c:v>0.19497</c:v>
                </c:pt>
                <c:pt idx="620">
                  <c:v>0.27600000000000002</c:v>
                </c:pt>
                <c:pt idx="621">
                  <c:v>0.34734999999999999</c:v>
                </c:pt>
                <c:pt idx="622">
                  <c:v>0.43159999999999998</c:v>
                </c:pt>
                <c:pt idx="623">
                  <c:v>0.49973000000000001</c:v>
                </c:pt>
                <c:pt idx="624">
                  <c:v>0.55798000000000003</c:v>
                </c:pt>
                <c:pt idx="625">
                  <c:v>9.6518700000000013E-2</c:v>
                </c:pt>
                <c:pt idx="626">
                  <c:v>0.14503869999999999</c:v>
                </c:pt>
                <c:pt idx="627">
                  <c:v>0.16763000000000003</c:v>
                </c:pt>
                <c:pt idx="628">
                  <c:v>0.26775060000000001</c:v>
                </c:pt>
                <c:pt idx="629">
                  <c:v>0.45695279999999999</c:v>
                </c:pt>
                <c:pt idx="630">
                  <c:v>4.8669999999999998E-2</c:v>
                </c:pt>
                <c:pt idx="631">
                  <c:v>0.13011</c:v>
                </c:pt>
                <c:pt idx="632">
                  <c:v>0.22158999999999998</c:v>
                </c:pt>
                <c:pt idx="633">
                  <c:v>0.31974000000000002</c:v>
                </c:pt>
                <c:pt idx="634">
                  <c:v>0.33012000000000002</c:v>
                </c:pt>
                <c:pt idx="635">
                  <c:v>0.40100999999999998</c:v>
                </c:pt>
                <c:pt idx="636">
                  <c:v>0.39204</c:v>
                </c:pt>
                <c:pt idx="637">
                  <c:v>0.38165999999999994</c:v>
                </c:pt>
                <c:pt idx="638">
                  <c:v>0.65</c:v>
                </c:pt>
                <c:pt idx="639">
                  <c:v>2.7000000000000003E-2</c:v>
                </c:pt>
                <c:pt idx="640">
                  <c:v>7.0000000000000007E-2</c:v>
                </c:pt>
                <c:pt idx="641">
                  <c:v>0.11699999999999999</c:v>
                </c:pt>
                <c:pt idx="642">
                  <c:v>3.6000000000000004E-2</c:v>
                </c:pt>
                <c:pt idx="643">
                  <c:v>0.08</c:v>
                </c:pt>
                <c:pt idx="644">
                  <c:v>0.16300000000000001</c:v>
                </c:pt>
                <c:pt idx="645">
                  <c:v>4.4000000000000004E-2</c:v>
                </c:pt>
                <c:pt idx="646">
                  <c:v>9.0999999999999998E-2</c:v>
                </c:pt>
                <c:pt idx="647">
                  <c:v>0.17</c:v>
                </c:pt>
                <c:pt idx="648">
                  <c:v>5.7000000000000002E-2</c:v>
                </c:pt>
                <c:pt idx="649">
                  <c:v>0.11199999999999999</c:v>
                </c:pt>
                <c:pt idx="650">
                  <c:v>0.182</c:v>
                </c:pt>
                <c:pt idx="651">
                  <c:v>6.4000000000000001E-2</c:v>
                </c:pt>
                <c:pt idx="652">
                  <c:v>0.127</c:v>
                </c:pt>
                <c:pt idx="653">
                  <c:v>0.221</c:v>
                </c:pt>
                <c:pt idx="654">
                  <c:v>0.755</c:v>
                </c:pt>
                <c:pt idx="655">
                  <c:v>0.48399999999999999</c:v>
                </c:pt>
                <c:pt idx="656">
                  <c:v>0.34799999999999998</c:v>
                </c:pt>
                <c:pt idx="657">
                  <c:v>0.18899999999999997</c:v>
                </c:pt>
                <c:pt idx="658">
                  <c:v>0.16600000000000001</c:v>
                </c:pt>
                <c:pt idx="659">
                  <c:v>0.151</c:v>
                </c:pt>
                <c:pt idx="660">
                  <c:v>0.872</c:v>
                </c:pt>
                <c:pt idx="661">
                  <c:v>0.72699999999999998</c:v>
                </c:pt>
                <c:pt idx="662">
                  <c:v>0.59899999999999998</c:v>
                </c:pt>
                <c:pt idx="663">
                  <c:v>0.48700000000000004</c:v>
                </c:pt>
                <c:pt idx="664">
                  <c:v>0.40700000000000003</c:v>
                </c:pt>
                <c:pt idx="665">
                  <c:v>0.35100000000000003</c:v>
                </c:pt>
                <c:pt idx="666">
                  <c:v>0.79</c:v>
                </c:pt>
                <c:pt idx="667">
                  <c:v>0.70099999999999996</c:v>
                </c:pt>
                <c:pt idx="668">
                  <c:v>0.628</c:v>
                </c:pt>
                <c:pt idx="669">
                  <c:v>0.45799999999999996</c:v>
                </c:pt>
                <c:pt idx="670">
                  <c:v>0.59599999999999997</c:v>
                </c:pt>
                <c:pt idx="671">
                  <c:v>0.5</c:v>
                </c:pt>
                <c:pt idx="672">
                  <c:v>0.42299999999999999</c:v>
                </c:pt>
                <c:pt idx="673">
                  <c:v>0.245</c:v>
                </c:pt>
                <c:pt idx="674">
                  <c:v>0.16899999999999998</c:v>
                </c:pt>
                <c:pt idx="675">
                  <c:v>0.13800000000000001</c:v>
                </c:pt>
                <c:pt idx="676">
                  <c:v>0.124</c:v>
                </c:pt>
                <c:pt idx="677">
                  <c:v>0.106</c:v>
                </c:pt>
                <c:pt idx="678">
                  <c:v>9.8000000000000004E-2</c:v>
                </c:pt>
                <c:pt idx="679">
                  <c:v>9.8000000000000004E-2</c:v>
                </c:pt>
                <c:pt idx="680">
                  <c:v>0.57499999999999996</c:v>
                </c:pt>
                <c:pt idx="681">
                  <c:v>0.17399999999999999</c:v>
                </c:pt>
                <c:pt idx="682">
                  <c:v>3.3000000000000002E-2</c:v>
                </c:pt>
                <c:pt idx="683">
                  <c:v>0.628</c:v>
                </c:pt>
                <c:pt idx="684">
                  <c:v>0.60399999999999998</c:v>
                </c:pt>
                <c:pt idx="685">
                  <c:v>0.68099999999999994</c:v>
                </c:pt>
                <c:pt idx="686">
                  <c:v>0.65099999999999991</c:v>
                </c:pt>
                <c:pt idx="687">
                  <c:v>0.61799999999999999</c:v>
                </c:pt>
                <c:pt idx="688">
                  <c:v>0.313</c:v>
                </c:pt>
                <c:pt idx="689">
                  <c:v>0.54700000000000004</c:v>
                </c:pt>
                <c:pt idx="690">
                  <c:v>0.27</c:v>
                </c:pt>
                <c:pt idx="691">
                  <c:v>0.47600000000000003</c:v>
                </c:pt>
                <c:pt idx="692">
                  <c:v>0.41100000000000003</c:v>
                </c:pt>
                <c:pt idx="693">
                  <c:v>0.73299999999999998</c:v>
                </c:pt>
                <c:pt idx="694">
                  <c:v>0.41899999999999998</c:v>
                </c:pt>
                <c:pt idx="695">
                  <c:v>0.40399999999999997</c:v>
                </c:pt>
                <c:pt idx="696">
                  <c:v>0.55200000000000005</c:v>
                </c:pt>
                <c:pt idx="697">
                  <c:v>0.59099999999999997</c:v>
                </c:pt>
                <c:pt idx="698">
                  <c:v>0.47200000000000003</c:v>
                </c:pt>
                <c:pt idx="699">
                  <c:v>0.56299999999999994</c:v>
                </c:pt>
                <c:pt idx="700">
                  <c:v>0.60399999999999998</c:v>
                </c:pt>
                <c:pt idx="701">
                  <c:v>0.624</c:v>
                </c:pt>
                <c:pt idx="702">
                  <c:v>0.60299999999999998</c:v>
                </c:pt>
                <c:pt idx="703">
                  <c:v>0.36099999999999999</c:v>
                </c:pt>
                <c:pt idx="704">
                  <c:v>0.48299999999999998</c:v>
                </c:pt>
                <c:pt idx="705">
                  <c:v>0.53799999999999992</c:v>
                </c:pt>
                <c:pt idx="706">
                  <c:v>0.57399999999999995</c:v>
                </c:pt>
                <c:pt idx="707">
                  <c:v>0.53900000000000003</c:v>
                </c:pt>
                <c:pt idx="708">
                  <c:v>0.623</c:v>
                </c:pt>
                <c:pt idx="709">
                  <c:v>0.66700000000000004</c:v>
                </c:pt>
                <c:pt idx="710">
                  <c:v>0.65099999999999991</c:v>
                </c:pt>
                <c:pt idx="711">
                  <c:v>0.313</c:v>
                </c:pt>
                <c:pt idx="712">
                  <c:v>0.42</c:v>
                </c:pt>
                <c:pt idx="713">
                  <c:v>0.51700000000000002</c:v>
                </c:pt>
                <c:pt idx="714">
                  <c:v>0.56000000000000005</c:v>
                </c:pt>
                <c:pt idx="715">
                  <c:v>0.54700000000000004</c:v>
                </c:pt>
                <c:pt idx="716">
                  <c:v>0.48700000000000004</c:v>
                </c:pt>
                <c:pt idx="717">
                  <c:v>0.439</c:v>
                </c:pt>
                <c:pt idx="718">
                  <c:v>0.40600000000000003</c:v>
                </c:pt>
                <c:pt idx="719">
                  <c:v>0.40200000000000002</c:v>
                </c:pt>
                <c:pt idx="720">
                  <c:v>0.45299999999999996</c:v>
                </c:pt>
                <c:pt idx="721">
                  <c:v>0.501</c:v>
                </c:pt>
                <c:pt idx="722">
                  <c:v>0.51700000000000002</c:v>
                </c:pt>
                <c:pt idx="723">
                  <c:v>0.69</c:v>
                </c:pt>
                <c:pt idx="724">
                  <c:v>0.69700000000000006</c:v>
                </c:pt>
                <c:pt idx="725">
                  <c:v>0.69</c:v>
                </c:pt>
                <c:pt idx="726">
                  <c:v>0.66200000000000003</c:v>
                </c:pt>
                <c:pt idx="727">
                  <c:v>0.45899999999999996</c:v>
                </c:pt>
                <c:pt idx="728">
                  <c:v>0.58200000000000007</c:v>
                </c:pt>
                <c:pt idx="729">
                  <c:v>0.65900000000000003</c:v>
                </c:pt>
                <c:pt idx="730">
                  <c:v>0.68900000000000006</c:v>
                </c:pt>
                <c:pt idx="731">
                  <c:v>0.29499999999999998</c:v>
                </c:pt>
                <c:pt idx="732">
                  <c:v>0.68099999999999994</c:v>
                </c:pt>
                <c:pt idx="733">
                  <c:v>0.67099999999999993</c:v>
                </c:pt>
                <c:pt idx="734">
                  <c:v>0.51700000000000002</c:v>
                </c:pt>
                <c:pt idx="735">
                  <c:v>0.38900000000000001</c:v>
                </c:pt>
                <c:pt idx="736">
                  <c:v>0.318</c:v>
                </c:pt>
                <c:pt idx="737">
                  <c:v>0.67200000000000004</c:v>
                </c:pt>
                <c:pt idx="738">
                  <c:v>0.68400000000000005</c:v>
                </c:pt>
                <c:pt idx="739">
                  <c:v>0.67</c:v>
                </c:pt>
                <c:pt idx="740">
                  <c:v>0.67099999999999993</c:v>
                </c:pt>
                <c:pt idx="741">
                  <c:v>0.63600000000000001</c:v>
                </c:pt>
                <c:pt idx="742">
                  <c:v>0.55200000000000005</c:v>
                </c:pt>
                <c:pt idx="743">
                  <c:v>0.56799999999999995</c:v>
                </c:pt>
                <c:pt idx="744">
                  <c:v>0.52100000000000002</c:v>
                </c:pt>
                <c:pt idx="745">
                  <c:v>0.30199999999999999</c:v>
                </c:pt>
                <c:pt idx="746">
                  <c:v>0.60399999999999998</c:v>
                </c:pt>
                <c:pt idx="747">
                  <c:v>0.61799999999999999</c:v>
                </c:pt>
                <c:pt idx="748">
                  <c:v>0.31</c:v>
                </c:pt>
                <c:pt idx="749">
                  <c:v>0.44500000000000001</c:v>
                </c:pt>
                <c:pt idx="750">
                  <c:v>0.5</c:v>
                </c:pt>
                <c:pt idx="751">
                  <c:v>0.64</c:v>
                </c:pt>
                <c:pt idx="752">
                  <c:v>0.23</c:v>
                </c:pt>
                <c:pt idx="753">
                  <c:v>7.0000000000000007E-2</c:v>
                </c:pt>
                <c:pt idx="754">
                  <c:v>0.56000000000000005</c:v>
                </c:pt>
                <c:pt idx="755">
                  <c:v>0.37</c:v>
                </c:pt>
                <c:pt idx="756">
                  <c:v>0.13</c:v>
                </c:pt>
                <c:pt idx="757">
                  <c:v>0.03</c:v>
                </c:pt>
                <c:pt idx="758">
                  <c:v>0.95400000000000007</c:v>
                </c:pt>
                <c:pt idx="759">
                  <c:v>0.879</c:v>
                </c:pt>
                <c:pt idx="760">
                  <c:v>0.53100000000000003</c:v>
                </c:pt>
                <c:pt idx="761">
                  <c:v>0.182</c:v>
                </c:pt>
                <c:pt idx="762">
                  <c:v>0.20199999999999999</c:v>
                </c:pt>
                <c:pt idx="763">
                  <c:v>0.152</c:v>
                </c:pt>
                <c:pt idx="764">
                  <c:v>0.21199999999999999</c:v>
                </c:pt>
                <c:pt idx="765">
                  <c:v>0.55299999999999994</c:v>
                </c:pt>
                <c:pt idx="766">
                  <c:v>0.80500000000000005</c:v>
                </c:pt>
                <c:pt idx="767">
                  <c:v>0.92099999999999993</c:v>
                </c:pt>
                <c:pt idx="768">
                  <c:v>0.46820000000000001</c:v>
                </c:pt>
                <c:pt idx="769">
                  <c:v>0.46829999999999999</c:v>
                </c:pt>
                <c:pt idx="770">
                  <c:v>0.46439999999999998</c:v>
                </c:pt>
                <c:pt idx="771">
                  <c:v>0.45700000000000002</c:v>
                </c:pt>
                <c:pt idx="772">
                  <c:v>0.45030000000000003</c:v>
                </c:pt>
                <c:pt idx="773">
                  <c:v>0.56999999999999995</c:v>
                </c:pt>
                <c:pt idx="774">
                  <c:v>0.88</c:v>
                </c:pt>
                <c:pt idx="775">
                  <c:v>0.92</c:v>
                </c:pt>
                <c:pt idx="776">
                  <c:v>0.93</c:v>
                </c:pt>
                <c:pt idx="777">
                  <c:v>0.97</c:v>
                </c:pt>
                <c:pt idx="778">
                  <c:v>0.7</c:v>
                </c:pt>
                <c:pt idx="779">
                  <c:v>0.97</c:v>
                </c:pt>
                <c:pt idx="780">
                  <c:v>0.56999999999999995</c:v>
                </c:pt>
                <c:pt idx="781">
                  <c:v>0.37</c:v>
                </c:pt>
                <c:pt idx="782">
                  <c:v>0.24</c:v>
                </c:pt>
                <c:pt idx="783">
                  <c:v>7.0000000000000007E-2</c:v>
                </c:pt>
                <c:pt idx="784">
                  <c:v>0.02</c:v>
                </c:pt>
                <c:pt idx="785">
                  <c:v>0.46</c:v>
                </c:pt>
              </c:numCache>
            </c:numRef>
          </c:xVal>
          <c:yVal>
            <c:numRef>
              <c:f>'DS model'!$BM$2:$BM$787</c:f>
              <c:numCache>
                <c:formatCode>General</c:formatCode>
                <c:ptCount val="786"/>
                <c:pt idx="0">
                  <c:v>0.34680791398031929</c:v>
                </c:pt>
                <c:pt idx="1">
                  <c:v>0.35889774799436125</c:v>
                </c:pt>
                <c:pt idx="2">
                  <c:v>0.36105668948153358</c:v>
                </c:pt>
                <c:pt idx="3">
                  <c:v>0.36274124049408168</c:v>
                </c:pt>
                <c:pt idx="4">
                  <c:v>0.36169457835935104</c:v>
                </c:pt>
                <c:pt idx="5">
                  <c:v>0.35987270924429388</c:v>
                </c:pt>
                <c:pt idx="6">
                  <c:v>0.35801836393989983</c:v>
                </c:pt>
                <c:pt idx="7">
                  <c:v>0.45904113436622274</c:v>
                </c:pt>
                <c:pt idx="8">
                  <c:v>0.44574009493045041</c:v>
                </c:pt>
                <c:pt idx="9">
                  <c:v>0.43757737261531027</c:v>
                </c:pt>
                <c:pt idx="10">
                  <c:v>0.43143539906103284</c:v>
                </c:pt>
                <c:pt idx="11">
                  <c:v>0.42202244275149242</c:v>
                </c:pt>
                <c:pt idx="12">
                  <c:v>0.41501125310092696</c:v>
                </c:pt>
                <c:pt idx="13">
                  <c:v>0.40917740459570195</c:v>
                </c:pt>
                <c:pt idx="14">
                  <c:v>0.39636089495750332</c:v>
                </c:pt>
                <c:pt idx="15">
                  <c:v>0.1111111111111111</c:v>
                </c:pt>
                <c:pt idx="16">
                  <c:v>0.25</c:v>
                </c:pt>
                <c:pt idx="17">
                  <c:v>0.49925037481259366</c:v>
                </c:pt>
                <c:pt idx="18">
                  <c:v>0.39977777777777779</c:v>
                </c:pt>
                <c:pt idx="19">
                  <c:v>0.25</c:v>
                </c:pt>
                <c:pt idx="20">
                  <c:v>0.5</c:v>
                </c:pt>
                <c:pt idx="21">
                  <c:v>0.6279288389513108</c:v>
                </c:pt>
                <c:pt idx="22">
                  <c:v>0.33747802197802196</c:v>
                </c:pt>
                <c:pt idx="23">
                  <c:v>0.5</c:v>
                </c:pt>
                <c:pt idx="24">
                  <c:v>0.68682962962962957</c:v>
                </c:pt>
                <c:pt idx="25">
                  <c:v>0.34829306220095679</c:v>
                </c:pt>
                <c:pt idx="26">
                  <c:v>0.66711764705882348</c:v>
                </c:pt>
                <c:pt idx="27">
                  <c:v>0.4</c:v>
                </c:pt>
                <c:pt idx="28">
                  <c:v>0.64204347826086949</c:v>
                </c:pt>
                <c:pt idx="29">
                  <c:v>0.64440909090909093</c:v>
                </c:pt>
                <c:pt idx="30">
                  <c:v>0.64121739130434774</c:v>
                </c:pt>
                <c:pt idx="31">
                  <c:v>0.63043478260869568</c:v>
                </c:pt>
                <c:pt idx="32">
                  <c:v>0.65817647058823525</c:v>
                </c:pt>
                <c:pt idx="33">
                  <c:v>0.64700000000000002</c:v>
                </c:pt>
                <c:pt idx="34">
                  <c:v>0.63670833333333332</c:v>
                </c:pt>
                <c:pt idx="35">
                  <c:v>0.62609999999999999</c:v>
                </c:pt>
                <c:pt idx="36">
                  <c:v>0.5714285714285714</c:v>
                </c:pt>
                <c:pt idx="37">
                  <c:v>0.5</c:v>
                </c:pt>
                <c:pt idx="38">
                  <c:v>0.65544444444444439</c:v>
                </c:pt>
                <c:pt idx="39">
                  <c:v>0.65929411764705881</c:v>
                </c:pt>
                <c:pt idx="40">
                  <c:v>0.65544444444444439</c:v>
                </c:pt>
                <c:pt idx="41">
                  <c:v>0.65333333333333332</c:v>
                </c:pt>
                <c:pt idx="42">
                  <c:v>0.64900000000000002</c:v>
                </c:pt>
                <c:pt idx="43">
                  <c:v>0.64510000000000001</c:v>
                </c:pt>
                <c:pt idx="44">
                  <c:v>0.65544444444444439</c:v>
                </c:pt>
                <c:pt idx="45">
                  <c:v>0.66041176470588236</c:v>
                </c:pt>
                <c:pt idx="46">
                  <c:v>0.65544444444444439</c:v>
                </c:pt>
                <c:pt idx="47">
                  <c:v>0.64911111111111108</c:v>
                </c:pt>
                <c:pt idx="48">
                  <c:v>0.65147058823529413</c:v>
                </c:pt>
                <c:pt idx="49">
                  <c:v>0.1170750382848392</c:v>
                </c:pt>
                <c:pt idx="50">
                  <c:v>0.10954415954415954</c:v>
                </c:pt>
                <c:pt idx="51">
                  <c:v>9.6721103937207231E-2</c:v>
                </c:pt>
                <c:pt idx="52">
                  <c:v>9.1919674874491999E-2</c:v>
                </c:pt>
                <c:pt idx="53">
                  <c:v>0.11764705882352941</c:v>
                </c:pt>
                <c:pt idx="54">
                  <c:v>8.3333333333333329E-2</c:v>
                </c:pt>
                <c:pt idx="55">
                  <c:v>7.575757575757576E-2</c:v>
                </c:pt>
                <c:pt idx="56">
                  <c:v>0.33333333333333331</c:v>
                </c:pt>
                <c:pt idx="57">
                  <c:v>0.16666666666666666</c:v>
                </c:pt>
                <c:pt idx="58">
                  <c:v>0.16666666666666666</c:v>
                </c:pt>
                <c:pt idx="59">
                  <c:v>0.6279288389513108</c:v>
                </c:pt>
                <c:pt idx="60">
                  <c:v>0.628</c:v>
                </c:pt>
                <c:pt idx="61">
                  <c:v>0.6279288389513108</c:v>
                </c:pt>
                <c:pt idx="62">
                  <c:v>0.62792988929889293</c:v>
                </c:pt>
                <c:pt idx="63">
                  <c:v>0.6279288389513108</c:v>
                </c:pt>
                <c:pt idx="64">
                  <c:v>0.62792988929889293</c:v>
                </c:pt>
                <c:pt idx="65">
                  <c:v>0.40165631469979296</c:v>
                </c:pt>
                <c:pt idx="66">
                  <c:v>0.40145985401459855</c:v>
                </c:pt>
                <c:pt idx="67">
                  <c:v>0.40340909090909088</c:v>
                </c:pt>
                <c:pt idx="68">
                  <c:v>0.40594059405940597</c:v>
                </c:pt>
                <c:pt idx="69">
                  <c:v>0.39849624060150374</c:v>
                </c:pt>
                <c:pt idx="70">
                  <c:v>0.25391849529780564</c:v>
                </c:pt>
                <c:pt idx="71">
                  <c:v>0.2134796238244514</c:v>
                </c:pt>
                <c:pt idx="72">
                  <c:v>0.18105849582172701</c:v>
                </c:pt>
                <c:pt idx="73">
                  <c:v>0.15870496746548168</c:v>
                </c:pt>
                <c:pt idx="74">
                  <c:v>0.13784144371883997</c:v>
                </c:pt>
                <c:pt idx="75">
                  <c:v>0.12561184921492596</c:v>
                </c:pt>
                <c:pt idx="76">
                  <c:v>0.1025273224043716</c:v>
                </c:pt>
                <c:pt idx="77">
                  <c:v>0.18586924655526238</c:v>
                </c:pt>
                <c:pt idx="78">
                  <c:v>0.23079871224896517</c:v>
                </c:pt>
                <c:pt idx="79">
                  <c:v>0.27795450930491489</c:v>
                </c:pt>
                <c:pt idx="80">
                  <c:v>0.32628895650028783</c:v>
                </c:pt>
                <c:pt idx="81">
                  <c:v>0.38638905618170871</c:v>
                </c:pt>
                <c:pt idx="82">
                  <c:v>0.44079415954415957</c:v>
                </c:pt>
                <c:pt idx="83">
                  <c:v>0.51282051282051277</c:v>
                </c:pt>
                <c:pt idx="84">
                  <c:v>0.44871794871794873</c:v>
                </c:pt>
                <c:pt idx="85">
                  <c:v>0.38461538461538464</c:v>
                </c:pt>
                <c:pt idx="86">
                  <c:v>0.32051282051282054</c:v>
                </c:pt>
                <c:pt idx="87">
                  <c:v>0.25641025641025639</c:v>
                </c:pt>
                <c:pt idx="88">
                  <c:v>0.37735849056603776</c:v>
                </c:pt>
                <c:pt idx="89">
                  <c:v>0.330188679245283</c:v>
                </c:pt>
                <c:pt idx="90">
                  <c:v>0.28301886792452829</c:v>
                </c:pt>
                <c:pt idx="91">
                  <c:v>0.23584905660377359</c:v>
                </c:pt>
                <c:pt idx="92">
                  <c:v>0.18867924528301888</c:v>
                </c:pt>
                <c:pt idx="93">
                  <c:v>0.86764963503649639</c:v>
                </c:pt>
                <c:pt idx="94">
                  <c:v>0.748927291886196</c:v>
                </c:pt>
                <c:pt idx="95">
                  <c:v>0.7078897637795275</c:v>
                </c:pt>
                <c:pt idx="96">
                  <c:v>0.66346039603960394</c:v>
                </c:pt>
                <c:pt idx="97">
                  <c:v>0.47970479704797048</c:v>
                </c:pt>
                <c:pt idx="98">
                  <c:v>0.35860058309037907</c:v>
                </c:pt>
                <c:pt idx="99">
                  <c:v>0.28478260869565214</c:v>
                </c:pt>
                <c:pt idx="100">
                  <c:v>0.24368231046931407</c:v>
                </c:pt>
                <c:pt idx="101">
                  <c:v>0.19983719983719986</c:v>
                </c:pt>
                <c:pt idx="102">
                  <c:v>0.17653403643336529</c:v>
                </c:pt>
                <c:pt idx="103">
                  <c:v>0.58982511923688397</c:v>
                </c:pt>
                <c:pt idx="104">
                  <c:v>0.55763239875389403</c:v>
                </c:pt>
                <c:pt idx="105">
                  <c:v>0.53374233128834347</c:v>
                </c:pt>
                <c:pt idx="106">
                  <c:v>0.34589502018842533</c:v>
                </c:pt>
                <c:pt idx="107">
                  <c:v>0.41043723554301831</c:v>
                </c:pt>
                <c:pt idx="108">
                  <c:v>0.50829562594268485</c:v>
                </c:pt>
                <c:pt idx="109">
                  <c:v>0.3979197324414715</c:v>
                </c:pt>
                <c:pt idx="110">
                  <c:v>0.17204301075268816</c:v>
                </c:pt>
                <c:pt idx="111">
                  <c:v>0.21022727272727271</c:v>
                </c:pt>
                <c:pt idx="112">
                  <c:v>0.26219512195121952</c:v>
                </c:pt>
                <c:pt idx="113">
                  <c:v>0.32781456953642385</c:v>
                </c:pt>
                <c:pt idx="114">
                  <c:v>0.50806451612903225</c:v>
                </c:pt>
                <c:pt idx="115">
                  <c:v>0.17842605156037991</c:v>
                </c:pt>
                <c:pt idx="116">
                  <c:v>0.21225071225071224</c:v>
                </c:pt>
                <c:pt idx="117">
                  <c:v>0.25187969924812031</c:v>
                </c:pt>
                <c:pt idx="118">
                  <c:v>0.31433224755700329</c:v>
                </c:pt>
                <c:pt idx="119">
                  <c:v>0.5</c:v>
                </c:pt>
                <c:pt idx="120">
                  <c:v>0.27867746288798922</c:v>
                </c:pt>
                <c:pt idx="121">
                  <c:v>0.3241935483870968</c:v>
                </c:pt>
                <c:pt idx="122">
                  <c:v>0.41379310344827586</c:v>
                </c:pt>
                <c:pt idx="123">
                  <c:v>0.50520833333333337</c:v>
                </c:pt>
                <c:pt idx="124">
                  <c:v>0.63476712328767115</c:v>
                </c:pt>
                <c:pt idx="125">
                  <c:v>0.70224074074074072</c:v>
                </c:pt>
                <c:pt idx="126">
                  <c:v>0.85871428571428565</c:v>
                </c:pt>
                <c:pt idx="127">
                  <c:v>0.10619469026548671</c:v>
                </c:pt>
                <c:pt idx="128">
                  <c:v>0.17096018735362997</c:v>
                </c:pt>
                <c:pt idx="129">
                  <c:v>0.24843945068664169</c:v>
                </c:pt>
                <c:pt idx="130">
                  <c:v>0.32802124833997343</c:v>
                </c:pt>
                <c:pt idx="131">
                  <c:v>0.41843971631205673</c:v>
                </c:pt>
                <c:pt idx="132">
                  <c:v>0.52671755725190839</c:v>
                </c:pt>
                <c:pt idx="133">
                  <c:v>0.40070216306156403</c:v>
                </c:pt>
                <c:pt idx="134">
                  <c:v>0.31798470363288711</c:v>
                </c:pt>
                <c:pt idx="135">
                  <c:v>0.25511875511875509</c:v>
                </c:pt>
                <c:pt idx="136">
                  <c:v>0.25511875511875509</c:v>
                </c:pt>
                <c:pt idx="137">
                  <c:v>0.25511875511875509</c:v>
                </c:pt>
                <c:pt idx="138">
                  <c:v>0.18411516005637205</c:v>
                </c:pt>
                <c:pt idx="139">
                  <c:v>0.18411516005637205</c:v>
                </c:pt>
                <c:pt idx="140">
                  <c:v>0.18411516005637205</c:v>
                </c:pt>
                <c:pt idx="141">
                  <c:v>0.42540600055050914</c:v>
                </c:pt>
                <c:pt idx="142">
                  <c:v>0.66607431680596663</c:v>
                </c:pt>
                <c:pt idx="143">
                  <c:v>0.66281079249641039</c:v>
                </c:pt>
                <c:pt idx="144">
                  <c:v>0.66051622554863965</c:v>
                </c:pt>
                <c:pt idx="145">
                  <c:v>0.65859692198976894</c:v>
                </c:pt>
                <c:pt idx="146">
                  <c:v>0.66297954955690896</c:v>
                </c:pt>
                <c:pt idx="147">
                  <c:v>0.66250958113955294</c:v>
                </c:pt>
                <c:pt idx="148">
                  <c:v>0.66266156569073853</c:v>
                </c:pt>
                <c:pt idx="149">
                  <c:v>0.66194707700597732</c:v>
                </c:pt>
                <c:pt idx="150">
                  <c:v>0.64439999999999997</c:v>
                </c:pt>
                <c:pt idx="151">
                  <c:v>0.63289436619718309</c:v>
                </c:pt>
                <c:pt idx="152">
                  <c:v>0.56445922790041325</c:v>
                </c:pt>
                <c:pt idx="153">
                  <c:v>0.47043870438704394</c:v>
                </c:pt>
                <c:pt idx="154">
                  <c:v>0.62946153846153841</c:v>
                </c:pt>
                <c:pt idx="155">
                  <c:v>0.62807037037037028</c:v>
                </c:pt>
                <c:pt idx="156">
                  <c:v>0.628</c:v>
                </c:pt>
                <c:pt idx="157">
                  <c:v>0.62750187265917601</c:v>
                </c:pt>
                <c:pt idx="158">
                  <c:v>0.628</c:v>
                </c:pt>
                <c:pt idx="159">
                  <c:v>0.628</c:v>
                </c:pt>
                <c:pt idx="160">
                  <c:v>0.628</c:v>
                </c:pt>
                <c:pt idx="161">
                  <c:v>0.5</c:v>
                </c:pt>
                <c:pt idx="162">
                  <c:v>0.22058823529411764</c:v>
                </c:pt>
                <c:pt idx="163">
                  <c:v>0.37735849056603776</c:v>
                </c:pt>
                <c:pt idx="164">
                  <c:v>0.66133425720620842</c:v>
                </c:pt>
                <c:pt idx="165">
                  <c:v>0.33060482037289673</c:v>
                </c:pt>
                <c:pt idx="166">
                  <c:v>1.6483516483516484E-2</c:v>
                </c:pt>
                <c:pt idx="167">
                  <c:v>6.1855670103092786E-2</c:v>
                </c:pt>
                <c:pt idx="168">
                  <c:v>5.8823529411764705E-2</c:v>
                </c:pt>
                <c:pt idx="169">
                  <c:v>0.19402985074626866</c:v>
                </c:pt>
                <c:pt idx="170">
                  <c:v>0.87113559322033884</c:v>
                </c:pt>
                <c:pt idx="171">
                  <c:v>0.2</c:v>
                </c:pt>
                <c:pt idx="172">
                  <c:v>0.70399999999999996</c:v>
                </c:pt>
                <c:pt idx="173">
                  <c:v>0.65336499999999997</c:v>
                </c:pt>
                <c:pt idx="174">
                  <c:v>0.35294117647058826</c:v>
                </c:pt>
                <c:pt idx="175">
                  <c:v>0.66645783132530112</c:v>
                </c:pt>
                <c:pt idx="176">
                  <c:v>0.66645783132530112</c:v>
                </c:pt>
                <c:pt idx="177">
                  <c:v>0.81983870967741934</c:v>
                </c:pt>
                <c:pt idx="178">
                  <c:v>0.81983870967741934</c:v>
                </c:pt>
                <c:pt idx="179">
                  <c:v>0.63958744394618827</c:v>
                </c:pt>
                <c:pt idx="180">
                  <c:v>0.63958744394618827</c:v>
                </c:pt>
                <c:pt idx="181">
                  <c:v>0.2857142857142857</c:v>
                </c:pt>
                <c:pt idx="182">
                  <c:v>0.30769230769230771</c:v>
                </c:pt>
                <c:pt idx="183">
                  <c:v>0.33333333333333331</c:v>
                </c:pt>
                <c:pt idx="184">
                  <c:v>0.4</c:v>
                </c:pt>
                <c:pt idx="185">
                  <c:v>0.44444444444444442</c:v>
                </c:pt>
                <c:pt idx="186">
                  <c:v>0.53333333333333333</c:v>
                </c:pt>
                <c:pt idx="187">
                  <c:v>0.62166666666666659</c:v>
                </c:pt>
                <c:pt idx="188">
                  <c:v>0.64700000000000002</c:v>
                </c:pt>
                <c:pt idx="189">
                  <c:v>0.68528571428571428</c:v>
                </c:pt>
                <c:pt idx="190">
                  <c:v>0.68528571428571428</c:v>
                </c:pt>
                <c:pt idx="191">
                  <c:v>0.6278538461538461</c:v>
                </c:pt>
                <c:pt idx="192">
                  <c:v>0.6278538461538461</c:v>
                </c:pt>
                <c:pt idx="193">
                  <c:v>0.35714285714285715</c:v>
                </c:pt>
                <c:pt idx="194">
                  <c:v>0.41666666666666669</c:v>
                </c:pt>
                <c:pt idx="195">
                  <c:v>0.5</c:v>
                </c:pt>
                <c:pt idx="196">
                  <c:v>0.58353713768115945</c:v>
                </c:pt>
                <c:pt idx="197">
                  <c:v>0.60090909090909084</c:v>
                </c:pt>
                <c:pt idx="198">
                  <c:v>0.628</c:v>
                </c:pt>
                <c:pt idx="199">
                  <c:v>0.628</c:v>
                </c:pt>
                <c:pt idx="200">
                  <c:v>0.66599999999999993</c:v>
                </c:pt>
                <c:pt idx="201">
                  <c:v>0.77914925373134325</c:v>
                </c:pt>
                <c:pt idx="202">
                  <c:v>0.44961240310077522</c:v>
                </c:pt>
                <c:pt idx="203">
                  <c:v>0.5</c:v>
                </c:pt>
                <c:pt idx="204">
                  <c:v>0.50916666666666666</c:v>
                </c:pt>
                <c:pt idx="205">
                  <c:v>0.53067045454545447</c:v>
                </c:pt>
                <c:pt idx="206">
                  <c:v>0.56057777777777773</c:v>
                </c:pt>
                <c:pt idx="207">
                  <c:v>0.56057777777777773</c:v>
                </c:pt>
                <c:pt idx="208">
                  <c:v>0.64880065359477124</c:v>
                </c:pt>
                <c:pt idx="209">
                  <c:v>0.57931945361375703</c:v>
                </c:pt>
                <c:pt idx="210">
                  <c:v>0.45311363636363633</c:v>
                </c:pt>
                <c:pt idx="211">
                  <c:v>0.45311363636363633</c:v>
                </c:pt>
                <c:pt idx="212">
                  <c:v>0.46640404040404038</c:v>
                </c:pt>
                <c:pt idx="213">
                  <c:v>0.48390952380952368</c:v>
                </c:pt>
                <c:pt idx="214">
                  <c:v>0.50911111111111107</c:v>
                </c:pt>
                <c:pt idx="215">
                  <c:v>0.55345833333333327</c:v>
                </c:pt>
                <c:pt idx="216">
                  <c:v>0.62493415394326723</c:v>
                </c:pt>
                <c:pt idx="217">
                  <c:v>0.4144833333333332</c:v>
                </c:pt>
                <c:pt idx="218">
                  <c:v>0.4405</c:v>
                </c:pt>
                <c:pt idx="219">
                  <c:v>0.46926190476190471</c:v>
                </c:pt>
                <c:pt idx="220">
                  <c:v>0.10999999999999999</c:v>
                </c:pt>
                <c:pt idx="221">
                  <c:v>0.17700000000000002</c:v>
                </c:pt>
                <c:pt idx="222">
                  <c:v>0.20499999999999999</c:v>
                </c:pt>
                <c:pt idx="223">
                  <c:v>0.25</c:v>
                </c:pt>
                <c:pt idx="224">
                  <c:v>0.28200000000000003</c:v>
                </c:pt>
                <c:pt idx="225">
                  <c:v>0.33300000000000007</c:v>
                </c:pt>
                <c:pt idx="226">
                  <c:v>0.37</c:v>
                </c:pt>
                <c:pt idx="227">
                  <c:v>0.40799999999999997</c:v>
                </c:pt>
                <c:pt idx="228">
                  <c:v>0.44999999999999996</c:v>
                </c:pt>
                <c:pt idx="229">
                  <c:v>0.5</c:v>
                </c:pt>
                <c:pt idx="230">
                  <c:v>0.39966666666666661</c:v>
                </c:pt>
                <c:pt idx="231">
                  <c:v>5.3333333333333011E-3</c:v>
                </c:pt>
                <c:pt idx="232">
                  <c:v>0</c:v>
                </c:pt>
                <c:pt idx="233">
                  <c:v>0</c:v>
                </c:pt>
                <c:pt idx="234">
                  <c:v>0.1</c:v>
                </c:pt>
                <c:pt idx="235">
                  <c:v>0.19999999999999998</c:v>
                </c:pt>
                <c:pt idx="236">
                  <c:v>0.33</c:v>
                </c:pt>
                <c:pt idx="237">
                  <c:v>0.5</c:v>
                </c:pt>
                <c:pt idx="238">
                  <c:v>0.5278166666666666</c:v>
                </c:pt>
                <c:pt idx="239">
                  <c:v>0.49948333333333333</c:v>
                </c:pt>
                <c:pt idx="240">
                  <c:v>0.4711499999999999</c:v>
                </c:pt>
                <c:pt idx="241">
                  <c:v>0.44281666666666664</c:v>
                </c:pt>
                <c:pt idx="242">
                  <c:v>0.4144833333333332</c:v>
                </c:pt>
                <c:pt idx="243">
                  <c:v>0.10999999999999999</c:v>
                </c:pt>
                <c:pt idx="244">
                  <c:v>0.2</c:v>
                </c:pt>
                <c:pt idx="245">
                  <c:v>0.33000000000000007</c:v>
                </c:pt>
                <c:pt idx="246">
                  <c:v>0.5</c:v>
                </c:pt>
                <c:pt idx="247">
                  <c:v>0.60000000000000009</c:v>
                </c:pt>
                <c:pt idx="248">
                  <c:v>0.58350000000000002</c:v>
                </c:pt>
                <c:pt idx="249">
                  <c:v>0.5585</c:v>
                </c:pt>
                <c:pt idx="250">
                  <c:v>0.53349999999999997</c:v>
                </c:pt>
                <c:pt idx="251">
                  <c:v>0.50849999999999995</c:v>
                </c:pt>
                <c:pt idx="252">
                  <c:v>0.43349999999999989</c:v>
                </c:pt>
                <c:pt idx="253">
                  <c:v>0.52383333333333337</c:v>
                </c:pt>
                <c:pt idx="254">
                  <c:v>0.2</c:v>
                </c:pt>
                <c:pt idx="255">
                  <c:v>0.33</c:v>
                </c:pt>
                <c:pt idx="256">
                  <c:v>0.49999999999999983</c:v>
                </c:pt>
                <c:pt idx="257">
                  <c:v>0.59999999999999976</c:v>
                </c:pt>
                <c:pt idx="258">
                  <c:v>0.628</c:v>
                </c:pt>
                <c:pt idx="259">
                  <c:v>0.628</c:v>
                </c:pt>
                <c:pt idx="260">
                  <c:v>0.628</c:v>
                </c:pt>
                <c:pt idx="261">
                  <c:v>0.628</c:v>
                </c:pt>
                <c:pt idx="262">
                  <c:v>0.54466666666666674</c:v>
                </c:pt>
                <c:pt idx="263">
                  <c:v>0.33633333333333343</c:v>
                </c:pt>
                <c:pt idx="264">
                  <c:v>0.64699999999999991</c:v>
                </c:pt>
                <c:pt idx="265">
                  <c:v>0.64700000000000002</c:v>
                </c:pt>
                <c:pt idx="266">
                  <c:v>0.64700000000000002</c:v>
                </c:pt>
                <c:pt idx="267">
                  <c:v>0.64700000000000002</c:v>
                </c:pt>
                <c:pt idx="268">
                  <c:v>0.5740333333333334</c:v>
                </c:pt>
                <c:pt idx="269">
                  <c:v>0.39069999999999999</c:v>
                </c:pt>
                <c:pt idx="270">
                  <c:v>0.2</c:v>
                </c:pt>
                <c:pt idx="271">
                  <c:v>0.32</c:v>
                </c:pt>
                <c:pt idx="272">
                  <c:v>0.35199999999999992</c:v>
                </c:pt>
                <c:pt idx="273">
                  <c:v>0.40000000000000008</c:v>
                </c:pt>
                <c:pt idx="274">
                  <c:v>0.5</c:v>
                </c:pt>
                <c:pt idx="275">
                  <c:v>0.59349999999999992</c:v>
                </c:pt>
                <c:pt idx="276">
                  <c:v>0.57099999999999995</c:v>
                </c:pt>
                <c:pt idx="277">
                  <c:v>0.54349999999999998</c:v>
                </c:pt>
                <c:pt idx="278">
                  <c:v>0.50849999999999995</c:v>
                </c:pt>
                <c:pt idx="279">
                  <c:v>0.38350000000000006</c:v>
                </c:pt>
                <c:pt idx="280">
                  <c:v>0.15000000000000002</c:v>
                </c:pt>
                <c:pt idx="281">
                  <c:v>0.25000000000000006</c:v>
                </c:pt>
                <c:pt idx="282">
                  <c:v>0.33</c:v>
                </c:pt>
                <c:pt idx="283">
                  <c:v>0.49999999999999983</c:v>
                </c:pt>
                <c:pt idx="284">
                  <c:v>0.59999999999999976</c:v>
                </c:pt>
                <c:pt idx="285">
                  <c:v>0.628</c:v>
                </c:pt>
                <c:pt idx="286">
                  <c:v>0.628</c:v>
                </c:pt>
                <c:pt idx="287">
                  <c:v>0.628</c:v>
                </c:pt>
                <c:pt idx="288">
                  <c:v>0.628</c:v>
                </c:pt>
                <c:pt idx="289">
                  <c:v>0.60299999999999998</c:v>
                </c:pt>
                <c:pt idx="290">
                  <c:v>0.50300000000000011</c:v>
                </c:pt>
                <c:pt idx="291">
                  <c:v>0.4405</c:v>
                </c:pt>
                <c:pt idx="292">
                  <c:v>0.38633333333333342</c:v>
                </c:pt>
                <c:pt idx="293">
                  <c:v>0.33633333333333343</c:v>
                </c:pt>
                <c:pt idx="294">
                  <c:v>0.15</c:v>
                </c:pt>
                <c:pt idx="295">
                  <c:v>0.24999999999999997</c:v>
                </c:pt>
                <c:pt idx="296">
                  <c:v>0.37900000000000011</c:v>
                </c:pt>
                <c:pt idx="297">
                  <c:v>0.59</c:v>
                </c:pt>
                <c:pt idx="298">
                  <c:v>0.63578999999999997</c:v>
                </c:pt>
                <c:pt idx="299">
                  <c:v>0.63578999999999997</c:v>
                </c:pt>
                <c:pt idx="300">
                  <c:v>0.63578999999999997</c:v>
                </c:pt>
                <c:pt idx="301">
                  <c:v>0.63578999999999997</c:v>
                </c:pt>
                <c:pt idx="302">
                  <c:v>0.6054609410430839</c:v>
                </c:pt>
                <c:pt idx="303">
                  <c:v>0.54841445578231296</c:v>
                </c:pt>
                <c:pt idx="304">
                  <c:v>0.44809132653061229</c:v>
                </c:pt>
                <c:pt idx="305">
                  <c:v>0.15000000000000002</c:v>
                </c:pt>
                <c:pt idx="306">
                  <c:v>0.25</c:v>
                </c:pt>
                <c:pt idx="307">
                  <c:v>0.379</c:v>
                </c:pt>
                <c:pt idx="308">
                  <c:v>0.5</c:v>
                </c:pt>
                <c:pt idx="309">
                  <c:v>0.54499999999999993</c:v>
                </c:pt>
                <c:pt idx="310">
                  <c:v>0.64699999999999991</c:v>
                </c:pt>
                <c:pt idx="311">
                  <c:v>0.64700000000000002</c:v>
                </c:pt>
                <c:pt idx="312">
                  <c:v>0.64700000000000002</c:v>
                </c:pt>
                <c:pt idx="313">
                  <c:v>0.64699999999999991</c:v>
                </c:pt>
                <c:pt idx="314">
                  <c:v>0.62903333333333333</c:v>
                </c:pt>
                <c:pt idx="315">
                  <c:v>0.5282</c:v>
                </c:pt>
                <c:pt idx="316">
                  <c:v>0.33300000000000007</c:v>
                </c:pt>
                <c:pt idx="317">
                  <c:v>0.66599999999999993</c:v>
                </c:pt>
                <c:pt idx="318">
                  <c:v>0.66599999999999993</c:v>
                </c:pt>
                <c:pt idx="319">
                  <c:v>0.66599999999999993</c:v>
                </c:pt>
                <c:pt idx="320">
                  <c:v>0.66599999999999993</c:v>
                </c:pt>
                <c:pt idx="321">
                  <c:v>0.63833333333333331</c:v>
                </c:pt>
                <c:pt idx="322">
                  <c:v>0.58999999999999986</c:v>
                </c:pt>
                <c:pt idx="323">
                  <c:v>0.51666666666666661</c:v>
                </c:pt>
                <c:pt idx="324">
                  <c:v>0.36999999999999994</c:v>
                </c:pt>
                <c:pt idx="325">
                  <c:v>0.27027027027027029</c:v>
                </c:pt>
                <c:pt idx="326">
                  <c:v>0.28183098591549294</c:v>
                </c:pt>
                <c:pt idx="327">
                  <c:v>0.29411764705882354</c:v>
                </c:pt>
                <c:pt idx="328">
                  <c:v>0.35714285714285715</c:v>
                </c:pt>
                <c:pt idx="329">
                  <c:v>0.45545454545454545</c:v>
                </c:pt>
                <c:pt idx="330">
                  <c:v>0.61375000000000002</c:v>
                </c:pt>
                <c:pt idx="331">
                  <c:v>0.628</c:v>
                </c:pt>
                <c:pt idx="332">
                  <c:v>0.25974025974025972</c:v>
                </c:pt>
                <c:pt idx="333">
                  <c:v>0.27027027027027029</c:v>
                </c:pt>
                <c:pt idx="334">
                  <c:v>0.28183098591549294</c:v>
                </c:pt>
                <c:pt idx="335">
                  <c:v>0.25043782837127848</c:v>
                </c:pt>
                <c:pt idx="336">
                  <c:v>0.5</c:v>
                </c:pt>
                <c:pt idx="337">
                  <c:v>0.48531666666666656</c:v>
                </c:pt>
                <c:pt idx="338">
                  <c:v>0.25</c:v>
                </c:pt>
                <c:pt idx="339">
                  <c:v>0.5</c:v>
                </c:pt>
                <c:pt idx="340">
                  <c:v>0.6279288389513108</c:v>
                </c:pt>
                <c:pt idx="341">
                  <c:v>0.25263157894736843</c:v>
                </c:pt>
                <c:pt idx="342">
                  <c:v>0.5</c:v>
                </c:pt>
                <c:pt idx="343">
                  <c:v>0.66599999999999993</c:v>
                </c:pt>
                <c:pt idx="344">
                  <c:v>0.25849999999999995</c:v>
                </c:pt>
                <c:pt idx="345">
                  <c:v>0.13349999999999995</c:v>
                </c:pt>
                <c:pt idx="346">
                  <c:v>8.499999999999952E-3</c:v>
                </c:pt>
                <c:pt idx="347">
                  <c:v>0</c:v>
                </c:pt>
                <c:pt idx="348">
                  <c:v>0.54466666666666674</c:v>
                </c:pt>
                <c:pt idx="349">
                  <c:v>0.4405</c:v>
                </c:pt>
                <c:pt idx="350">
                  <c:v>0.33633333333333343</c:v>
                </c:pt>
                <c:pt idx="351">
                  <c:v>0.23216666666666652</c:v>
                </c:pt>
                <c:pt idx="352">
                  <c:v>2.3833333333333262E-2</c:v>
                </c:pt>
                <c:pt idx="353">
                  <c:v>0</c:v>
                </c:pt>
                <c:pt idx="354">
                  <c:v>0.64700000000000002</c:v>
                </c:pt>
                <c:pt idx="355">
                  <c:v>0.5740333333333334</c:v>
                </c:pt>
                <c:pt idx="356">
                  <c:v>0.4823666666666665</c:v>
                </c:pt>
                <c:pt idx="357">
                  <c:v>0.39069999999999999</c:v>
                </c:pt>
                <c:pt idx="358">
                  <c:v>0.20736666666666675</c:v>
                </c:pt>
                <c:pt idx="359">
                  <c:v>2.403333333333324E-2</c:v>
                </c:pt>
                <c:pt idx="360">
                  <c:v>0</c:v>
                </c:pt>
                <c:pt idx="361">
                  <c:v>0</c:v>
                </c:pt>
                <c:pt idx="362">
                  <c:v>0.66599999999999993</c:v>
                </c:pt>
                <c:pt idx="363">
                  <c:v>0.66599999999999993</c:v>
                </c:pt>
                <c:pt idx="364">
                  <c:v>0.66600000000000004</c:v>
                </c:pt>
                <c:pt idx="365">
                  <c:v>0.6000000000000002</c:v>
                </c:pt>
                <c:pt idx="366">
                  <c:v>0.51666666666666661</c:v>
                </c:pt>
                <c:pt idx="367">
                  <c:v>0.34999999999999992</c:v>
                </c:pt>
                <c:pt idx="368">
                  <c:v>0.18333333333333335</c:v>
                </c:pt>
                <c:pt idx="369">
                  <c:v>1.6666666666666718E-2</c:v>
                </c:pt>
                <c:pt idx="370">
                  <c:v>0</c:v>
                </c:pt>
                <c:pt idx="371">
                  <c:v>0.70399999999999996</c:v>
                </c:pt>
                <c:pt idx="372">
                  <c:v>0.70399999999999996</c:v>
                </c:pt>
                <c:pt idx="373">
                  <c:v>0.70399999999999996</c:v>
                </c:pt>
                <c:pt idx="374">
                  <c:v>0.70399999999999996</c:v>
                </c:pt>
                <c:pt idx="375">
                  <c:v>0.57391666666666652</c:v>
                </c:pt>
                <c:pt idx="376">
                  <c:v>0.4280833333333332</c:v>
                </c:pt>
                <c:pt idx="377">
                  <c:v>0.28225</c:v>
                </c:pt>
                <c:pt idx="378">
                  <c:v>0.13641666666666641</c:v>
                </c:pt>
                <c:pt idx="379">
                  <c:v>0.42561983471074383</c:v>
                </c:pt>
                <c:pt idx="380">
                  <c:v>0.49216300940438878</c:v>
                </c:pt>
                <c:pt idx="381">
                  <c:v>0.58395522388059706</c:v>
                </c:pt>
                <c:pt idx="382">
                  <c:v>0.36077057793345013</c:v>
                </c:pt>
                <c:pt idx="383">
                  <c:v>0.39499036608863197</c:v>
                </c:pt>
                <c:pt idx="384">
                  <c:v>0.3360258481421648</c:v>
                </c:pt>
                <c:pt idx="385">
                  <c:v>0.34641068447412354</c:v>
                </c:pt>
                <c:pt idx="386">
                  <c:v>0.31732168850072778</c:v>
                </c:pt>
                <c:pt idx="387">
                  <c:v>0.29514824797843664</c:v>
                </c:pt>
                <c:pt idx="388">
                  <c:v>0.48723897911832947</c:v>
                </c:pt>
                <c:pt idx="389">
                  <c:v>0.44142259414225948</c:v>
                </c:pt>
                <c:pt idx="390">
                  <c:v>0.45064377682403434</c:v>
                </c:pt>
                <c:pt idx="391">
                  <c:v>0.49880095923261392</c:v>
                </c:pt>
                <c:pt idx="392">
                  <c:v>0.31411530815109345</c:v>
                </c:pt>
                <c:pt idx="393">
                  <c:v>0.34581497797356825</c:v>
                </c:pt>
                <c:pt idx="394">
                  <c:v>0.29917184265010355</c:v>
                </c:pt>
                <c:pt idx="395">
                  <c:v>0.33410672853828305</c:v>
                </c:pt>
                <c:pt idx="396">
                  <c:v>0.40458015267175568</c:v>
                </c:pt>
                <c:pt idx="397">
                  <c:v>0.48520710059171596</c:v>
                </c:pt>
                <c:pt idx="398">
                  <c:v>0</c:v>
                </c:pt>
                <c:pt idx="399">
                  <c:v>0.40000000000000008</c:v>
                </c:pt>
                <c:pt idx="400">
                  <c:v>0.4711499999999999</c:v>
                </c:pt>
                <c:pt idx="401">
                  <c:v>0.4144833333333332</c:v>
                </c:pt>
                <c:pt idx="402">
                  <c:v>0.35781666666666656</c:v>
                </c:pt>
                <c:pt idx="403">
                  <c:v>0.44999999999999984</c:v>
                </c:pt>
                <c:pt idx="404">
                  <c:v>0.59999999999999976</c:v>
                </c:pt>
                <c:pt idx="405">
                  <c:v>0.628</c:v>
                </c:pt>
                <c:pt idx="406">
                  <c:v>0.4405</c:v>
                </c:pt>
                <c:pt idx="407">
                  <c:v>0.33633333333333343</c:v>
                </c:pt>
                <c:pt idx="408">
                  <c:v>0.65201346257404413</c:v>
                </c:pt>
                <c:pt idx="409">
                  <c:v>0.65201186468737926</c:v>
                </c:pt>
                <c:pt idx="410">
                  <c:v>0.65201273885350319</c:v>
                </c:pt>
                <c:pt idx="411">
                  <c:v>0.65201420245572339</c:v>
                </c:pt>
                <c:pt idx="412">
                  <c:v>0.65201254064096603</c:v>
                </c:pt>
                <c:pt idx="413">
                  <c:v>0.65201388888888889</c:v>
                </c:pt>
                <c:pt idx="414">
                  <c:v>0.66376259445843822</c:v>
                </c:pt>
                <c:pt idx="415">
                  <c:v>0.66048200122025624</c:v>
                </c:pt>
                <c:pt idx="416">
                  <c:v>0.65471372106154713</c:v>
                </c:pt>
                <c:pt idx="417">
                  <c:v>0.64727465152297359</c:v>
                </c:pt>
                <c:pt idx="418">
                  <c:v>0.64015577190542416</c:v>
                </c:pt>
                <c:pt idx="419">
                  <c:v>0.24689165186500889</c:v>
                </c:pt>
                <c:pt idx="420">
                  <c:v>0.29574468085106381</c:v>
                </c:pt>
                <c:pt idx="421">
                  <c:v>0.37165775401069523</c:v>
                </c:pt>
                <c:pt idx="422">
                  <c:v>0.49466192170818502</c:v>
                </c:pt>
                <c:pt idx="423">
                  <c:v>0.65801595744680852</c:v>
                </c:pt>
                <c:pt idx="424">
                  <c:v>0.68199280575539567</c:v>
                </c:pt>
                <c:pt idx="425">
                  <c:v>0.65147596153846155</c:v>
                </c:pt>
                <c:pt idx="426">
                  <c:v>0.6361624548736462</c:v>
                </c:pt>
                <c:pt idx="427">
                  <c:v>0.53868194842406869</c:v>
                </c:pt>
                <c:pt idx="428">
                  <c:v>0.44976076555023919</c:v>
                </c:pt>
                <c:pt idx="429">
                  <c:v>0.38603696098562634</c:v>
                </c:pt>
                <c:pt idx="430">
                  <c:v>0.82162727272727265</c:v>
                </c:pt>
                <c:pt idx="431">
                  <c:v>0.71285672227674191</c:v>
                </c:pt>
                <c:pt idx="432">
                  <c:v>0.66133425720620842</c:v>
                </c:pt>
                <c:pt idx="433">
                  <c:v>0.40331164991129509</c:v>
                </c:pt>
                <c:pt idx="434">
                  <c:v>0.49466248037676602</c:v>
                </c:pt>
                <c:pt idx="435">
                  <c:v>0.42517847336628228</c:v>
                </c:pt>
                <c:pt idx="436">
                  <c:v>0.37007874015748032</c:v>
                </c:pt>
                <c:pt idx="437">
                  <c:v>0.3430656934306569</c:v>
                </c:pt>
                <c:pt idx="438">
                  <c:v>0.31972789115646255</c:v>
                </c:pt>
                <c:pt idx="439">
                  <c:v>0.2814371257485031</c:v>
                </c:pt>
                <c:pt idx="440">
                  <c:v>0.25133689839572193</c:v>
                </c:pt>
                <c:pt idx="441">
                  <c:v>0.42516666666666669</c:v>
                </c:pt>
                <c:pt idx="442">
                  <c:v>0.46161328976034854</c:v>
                </c:pt>
                <c:pt idx="443">
                  <c:v>0.51793589743589741</c:v>
                </c:pt>
                <c:pt idx="444">
                  <c:v>0.42857142857142855</c:v>
                </c:pt>
                <c:pt idx="445">
                  <c:v>0.27777777777777779</c:v>
                </c:pt>
                <c:pt idx="446">
                  <c:v>0.18181818181818182</c:v>
                </c:pt>
                <c:pt idx="447">
                  <c:v>0.11538461538461539</c:v>
                </c:pt>
                <c:pt idx="448">
                  <c:v>7.1428571428571425E-2</c:v>
                </c:pt>
                <c:pt idx="449">
                  <c:v>7.874015748031496E-2</c:v>
                </c:pt>
                <c:pt idx="450">
                  <c:v>0.43416370106761559</c:v>
                </c:pt>
                <c:pt idx="451">
                  <c:v>0.56088560885608851</c:v>
                </c:pt>
                <c:pt idx="452">
                  <c:v>0.6303843137254902</c:v>
                </c:pt>
                <c:pt idx="453">
                  <c:v>0.63038493723849365</c:v>
                </c:pt>
                <c:pt idx="454">
                  <c:v>0.58886717788068199</c:v>
                </c:pt>
                <c:pt idx="455">
                  <c:v>0.51754654242676601</c:v>
                </c:pt>
                <c:pt idx="456">
                  <c:v>0.23255813953488372</c:v>
                </c:pt>
                <c:pt idx="457">
                  <c:v>0.33578431372549022</c:v>
                </c:pt>
                <c:pt idx="458">
                  <c:v>0.22222222222222221</c:v>
                </c:pt>
                <c:pt idx="459">
                  <c:v>0.2424242424242424</c:v>
                </c:pt>
                <c:pt idx="460">
                  <c:v>0.26666666666666666</c:v>
                </c:pt>
                <c:pt idx="461">
                  <c:v>0.33333333333333331</c:v>
                </c:pt>
                <c:pt idx="462">
                  <c:v>0.33333333333333326</c:v>
                </c:pt>
                <c:pt idx="463">
                  <c:v>0.37037037037037029</c:v>
                </c:pt>
                <c:pt idx="464">
                  <c:v>0.41666666666666663</c:v>
                </c:pt>
                <c:pt idx="465">
                  <c:v>0.55555555555555547</c:v>
                </c:pt>
                <c:pt idx="466">
                  <c:v>0.29761904761904756</c:v>
                </c:pt>
                <c:pt idx="467">
                  <c:v>0.26881720430107525</c:v>
                </c:pt>
                <c:pt idx="468">
                  <c:v>0.24509803921568624</c:v>
                </c:pt>
                <c:pt idx="469">
                  <c:v>0.2252252252252252</c:v>
                </c:pt>
                <c:pt idx="470">
                  <c:v>0.32679738562091498</c:v>
                </c:pt>
                <c:pt idx="471">
                  <c:v>0.36231884057971009</c:v>
                </c:pt>
                <c:pt idx="472">
                  <c:v>0.46296296296296291</c:v>
                </c:pt>
                <c:pt idx="473">
                  <c:v>0.29239766081871343</c:v>
                </c:pt>
                <c:pt idx="474">
                  <c:v>0.32051282051282048</c:v>
                </c:pt>
                <c:pt idx="475">
                  <c:v>0.39682539682539675</c:v>
                </c:pt>
                <c:pt idx="476">
                  <c:v>0.26455026455026454</c:v>
                </c:pt>
                <c:pt idx="477">
                  <c:v>0.28735632183908044</c:v>
                </c:pt>
                <c:pt idx="478">
                  <c:v>0.34722222222222215</c:v>
                </c:pt>
                <c:pt idx="479">
                  <c:v>0.24154589371980673</c:v>
                </c:pt>
                <c:pt idx="480">
                  <c:v>0.26041666666666663</c:v>
                </c:pt>
                <c:pt idx="481">
                  <c:v>0.30864197530864196</c:v>
                </c:pt>
                <c:pt idx="482">
                  <c:v>0.03</c:v>
                </c:pt>
                <c:pt idx="483">
                  <c:v>0.1</c:v>
                </c:pt>
                <c:pt idx="484">
                  <c:v>0.20000000000000004</c:v>
                </c:pt>
                <c:pt idx="485">
                  <c:v>0.30000000000000004</c:v>
                </c:pt>
                <c:pt idx="486">
                  <c:v>0.40000000000000013</c:v>
                </c:pt>
                <c:pt idx="487">
                  <c:v>0.5</c:v>
                </c:pt>
                <c:pt idx="488">
                  <c:v>0.38866666666666672</c:v>
                </c:pt>
                <c:pt idx="489">
                  <c:v>0.3219999999999999</c:v>
                </c:pt>
                <c:pt idx="490">
                  <c:v>0.03</c:v>
                </c:pt>
                <c:pt idx="491">
                  <c:v>0.1</c:v>
                </c:pt>
                <c:pt idx="492">
                  <c:v>0.20000000000000004</c:v>
                </c:pt>
                <c:pt idx="493">
                  <c:v>0.40000000000000013</c:v>
                </c:pt>
                <c:pt idx="494">
                  <c:v>0.38866666666666672</c:v>
                </c:pt>
                <c:pt idx="495">
                  <c:v>0.35533333333333328</c:v>
                </c:pt>
                <c:pt idx="496">
                  <c:v>0.20000000000000004</c:v>
                </c:pt>
                <c:pt idx="497">
                  <c:v>0.53999999999999992</c:v>
                </c:pt>
                <c:pt idx="498">
                  <c:v>0.38866666666666672</c:v>
                </c:pt>
                <c:pt idx="499">
                  <c:v>0.1</c:v>
                </c:pt>
                <c:pt idx="500">
                  <c:v>0.20000000000000004</c:v>
                </c:pt>
                <c:pt idx="501">
                  <c:v>0.48000000000000015</c:v>
                </c:pt>
                <c:pt idx="502">
                  <c:v>0.53999999999999992</c:v>
                </c:pt>
                <c:pt idx="503">
                  <c:v>0.38866666666666672</c:v>
                </c:pt>
                <c:pt idx="504">
                  <c:v>0.35533333333333328</c:v>
                </c:pt>
                <c:pt idx="505">
                  <c:v>0.03</c:v>
                </c:pt>
                <c:pt idx="506">
                  <c:v>0.1</c:v>
                </c:pt>
                <c:pt idx="507">
                  <c:v>0.20000000000000004</c:v>
                </c:pt>
                <c:pt idx="508">
                  <c:v>0.32</c:v>
                </c:pt>
                <c:pt idx="509">
                  <c:v>0.40000000000000013</c:v>
                </c:pt>
                <c:pt idx="510">
                  <c:v>0.53999999999999992</c:v>
                </c:pt>
                <c:pt idx="511">
                  <c:v>0.42200000000000004</c:v>
                </c:pt>
                <c:pt idx="512">
                  <c:v>0.38866666666666672</c:v>
                </c:pt>
                <c:pt idx="513">
                  <c:v>0.35533333333333328</c:v>
                </c:pt>
                <c:pt idx="514">
                  <c:v>0.3219999999999999</c:v>
                </c:pt>
                <c:pt idx="515">
                  <c:v>0.25533333333333325</c:v>
                </c:pt>
                <c:pt idx="516">
                  <c:v>0.15533333333333327</c:v>
                </c:pt>
                <c:pt idx="517">
                  <c:v>0.25641025641025639</c:v>
                </c:pt>
                <c:pt idx="518">
                  <c:v>0.35833333333333334</c:v>
                </c:pt>
                <c:pt idx="519">
                  <c:v>0.23888888888888887</c:v>
                </c:pt>
                <c:pt idx="520">
                  <c:v>0.23888888888888887</c:v>
                </c:pt>
                <c:pt idx="521">
                  <c:v>0.18867924528301888</c:v>
                </c:pt>
                <c:pt idx="522">
                  <c:v>0.2792207792207792</c:v>
                </c:pt>
                <c:pt idx="523">
                  <c:v>0.18614718614718614</c:v>
                </c:pt>
                <c:pt idx="524">
                  <c:v>0.18614718614718614</c:v>
                </c:pt>
                <c:pt idx="525">
                  <c:v>0.25595238095238093</c:v>
                </c:pt>
                <c:pt idx="526">
                  <c:v>0.17063492063492061</c:v>
                </c:pt>
                <c:pt idx="527">
                  <c:v>0.17063492063492061</c:v>
                </c:pt>
                <c:pt idx="528">
                  <c:v>0.10576923076923077</c:v>
                </c:pt>
                <c:pt idx="529">
                  <c:v>0.15666666666666665</c:v>
                </c:pt>
                <c:pt idx="530">
                  <c:v>0.27272727272727271</c:v>
                </c:pt>
                <c:pt idx="531">
                  <c:v>0.27272727272727271</c:v>
                </c:pt>
                <c:pt idx="532">
                  <c:v>6.0606060606060601E-2</c:v>
                </c:pt>
                <c:pt idx="533">
                  <c:v>6.0606060606060601E-2</c:v>
                </c:pt>
                <c:pt idx="534">
                  <c:v>0.25</c:v>
                </c:pt>
                <c:pt idx="535">
                  <c:v>0.25</c:v>
                </c:pt>
                <c:pt idx="536">
                  <c:v>5.5555555555555552E-2</c:v>
                </c:pt>
                <c:pt idx="537">
                  <c:v>5.5555555555555552E-2</c:v>
                </c:pt>
                <c:pt idx="538">
                  <c:v>0</c:v>
                </c:pt>
                <c:pt idx="539">
                  <c:v>0.2331111111111111</c:v>
                </c:pt>
                <c:pt idx="540">
                  <c:v>0.372</c:v>
                </c:pt>
                <c:pt idx="541">
                  <c:v>0.5</c:v>
                </c:pt>
                <c:pt idx="542">
                  <c:v>0.33333333333333331</c:v>
                </c:pt>
                <c:pt idx="543">
                  <c:v>0.21428571428571427</c:v>
                </c:pt>
                <c:pt idx="544">
                  <c:v>0.16666666666666666</c:v>
                </c:pt>
                <c:pt idx="545">
                  <c:v>0.25641025641025639</c:v>
                </c:pt>
                <c:pt idx="546">
                  <c:v>0.51282051282051277</c:v>
                </c:pt>
                <c:pt idx="547">
                  <c:v>0.18867924528301888</c:v>
                </c:pt>
                <c:pt idx="548">
                  <c:v>0.37735849056603776</c:v>
                </c:pt>
                <c:pt idx="549">
                  <c:v>0.59183333333333332</c:v>
                </c:pt>
                <c:pt idx="550">
                  <c:v>0.29166666666666669</c:v>
                </c:pt>
                <c:pt idx="551">
                  <c:v>0.23076923076923078</c:v>
                </c:pt>
                <c:pt idx="552">
                  <c:v>0.73059999999999992</c:v>
                </c:pt>
                <c:pt idx="553">
                  <c:v>0.89399999999999991</c:v>
                </c:pt>
                <c:pt idx="554">
                  <c:v>0.86116471647164716</c:v>
                </c:pt>
                <c:pt idx="555">
                  <c:v>0.8345433715220949</c:v>
                </c:pt>
                <c:pt idx="556">
                  <c:v>0.74199999999999999</c:v>
                </c:pt>
                <c:pt idx="557">
                  <c:v>0.72558620689655173</c:v>
                </c:pt>
                <c:pt idx="558">
                  <c:v>0.71494915254237279</c:v>
                </c:pt>
                <c:pt idx="559">
                  <c:v>0.53846153846153844</c:v>
                </c:pt>
                <c:pt idx="560">
                  <c:v>0.49248389405869725</c:v>
                </c:pt>
                <c:pt idx="561">
                  <c:v>0.46159075458871518</c:v>
                </c:pt>
                <c:pt idx="562">
                  <c:v>0</c:v>
                </c:pt>
                <c:pt idx="563">
                  <c:v>8.6956521739130432E-2</c:v>
                </c:pt>
                <c:pt idx="564">
                  <c:v>0.14942528735632185</c:v>
                </c:pt>
                <c:pt idx="565">
                  <c:v>0.21951219512195122</c:v>
                </c:pt>
                <c:pt idx="566">
                  <c:v>0.29870129870129869</c:v>
                </c:pt>
                <c:pt idx="567">
                  <c:v>0.3888888888888889</c:v>
                </c:pt>
                <c:pt idx="568">
                  <c:v>0.4925373134328358</c:v>
                </c:pt>
                <c:pt idx="569">
                  <c:v>0.41769892473118275</c:v>
                </c:pt>
                <c:pt idx="570">
                  <c:v>0.53448818373605478</c:v>
                </c:pt>
                <c:pt idx="571">
                  <c:v>0.53448818373605478</c:v>
                </c:pt>
                <c:pt idx="572">
                  <c:v>0.53448818373605478</c:v>
                </c:pt>
                <c:pt idx="573">
                  <c:v>0.53448818373605478</c:v>
                </c:pt>
                <c:pt idx="574">
                  <c:v>0.53448818373605478</c:v>
                </c:pt>
                <c:pt idx="575">
                  <c:v>0.53448818373605478</c:v>
                </c:pt>
                <c:pt idx="576">
                  <c:v>0.38866666666666672</c:v>
                </c:pt>
                <c:pt idx="577">
                  <c:v>0.3219999999999999</c:v>
                </c:pt>
                <c:pt idx="578">
                  <c:v>0.38866666666666672</c:v>
                </c:pt>
                <c:pt idx="579">
                  <c:v>0.3219999999999999</c:v>
                </c:pt>
                <c:pt idx="580">
                  <c:v>0.3334166458385403</c:v>
                </c:pt>
                <c:pt idx="581">
                  <c:v>0.33366658335416138</c:v>
                </c:pt>
                <c:pt idx="582">
                  <c:v>0.3334166458385403</c:v>
                </c:pt>
                <c:pt idx="583">
                  <c:v>0.3334166458385403</c:v>
                </c:pt>
                <c:pt idx="584">
                  <c:v>0.3334166458385403</c:v>
                </c:pt>
                <c:pt idx="585">
                  <c:v>0.33366658335416138</c:v>
                </c:pt>
                <c:pt idx="586">
                  <c:v>0.3334166458385403</c:v>
                </c:pt>
                <c:pt idx="587">
                  <c:v>0.33591602099475126</c:v>
                </c:pt>
                <c:pt idx="588">
                  <c:v>0.3334166458385403</c:v>
                </c:pt>
                <c:pt idx="589">
                  <c:v>0.33366658335416138</c:v>
                </c:pt>
                <c:pt idx="590">
                  <c:v>0.3334166458385403</c:v>
                </c:pt>
                <c:pt idx="591">
                  <c:v>0.16699999999999998</c:v>
                </c:pt>
                <c:pt idx="592">
                  <c:v>0.33399999999999996</c:v>
                </c:pt>
                <c:pt idx="593">
                  <c:v>0.5</c:v>
                </c:pt>
                <c:pt idx="594">
                  <c:v>0.39966666666666661</c:v>
                </c:pt>
                <c:pt idx="595">
                  <c:v>0.34933333333333338</c:v>
                </c:pt>
                <c:pt idx="596">
                  <c:v>0.16699999999999998</c:v>
                </c:pt>
                <c:pt idx="597">
                  <c:v>0.33399999999999996</c:v>
                </c:pt>
                <c:pt idx="598">
                  <c:v>0.5</c:v>
                </c:pt>
                <c:pt idx="599">
                  <c:v>0.39966666666666661</c:v>
                </c:pt>
                <c:pt idx="600">
                  <c:v>0.34933333333333338</c:v>
                </c:pt>
                <c:pt idx="601">
                  <c:v>0.16699999999999998</c:v>
                </c:pt>
                <c:pt idx="602">
                  <c:v>0.33399999999999996</c:v>
                </c:pt>
                <c:pt idx="603">
                  <c:v>0.5</c:v>
                </c:pt>
                <c:pt idx="604">
                  <c:v>0.39966666666666661</c:v>
                </c:pt>
                <c:pt idx="605">
                  <c:v>0.34933333333333338</c:v>
                </c:pt>
                <c:pt idx="606">
                  <c:v>0.16699999999999998</c:v>
                </c:pt>
                <c:pt idx="607">
                  <c:v>0.33399999999999996</c:v>
                </c:pt>
                <c:pt idx="608">
                  <c:v>0.5</c:v>
                </c:pt>
                <c:pt idx="609">
                  <c:v>0.39966666666666661</c:v>
                </c:pt>
                <c:pt idx="610">
                  <c:v>0.34933333333333338</c:v>
                </c:pt>
                <c:pt idx="611">
                  <c:v>0.16699999999999998</c:v>
                </c:pt>
                <c:pt idx="612">
                  <c:v>0.33399999999999996</c:v>
                </c:pt>
                <c:pt idx="613">
                  <c:v>0.5</c:v>
                </c:pt>
                <c:pt idx="614">
                  <c:v>0.39966666666666661</c:v>
                </c:pt>
                <c:pt idx="615">
                  <c:v>0.34933333333333338</c:v>
                </c:pt>
                <c:pt idx="616">
                  <c:v>7.7351736458709762E-3</c:v>
                </c:pt>
                <c:pt idx="617">
                  <c:v>2.2235565803807849E-2</c:v>
                </c:pt>
                <c:pt idx="618">
                  <c:v>5.0593758821704471E-2</c:v>
                </c:pt>
                <c:pt idx="619">
                  <c:v>0.11141848006632056</c:v>
                </c:pt>
                <c:pt idx="620">
                  <c:v>0.15823935572240894</c:v>
                </c:pt>
                <c:pt idx="621">
                  <c:v>0.19258436729404155</c:v>
                </c:pt>
                <c:pt idx="622">
                  <c:v>0.24922001825110449</c:v>
                </c:pt>
                <c:pt idx="623">
                  <c:v>0.35703549624888248</c:v>
                </c:pt>
                <c:pt idx="624">
                  <c:v>0.50940411593370771</c:v>
                </c:pt>
                <c:pt idx="625">
                  <c:v>8.3080858159622503E-2</c:v>
                </c:pt>
                <c:pt idx="626">
                  <c:v>0.13946115793410221</c:v>
                </c:pt>
                <c:pt idx="627">
                  <c:v>0.18269728070693125</c:v>
                </c:pt>
                <c:pt idx="628">
                  <c:v>0.29027962682016528</c:v>
                </c:pt>
                <c:pt idx="629">
                  <c:v>0.43954694578522246</c:v>
                </c:pt>
                <c:pt idx="630">
                  <c:v>3.5169999999999993E-2</c:v>
                </c:pt>
                <c:pt idx="631">
                  <c:v>0.10038999999999998</c:v>
                </c:pt>
                <c:pt idx="632">
                  <c:v>0.19811999999999999</c:v>
                </c:pt>
                <c:pt idx="633">
                  <c:v>0.29994999999999999</c:v>
                </c:pt>
                <c:pt idx="634">
                  <c:v>0.32074000000000003</c:v>
                </c:pt>
                <c:pt idx="635">
                  <c:v>0.4773</c:v>
                </c:pt>
                <c:pt idx="636">
                  <c:v>0.50075999999999998</c:v>
                </c:pt>
                <c:pt idx="637">
                  <c:v>0.53861000000000003</c:v>
                </c:pt>
                <c:pt idx="638">
                  <c:v>0.70364044515415647</c:v>
                </c:pt>
                <c:pt idx="639">
                  <c:v>0.11583011583011583</c:v>
                </c:pt>
                <c:pt idx="640">
                  <c:v>0.11583011583011583</c:v>
                </c:pt>
                <c:pt idx="641">
                  <c:v>0.11583011583011583</c:v>
                </c:pt>
                <c:pt idx="642">
                  <c:v>0.10890734641271661</c:v>
                </c:pt>
                <c:pt idx="643">
                  <c:v>0.10890734641271661</c:v>
                </c:pt>
                <c:pt idx="644">
                  <c:v>0.10890734641271661</c:v>
                </c:pt>
                <c:pt idx="645">
                  <c:v>0.10205314009661837</c:v>
                </c:pt>
                <c:pt idx="646">
                  <c:v>0.10205314009661837</c:v>
                </c:pt>
                <c:pt idx="647">
                  <c:v>0.10205314009661837</c:v>
                </c:pt>
                <c:pt idx="648">
                  <c:v>9.5592877888622307E-2</c:v>
                </c:pt>
                <c:pt idx="649">
                  <c:v>9.5592877888622307E-2</c:v>
                </c:pt>
                <c:pt idx="650">
                  <c:v>9.5592877888622307E-2</c:v>
                </c:pt>
                <c:pt idx="651">
                  <c:v>9.0262843488649935E-2</c:v>
                </c:pt>
                <c:pt idx="652">
                  <c:v>9.0262843488649935E-2</c:v>
                </c:pt>
                <c:pt idx="653">
                  <c:v>9.0262843488649935E-2</c:v>
                </c:pt>
                <c:pt idx="654">
                  <c:v>0.73765503875968985</c:v>
                </c:pt>
                <c:pt idx="655">
                  <c:v>0.48371174728529132</c:v>
                </c:pt>
                <c:pt idx="656">
                  <c:v>0.32775919732441477</c:v>
                </c:pt>
                <c:pt idx="657">
                  <c:v>0.1675041876046901</c:v>
                </c:pt>
                <c:pt idx="658">
                  <c:v>0.14582731735489463</c:v>
                </c:pt>
                <c:pt idx="659">
                  <c:v>0.1271079788572867</c:v>
                </c:pt>
                <c:pt idx="660">
                  <c:v>0.71824999999999994</c:v>
                </c:pt>
                <c:pt idx="661">
                  <c:v>0.64638287401574801</c:v>
                </c:pt>
                <c:pt idx="662">
                  <c:v>0.62175049636002644</c:v>
                </c:pt>
                <c:pt idx="663">
                  <c:v>0.49469964664310961</c:v>
                </c:pt>
                <c:pt idx="664">
                  <c:v>0.39447336804164995</c:v>
                </c:pt>
                <c:pt idx="665">
                  <c:v>0.33</c:v>
                </c:pt>
                <c:pt idx="666">
                  <c:v>0.70055876685934493</c:v>
                </c:pt>
                <c:pt idx="667">
                  <c:v>0.61955774765732463</c:v>
                </c:pt>
                <c:pt idx="668">
                  <c:v>0.56888245070298626</c:v>
                </c:pt>
                <c:pt idx="669">
                  <c:v>0.49601857996018578</c:v>
                </c:pt>
                <c:pt idx="670">
                  <c:v>0.51192574516029543</c:v>
                </c:pt>
                <c:pt idx="671">
                  <c:v>0.43851595299440776</c:v>
                </c:pt>
                <c:pt idx="672">
                  <c:v>0.31292517006802723</c:v>
                </c:pt>
                <c:pt idx="673">
                  <c:v>0.24352331606217617</c:v>
                </c:pt>
                <c:pt idx="674">
                  <c:v>0.19789473684210526</c:v>
                </c:pt>
                <c:pt idx="675">
                  <c:v>0.16433566433566432</c:v>
                </c:pt>
                <c:pt idx="676">
                  <c:v>0.14264264264264265</c:v>
                </c:pt>
                <c:pt idx="677">
                  <c:v>0.12467191601049868</c:v>
                </c:pt>
                <c:pt idx="678">
                  <c:v>0.11098130841121497</c:v>
                </c:pt>
                <c:pt idx="679">
                  <c:v>9.9580712788259945E-2</c:v>
                </c:pt>
                <c:pt idx="680">
                  <c:v>0.42516666666666669</c:v>
                </c:pt>
                <c:pt idx="681">
                  <c:v>0.4063181818181818</c:v>
                </c:pt>
                <c:pt idx="682">
                  <c:v>4.9346153846153928E-2</c:v>
                </c:pt>
                <c:pt idx="683">
                  <c:v>0.6279288389513108</c:v>
                </c:pt>
                <c:pt idx="684">
                  <c:v>0.6279288389513108</c:v>
                </c:pt>
                <c:pt idx="685">
                  <c:v>0.66599999999999993</c:v>
                </c:pt>
                <c:pt idx="686">
                  <c:v>0.66599999999999993</c:v>
                </c:pt>
                <c:pt idx="687">
                  <c:v>0.66599999999999993</c:v>
                </c:pt>
                <c:pt idx="688">
                  <c:v>0.56034482758620696</c:v>
                </c:pt>
                <c:pt idx="689">
                  <c:v>0.41924149659863952</c:v>
                </c:pt>
                <c:pt idx="690">
                  <c:v>0.26058631921824105</c:v>
                </c:pt>
                <c:pt idx="691">
                  <c:v>0.5</c:v>
                </c:pt>
                <c:pt idx="692">
                  <c:v>0.33541311451043221</c:v>
                </c:pt>
                <c:pt idx="693">
                  <c:v>0.66611801242236024</c:v>
                </c:pt>
                <c:pt idx="694">
                  <c:v>0.375</c:v>
                </c:pt>
                <c:pt idx="695">
                  <c:v>0.37237762237762229</c:v>
                </c:pt>
                <c:pt idx="696">
                  <c:v>0.66611801242236024</c:v>
                </c:pt>
                <c:pt idx="697">
                  <c:v>0.66586713286713284</c:v>
                </c:pt>
                <c:pt idx="698">
                  <c:v>0.60388104032009859</c:v>
                </c:pt>
                <c:pt idx="699">
                  <c:v>0.62799287589051367</c:v>
                </c:pt>
                <c:pt idx="700">
                  <c:v>0.62799287589051367</c:v>
                </c:pt>
                <c:pt idx="701">
                  <c:v>0.62799287589051367</c:v>
                </c:pt>
                <c:pt idx="702">
                  <c:v>0.62799287589051367</c:v>
                </c:pt>
                <c:pt idx="703">
                  <c:v>0.56242969628796402</c:v>
                </c:pt>
                <c:pt idx="704">
                  <c:v>0.56242969628796402</c:v>
                </c:pt>
                <c:pt idx="705">
                  <c:v>0.56242969628796402</c:v>
                </c:pt>
                <c:pt idx="706">
                  <c:v>0.56242969628796402</c:v>
                </c:pt>
                <c:pt idx="707">
                  <c:v>0.66675911986103065</c:v>
                </c:pt>
                <c:pt idx="708">
                  <c:v>0.66675911986103065</c:v>
                </c:pt>
                <c:pt idx="709">
                  <c:v>0.66675911986103065</c:v>
                </c:pt>
                <c:pt idx="710">
                  <c:v>0.66675911986103065</c:v>
                </c:pt>
                <c:pt idx="711">
                  <c:v>0.56282570932252463</c:v>
                </c:pt>
                <c:pt idx="712">
                  <c:v>0.56282570932252463</c:v>
                </c:pt>
                <c:pt idx="713">
                  <c:v>0.56282570932252463</c:v>
                </c:pt>
                <c:pt idx="714">
                  <c:v>0.56282570932252463</c:v>
                </c:pt>
                <c:pt idx="715">
                  <c:v>0.41959832888419252</c:v>
                </c:pt>
                <c:pt idx="716">
                  <c:v>0.41959832888419252</c:v>
                </c:pt>
                <c:pt idx="717">
                  <c:v>0.41959832888419252</c:v>
                </c:pt>
                <c:pt idx="718">
                  <c:v>0.41959832888419252</c:v>
                </c:pt>
                <c:pt idx="719">
                  <c:v>0.52897904005709184</c:v>
                </c:pt>
                <c:pt idx="720">
                  <c:v>0.52897904005709184</c:v>
                </c:pt>
                <c:pt idx="721">
                  <c:v>0.52897904005709184</c:v>
                </c:pt>
                <c:pt idx="722">
                  <c:v>0.52897904005709184</c:v>
                </c:pt>
                <c:pt idx="723">
                  <c:v>0.66602698863636367</c:v>
                </c:pt>
                <c:pt idx="724">
                  <c:v>0.66602698863636367</c:v>
                </c:pt>
                <c:pt idx="725">
                  <c:v>0.66602698863636367</c:v>
                </c:pt>
                <c:pt idx="726">
                  <c:v>0.66602698863636367</c:v>
                </c:pt>
                <c:pt idx="727">
                  <c:v>0.66602698863636367</c:v>
                </c:pt>
                <c:pt idx="728">
                  <c:v>0.66602698863636367</c:v>
                </c:pt>
                <c:pt idx="729">
                  <c:v>0.66602698863636367</c:v>
                </c:pt>
                <c:pt idx="730">
                  <c:v>0.66602698863636367</c:v>
                </c:pt>
                <c:pt idx="731">
                  <c:v>0.66675911986103065</c:v>
                </c:pt>
                <c:pt idx="732">
                  <c:v>0.66675911986103065</c:v>
                </c:pt>
                <c:pt idx="733">
                  <c:v>0.66675911986103065</c:v>
                </c:pt>
                <c:pt idx="734">
                  <c:v>0.41959832888419252</c:v>
                </c:pt>
                <c:pt idx="735">
                  <c:v>0.41959832888419252</c:v>
                </c:pt>
                <c:pt idx="736">
                  <c:v>0.41959832888419252</c:v>
                </c:pt>
                <c:pt idx="737">
                  <c:v>0.66677012159814708</c:v>
                </c:pt>
                <c:pt idx="738">
                  <c:v>0.66677012159814708</c:v>
                </c:pt>
                <c:pt idx="739">
                  <c:v>0.66677012159814708</c:v>
                </c:pt>
                <c:pt idx="740">
                  <c:v>0.66677012159814708</c:v>
                </c:pt>
                <c:pt idx="741">
                  <c:v>0.66677012159814708</c:v>
                </c:pt>
                <c:pt idx="742">
                  <c:v>0.66677012159814708</c:v>
                </c:pt>
                <c:pt idx="743">
                  <c:v>0.56282570932252463</c:v>
                </c:pt>
                <c:pt idx="744">
                  <c:v>0.56282570932252463</c:v>
                </c:pt>
                <c:pt idx="745">
                  <c:v>0.56282570932252463</c:v>
                </c:pt>
                <c:pt idx="746">
                  <c:v>0.6279288389513108</c:v>
                </c:pt>
                <c:pt idx="747">
                  <c:v>0.66599999999999993</c:v>
                </c:pt>
                <c:pt idx="748">
                  <c:v>0.56034482758620696</c:v>
                </c:pt>
                <c:pt idx="749">
                  <c:v>0.66586524822695037</c:v>
                </c:pt>
                <c:pt idx="750">
                  <c:v>0.42530153508771928</c:v>
                </c:pt>
                <c:pt idx="751">
                  <c:v>0.65094938574938577</c:v>
                </c:pt>
                <c:pt idx="752">
                  <c:v>0.23670062252405211</c:v>
                </c:pt>
                <c:pt idx="753">
                  <c:v>0.16392776523702032</c:v>
                </c:pt>
                <c:pt idx="754">
                  <c:v>0.55279356060606066</c:v>
                </c:pt>
                <c:pt idx="755">
                  <c:v>0.34754423428920078</c:v>
                </c:pt>
                <c:pt idx="756">
                  <c:v>0.31757185122569742</c:v>
                </c:pt>
                <c:pt idx="757">
                  <c:v>0.30653288543140023</c:v>
                </c:pt>
                <c:pt idx="758">
                  <c:v>0.72299999999999998</c:v>
                </c:pt>
                <c:pt idx="759">
                  <c:v>0.65785714285714281</c:v>
                </c:pt>
                <c:pt idx="760">
                  <c:v>0.63179999999999992</c:v>
                </c:pt>
                <c:pt idx="761">
                  <c:v>0.61538461538461542</c:v>
                </c:pt>
                <c:pt idx="762">
                  <c:v>0.5</c:v>
                </c:pt>
                <c:pt idx="763">
                  <c:v>0.25</c:v>
                </c:pt>
                <c:pt idx="764">
                  <c:v>0.5</c:v>
                </c:pt>
                <c:pt idx="765">
                  <c:v>0.65174999999999994</c:v>
                </c:pt>
                <c:pt idx="766">
                  <c:v>0.64700000000000002</c:v>
                </c:pt>
                <c:pt idx="767">
                  <c:v>0.64224999999999999</c:v>
                </c:pt>
                <c:pt idx="768">
                  <c:v>0.29675324675324671</c:v>
                </c:pt>
                <c:pt idx="769">
                  <c:v>0.3520833333333333</c:v>
                </c:pt>
                <c:pt idx="770">
                  <c:v>0.41567164179104477</c:v>
                </c:pt>
                <c:pt idx="771">
                  <c:v>0.48951612903225805</c:v>
                </c:pt>
                <c:pt idx="772">
                  <c:v>0.57631578947368423</c:v>
                </c:pt>
                <c:pt idx="773">
                  <c:v>0.73059999999999992</c:v>
                </c:pt>
                <c:pt idx="774">
                  <c:v>0.73059999999999992</c:v>
                </c:pt>
                <c:pt idx="775">
                  <c:v>0.73059999999999992</c:v>
                </c:pt>
                <c:pt idx="776">
                  <c:v>0.73059999999999992</c:v>
                </c:pt>
                <c:pt idx="777">
                  <c:v>0.73059999999999992</c:v>
                </c:pt>
                <c:pt idx="778">
                  <c:v>0.73059999999999992</c:v>
                </c:pt>
                <c:pt idx="779">
                  <c:v>0.73059999999999992</c:v>
                </c:pt>
                <c:pt idx="780">
                  <c:v>0.57111597374179435</c:v>
                </c:pt>
                <c:pt idx="781">
                  <c:v>0.49124726477024067</c:v>
                </c:pt>
                <c:pt idx="782">
                  <c:v>0.42997811816192555</c:v>
                </c:pt>
                <c:pt idx="783">
                  <c:v>0.36870897155361049</c:v>
                </c:pt>
                <c:pt idx="784">
                  <c:v>8.1978319783197834E-2</c:v>
                </c:pt>
                <c:pt idx="785">
                  <c:v>0.49124726477024067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D-4F3F-BA96-128F2EB0F5CC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11D-4F3F-BA96-128F2EB0F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829968"/>
        <c:axId val="1587757664"/>
      </c:scatterChart>
      <c:valAx>
        <c:axId val="167482996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N4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57664"/>
        <c:crosses val="autoZero"/>
        <c:crossBetween val="midCat"/>
      </c:valAx>
      <c:valAx>
        <c:axId val="15877576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 N''4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2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'DS model'!$AV$796:$AV$832</c:f>
              <c:numCache>
                <c:formatCode>General</c:formatCode>
                <c:ptCount val="37"/>
                <c:pt idx="0">
                  <c:v>0</c:v>
                </c:pt>
                <c:pt idx="1">
                  <c:v>0.68</c:v>
                </c:pt>
                <c:pt idx="2">
                  <c:v>0.7</c:v>
                </c:pt>
                <c:pt idx="3">
                  <c:v>0.66</c:v>
                </c:pt>
                <c:pt idx="4">
                  <c:v>0.67</c:v>
                </c:pt>
                <c:pt idx="5">
                  <c:v>0.53</c:v>
                </c:pt>
                <c:pt idx="6">
                  <c:v>0.56000000000000005</c:v>
                </c:pt>
                <c:pt idx="7">
                  <c:v>0.127</c:v>
                </c:pt>
                <c:pt idx="8">
                  <c:v>0.39700000000000002</c:v>
                </c:pt>
                <c:pt idx="9">
                  <c:v>0.55100000000000005</c:v>
                </c:pt>
                <c:pt idx="10">
                  <c:v>0.622</c:v>
                </c:pt>
                <c:pt idx="11">
                  <c:v>0.12</c:v>
                </c:pt>
                <c:pt idx="12">
                  <c:v>0.11</c:v>
                </c:pt>
                <c:pt idx="13">
                  <c:v>7.0000000000000007E-2</c:v>
                </c:pt>
                <c:pt idx="14">
                  <c:v>0.02</c:v>
                </c:pt>
                <c:pt idx="15">
                  <c:v>0</c:v>
                </c:pt>
                <c:pt idx="16">
                  <c:v>0.12</c:v>
                </c:pt>
                <c:pt idx="17">
                  <c:v>0.38</c:v>
                </c:pt>
                <c:pt idx="18">
                  <c:v>0.51</c:v>
                </c:pt>
                <c:pt idx="19">
                  <c:v>0.56999999999999995</c:v>
                </c:pt>
                <c:pt idx="20">
                  <c:v>0</c:v>
                </c:pt>
                <c:pt idx="21">
                  <c:v>0.28000000000000003</c:v>
                </c:pt>
                <c:pt idx="22">
                  <c:v>0.48</c:v>
                </c:pt>
                <c:pt idx="23">
                  <c:v>0.52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0.17</c:v>
                </c:pt>
                <c:pt idx="28">
                  <c:v>1</c:v>
                </c:pt>
                <c:pt idx="29">
                  <c:v>0.94099999999999995</c:v>
                </c:pt>
                <c:pt idx="30">
                  <c:v>0.90500000000000003</c:v>
                </c:pt>
                <c:pt idx="31">
                  <c:v>1</c:v>
                </c:pt>
                <c:pt idx="32">
                  <c:v>0.93</c:v>
                </c:pt>
                <c:pt idx="33">
                  <c:v>0.91400000000000003</c:v>
                </c:pt>
                <c:pt idx="34">
                  <c:v>1</c:v>
                </c:pt>
                <c:pt idx="35">
                  <c:v>0.94799999999999995</c:v>
                </c:pt>
                <c:pt idx="36">
                  <c:v>0.90599999999999992</c:v>
                </c:pt>
              </c:numCache>
            </c:numRef>
          </c:xVal>
          <c:yVal>
            <c:numRef>
              <c:f>'DS model'!$BM$796:$BM$832</c:f>
              <c:numCache>
                <c:formatCode>General</c:formatCode>
                <c:ptCount val="37"/>
                <c:pt idx="0">
                  <c:v>0.17952768170402517</c:v>
                </c:pt>
                <c:pt idx="1">
                  <c:v>0.62171941793097274</c:v>
                </c:pt>
                <c:pt idx="2">
                  <c:v>0.57607170158461074</c:v>
                </c:pt>
                <c:pt idx="3">
                  <c:v>0.62179504242559258</c:v>
                </c:pt>
                <c:pt idx="4">
                  <c:v>0.61985651143724307</c:v>
                </c:pt>
                <c:pt idx="5">
                  <c:v>0.62321893173780518</c:v>
                </c:pt>
                <c:pt idx="6">
                  <c:v>0.62106906350425206</c:v>
                </c:pt>
                <c:pt idx="7">
                  <c:v>0.29411764705882354</c:v>
                </c:pt>
                <c:pt idx="8">
                  <c:v>0.35714285714285715</c:v>
                </c:pt>
                <c:pt idx="9">
                  <c:v>0.45454545454545453</c:v>
                </c:pt>
                <c:pt idx="10">
                  <c:v>0.61375000000000002</c:v>
                </c:pt>
                <c:pt idx="11">
                  <c:v>0.17408906882591094</c:v>
                </c:pt>
                <c:pt idx="12">
                  <c:v>0.16090225563909774</c:v>
                </c:pt>
                <c:pt idx="13">
                  <c:v>0.14952614952614954</c:v>
                </c:pt>
                <c:pt idx="14">
                  <c:v>0.1156085389520377</c:v>
                </c:pt>
                <c:pt idx="15">
                  <c:v>0.24974493337463885</c:v>
                </c:pt>
                <c:pt idx="16">
                  <c:v>0.30838830358541791</c:v>
                </c:pt>
                <c:pt idx="17">
                  <c:v>0.39985278434150756</c:v>
                </c:pt>
                <c:pt idx="18">
                  <c:v>0.57282625702567358</c:v>
                </c:pt>
                <c:pt idx="19">
                  <c:v>0.62791018519447617</c:v>
                </c:pt>
                <c:pt idx="20">
                  <c:v>0.27075673110302367</c:v>
                </c:pt>
                <c:pt idx="21">
                  <c:v>0.30759425845213739</c:v>
                </c:pt>
                <c:pt idx="22">
                  <c:v>0.40055854601106999</c:v>
                </c:pt>
                <c:pt idx="23">
                  <c:v>0.57250065683999152</c:v>
                </c:pt>
                <c:pt idx="24">
                  <c:v>0.19058814774963873</c:v>
                </c:pt>
                <c:pt idx="25">
                  <c:v>0.20310093089645292</c:v>
                </c:pt>
                <c:pt idx="26">
                  <c:v>0.21737218009979781</c:v>
                </c:pt>
                <c:pt idx="27">
                  <c:v>0.23380059603665423</c:v>
                </c:pt>
                <c:pt idx="28">
                  <c:v>0.39368949771689499</c:v>
                </c:pt>
                <c:pt idx="29">
                  <c:v>0.40270175438596489</c:v>
                </c:pt>
                <c:pt idx="30">
                  <c:v>0.41102953586497881</c:v>
                </c:pt>
                <c:pt idx="31">
                  <c:v>0.39368949771689488</c:v>
                </c:pt>
                <c:pt idx="32">
                  <c:v>0.40270175438596489</c:v>
                </c:pt>
                <c:pt idx="33">
                  <c:v>0.41102953586497881</c:v>
                </c:pt>
                <c:pt idx="34">
                  <c:v>0.39368949771689499</c:v>
                </c:pt>
                <c:pt idx="35">
                  <c:v>0.40270175438596489</c:v>
                </c:pt>
                <c:pt idx="36">
                  <c:v>0.41102953586497881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B-4AC4-94DD-7ECC3100E64E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32B-4AC4-94DD-7ECC3100E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829968"/>
        <c:axId val="1587757664"/>
      </c:scatterChart>
      <c:valAx>
        <c:axId val="167482996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N4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57664"/>
        <c:crosses val="autoZero"/>
        <c:crossBetween val="midCat"/>
      </c:valAx>
      <c:valAx>
        <c:axId val="15877576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 N'4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2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'Bernstein model'!$BL$1</c:f>
              <c:strCache>
                <c:ptCount val="1"/>
                <c:pt idx="0">
                  <c:v>Adj N''4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'Bernstein model'!$AV$2:$AV$787</c:f>
              <c:numCache>
                <c:formatCode>General</c:formatCode>
                <c:ptCount val="786"/>
                <c:pt idx="0">
                  <c:v>0.16899999999999998</c:v>
                </c:pt>
                <c:pt idx="1">
                  <c:v>0.26</c:v>
                </c:pt>
                <c:pt idx="2">
                  <c:v>0.29499999999999998</c:v>
                </c:pt>
                <c:pt idx="3">
                  <c:v>0.316</c:v>
                </c:pt>
                <c:pt idx="4">
                  <c:v>0.33500000000000002</c:v>
                </c:pt>
                <c:pt idx="5">
                  <c:v>0.34</c:v>
                </c:pt>
                <c:pt idx="6">
                  <c:v>0.33399999999999996</c:v>
                </c:pt>
                <c:pt idx="7">
                  <c:v>0.36499999999999999</c:v>
                </c:pt>
                <c:pt idx="8">
                  <c:v>0.38799999999999996</c:v>
                </c:pt>
                <c:pt idx="9">
                  <c:v>0.41100000000000003</c:v>
                </c:pt>
                <c:pt idx="10">
                  <c:v>0.42399999999999999</c:v>
                </c:pt>
                <c:pt idx="11">
                  <c:v>0.43200000000000005</c:v>
                </c:pt>
                <c:pt idx="12">
                  <c:v>0.433</c:v>
                </c:pt>
                <c:pt idx="13">
                  <c:v>0.433</c:v>
                </c:pt>
                <c:pt idx="14">
                  <c:v>0.41899999999999998</c:v>
                </c:pt>
                <c:pt idx="15">
                  <c:v>0.11599999999999999</c:v>
                </c:pt>
                <c:pt idx="16">
                  <c:v>0.32</c:v>
                </c:pt>
                <c:pt idx="17">
                  <c:v>0.43</c:v>
                </c:pt>
                <c:pt idx="18">
                  <c:v>0.43799999999999994</c:v>
                </c:pt>
                <c:pt idx="19">
                  <c:v>0.23</c:v>
                </c:pt>
                <c:pt idx="20">
                  <c:v>0.45</c:v>
                </c:pt>
                <c:pt idx="21">
                  <c:v>0.58099999999999996</c:v>
                </c:pt>
                <c:pt idx="22">
                  <c:v>0.35</c:v>
                </c:pt>
                <c:pt idx="23">
                  <c:v>0.42</c:v>
                </c:pt>
                <c:pt idx="24">
                  <c:v>0.83</c:v>
                </c:pt>
                <c:pt idx="25">
                  <c:v>0.38</c:v>
                </c:pt>
                <c:pt idx="26">
                  <c:v>0.61</c:v>
                </c:pt>
                <c:pt idx="27">
                  <c:v>0.47</c:v>
                </c:pt>
                <c:pt idx="28">
                  <c:v>0.73</c:v>
                </c:pt>
                <c:pt idx="29">
                  <c:v>0.67</c:v>
                </c:pt>
                <c:pt idx="30">
                  <c:v>0.61</c:v>
                </c:pt>
                <c:pt idx="31">
                  <c:v>0.51</c:v>
                </c:pt>
                <c:pt idx="32">
                  <c:v>0.73</c:v>
                </c:pt>
                <c:pt idx="33">
                  <c:v>0.71</c:v>
                </c:pt>
                <c:pt idx="34">
                  <c:v>0.68</c:v>
                </c:pt>
                <c:pt idx="35">
                  <c:v>0.64</c:v>
                </c:pt>
                <c:pt idx="36">
                  <c:v>0.56000000000000005</c:v>
                </c:pt>
                <c:pt idx="37">
                  <c:v>0.53</c:v>
                </c:pt>
                <c:pt idx="38">
                  <c:v>0.71</c:v>
                </c:pt>
                <c:pt idx="39">
                  <c:v>0.66</c:v>
                </c:pt>
                <c:pt idx="40">
                  <c:v>0.62</c:v>
                </c:pt>
                <c:pt idx="41">
                  <c:v>0.52</c:v>
                </c:pt>
                <c:pt idx="42">
                  <c:v>0.41</c:v>
                </c:pt>
                <c:pt idx="43">
                  <c:v>0.35</c:v>
                </c:pt>
                <c:pt idx="44">
                  <c:v>0.64</c:v>
                </c:pt>
                <c:pt idx="45">
                  <c:v>0.56999999999999995</c:v>
                </c:pt>
                <c:pt idx="46">
                  <c:v>0.53</c:v>
                </c:pt>
                <c:pt idx="47">
                  <c:v>0.56999999999999995</c:v>
                </c:pt>
                <c:pt idx="48">
                  <c:v>0.54</c:v>
                </c:pt>
                <c:pt idx="49">
                  <c:v>0.04</c:v>
                </c:pt>
                <c:pt idx="50">
                  <c:v>0.04</c:v>
                </c:pt>
                <c:pt idx="51">
                  <c:v>0.06</c:v>
                </c:pt>
                <c:pt idx="52">
                  <c:v>7.0000000000000007E-2</c:v>
                </c:pt>
                <c:pt idx="53">
                  <c:v>2.6000000000000002E-2</c:v>
                </c:pt>
                <c:pt idx="54">
                  <c:v>0.10800000000000001</c:v>
                </c:pt>
                <c:pt idx="55">
                  <c:v>0.08</c:v>
                </c:pt>
                <c:pt idx="56">
                  <c:v>0.13699999999999998</c:v>
                </c:pt>
                <c:pt idx="57">
                  <c:v>0.12</c:v>
                </c:pt>
                <c:pt idx="58">
                  <c:v>8.900000000000001E-2</c:v>
                </c:pt>
                <c:pt idx="59">
                  <c:v>0.45</c:v>
                </c:pt>
                <c:pt idx="60">
                  <c:v>0.56700000000000006</c:v>
                </c:pt>
                <c:pt idx="61">
                  <c:v>0.6</c:v>
                </c:pt>
                <c:pt idx="62">
                  <c:v>0.55200000000000005</c:v>
                </c:pt>
                <c:pt idx="63">
                  <c:v>0.52300000000000002</c:v>
                </c:pt>
                <c:pt idx="64">
                  <c:v>0.55700000000000005</c:v>
                </c:pt>
                <c:pt idx="65">
                  <c:v>0.755</c:v>
                </c:pt>
                <c:pt idx="66">
                  <c:v>0.72400000000000009</c:v>
                </c:pt>
                <c:pt idx="67">
                  <c:v>0.69700000000000006</c:v>
                </c:pt>
                <c:pt idx="68">
                  <c:v>0.65400000000000003</c:v>
                </c:pt>
                <c:pt idx="69">
                  <c:v>0.60199999999999998</c:v>
                </c:pt>
                <c:pt idx="70">
                  <c:v>0.29499999999999998</c:v>
                </c:pt>
                <c:pt idx="71">
                  <c:v>0.24199999999999999</c:v>
                </c:pt>
                <c:pt idx="72">
                  <c:v>0.185</c:v>
                </c:pt>
                <c:pt idx="73">
                  <c:v>0.13600000000000001</c:v>
                </c:pt>
                <c:pt idx="74">
                  <c:v>0.1</c:v>
                </c:pt>
                <c:pt idx="75">
                  <c:v>0.08</c:v>
                </c:pt>
                <c:pt idx="76">
                  <c:v>9.4E-2</c:v>
                </c:pt>
                <c:pt idx="77">
                  <c:v>0.13100000000000001</c:v>
                </c:pt>
                <c:pt idx="78">
                  <c:v>0.19399999999999998</c:v>
                </c:pt>
                <c:pt idx="79">
                  <c:v>0.22800000000000001</c:v>
                </c:pt>
                <c:pt idx="80">
                  <c:v>0.18600000000000003</c:v>
                </c:pt>
                <c:pt idx="81">
                  <c:v>0.12300000000000001</c:v>
                </c:pt>
                <c:pt idx="82">
                  <c:v>0.04</c:v>
                </c:pt>
                <c:pt idx="83">
                  <c:v>0.62</c:v>
                </c:pt>
                <c:pt idx="84">
                  <c:v>0.44</c:v>
                </c:pt>
                <c:pt idx="85">
                  <c:v>0.28000000000000003</c:v>
                </c:pt>
                <c:pt idx="86">
                  <c:v>0.19</c:v>
                </c:pt>
                <c:pt idx="87">
                  <c:v>0.15</c:v>
                </c:pt>
                <c:pt idx="88">
                  <c:v>0.51</c:v>
                </c:pt>
                <c:pt idx="89">
                  <c:v>0.36</c:v>
                </c:pt>
                <c:pt idx="90">
                  <c:v>0.32</c:v>
                </c:pt>
                <c:pt idx="91">
                  <c:v>0.27</c:v>
                </c:pt>
                <c:pt idx="92">
                  <c:v>0.21</c:v>
                </c:pt>
                <c:pt idx="93">
                  <c:v>0.94900000000000007</c:v>
                </c:pt>
                <c:pt idx="94">
                  <c:v>0.93200000000000005</c:v>
                </c:pt>
                <c:pt idx="95">
                  <c:v>0.94599999999999995</c:v>
                </c:pt>
                <c:pt idx="96">
                  <c:v>0.91599999999999993</c:v>
                </c:pt>
                <c:pt idx="97">
                  <c:v>0.83099999999999996</c:v>
                </c:pt>
                <c:pt idx="98">
                  <c:v>0.74400000000000011</c:v>
                </c:pt>
                <c:pt idx="99">
                  <c:v>0.436</c:v>
                </c:pt>
                <c:pt idx="100">
                  <c:v>0.19899999999999998</c:v>
                </c:pt>
                <c:pt idx="101">
                  <c:v>0.01</c:v>
                </c:pt>
                <c:pt idx="102">
                  <c:v>8.0000000000000002E-3</c:v>
                </c:pt>
                <c:pt idx="103">
                  <c:v>0.46</c:v>
                </c:pt>
                <c:pt idx="104">
                  <c:v>0.43</c:v>
                </c:pt>
                <c:pt idx="105">
                  <c:v>0.4</c:v>
                </c:pt>
                <c:pt idx="106">
                  <c:v>0.35100000000000003</c:v>
                </c:pt>
                <c:pt idx="107">
                  <c:v>0.41600000000000004</c:v>
                </c:pt>
                <c:pt idx="108">
                  <c:v>0.434</c:v>
                </c:pt>
                <c:pt idx="109">
                  <c:v>0.41100000000000003</c:v>
                </c:pt>
                <c:pt idx="110">
                  <c:v>0.34100000000000003</c:v>
                </c:pt>
                <c:pt idx="111">
                  <c:v>0.39500000000000002</c:v>
                </c:pt>
                <c:pt idx="112">
                  <c:v>0.43099999999999999</c:v>
                </c:pt>
                <c:pt idx="113">
                  <c:v>0.44500000000000001</c:v>
                </c:pt>
                <c:pt idx="114">
                  <c:v>0.35899999999999999</c:v>
                </c:pt>
                <c:pt idx="115">
                  <c:v>0.32899999999999996</c:v>
                </c:pt>
                <c:pt idx="116">
                  <c:v>0.36700000000000005</c:v>
                </c:pt>
                <c:pt idx="117">
                  <c:v>0.39399999999999996</c:v>
                </c:pt>
                <c:pt idx="118">
                  <c:v>0.41899999999999998</c:v>
                </c:pt>
                <c:pt idx="119">
                  <c:v>0.38299999999999995</c:v>
                </c:pt>
                <c:pt idx="120">
                  <c:v>0.39899999999999997</c:v>
                </c:pt>
                <c:pt idx="121">
                  <c:v>0.45299999999999996</c:v>
                </c:pt>
                <c:pt idx="122">
                  <c:v>0.48899999999999999</c:v>
                </c:pt>
                <c:pt idx="123">
                  <c:v>0.53500000000000003</c:v>
                </c:pt>
                <c:pt idx="124">
                  <c:v>0.65500000000000003</c:v>
                </c:pt>
                <c:pt idx="125">
                  <c:v>0.75800000000000001</c:v>
                </c:pt>
                <c:pt idx="126">
                  <c:v>0.80799999999999994</c:v>
                </c:pt>
                <c:pt idx="127">
                  <c:v>0.11199999999999999</c:v>
                </c:pt>
                <c:pt idx="128">
                  <c:v>0.17699999999999999</c:v>
                </c:pt>
                <c:pt idx="129">
                  <c:v>0.25</c:v>
                </c:pt>
                <c:pt idx="130">
                  <c:v>0.32899999999999996</c:v>
                </c:pt>
                <c:pt idx="131">
                  <c:v>0.39700000000000002</c:v>
                </c:pt>
                <c:pt idx="132">
                  <c:v>0.42899999999999999</c:v>
                </c:pt>
                <c:pt idx="133">
                  <c:v>0.434</c:v>
                </c:pt>
                <c:pt idx="134">
                  <c:v>0.38400000000000001</c:v>
                </c:pt>
                <c:pt idx="135">
                  <c:v>0.27</c:v>
                </c:pt>
                <c:pt idx="136">
                  <c:v>0.30399999999999999</c:v>
                </c:pt>
                <c:pt idx="137">
                  <c:v>0.40700000000000003</c:v>
                </c:pt>
                <c:pt idx="138">
                  <c:v>0.28800000000000003</c:v>
                </c:pt>
                <c:pt idx="139">
                  <c:v>0.32</c:v>
                </c:pt>
                <c:pt idx="140">
                  <c:v>0.35600000000000004</c:v>
                </c:pt>
                <c:pt idx="141">
                  <c:v>0.57999999999999996</c:v>
                </c:pt>
                <c:pt idx="142">
                  <c:v>0.71</c:v>
                </c:pt>
                <c:pt idx="143">
                  <c:v>0.7</c:v>
                </c:pt>
                <c:pt idx="144">
                  <c:v>0.75</c:v>
                </c:pt>
                <c:pt idx="145">
                  <c:v>0.7</c:v>
                </c:pt>
                <c:pt idx="146">
                  <c:v>0.72</c:v>
                </c:pt>
                <c:pt idx="147">
                  <c:v>0.76</c:v>
                </c:pt>
                <c:pt idx="148">
                  <c:v>0.68</c:v>
                </c:pt>
                <c:pt idx="149">
                  <c:v>0.74</c:v>
                </c:pt>
                <c:pt idx="150">
                  <c:v>0.46600000000000003</c:v>
                </c:pt>
                <c:pt idx="151">
                  <c:v>0.41600000000000004</c:v>
                </c:pt>
                <c:pt idx="152">
                  <c:v>0.37</c:v>
                </c:pt>
                <c:pt idx="153">
                  <c:v>0.29199999999999998</c:v>
                </c:pt>
                <c:pt idx="154">
                  <c:v>0.64</c:v>
                </c:pt>
                <c:pt idx="155">
                  <c:v>0.61</c:v>
                </c:pt>
                <c:pt idx="156">
                  <c:v>0.6</c:v>
                </c:pt>
                <c:pt idx="157">
                  <c:v>0.66</c:v>
                </c:pt>
                <c:pt idx="158">
                  <c:v>0.64</c:v>
                </c:pt>
                <c:pt idx="159">
                  <c:v>0.61</c:v>
                </c:pt>
                <c:pt idx="160">
                  <c:v>0.62</c:v>
                </c:pt>
                <c:pt idx="161">
                  <c:v>0.63</c:v>
                </c:pt>
                <c:pt idx="162">
                  <c:v>0.22</c:v>
                </c:pt>
                <c:pt idx="163">
                  <c:v>0.45</c:v>
                </c:pt>
                <c:pt idx="164">
                  <c:v>0.73699999999999999</c:v>
                </c:pt>
                <c:pt idx="165">
                  <c:v>0.49399999999999999</c:v>
                </c:pt>
                <c:pt idx="166">
                  <c:v>0.01</c:v>
                </c:pt>
                <c:pt idx="167">
                  <c:v>0.05</c:v>
                </c:pt>
                <c:pt idx="168">
                  <c:v>0.02</c:v>
                </c:pt>
                <c:pt idx="169">
                  <c:v>0.16</c:v>
                </c:pt>
                <c:pt idx="170">
                  <c:v>0.67</c:v>
                </c:pt>
                <c:pt idx="171">
                  <c:v>0.24</c:v>
                </c:pt>
                <c:pt idx="172">
                  <c:v>0.85</c:v>
                </c:pt>
                <c:pt idx="173">
                  <c:v>0.5</c:v>
                </c:pt>
                <c:pt idx="174">
                  <c:v>0.39</c:v>
                </c:pt>
                <c:pt idx="175">
                  <c:v>0.64</c:v>
                </c:pt>
                <c:pt idx="176">
                  <c:v>0.77</c:v>
                </c:pt>
                <c:pt idx="177">
                  <c:v>0.7</c:v>
                </c:pt>
                <c:pt idx="178">
                  <c:v>0.72</c:v>
                </c:pt>
                <c:pt idx="179">
                  <c:v>0.42</c:v>
                </c:pt>
                <c:pt idx="180">
                  <c:v>0.51</c:v>
                </c:pt>
                <c:pt idx="181">
                  <c:v>0.28000000000000003</c:v>
                </c:pt>
                <c:pt idx="182">
                  <c:v>0.28000000000000003</c:v>
                </c:pt>
                <c:pt idx="183">
                  <c:v>0.34</c:v>
                </c:pt>
                <c:pt idx="184">
                  <c:v>0.28000000000000003</c:v>
                </c:pt>
                <c:pt idx="185">
                  <c:v>0.41</c:v>
                </c:pt>
                <c:pt idx="186">
                  <c:v>0.38</c:v>
                </c:pt>
                <c:pt idx="187">
                  <c:v>0.48</c:v>
                </c:pt>
                <c:pt idx="188">
                  <c:v>0.59</c:v>
                </c:pt>
                <c:pt idx="189">
                  <c:v>0.59</c:v>
                </c:pt>
                <c:pt idx="190">
                  <c:v>0.67</c:v>
                </c:pt>
                <c:pt idx="191">
                  <c:v>0.3</c:v>
                </c:pt>
                <c:pt idx="192">
                  <c:v>0.55000000000000004</c:v>
                </c:pt>
                <c:pt idx="193">
                  <c:v>0.26</c:v>
                </c:pt>
                <c:pt idx="194">
                  <c:v>0.32</c:v>
                </c:pt>
                <c:pt idx="195">
                  <c:v>0.38</c:v>
                </c:pt>
                <c:pt idx="196">
                  <c:v>0.45</c:v>
                </c:pt>
                <c:pt idx="197">
                  <c:v>0.45</c:v>
                </c:pt>
                <c:pt idx="198">
                  <c:v>0.7</c:v>
                </c:pt>
                <c:pt idx="199">
                  <c:v>0.73</c:v>
                </c:pt>
                <c:pt idx="200">
                  <c:v>0.5</c:v>
                </c:pt>
                <c:pt idx="201">
                  <c:v>0.68</c:v>
                </c:pt>
                <c:pt idx="202">
                  <c:v>0.33</c:v>
                </c:pt>
                <c:pt idx="203">
                  <c:v>0.27</c:v>
                </c:pt>
                <c:pt idx="204">
                  <c:v>0.35</c:v>
                </c:pt>
                <c:pt idx="205">
                  <c:v>0.43</c:v>
                </c:pt>
                <c:pt idx="206">
                  <c:v>0.44</c:v>
                </c:pt>
                <c:pt idx="207">
                  <c:v>0.62</c:v>
                </c:pt>
                <c:pt idx="208">
                  <c:v>0.5</c:v>
                </c:pt>
                <c:pt idx="209">
                  <c:v>0.56999999999999995</c:v>
                </c:pt>
                <c:pt idx="210">
                  <c:v>0.39</c:v>
                </c:pt>
                <c:pt idx="211">
                  <c:v>0.45</c:v>
                </c:pt>
                <c:pt idx="212">
                  <c:v>0.4</c:v>
                </c:pt>
                <c:pt idx="213">
                  <c:v>0.3</c:v>
                </c:pt>
                <c:pt idx="214">
                  <c:v>0.44</c:v>
                </c:pt>
                <c:pt idx="215">
                  <c:v>0.49</c:v>
                </c:pt>
                <c:pt idx="216">
                  <c:v>0.6</c:v>
                </c:pt>
                <c:pt idx="217">
                  <c:v>0.18</c:v>
                </c:pt>
                <c:pt idx="218">
                  <c:v>0.55000000000000004</c:v>
                </c:pt>
                <c:pt idx="219">
                  <c:v>0.5</c:v>
                </c:pt>
                <c:pt idx="220">
                  <c:v>0.11599999999999999</c:v>
                </c:pt>
                <c:pt idx="221">
                  <c:v>0.16</c:v>
                </c:pt>
                <c:pt idx="222">
                  <c:v>0.22500000000000001</c:v>
                </c:pt>
                <c:pt idx="223">
                  <c:v>0.28000000000000003</c:v>
                </c:pt>
                <c:pt idx="224">
                  <c:v>0.27500000000000002</c:v>
                </c:pt>
                <c:pt idx="225">
                  <c:v>0.38</c:v>
                </c:pt>
                <c:pt idx="226">
                  <c:v>0.34</c:v>
                </c:pt>
                <c:pt idx="227">
                  <c:v>0.38</c:v>
                </c:pt>
                <c:pt idx="228">
                  <c:v>0.42</c:v>
                </c:pt>
                <c:pt idx="229">
                  <c:v>0.43</c:v>
                </c:pt>
                <c:pt idx="230">
                  <c:v>0.44500000000000001</c:v>
                </c:pt>
                <c:pt idx="231">
                  <c:v>9.7000000000000017E-2</c:v>
                </c:pt>
                <c:pt idx="232">
                  <c:v>0.08</c:v>
                </c:pt>
                <c:pt idx="233">
                  <c:v>2.8999999999999998E-2</c:v>
                </c:pt>
                <c:pt idx="234">
                  <c:v>0.11</c:v>
                </c:pt>
                <c:pt idx="235">
                  <c:v>0.21</c:v>
                </c:pt>
                <c:pt idx="236">
                  <c:v>0.33</c:v>
                </c:pt>
                <c:pt idx="237">
                  <c:v>0.45</c:v>
                </c:pt>
                <c:pt idx="238">
                  <c:v>0.5</c:v>
                </c:pt>
                <c:pt idx="239">
                  <c:v>0.49</c:v>
                </c:pt>
                <c:pt idx="240">
                  <c:v>0.47</c:v>
                </c:pt>
                <c:pt idx="241">
                  <c:v>0.45</c:v>
                </c:pt>
                <c:pt idx="242">
                  <c:v>0.41</c:v>
                </c:pt>
                <c:pt idx="243">
                  <c:v>0.12</c:v>
                </c:pt>
                <c:pt idx="244">
                  <c:v>0.22</c:v>
                </c:pt>
                <c:pt idx="245">
                  <c:v>0.35</c:v>
                </c:pt>
                <c:pt idx="246">
                  <c:v>0.45</c:v>
                </c:pt>
                <c:pt idx="247">
                  <c:v>0.54</c:v>
                </c:pt>
                <c:pt idx="248">
                  <c:v>0.55000000000000004</c:v>
                </c:pt>
                <c:pt idx="249">
                  <c:v>0.54</c:v>
                </c:pt>
                <c:pt idx="250">
                  <c:v>0.54</c:v>
                </c:pt>
                <c:pt idx="251">
                  <c:v>0.51</c:v>
                </c:pt>
                <c:pt idx="252">
                  <c:v>0.47</c:v>
                </c:pt>
                <c:pt idx="253">
                  <c:v>0.38</c:v>
                </c:pt>
                <c:pt idx="254">
                  <c:v>0.2</c:v>
                </c:pt>
                <c:pt idx="255">
                  <c:v>0.31</c:v>
                </c:pt>
                <c:pt idx="256">
                  <c:v>0.45</c:v>
                </c:pt>
                <c:pt idx="257">
                  <c:v>0.55000000000000004</c:v>
                </c:pt>
                <c:pt idx="258">
                  <c:v>0.61</c:v>
                </c:pt>
                <c:pt idx="259">
                  <c:v>0.6</c:v>
                </c:pt>
                <c:pt idx="260">
                  <c:v>0.6</c:v>
                </c:pt>
                <c:pt idx="261">
                  <c:v>0.57999999999999996</c:v>
                </c:pt>
                <c:pt idx="262">
                  <c:v>0.53</c:v>
                </c:pt>
                <c:pt idx="263">
                  <c:v>0.39</c:v>
                </c:pt>
                <c:pt idx="264">
                  <c:v>0.65</c:v>
                </c:pt>
                <c:pt idx="265">
                  <c:v>0.64</c:v>
                </c:pt>
                <c:pt idx="266">
                  <c:v>0.64</c:v>
                </c:pt>
                <c:pt idx="267">
                  <c:v>0.61</c:v>
                </c:pt>
                <c:pt idx="268">
                  <c:v>0.55000000000000004</c:v>
                </c:pt>
                <c:pt idx="269">
                  <c:v>0.44</c:v>
                </c:pt>
                <c:pt idx="270">
                  <c:v>0.25</c:v>
                </c:pt>
                <c:pt idx="271">
                  <c:v>0.34</c:v>
                </c:pt>
                <c:pt idx="272">
                  <c:v>0.4</c:v>
                </c:pt>
                <c:pt idx="273">
                  <c:v>0.42</c:v>
                </c:pt>
                <c:pt idx="274">
                  <c:v>0.48</c:v>
                </c:pt>
                <c:pt idx="275">
                  <c:v>0.56000000000000005</c:v>
                </c:pt>
                <c:pt idx="276">
                  <c:v>0.56000000000000005</c:v>
                </c:pt>
                <c:pt idx="277">
                  <c:v>0.57999999999999996</c:v>
                </c:pt>
                <c:pt idx="278">
                  <c:v>0.62</c:v>
                </c:pt>
                <c:pt idx="279">
                  <c:v>0.53</c:v>
                </c:pt>
                <c:pt idx="280">
                  <c:v>0.15</c:v>
                </c:pt>
                <c:pt idx="281">
                  <c:v>0.27</c:v>
                </c:pt>
                <c:pt idx="282">
                  <c:v>0.35</c:v>
                </c:pt>
                <c:pt idx="283">
                  <c:v>0.49</c:v>
                </c:pt>
                <c:pt idx="284">
                  <c:v>0.54</c:v>
                </c:pt>
                <c:pt idx="285">
                  <c:v>0.56999999999999995</c:v>
                </c:pt>
                <c:pt idx="286">
                  <c:v>0.55000000000000004</c:v>
                </c:pt>
                <c:pt idx="287">
                  <c:v>0.56999999999999995</c:v>
                </c:pt>
                <c:pt idx="288">
                  <c:v>0.67</c:v>
                </c:pt>
                <c:pt idx="289">
                  <c:v>0.66</c:v>
                </c:pt>
                <c:pt idx="290">
                  <c:v>0.63</c:v>
                </c:pt>
                <c:pt idx="291">
                  <c:v>0.63</c:v>
                </c:pt>
                <c:pt idx="292">
                  <c:v>0.56999999999999995</c:v>
                </c:pt>
                <c:pt idx="293">
                  <c:v>0.52</c:v>
                </c:pt>
                <c:pt idx="294">
                  <c:v>0.17</c:v>
                </c:pt>
                <c:pt idx="295">
                  <c:v>0.26</c:v>
                </c:pt>
                <c:pt idx="296">
                  <c:v>0.38</c:v>
                </c:pt>
                <c:pt idx="297">
                  <c:v>0.54</c:v>
                </c:pt>
                <c:pt idx="298">
                  <c:v>0.57999999999999996</c:v>
                </c:pt>
                <c:pt idx="299">
                  <c:v>0.59</c:v>
                </c:pt>
                <c:pt idx="300">
                  <c:v>0.65</c:v>
                </c:pt>
                <c:pt idx="301">
                  <c:v>0.69</c:v>
                </c:pt>
                <c:pt idx="302">
                  <c:v>0.7</c:v>
                </c:pt>
                <c:pt idx="303">
                  <c:v>0.68</c:v>
                </c:pt>
                <c:pt idx="304">
                  <c:v>0.61</c:v>
                </c:pt>
                <c:pt idx="305">
                  <c:v>0.18</c:v>
                </c:pt>
                <c:pt idx="306">
                  <c:v>0.28000000000000003</c:v>
                </c:pt>
                <c:pt idx="307">
                  <c:v>0.37</c:v>
                </c:pt>
                <c:pt idx="308">
                  <c:v>0.5</c:v>
                </c:pt>
                <c:pt idx="309">
                  <c:v>0.51</c:v>
                </c:pt>
                <c:pt idx="310">
                  <c:v>0.61</c:v>
                </c:pt>
                <c:pt idx="311">
                  <c:v>0.67</c:v>
                </c:pt>
                <c:pt idx="312">
                  <c:v>0.69</c:v>
                </c:pt>
                <c:pt idx="313">
                  <c:v>0.73</c:v>
                </c:pt>
                <c:pt idx="314">
                  <c:v>0.71</c:v>
                </c:pt>
                <c:pt idx="315">
                  <c:v>0.66</c:v>
                </c:pt>
                <c:pt idx="316">
                  <c:v>0.37</c:v>
                </c:pt>
                <c:pt idx="317">
                  <c:v>0.68</c:v>
                </c:pt>
                <c:pt idx="318">
                  <c:v>0.71</c:v>
                </c:pt>
                <c:pt idx="319">
                  <c:v>0.66</c:v>
                </c:pt>
                <c:pt idx="320">
                  <c:v>0.77</c:v>
                </c:pt>
                <c:pt idx="321">
                  <c:v>0.76</c:v>
                </c:pt>
                <c:pt idx="322">
                  <c:v>0.73</c:v>
                </c:pt>
                <c:pt idx="323">
                  <c:v>0.68</c:v>
                </c:pt>
                <c:pt idx="324">
                  <c:v>0.56999999999999995</c:v>
                </c:pt>
                <c:pt idx="325">
                  <c:v>0.13</c:v>
                </c:pt>
                <c:pt idx="326">
                  <c:v>0.18</c:v>
                </c:pt>
                <c:pt idx="327">
                  <c:v>0.33</c:v>
                </c:pt>
                <c:pt idx="328">
                  <c:v>0.68</c:v>
                </c:pt>
                <c:pt idx="329">
                  <c:v>0.78</c:v>
                </c:pt>
                <c:pt idx="330">
                  <c:v>0.83</c:v>
                </c:pt>
                <c:pt idx="331">
                  <c:v>0.85</c:v>
                </c:pt>
                <c:pt idx="332">
                  <c:v>0.1</c:v>
                </c:pt>
                <c:pt idx="333">
                  <c:v>0.11</c:v>
                </c:pt>
                <c:pt idx="334">
                  <c:v>0.17</c:v>
                </c:pt>
                <c:pt idx="335">
                  <c:v>0.23199999999999998</c:v>
                </c:pt>
                <c:pt idx="336">
                  <c:v>0.42700000000000005</c:v>
                </c:pt>
                <c:pt idx="337">
                  <c:v>0.48700000000000004</c:v>
                </c:pt>
                <c:pt idx="338">
                  <c:v>0.187</c:v>
                </c:pt>
                <c:pt idx="339">
                  <c:v>0.40399999999999997</c:v>
                </c:pt>
                <c:pt idx="340">
                  <c:v>0.56600000000000006</c:v>
                </c:pt>
                <c:pt idx="341">
                  <c:v>0.192</c:v>
                </c:pt>
                <c:pt idx="342">
                  <c:v>0.41200000000000003</c:v>
                </c:pt>
                <c:pt idx="343">
                  <c:v>0.56299999999999994</c:v>
                </c:pt>
                <c:pt idx="344">
                  <c:v>0.25</c:v>
                </c:pt>
                <c:pt idx="345">
                  <c:v>0.13</c:v>
                </c:pt>
                <c:pt idx="346">
                  <c:v>0.03</c:v>
                </c:pt>
                <c:pt idx="347">
                  <c:v>0</c:v>
                </c:pt>
                <c:pt idx="348">
                  <c:v>0.52</c:v>
                </c:pt>
                <c:pt idx="349">
                  <c:v>0.43</c:v>
                </c:pt>
                <c:pt idx="350">
                  <c:v>0.35</c:v>
                </c:pt>
                <c:pt idx="351">
                  <c:v>0.22</c:v>
                </c:pt>
                <c:pt idx="352">
                  <c:v>0.02</c:v>
                </c:pt>
                <c:pt idx="353">
                  <c:v>0</c:v>
                </c:pt>
                <c:pt idx="354">
                  <c:v>0.64</c:v>
                </c:pt>
                <c:pt idx="355">
                  <c:v>0.57999999999999996</c:v>
                </c:pt>
                <c:pt idx="356">
                  <c:v>0.49</c:v>
                </c:pt>
                <c:pt idx="357">
                  <c:v>0.4</c:v>
                </c:pt>
                <c:pt idx="358">
                  <c:v>0.22</c:v>
                </c:pt>
                <c:pt idx="359">
                  <c:v>0.01</c:v>
                </c:pt>
                <c:pt idx="360">
                  <c:v>0</c:v>
                </c:pt>
                <c:pt idx="361">
                  <c:v>0</c:v>
                </c:pt>
                <c:pt idx="362">
                  <c:v>0.72</c:v>
                </c:pt>
                <c:pt idx="363">
                  <c:v>0.7</c:v>
                </c:pt>
                <c:pt idx="364">
                  <c:v>0.66</c:v>
                </c:pt>
                <c:pt idx="365">
                  <c:v>0.63</c:v>
                </c:pt>
                <c:pt idx="366">
                  <c:v>0.56999999999999995</c:v>
                </c:pt>
                <c:pt idx="367">
                  <c:v>0.43</c:v>
                </c:pt>
                <c:pt idx="368">
                  <c:v>0.27</c:v>
                </c:pt>
                <c:pt idx="369">
                  <c:v>0.06</c:v>
                </c:pt>
                <c:pt idx="370">
                  <c:v>0</c:v>
                </c:pt>
                <c:pt idx="371">
                  <c:v>0.81</c:v>
                </c:pt>
                <c:pt idx="372">
                  <c:v>0.79</c:v>
                </c:pt>
                <c:pt idx="373">
                  <c:v>0.79</c:v>
                </c:pt>
                <c:pt idx="374">
                  <c:v>0.75</c:v>
                </c:pt>
                <c:pt idx="375">
                  <c:v>0.62</c:v>
                </c:pt>
                <c:pt idx="376">
                  <c:v>0.5</c:v>
                </c:pt>
                <c:pt idx="377">
                  <c:v>0.27</c:v>
                </c:pt>
                <c:pt idx="378">
                  <c:v>0.16</c:v>
                </c:pt>
                <c:pt idx="379">
                  <c:v>0.45</c:v>
                </c:pt>
                <c:pt idx="380">
                  <c:v>0.56999999999999995</c:v>
                </c:pt>
                <c:pt idx="381">
                  <c:v>0.81</c:v>
                </c:pt>
                <c:pt idx="382">
                  <c:v>0.28999999999999998</c:v>
                </c:pt>
                <c:pt idx="383">
                  <c:v>0.33</c:v>
                </c:pt>
                <c:pt idx="384">
                  <c:v>0.28000000000000003</c:v>
                </c:pt>
                <c:pt idx="385">
                  <c:v>0.25</c:v>
                </c:pt>
                <c:pt idx="386">
                  <c:v>0.31</c:v>
                </c:pt>
                <c:pt idx="387">
                  <c:v>0.28000000000000003</c:v>
                </c:pt>
                <c:pt idx="388">
                  <c:v>0.52</c:v>
                </c:pt>
                <c:pt idx="389">
                  <c:v>0.48</c:v>
                </c:pt>
                <c:pt idx="390">
                  <c:v>0.38</c:v>
                </c:pt>
                <c:pt idx="391">
                  <c:v>0.41</c:v>
                </c:pt>
                <c:pt idx="392">
                  <c:v>0.36</c:v>
                </c:pt>
                <c:pt idx="393">
                  <c:v>0.34</c:v>
                </c:pt>
                <c:pt idx="394">
                  <c:v>0.34</c:v>
                </c:pt>
                <c:pt idx="395">
                  <c:v>0.37</c:v>
                </c:pt>
                <c:pt idx="396">
                  <c:v>0.38</c:v>
                </c:pt>
                <c:pt idx="397">
                  <c:v>0.42</c:v>
                </c:pt>
                <c:pt idx="398">
                  <c:v>0</c:v>
                </c:pt>
                <c:pt idx="399">
                  <c:v>0.42</c:v>
                </c:pt>
                <c:pt idx="400">
                  <c:v>0.49</c:v>
                </c:pt>
                <c:pt idx="401">
                  <c:v>0.47</c:v>
                </c:pt>
                <c:pt idx="402">
                  <c:v>0.39</c:v>
                </c:pt>
                <c:pt idx="403">
                  <c:v>0.38</c:v>
                </c:pt>
                <c:pt idx="404">
                  <c:v>0.45</c:v>
                </c:pt>
                <c:pt idx="405">
                  <c:v>0.6</c:v>
                </c:pt>
                <c:pt idx="406">
                  <c:v>0.45</c:v>
                </c:pt>
                <c:pt idx="407">
                  <c:v>0.33</c:v>
                </c:pt>
                <c:pt idx="408">
                  <c:v>0.69</c:v>
                </c:pt>
                <c:pt idx="409">
                  <c:v>0.7</c:v>
                </c:pt>
                <c:pt idx="410">
                  <c:v>0.69</c:v>
                </c:pt>
                <c:pt idx="411">
                  <c:v>0.7</c:v>
                </c:pt>
                <c:pt idx="412">
                  <c:v>0.72</c:v>
                </c:pt>
                <c:pt idx="413">
                  <c:v>0.75</c:v>
                </c:pt>
                <c:pt idx="414">
                  <c:v>0.77099999999999991</c:v>
                </c:pt>
                <c:pt idx="415">
                  <c:v>0.74400000000000011</c:v>
                </c:pt>
                <c:pt idx="416">
                  <c:v>0.72699999999999998</c:v>
                </c:pt>
                <c:pt idx="417">
                  <c:v>0.71099999999999997</c:v>
                </c:pt>
                <c:pt idx="418">
                  <c:v>0.63100000000000001</c:v>
                </c:pt>
                <c:pt idx="419">
                  <c:v>0.18096309999999999</c:v>
                </c:pt>
                <c:pt idx="420">
                  <c:v>0.38708140000000002</c:v>
                </c:pt>
                <c:pt idx="421">
                  <c:v>0.48084840000000001</c:v>
                </c:pt>
                <c:pt idx="422">
                  <c:v>0.5163278</c:v>
                </c:pt>
                <c:pt idx="423">
                  <c:v>0.66099079999999999</c:v>
                </c:pt>
                <c:pt idx="424">
                  <c:v>0.6994267999999999</c:v>
                </c:pt>
                <c:pt idx="425">
                  <c:v>0.6994267999999999</c:v>
                </c:pt>
                <c:pt idx="426">
                  <c:v>0.66711519999999991</c:v>
                </c:pt>
                <c:pt idx="427">
                  <c:v>0.62867919999999999</c:v>
                </c:pt>
                <c:pt idx="428">
                  <c:v>0.58390759999999997</c:v>
                </c:pt>
                <c:pt idx="429">
                  <c:v>0.51316000000000006</c:v>
                </c:pt>
                <c:pt idx="430">
                  <c:v>0.64</c:v>
                </c:pt>
                <c:pt idx="431">
                  <c:v>0.72</c:v>
                </c:pt>
                <c:pt idx="432">
                  <c:v>0.73</c:v>
                </c:pt>
                <c:pt idx="433">
                  <c:v>0.52</c:v>
                </c:pt>
                <c:pt idx="434">
                  <c:v>0.51</c:v>
                </c:pt>
                <c:pt idx="435">
                  <c:v>0.47</c:v>
                </c:pt>
                <c:pt idx="436">
                  <c:v>0.29092199999999996</c:v>
                </c:pt>
                <c:pt idx="437">
                  <c:v>0.25114730000000002</c:v>
                </c:pt>
                <c:pt idx="438">
                  <c:v>0.25083709999999998</c:v>
                </c:pt>
                <c:pt idx="439">
                  <c:v>0.22605550000000002</c:v>
                </c:pt>
                <c:pt idx="440">
                  <c:v>0.20585799999999999</c:v>
                </c:pt>
                <c:pt idx="441">
                  <c:v>0.41</c:v>
                </c:pt>
                <c:pt idx="442">
                  <c:v>0.43</c:v>
                </c:pt>
                <c:pt idx="443">
                  <c:v>0.54</c:v>
                </c:pt>
                <c:pt idx="444">
                  <c:v>0.37</c:v>
                </c:pt>
                <c:pt idx="445">
                  <c:v>0.17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0.04</c:v>
                </c:pt>
                <c:pt idx="450">
                  <c:v>0.34</c:v>
                </c:pt>
                <c:pt idx="451">
                  <c:v>0.48</c:v>
                </c:pt>
                <c:pt idx="452">
                  <c:v>0.54</c:v>
                </c:pt>
                <c:pt idx="453">
                  <c:v>0.61</c:v>
                </c:pt>
                <c:pt idx="454">
                  <c:v>0.56999999999999995</c:v>
                </c:pt>
                <c:pt idx="455">
                  <c:v>0.49</c:v>
                </c:pt>
                <c:pt idx="456">
                  <c:v>0.26</c:v>
                </c:pt>
                <c:pt idx="457">
                  <c:v>0.14000000000000001</c:v>
                </c:pt>
                <c:pt idx="458">
                  <c:v>0.46</c:v>
                </c:pt>
                <c:pt idx="459">
                  <c:v>0.46</c:v>
                </c:pt>
                <c:pt idx="460">
                  <c:v>0.46</c:v>
                </c:pt>
                <c:pt idx="461">
                  <c:v>0.46</c:v>
                </c:pt>
                <c:pt idx="462">
                  <c:v>0.45</c:v>
                </c:pt>
                <c:pt idx="463">
                  <c:v>0.43</c:v>
                </c:pt>
                <c:pt idx="464">
                  <c:v>0.43</c:v>
                </c:pt>
                <c:pt idx="465">
                  <c:v>0.42</c:v>
                </c:pt>
                <c:pt idx="466">
                  <c:v>0.41</c:v>
                </c:pt>
                <c:pt idx="467">
                  <c:v>0.36</c:v>
                </c:pt>
                <c:pt idx="468">
                  <c:v>0.34</c:v>
                </c:pt>
                <c:pt idx="469">
                  <c:v>0.33</c:v>
                </c:pt>
                <c:pt idx="470">
                  <c:v>0.41</c:v>
                </c:pt>
                <c:pt idx="471">
                  <c:v>0.4</c:v>
                </c:pt>
                <c:pt idx="472">
                  <c:v>0.38</c:v>
                </c:pt>
                <c:pt idx="473">
                  <c:v>0.35</c:v>
                </c:pt>
                <c:pt idx="474">
                  <c:v>0.35</c:v>
                </c:pt>
                <c:pt idx="475">
                  <c:v>0.3</c:v>
                </c:pt>
                <c:pt idx="476">
                  <c:v>0.32</c:v>
                </c:pt>
                <c:pt idx="477">
                  <c:v>0.33</c:v>
                </c:pt>
                <c:pt idx="478">
                  <c:v>0.28999999999999998</c:v>
                </c:pt>
                <c:pt idx="479">
                  <c:v>0.28000000000000003</c:v>
                </c:pt>
                <c:pt idx="480">
                  <c:v>0.27</c:v>
                </c:pt>
                <c:pt idx="481">
                  <c:v>0.25</c:v>
                </c:pt>
                <c:pt idx="482">
                  <c:v>0.03</c:v>
                </c:pt>
                <c:pt idx="483">
                  <c:v>0.12</c:v>
                </c:pt>
                <c:pt idx="484">
                  <c:v>0.21</c:v>
                </c:pt>
                <c:pt idx="485">
                  <c:v>0.32</c:v>
                </c:pt>
                <c:pt idx="486">
                  <c:v>0.38</c:v>
                </c:pt>
                <c:pt idx="487">
                  <c:v>0.43</c:v>
                </c:pt>
                <c:pt idx="488">
                  <c:v>0.44</c:v>
                </c:pt>
                <c:pt idx="489">
                  <c:v>0.4</c:v>
                </c:pt>
                <c:pt idx="490">
                  <c:v>0.03</c:v>
                </c:pt>
                <c:pt idx="491">
                  <c:v>0.1</c:v>
                </c:pt>
                <c:pt idx="492">
                  <c:v>0.22</c:v>
                </c:pt>
                <c:pt idx="493">
                  <c:v>0.38</c:v>
                </c:pt>
                <c:pt idx="494">
                  <c:v>0.39</c:v>
                </c:pt>
                <c:pt idx="495">
                  <c:v>0.33</c:v>
                </c:pt>
                <c:pt idx="496">
                  <c:v>0.25</c:v>
                </c:pt>
                <c:pt idx="497">
                  <c:v>0.4</c:v>
                </c:pt>
                <c:pt idx="498">
                  <c:v>0.34</c:v>
                </c:pt>
                <c:pt idx="499">
                  <c:v>0.12</c:v>
                </c:pt>
                <c:pt idx="500">
                  <c:v>0.22</c:v>
                </c:pt>
                <c:pt idx="501">
                  <c:v>0.41</c:v>
                </c:pt>
                <c:pt idx="502">
                  <c:v>0.39</c:v>
                </c:pt>
                <c:pt idx="503">
                  <c:v>0.34</c:v>
                </c:pt>
                <c:pt idx="504">
                  <c:v>0.3</c:v>
                </c:pt>
                <c:pt idx="505">
                  <c:v>0.05</c:v>
                </c:pt>
                <c:pt idx="506">
                  <c:v>0.12</c:v>
                </c:pt>
                <c:pt idx="507">
                  <c:v>0.23</c:v>
                </c:pt>
                <c:pt idx="508">
                  <c:v>0.32</c:v>
                </c:pt>
                <c:pt idx="509">
                  <c:v>0.39</c:v>
                </c:pt>
                <c:pt idx="510">
                  <c:v>0.41</c:v>
                </c:pt>
                <c:pt idx="511">
                  <c:v>0.4</c:v>
                </c:pt>
                <c:pt idx="512">
                  <c:v>0.36</c:v>
                </c:pt>
                <c:pt idx="513">
                  <c:v>0.35</c:v>
                </c:pt>
                <c:pt idx="514">
                  <c:v>0.33</c:v>
                </c:pt>
                <c:pt idx="515">
                  <c:v>0.28000000000000003</c:v>
                </c:pt>
                <c:pt idx="516">
                  <c:v>0.3</c:v>
                </c:pt>
                <c:pt idx="517">
                  <c:v>0.17</c:v>
                </c:pt>
                <c:pt idx="518">
                  <c:v>5.5999999999999994E-2</c:v>
                </c:pt>
                <c:pt idx="519">
                  <c:v>8.199999999999999E-2</c:v>
                </c:pt>
                <c:pt idx="520">
                  <c:v>8.5000000000000006E-2</c:v>
                </c:pt>
                <c:pt idx="521">
                  <c:v>0.24</c:v>
                </c:pt>
                <c:pt idx="522">
                  <c:v>0.155</c:v>
                </c:pt>
                <c:pt idx="523">
                  <c:v>0.125</c:v>
                </c:pt>
                <c:pt idx="524">
                  <c:v>0.115</c:v>
                </c:pt>
                <c:pt idx="525">
                  <c:v>0.17100000000000001</c:v>
                </c:pt>
                <c:pt idx="526">
                  <c:v>0.157</c:v>
                </c:pt>
                <c:pt idx="527">
                  <c:v>0.14199999999999999</c:v>
                </c:pt>
                <c:pt idx="528">
                  <c:v>0.25</c:v>
                </c:pt>
                <c:pt idx="529">
                  <c:v>0.16600000000000001</c:v>
                </c:pt>
                <c:pt idx="530">
                  <c:v>0.16500000000000001</c:v>
                </c:pt>
                <c:pt idx="531">
                  <c:v>0.155</c:v>
                </c:pt>
                <c:pt idx="532">
                  <c:v>0.125</c:v>
                </c:pt>
                <c:pt idx="533">
                  <c:v>0.115</c:v>
                </c:pt>
                <c:pt idx="534">
                  <c:v>0.16800000000000001</c:v>
                </c:pt>
                <c:pt idx="535">
                  <c:v>0.17100000000000001</c:v>
                </c:pt>
                <c:pt idx="536">
                  <c:v>0.157</c:v>
                </c:pt>
                <c:pt idx="537">
                  <c:v>0.14199999999999999</c:v>
                </c:pt>
                <c:pt idx="538">
                  <c:v>0.12</c:v>
                </c:pt>
                <c:pt idx="539">
                  <c:v>0.2</c:v>
                </c:pt>
                <c:pt idx="540">
                  <c:v>0.33</c:v>
                </c:pt>
                <c:pt idx="541">
                  <c:v>0.43</c:v>
                </c:pt>
                <c:pt idx="542">
                  <c:v>0.4</c:v>
                </c:pt>
                <c:pt idx="543">
                  <c:v>0.32</c:v>
                </c:pt>
                <c:pt idx="544">
                  <c:v>0.26</c:v>
                </c:pt>
                <c:pt idx="545">
                  <c:v>0.13</c:v>
                </c:pt>
                <c:pt idx="546">
                  <c:v>0.64</c:v>
                </c:pt>
                <c:pt idx="547">
                  <c:v>0.21</c:v>
                </c:pt>
                <c:pt idx="548">
                  <c:v>0.45</c:v>
                </c:pt>
                <c:pt idx="549">
                  <c:v>0.55000000000000004</c:v>
                </c:pt>
                <c:pt idx="550">
                  <c:v>0.52</c:v>
                </c:pt>
                <c:pt idx="551">
                  <c:v>0.48</c:v>
                </c:pt>
                <c:pt idx="552">
                  <c:v>0.88800000000000001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0.91</c:v>
                </c:pt>
                <c:pt idx="557">
                  <c:v>0.83</c:v>
                </c:pt>
                <c:pt idx="558">
                  <c:v>0.76</c:v>
                </c:pt>
                <c:pt idx="559">
                  <c:v>0.56999999999999995</c:v>
                </c:pt>
                <c:pt idx="560">
                  <c:v>0.52</c:v>
                </c:pt>
                <c:pt idx="561">
                  <c:v>0.28000000000000003</c:v>
                </c:pt>
                <c:pt idx="562">
                  <c:v>0</c:v>
                </c:pt>
                <c:pt idx="563">
                  <c:v>0.04</c:v>
                </c:pt>
                <c:pt idx="564">
                  <c:v>0.11</c:v>
                </c:pt>
                <c:pt idx="565">
                  <c:v>0.15</c:v>
                </c:pt>
                <c:pt idx="566">
                  <c:v>0.22</c:v>
                </c:pt>
                <c:pt idx="567">
                  <c:v>0.35</c:v>
                </c:pt>
                <c:pt idx="568">
                  <c:v>0.4</c:v>
                </c:pt>
                <c:pt idx="569">
                  <c:v>0.4</c:v>
                </c:pt>
                <c:pt idx="570">
                  <c:v>0.48499999999999999</c:v>
                </c:pt>
                <c:pt idx="571">
                  <c:v>0.38</c:v>
                </c:pt>
                <c:pt idx="572">
                  <c:v>0.38</c:v>
                </c:pt>
                <c:pt idx="573">
                  <c:v>0.37</c:v>
                </c:pt>
                <c:pt idx="574">
                  <c:v>0.39</c:v>
                </c:pt>
                <c:pt idx="575">
                  <c:v>0.37</c:v>
                </c:pt>
                <c:pt idx="576">
                  <c:v>0.46</c:v>
                </c:pt>
                <c:pt idx="577">
                  <c:v>0.41</c:v>
                </c:pt>
                <c:pt idx="578">
                  <c:v>0.34</c:v>
                </c:pt>
                <c:pt idx="579">
                  <c:v>0.25</c:v>
                </c:pt>
                <c:pt idx="580">
                  <c:v>0.3969072983314017</c:v>
                </c:pt>
                <c:pt idx="581">
                  <c:v>0.36368000523699207</c:v>
                </c:pt>
                <c:pt idx="582">
                  <c:v>0.35725130843291725</c:v>
                </c:pt>
                <c:pt idx="583">
                  <c:v>0.36771194916750011</c:v>
                </c:pt>
                <c:pt idx="584">
                  <c:v>0.37740833695016318</c:v>
                </c:pt>
                <c:pt idx="585">
                  <c:v>0.39518350345983161</c:v>
                </c:pt>
                <c:pt idx="586">
                  <c:v>0.38598563361471688</c:v>
                </c:pt>
                <c:pt idx="587">
                  <c:v>0.40799340682654567</c:v>
                </c:pt>
                <c:pt idx="588">
                  <c:v>0.4314026626172337</c:v>
                </c:pt>
                <c:pt idx="589">
                  <c:v>0.38154541153488092</c:v>
                </c:pt>
                <c:pt idx="590">
                  <c:v>0.36901186004118175</c:v>
                </c:pt>
                <c:pt idx="591">
                  <c:v>0.16164999999999999</c:v>
                </c:pt>
                <c:pt idx="592">
                  <c:v>0.31691999999999998</c:v>
                </c:pt>
                <c:pt idx="593">
                  <c:v>0.38933999999999996</c:v>
                </c:pt>
                <c:pt idx="594">
                  <c:v>0.44831000000000004</c:v>
                </c:pt>
                <c:pt idx="595">
                  <c:v>0.39976999999999996</c:v>
                </c:pt>
                <c:pt idx="596">
                  <c:v>0.15437000000000001</c:v>
                </c:pt>
                <c:pt idx="597">
                  <c:v>0.29209000000000002</c:v>
                </c:pt>
                <c:pt idx="598">
                  <c:v>0.377</c:v>
                </c:pt>
                <c:pt idx="599">
                  <c:v>0.38412000000000002</c:v>
                </c:pt>
                <c:pt idx="600">
                  <c:v>0.33653</c:v>
                </c:pt>
                <c:pt idx="601">
                  <c:v>0.15548000000000001</c:v>
                </c:pt>
                <c:pt idx="602">
                  <c:v>0.28687999999999997</c:v>
                </c:pt>
                <c:pt idx="603">
                  <c:v>0.33857999999999999</c:v>
                </c:pt>
                <c:pt idx="604">
                  <c:v>0.31786999999999999</c:v>
                </c:pt>
                <c:pt idx="605">
                  <c:v>0.29826000000000003</c:v>
                </c:pt>
                <c:pt idx="606">
                  <c:v>0.15121000000000001</c:v>
                </c:pt>
                <c:pt idx="607">
                  <c:v>0.27754999999999996</c:v>
                </c:pt>
                <c:pt idx="608">
                  <c:v>0.31991999999999998</c:v>
                </c:pt>
                <c:pt idx="609">
                  <c:v>0.28893000000000002</c:v>
                </c:pt>
                <c:pt idx="610">
                  <c:v>0.27960000000000002</c:v>
                </c:pt>
                <c:pt idx="611">
                  <c:v>0.14410000000000001</c:v>
                </c:pt>
                <c:pt idx="612">
                  <c:v>0.25589000000000001</c:v>
                </c:pt>
                <c:pt idx="613">
                  <c:v>0.27960000000000002</c:v>
                </c:pt>
                <c:pt idx="614">
                  <c:v>0.27660000000000001</c:v>
                </c:pt>
                <c:pt idx="615">
                  <c:v>0.23723</c:v>
                </c:pt>
                <c:pt idx="616">
                  <c:v>6.9100000000000003E-3</c:v>
                </c:pt>
                <c:pt idx="617">
                  <c:v>3.4319999999999996E-2</c:v>
                </c:pt>
                <c:pt idx="618">
                  <c:v>7.1609999999999993E-2</c:v>
                </c:pt>
                <c:pt idx="619">
                  <c:v>0.19497</c:v>
                </c:pt>
                <c:pt idx="620">
                  <c:v>0.27600000000000002</c:v>
                </c:pt>
                <c:pt idx="621">
                  <c:v>0.34734999999999999</c:v>
                </c:pt>
                <c:pt idx="622">
                  <c:v>0.43159999999999998</c:v>
                </c:pt>
                <c:pt idx="623">
                  <c:v>0.49973000000000001</c:v>
                </c:pt>
                <c:pt idx="624">
                  <c:v>0.55798000000000003</c:v>
                </c:pt>
                <c:pt idx="625">
                  <c:v>9.6518700000000013E-2</c:v>
                </c:pt>
                <c:pt idx="626">
                  <c:v>0.14503869999999999</c:v>
                </c:pt>
                <c:pt idx="627">
                  <c:v>0.16763000000000003</c:v>
                </c:pt>
                <c:pt idx="628">
                  <c:v>0.26775060000000001</c:v>
                </c:pt>
                <c:pt idx="629">
                  <c:v>0.45695279999999999</c:v>
                </c:pt>
                <c:pt idx="630">
                  <c:v>4.8669999999999998E-2</c:v>
                </c:pt>
                <c:pt idx="631">
                  <c:v>0.13011</c:v>
                </c:pt>
                <c:pt idx="632">
                  <c:v>0.22158999999999998</c:v>
                </c:pt>
                <c:pt idx="633">
                  <c:v>0.31974000000000002</c:v>
                </c:pt>
                <c:pt idx="634">
                  <c:v>0.33012000000000002</c:v>
                </c:pt>
                <c:pt idx="635">
                  <c:v>0.40100999999999998</c:v>
                </c:pt>
                <c:pt idx="636">
                  <c:v>0.39204</c:v>
                </c:pt>
                <c:pt idx="637">
                  <c:v>0.38165999999999994</c:v>
                </c:pt>
                <c:pt idx="638">
                  <c:v>0.65</c:v>
                </c:pt>
                <c:pt idx="639">
                  <c:v>2.7000000000000003E-2</c:v>
                </c:pt>
                <c:pt idx="640">
                  <c:v>7.0000000000000007E-2</c:v>
                </c:pt>
                <c:pt idx="641">
                  <c:v>0.11699999999999999</c:v>
                </c:pt>
                <c:pt idx="642">
                  <c:v>3.6000000000000004E-2</c:v>
                </c:pt>
                <c:pt idx="643">
                  <c:v>0.08</c:v>
                </c:pt>
                <c:pt idx="644">
                  <c:v>0.16300000000000001</c:v>
                </c:pt>
                <c:pt idx="645">
                  <c:v>4.4000000000000004E-2</c:v>
                </c:pt>
                <c:pt idx="646">
                  <c:v>9.0999999999999998E-2</c:v>
                </c:pt>
                <c:pt idx="647">
                  <c:v>0.17</c:v>
                </c:pt>
                <c:pt idx="648">
                  <c:v>5.7000000000000002E-2</c:v>
                </c:pt>
                <c:pt idx="649">
                  <c:v>0.11199999999999999</c:v>
                </c:pt>
                <c:pt idx="650">
                  <c:v>0.182</c:v>
                </c:pt>
                <c:pt idx="651">
                  <c:v>6.4000000000000001E-2</c:v>
                </c:pt>
                <c:pt idx="652">
                  <c:v>0.127</c:v>
                </c:pt>
                <c:pt idx="653">
                  <c:v>0.221</c:v>
                </c:pt>
                <c:pt idx="654">
                  <c:v>0.755</c:v>
                </c:pt>
                <c:pt idx="655">
                  <c:v>0.48399999999999999</c:v>
                </c:pt>
                <c:pt idx="656">
                  <c:v>0.34799999999999998</c:v>
                </c:pt>
                <c:pt idx="657">
                  <c:v>0.18899999999999997</c:v>
                </c:pt>
                <c:pt idx="658">
                  <c:v>0.16600000000000001</c:v>
                </c:pt>
                <c:pt idx="659">
                  <c:v>0.151</c:v>
                </c:pt>
                <c:pt idx="660">
                  <c:v>0.872</c:v>
                </c:pt>
                <c:pt idx="661">
                  <c:v>0.72699999999999998</c:v>
                </c:pt>
                <c:pt idx="662">
                  <c:v>0.59899999999999998</c:v>
                </c:pt>
                <c:pt idx="663">
                  <c:v>0.48700000000000004</c:v>
                </c:pt>
                <c:pt idx="664">
                  <c:v>0.40700000000000003</c:v>
                </c:pt>
                <c:pt idx="665">
                  <c:v>0.35100000000000003</c:v>
                </c:pt>
                <c:pt idx="666">
                  <c:v>0.79</c:v>
                </c:pt>
                <c:pt idx="667">
                  <c:v>0.70099999999999996</c:v>
                </c:pt>
                <c:pt idx="668">
                  <c:v>0.628</c:v>
                </c:pt>
                <c:pt idx="669">
                  <c:v>0.45799999999999996</c:v>
                </c:pt>
                <c:pt idx="670">
                  <c:v>0.59599999999999997</c:v>
                </c:pt>
                <c:pt idx="671">
                  <c:v>0.5</c:v>
                </c:pt>
                <c:pt idx="672">
                  <c:v>0.42299999999999999</c:v>
                </c:pt>
                <c:pt idx="673">
                  <c:v>0.245</c:v>
                </c:pt>
                <c:pt idx="674">
                  <c:v>0.16899999999999998</c:v>
                </c:pt>
                <c:pt idx="675">
                  <c:v>0.13800000000000001</c:v>
                </c:pt>
                <c:pt idx="676">
                  <c:v>0.124</c:v>
                </c:pt>
                <c:pt idx="677">
                  <c:v>0.106</c:v>
                </c:pt>
                <c:pt idx="678">
                  <c:v>9.8000000000000004E-2</c:v>
                </c:pt>
                <c:pt idx="679">
                  <c:v>9.8000000000000004E-2</c:v>
                </c:pt>
                <c:pt idx="680">
                  <c:v>0.57499999999999996</c:v>
                </c:pt>
                <c:pt idx="681">
                  <c:v>0.17399999999999999</c:v>
                </c:pt>
                <c:pt idx="682">
                  <c:v>3.3000000000000002E-2</c:v>
                </c:pt>
                <c:pt idx="683">
                  <c:v>0.628</c:v>
                </c:pt>
                <c:pt idx="684">
                  <c:v>0.60399999999999998</c:v>
                </c:pt>
                <c:pt idx="685">
                  <c:v>0.68099999999999994</c:v>
                </c:pt>
                <c:pt idx="686">
                  <c:v>0.65099999999999991</c:v>
                </c:pt>
                <c:pt idx="687">
                  <c:v>0.61799999999999999</c:v>
                </c:pt>
                <c:pt idx="688">
                  <c:v>0.313</c:v>
                </c:pt>
                <c:pt idx="689">
                  <c:v>0.54700000000000004</c:v>
                </c:pt>
                <c:pt idx="690">
                  <c:v>0.27</c:v>
                </c:pt>
                <c:pt idx="691">
                  <c:v>0.47600000000000003</c:v>
                </c:pt>
                <c:pt idx="692">
                  <c:v>0.41100000000000003</c:v>
                </c:pt>
                <c:pt idx="693">
                  <c:v>0.73299999999999998</c:v>
                </c:pt>
                <c:pt idx="694">
                  <c:v>0.41899999999999998</c:v>
                </c:pt>
                <c:pt idx="695">
                  <c:v>0.40399999999999997</c:v>
                </c:pt>
                <c:pt idx="696">
                  <c:v>0.55200000000000005</c:v>
                </c:pt>
                <c:pt idx="697">
                  <c:v>0.59099999999999997</c:v>
                </c:pt>
                <c:pt idx="698">
                  <c:v>0.47200000000000003</c:v>
                </c:pt>
                <c:pt idx="699">
                  <c:v>0.56299999999999994</c:v>
                </c:pt>
                <c:pt idx="700">
                  <c:v>0.60399999999999998</c:v>
                </c:pt>
                <c:pt idx="701">
                  <c:v>0.624</c:v>
                </c:pt>
                <c:pt idx="702">
                  <c:v>0.60299999999999998</c:v>
                </c:pt>
                <c:pt idx="703">
                  <c:v>0.36099999999999999</c:v>
                </c:pt>
                <c:pt idx="704">
                  <c:v>0.48299999999999998</c:v>
                </c:pt>
                <c:pt idx="705">
                  <c:v>0.53799999999999992</c:v>
                </c:pt>
                <c:pt idx="706">
                  <c:v>0.57399999999999995</c:v>
                </c:pt>
                <c:pt idx="707">
                  <c:v>0.53900000000000003</c:v>
                </c:pt>
                <c:pt idx="708">
                  <c:v>0.623</c:v>
                </c:pt>
                <c:pt idx="709">
                  <c:v>0.66700000000000004</c:v>
                </c:pt>
                <c:pt idx="710">
                  <c:v>0.65099999999999991</c:v>
                </c:pt>
                <c:pt idx="711">
                  <c:v>0.313</c:v>
                </c:pt>
                <c:pt idx="712">
                  <c:v>0.42</c:v>
                </c:pt>
                <c:pt idx="713">
                  <c:v>0.51700000000000002</c:v>
                </c:pt>
                <c:pt idx="714">
                  <c:v>0.56000000000000005</c:v>
                </c:pt>
                <c:pt idx="715">
                  <c:v>0.54700000000000004</c:v>
                </c:pt>
                <c:pt idx="716">
                  <c:v>0.48700000000000004</c:v>
                </c:pt>
                <c:pt idx="717">
                  <c:v>0.439</c:v>
                </c:pt>
                <c:pt idx="718">
                  <c:v>0.40600000000000003</c:v>
                </c:pt>
                <c:pt idx="719">
                  <c:v>0.40200000000000002</c:v>
                </c:pt>
                <c:pt idx="720">
                  <c:v>0.45299999999999996</c:v>
                </c:pt>
                <c:pt idx="721">
                  <c:v>0.501</c:v>
                </c:pt>
                <c:pt idx="722">
                  <c:v>0.51700000000000002</c:v>
                </c:pt>
                <c:pt idx="723">
                  <c:v>0.69</c:v>
                </c:pt>
                <c:pt idx="724">
                  <c:v>0.69700000000000006</c:v>
                </c:pt>
                <c:pt idx="725">
                  <c:v>0.69</c:v>
                </c:pt>
                <c:pt idx="726">
                  <c:v>0.66200000000000003</c:v>
                </c:pt>
                <c:pt idx="727">
                  <c:v>0.45899999999999996</c:v>
                </c:pt>
                <c:pt idx="728">
                  <c:v>0.58200000000000007</c:v>
                </c:pt>
                <c:pt idx="729">
                  <c:v>0.65900000000000003</c:v>
                </c:pt>
                <c:pt idx="730">
                  <c:v>0.68900000000000006</c:v>
                </c:pt>
                <c:pt idx="731">
                  <c:v>0.29499999999999998</c:v>
                </c:pt>
                <c:pt idx="732">
                  <c:v>0.68099999999999994</c:v>
                </c:pt>
                <c:pt idx="733">
                  <c:v>0.67099999999999993</c:v>
                </c:pt>
                <c:pt idx="734">
                  <c:v>0.51700000000000002</c:v>
                </c:pt>
                <c:pt idx="735">
                  <c:v>0.38900000000000001</c:v>
                </c:pt>
                <c:pt idx="736">
                  <c:v>0.318</c:v>
                </c:pt>
                <c:pt idx="737">
                  <c:v>0.67200000000000004</c:v>
                </c:pt>
                <c:pt idx="738">
                  <c:v>0.68400000000000005</c:v>
                </c:pt>
                <c:pt idx="739">
                  <c:v>0.67</c:v>
                </c:pt>
                <c:pt idx="740">
                  <c:v>0.67099999999999993</c:v>
                </c:pt>
                <c:pt idx="741">
                  <c:v>0.63600000000000001</c:v>
                </c:pt>
                <c:pt idx="742">
                  <c:v>0.55200000000000005</c:v>
                </c:pt>
                <c:pt idx="743">
                  <c:v>0.56799999999999995</c:v>
                </c:pt>
                <c:pt idx="744">
                  <c:v>0.52100000000000002</c:v>
                </c:pt>
                <c:pt idx="745">
                  <c:v>0.30199999999999999</c:v>
                </c:pt>
                <c:pt idx="746">
                  <c:v>0.60399999999999998</c:v>
                </c:pt>
                <c:pt idx="747">
                  <c:v>0.61799999999999999</c:v>
                </c:pt>
                <c:pt idx="748">
                  <c:v>0.31</c:v>
                </c:pt>
                <c:pt idx="749">
                  <c:v>0.44500000000000001</c:v>
                </c:pt>
                <c:pt idx="750">
                  <c:v>0.5</c:v>
                </c:pt>
                <c:pt idx="751">
                  <c:v>0.64</c:v>
                </c:pt>
                <c:pt idx="752">
                  <c:v>0.23</c:v>
                </c:pt>
                <c:pt idx="753">
                  <c:v>7.0000000000000007E-2</c:v>
                </c:pt>
                <c:pt idx="754">
                  <c:v>0.56000000000000005</c:v>
                </c:pt>
                <c:pt idx="755">
                  <c:v>0.37</c:v>
                </c:pt>
                <c:pt idx="756">
                  <c:v>0.13</c:v>
                </c:pt>
                <c:pt idx="757">
                  <c:v>0.03</c:v>
                </c:pt>
                <c:pt idx="758">
                  <c:v>0.95400000000000007</c:v>
                </c:pt>
                <c:pt idx="759">
                  <c:v>0.879</c:v>
                </c:pt>
                <c:pt idx="760">
                  <c:v>0.53100000000000003</c:v>
                </c:pt>
                <c:pt idx="761">
                  <c:v>0.182</c:v>
                </c:pt>
                <c:pt idx="762">
                  <c:v>0.20199999999999999</c:v>
                </c:pt>
                <c:pt idx="763">
                  <c:v>0.152</c:v>
                </c:pt>
                <c:pt idx="764">
                  <c:v>0.21199999999999999</c:v>
                </c:pt>
                <c:pt idx="765">
                  <c:v>0.55299999999999994</c:v>
                </c:pt>
                <c:pt idx="766">
                  <c:v>0.80500000000000005</c:v>
                </c:pt>
                <c:pt idx="767">
                  <c:v>0.92099999999999993</c:v>
                </c:pt>
                <c:pt idx="768">
                  <c:v>0.46820000000000001</c:v>
                </c:pt>
                <c:pt idx="769">
                  <c:v>0.46829999999999999</c:v>
                </c:pt>
                <c:pt idx="770">
                  <c:v>0.46439999999999998</c:v>
                </c:pt>
                <c:pt idx="771">
                  <c:v>0.45700000000000002</c:v>
                </c:pt>
                <c:pt idx="772">
                  <c:v>0.45030000000000003</c:v>
                </c:pt>
                <c:pt idx="773">
                  <c:v>0.56999999999999995</c:v>
                </c:pt>
                <c:pt idx="774">
                  <c:v>0.88</c:v>
                </c:pt>
                <c:pt idx="775">
                  <c:v>0.92</c:v>
                </c:pt>
                <c:pt idx="776">
                  <c:v>0.93</c:v>
                </c:pt>
                <c:pt idx="777">
                  <c:v>0.97</c:v>
                </c:pt>
                <c:pt idx="778">
                  <c:v>0.7</c:v>
                </c:pt>
                <c:pt idx="779">
                  <c:v>0.97</c:v>
                </c:pt>
                <c:pt idx="780">
                  <c:v>0.56999999999999995</c:v>
                </c:pt>
                <c:pt idx="781">
                  <c:v>0.37</c:v>
                </c:pt>
                <c:pt idx="782">
                  <c:v>0.24</c:v>
                </c:pt>
                <c:pt idx="783">
                  <c:v>7.0000000000000007E-2</c:v>
                </c:pt>
                <c:pt idx="784">
                  <c:v>0.02</c:v>
                </c:pt>
                <c:pt idx="785">
                  <c:v>0.46</c:v>
                </c:pt>
              </c:numCache>
            </c:numRef>
          </c:xVal>
          <c:yVal>
            <c:numRef>
              <c:f>'Bernstein model'!$BL$2:$BL$787</c:f>
              <c:numCache>
                <c:formatCode>0.0000</c:formatCode>
                <c:ptCount val="786"/>
                <c:pt idx="0">
                  <c:v>0.31896380136662705</c:v>
                </c:pt>
                <c:pt idx="1">
                  <c:v>0.34381714877568376</c:v>
                </c:pt>
                <c:pt idx="2">
                  <c:v>0.364703986289664</c:v>
                </c:pt>
                <c:pt idx="3">
                  <c:v>0.38086783481475905</c:v>
                </c:pt>
                <c:pt idx="4">
                  <c:v>0.39659048883598741</c:v>
                </c:pt>
                <c:pt idx="5">
                  <c:v>0.40040254223988436</c:v>
                </c:pt>
                <c:pt idx="6">
                  <c:v>0.39850215525412247</c:v>
                </c:pt>
                <c:pt idx="7">
                  <c:v>0.45251907511997191</c:v>
                </c:pt>
                <c:pt idx="8">
                  <c:v>0.43540380796757583</c:v>
                </c:pt>
                <c:pt idx="9">
                  <c:v>0.43037662696155116</c:v>
                </c:pt>
                <c:pt idx="10">
                  <c:v>0.42913325262451218</c:v>
                </c:pt>
                <c:pt idx="11">
                  <c:v>0.42932627921426564</c:v>
                </c:pt>
                <c:pt idx="12">
                  <c:v>0.42900564705870475</c:v>
                </c:pt>
                <c:pt idx="13">
                  <c:v>0.42725161763182756</c:v>
                </c:pt>
                <c:pt idx="14">
                  <c:v>0.4162187177527632</c:v>
                </c:pt>
                <c:pt idx="15">
                  <c:v>0.1111111111111111</c:v>
                </c:pt>
                <c:pt idx="16">
                  <c:v>0.25</c:v>
                </c:pt>
                <c:pt idx="17">
                  <c:v>0.40696277461178726</c:v>
                </c:pt>
                <c:pt idx="18">
                  <c:v>0.40765976371781826</c:v>
                </c:pt>
                <c:pt idx="19">
                  <c:v>0.25</c:v>
                </c:pt>
                <c:pt idx="20">
                  <c:v>0.5</c:v>
                </c:pt>
                <c:pt idx="21">
                  <c:v>0.54944198891805596</c:v>
                </c:pt>
                <c:pt idx="22">
                  <c:v>0.3310648408026266</c:v>
                </c:pt>
                <c:pt idx="23">
                  <c:v>0.43597140375156029</c:v>
                </c:pt>
                <c:pt idx="24">
                  <c:v>0.79404547425615246</c:v>
                </c:pt>
                <c:pt idx="25">
                  <c:v>0.31067224760451145</c:v>
                </c:pt>
                <c:pt idx="26">
                  <c:v>0.62341076785100624</c:v>
                </c:pt>
                <c:pt idx="27">
                  <c:v>0.46153846153846156</c:v>
                </c:pt>
                <c:pt idx="28">
                  <c:v>0.61777302063178363</c:v>
                </c:pt>
                <c:pt idx="29">
                  <c:v>0.62818860368392504</c:v>
                </c:pt>
                <c:pt idx="30">
                  <c:v>0.59797851606915409</c:v>
                </c:pt>
                <c:pt idx="31">
                  <c:v>0.58169676906196932</c:v>
                </c:pt>
                <c:pt idx="32">
                  <c:v>0.68781772665016538</c:v>
                </c:pt>
                <c:pt idx="33">
                  <c:v>0.65051048065046324</c:v>
                </c:pt>
                <c:pt idx="34">
                  <c:v>0.60758024659990695</c:v>
                </c:pt>
                <c:pt idx="35">
                  <c:v>0.56273775855358943</c:v>
                </c:pt>
                <c:pt idx="36">
                  <c:v>0.53555459923758031</c:v>
                </c:pt>
                <c:pt idx="37">
                  <c:v>0.50426405626101978</c:v>
                </c:pt>
                <c:pt idx="38">
                  <c:v>0.67358554207242538</c:v>
                </c:pt>
                <c:pt idx="39">
                  <c:v>0.69303676505761114</c:v>
                </c:pt>
                <c:pt idx="40">
                  <c:v>0.66642063676492169</c:v>
                </c:pt>
                <c:pt idx="41">
                  <c:v>0.66340881569159127</c:v>
                </c:pt>
                <c:pt idx="42">
                  <c:v>0.62629882069802989</c:v>
                </c:pt>
                <c:pt idx="43">
                  <c:v>0.59665885593124779</c:v>
                </c:pt>
                <c:pt idx="44">
                  <c:v>0.6619717644432469</c:v>
                </c:pt>
                <c:pt idx="45">
                  <c:v>0.66673609257983502</c:v>
                </c:pt>
                <c:pt idx="46">
                  <c:v>0.63419667079880149</c:v>
                </c:pt>
                <c:pt idx="47">
                  <c:v>0.65153984132078713</c:v>
                </c:pt>
                <c:pt idx="48">
                  <c:v>0.66388537174604745</c:v>
                </c:pt>
                <c:pt idx="49">
                  <c:v>0.1170750382848392</c:v>
                </c:pt>
                <c:pt idx="50">
                  <c:v>0.10954415954415954</c:v>
                </c:pt>
                <c:pt idx="51">
                  <c:v>9.6721103937207231E-2</c:v>
                </c:pt>
                <c:pt idx="52">
                  <c:v>9.1919674874491999E-2</c:v>
                </c:pt>
                <c:pt idx="53">
                  <c:v>0.11764705882352941</c:v>
                </c:pt>
                <c:pt idx="54">
                  <c:v>8.3333333333333329E-2</c:v>
                </c:pt>
                <c:pt idx="55">
                  <c:v>7.575757575757576E-2</c:v>
                </c:pt>
                <c:pt idx="56">
                  <c:v>0.33333333333333331</c:v>
                </c:pt>
                <c:pt idx="57">
                  <c:v>0.16666666666666666</c:v>
                </c:pt>
                <c:pt idx="58">
                  <c:v>0.16666666666666666</c:v>
                </c:pt>
                <c:pt idx="59">
                  <c:v>0.54944198891805596</c:v>
                </c:pt>
                <c:pt idx="60">
                  <c:v>0.53078003295768783</c:v>
                </c:pt>
                <c:pt idx="61">
                  <c:v>0.54944198891805596</c:v>
                </c:pt>
                <c:pt idx="62">
                  <c:v>0.54115980438131783</c:v>
                </c:pt>
                <c:pt idx="63">
                  <c:v>0.54944198891805596</c:v>
                </c:pt>
                <c:pt idx="64">
                  <c:v>0.54115980438131783</c:v>
                </c:pt>
                <c:pt idx="65">
                  <c:v>0.40165631469979296</c:v>
                </c:pt>
                <c:pt idx="66">
                  <c:v>0.40145985401459855</c:v>
                </c:pt>
                <c:pt idx="67">
                  <c:v>0.40340909090909088</c:v>
                </c:pt>
                <c:pt idx="68">
                  <c:v>0.40594059405940597</c:v>
                </c:pt>
                <c:pt idx="69">
                  <c:v>0.39849624060150374</c:v>
                </c:pt>
                <c:pt idx="70">
                  <c:v>0.25391849529780564</c:v>
                </c:pt>
                <c:pt idx="71">
                  <c:v>0.2134796238244514</c:v>
                </c:pt>
                <c:pt idx="72">
                  <c:v>0.18105849582172701</c:v>
                </c:pt>
                <c:pt idx="73">
                  <c:v>0.15870496746548168</c:v>
                </c:pt>
                <c:pt idx="74">
                  <c:v>0.13784144371883997</c:v>
                </c:pt>
                <c:pt idx="75">
                  <c:v>0.12561184921492596</c:v>
                </c:pt>
                <c:pt idx="76">
                  <c:v>0.1025273224043716</c:v>
                </c:pt>
                <c:pt idx="77">
                  <c:v>0.18586924655526238</c:v>
                </c:pt>
                <c:pt idx="78">
                  <c:v>0.23079871224896517</c:v>
                </c:pt>
                <c:pt idx="79">
                  <c:v>0.27795450930491489</c:v>
                </c:pt>
                <c:pt idx="80">
                  <c:v>0.32628895650028783</c:v>
                </c:pt>
                <c:pt idx="81">
                  <c:v>0.38638905618170871</c:v>
                </c:pt>
                <c:pt idx="82">
                  <c:v>0.4017316699983336</c:v>
                </c:pt>
                <c:pt idx="83">
                  <c:v>0.51282051282051277</c:v>
                </c:pt>
                <c:pt idx="84">
                  <c:v>0.44871794871794873</c:v>
                </c:pt>
                <c:pt idx="85">
                  <c:v>0.38461538461538464</c:v>
                </c:pt>
                <c:pt idx="86">
                  <c:v>0.32051282051282054</c:v>
                </c:pt>
                <c:pt idx="87">
                  <c:v>0.25641025641025639</c:v>
                </c:pt>
                <c:pt idx="88">
                  <c:v>0.37735849056603776</c:v>
                </c:pt>
                <c:pt idx="89">
                  <c:v>0.330188679245283</c:v>
                </c:pt>
                <c:pt idx="90">
                  <c:v>0.28301886792452829</c:v>
                </c:pt>
                <c:pt idx="91">
                  <c:v>0.23584905660377359</c:v>
                </c:pt>
                <c:pt idx="92">
                  <c:v>0.18867924528301888</c:v>
                </c:pt>
                <c:pt idx="93">
                  <c:v>1</c:v>
                </c:pt>
                <c:pt idx="94">
                  <c:v>0.99699941645296897</c:v>
                </c:pt>
                <c:pt idx="95">
                  <c:v>0.81620581074318321</c:v>
                </c:pt>
                <c:pt idx="96">
                  <c:v>0.60730701546642507</c:v>
                </c:pt>
                <c:pt idx="97">
                  <c:v>0.47970479704797048</c:v>
                </c:pt>
                <c:pt idx="98">
                  <c:v>0.35860058309037907</c:v>
                </c:pt>
                <c:pt idx="99">
                  <c:v>0.28478260869565214</c:v>
                </c:pt>
                <c:pt idx="100">
                  <c:v>0.24368231046931407</c:v>
                </c:pt>
                <c:pt idx="101">
                  <c:v>0.19983719983719986</c:v>
                </c:pt>
                <c:pt idx="102">
                  <c:v>0.17653403643336529</c:v>
                </c:pt>
                <c:pt idx="103">
                  <c:v>0.40973583351719983</c:v>
                </c:pt>
                <c:pt idx="104">
                  <c:v>0.40944189082244398</c:v>
                </c:pt>
                <c:pt idx="105">
                  <c:v>0.40874110882275078</c:v>
                </c:pt>
                <c:pt idx="106">
                  <c:v>0.34589502018842533</c:v>
                </c:pt>
                <c:pt idx="107">
                  <c:v>0.41043723554301831</c:v>
                </c:pt>
                <c:pt idx="108">
                  <c:v>0.40751936592964166</c:v>
                </c:pt>
                <c:pt idx="109">
                  <c:v>0.40736781500664199</c:v>
                </c:pt>
                <c:pt idx="110">
                  <c:v>0.17204301075268816</c:v>
                </c:pt>
                <c:pt idx="111">
                  <c:v>0.21022727272727271</c:v>
                </c:pt>
                <c:pt idx="112">
                  <c:v>0.26219512195121952</c:v>
                </c:pt>
                <c:pt idx="113">
                  <c:v>0.32781456953642385</c:v>
                </c:pt>
                <c:pt idx="114">
                  <c:v>0.40750595560787167</c:v>
                </c:pt>
                <c:pt idx="115">
                  <c:v>0.17842605156037991</c:v>
                </c:pt>
                <c:pt idx="116">
                  <c:v>0.21225071225071224</c:v>
                </c:pt>
                <c:pt idx="117">
                  <c:v>0.25187969924812031</c:v>
                </c:pt>
                <c:pt idx="118">
                  <c:v>0.31433224755700329</c:v>
                </c:pt>
                <c:pt idx="119">
                  <c:v>0.40701138914924623</c:v>
                </c:pt>
                <c:pt idx="120">
                  <c:v>0.27867746288798922</c:v>
                </c:pt>
                <c:pt idx="121">
                  <c:v>0.3241935483870968</c:v>
                </c:pt>
                <c:pt idx="122">
                  <c:v>0.41379310344827586</c:v>
                </c:pt>
                <c:pt idx="123">
                  <c:v>0.45915644900135438</c:v>
                </c:pt>
                <c:pt idx="124">
                  <c:v>0.59131896756737679</c:v>
                </c:pt>
                <c:pt idx="125">
                  <c:v>0.88076774502800814</c:v>
                </c:pt>
                <c:pt idx="126">
                  <c:v>1</c:v>
                </c:pt>
                <c:pt idx="127">
                  <c:v>0.10619469026548671</c:v>
                </c:pt>
                <c:pt idx="128">
                  <c:v>0.17096018735362997</c:v>
                </c:pt>
                <c:pt idx="129">
                  <c:v>0.24843945068664169</c:v>
                </c:pt>
                <c:pt idx="130">
                  <c:v>0.32802124833997343</c:v>
                </c:pt>
                <c:pt idx="131">
                  <c:v>0.41843971631205673</c:v>
                </c:pt>
                <c:pt idx="132">
                  <c:v>0.40845374481786795</c:v>
                </c:pt>
                <c:pt idx="133">
                  <c:v>0.4077982335975831</c:v>
                </c:pt>
                <c:pt idx="134">
                  <c:v>0.38028440799940871</c:v>
                </c:pt>
                <c:pt idx="135">
                  <c:v>0.25511875511875509</c:v>
                </c:pt>
                <c:pt idx="136">
                  <c:v>0.25511875511875509</c:v>
                </c:pt>
                <c:pt idx="137">
                  <c:v>0.25511875511875509</c:v>
                </c:pt>
                <c:pt idx="138">
                  <c:v>0.18411516005637205</c:v>
                </c:pt>
                <c:pt idx="139">
                  <c:v>0.18411516005637205</c:v>
                </c:pt>
                <c:pt idx="140">
                  <c:v>0.18411516005637205</c:v>
                </c:pt>
                <c:pt idx="141">
                  <c:v>0.44641825534373192</c:v>
                </c:pt>
                <c:pt idx="142">
                  <c:v>0.64658264167809187</c:v>
                </c:pt>
                <c:pt idx="143">
                  <c:v>0.61747065393335709</c:v>
                </c:pt>
                <c:pt idx="144">
                  <c:v>0.61641604410612794</c:v>
                </c:pt>
                <c:pt idx="145">
                  <c:v>0.61571733034730991</c:v>
                </c:pt>
                <c:pt idx="146">
                  <c:v>0.63361017032413258</c:v>
                </c:pt>
                <c:pt idx="147">
                  <c:v>0.63015714920877453</c:v>
                </c:pt>
                <c:pt idx="148">
                  <c:v>0.62550176071274188</c:v>
                </c:pt>
                <c:pt idx="149">
                  <c:v>0.61918114428199644</c:v>
                </c:pt>
                <c:pt idx="150">
                  <c:v>0.61765948661894809</c:v>
                </c:pt>
                <c:pt idx="151">
                  <c:v>0.57510798689097897</c:v>
                </c:pt>
                <c:pt idx="152">
                  <c:v>0.53671396296819074</c:v>
                </c:pt>
                <c:pt idx="153">
                  <c:v>0.50155855729574272</c:v>
                </c:pt>
                <c:pt idx="154">
                  <c:v>0.55649996829176307</c:v>
                </c:pt>
                <c:pt idx="155">
                  <c:v>0.54255646405416091</c:v>
                </c:pt>
                <c:pt idx="156">
                  <c:v>0.55598749012362647</c:v>
                </c:pt>
                <c:pt idx="157">
                  <c:v>0.55103383756284863</c:v>
                </c:pt>
                <c:pt idx="158">
                  <c:v>0.56694271147394415</c:v>
                </c:pt>
                <c:pt idx="159">
                  <c:v>0.54977017804992023</c:v>
                </c:pt>
                <c:pt idx="160">
                  <c:v>0.54977017804992023</c:v>
                </c:pt>
                <c:pt idx="161">
                  <c:v>0.5</c:v>
                </c:pt>
                <c:pt idx="162">
                  <c:v>0.23809523809523808</c:v>
                </c:pt>
                <c:pt idx="163">
                  <c:v>0.37735849056603776</c:v>
                </c:pt>
                <c:pt idx="164">
                  <c:v>0.63658276219741683</c:v>
                </c:pt>
                <c:pt idx="165">
                  <c:v>0.34397918145256684</c:v>
                </c:pt>
                <c:pt idx="166">
                  <c:v>1.6483516483516484E-2</c:v>
                </c:pt>
                <c:pt idx="167">
                  <c:v>6.1855670103092786E-2</c:v>
                </c:pt>
                <c:pt idx="168">
                  <c:v>5.8823529411764705E-2</c:v>
                </c:pt>
                <c:pt idx="169">
                  <c:v>0.19402985074626866</c:v>
                </c:pt>
                <c:pt idx="170">
                  <c:v>1</c:v>
                </c:pt>
                <c:pt idx="171">
                  <c:v>0.2</c:v>
                </c:pt>
                <c:pt idx="172">
                  <c:v>0.77369170391750541</c:v>
                </c:pt>
                <c:pt idx="173">
                  <c:v>0.58829801465041442</c:v>
                </c:pt>
                <c:pt idx="174">
                  <c:v>0.35294117647058826</c:v>
                </c:pt>
                <c:pt idx="175">
                  <c:v>0.69240127464349122</c:v>
                </c:pt>
                <c:pt idx="176">
                  <c:v>0.69240127464349122</c:v>
                </c:pt>
                <c:pt idx="177">
                  <c:v>1</c:v>
                </c:pt>
                <c:pt idx="178">
                  <c:v>1</c:v>
                </c:pt>
                <c:pt idx="179">
                  <c:v>0.59942294209894131</c:v>
                </c:pt>
                <c:pt idx="180">
                  <c:v>0.59942294209894131</c:v>
                </c:pt>
                <c:pt idx="181">
                  <c:v>0.2857142857142857</c:v>
                </c:pt>
                <c:pt idx="182">
                  <c:v>0.30769230769230771</c:v>
                </c:pt>
                <c:pt idx="183">
                  <c:v>0.33333333333333331</c:v>
                </c:pt>
                <c:pt idx="184">
                  <c:v>0.4</c:v>
                </c:pt>
                <c:pt idx="185">
                  <c:v>0.44444444444444442</c:v>
                </c:pt>
                <c:pt idx="186">
                  <c:v>0.47219243402958155</c:v>
                </c:pt>
                <c:pt idx="187">
                  <c:v>0.52035253799810721</c:v>
                </c:pt>
                <c:pt idx="188">
                  <c:v>0.63596340716708433</c:v>
                </c:pt>
                <c:pt idx="189">
                  <c:v>0.80456066451657471</c:v>
                </c:pt>
                <c:pt idx="190">
                  <c:v>0.80456066451657471</c:v>
                </c:pt>
                <c:pt idx="191">
                  <c:v>0.56019099085379698</c:v>
                </c:pt>
                <c:pt idx="192">
                  <c:v>0.56019099085379698</c:v>
                </c:pt>
                <c:pt idx="193">
                  <c:v>0.35714285714285715</c:v>
                </c:pt>
                <c:pt idx="194">
                  <c:v>0.41666666666666669</c:v>
                </c:pt>
                <c:pt idx="195">
                  <c:v>0.43597140375156029</c:v>
                </c:pt>
                <c:pt idx="196">
                  <c:v>0.47125106936995648</c:v>
                </c:pt>
                <c:pt idx="197">
                  <c:v>0.49514610065070547</c:v>
                </c:pt>
                <c:pt idx="198">
                  <c:v>0.56694271147394415</c:v>
                </c:pt>
                <c:pt idx="199">
                  <c:v>0.56694271147394415</c:v>
                </c:pt>
                <c:pt idx="200">
                  <c:v>0.72125866188470444</c:v>
                </c:pt>
                <c:pt idx="201">
                  <c:v>1</c:v>
                </c:pt>
                <c:pt idx="202">
                  <c:v>0.4082590670874251</c:v>
                </c:pt>
                <c:pt idx="203">
                  <c:v>0.41731765985344066</c:v>
                </c:pt>
                <c:pt idx="204">
                  <c:v>0.43903428116432613</c:v>
                </c:pt>
                <c:pt idx="205">
                  <c:v>0.4681547061560683</c:v>
                </c:pt>
                <c:pt idx="206">
                  <c:v>0.51078367299764349</c:v>
                </c:pt>
                <c:pt idx="207">
                  <c:v>0.51078367299764349</c:v>
                </c:pt>
                <c:pt idx="208">
                  <c:v>0.65286053633059804</c:v>
                </c:pt>
                <c:pt idx="209">
                  <c:v>0.54995256818925087</c:v>
                </c:pt>
                <c:pt idx="210">
                  <c:v>0.42377330160504134</c:v>
                </c:pt>
                <c:pt idx="211">
                  <c:v>0.42377330160504134</c:v>
                </c:pt>
                <c:pt idx="212">
                  <c:v>0.44173495700796944</c:v>
                </c:pt>
                <c:pt idx="213">
                  <c:v>0.46442034394224518</c:v>
                </c:pt>
                <c:pt idx="214">
                  <c:v>0.49611906452116505</c:v>
                </c:pt>
                <c:pt idx="215">
                  <c:v>0.55489386430718024</c:v>
                </c:pt>
                <c:pt idx="216">
                  <c:v>0.67578249601716589</c:v>
                </c:pt>
                <c:pt idx="217">
                  <c:v>0.42565107808197022</c:v>
                </c:pt>
                <c:pt idx="218">
                  <c:v>0.43741312618371181</c:v>
                </c:pt>
                <c:pt idx="219">
                  <c:v>0.45143512853450646</c:v>
                </c:pt>
                <c:pt idx="220">
                  <c:v>0.10999999999999999</c:v>
                </c:pt>
                <c:pt idx="221">
                  <c:v>0.17700000000000002</c:v>
                </c:pt>
                <c:pt idx="222">
                  <c:v>0.20499999999999999</c:v>
                </c:pt>
                <c:pt idx="223">
                  <c:v>0.25</c:v>
                </c:pt>
                <c:pt idx="224">
                  <c:v>0.28200000000000003</c:v>
                </c:pt>
                <c:pt idx="225">
                  <c:v>0.33300000000000007</c:v>
                </c:pt>
                <c:pt idx="226">
                  <c:v>0.37</c:v>
                </c:pt>
                <c:pt idx="227">
                  <c:v>0.40799999999999997</c:v>
                </c:pt>
                <c:pt idx="228">
                  <c:v>0.40274964759640142</c:v>
                </c:pt>
                <c:pt idx="229">
                  <c:v>0.40701138914924623</c:v>
                </c:pt>
                <c:pt idx="230">
                  <c:v>0.40764281546119419</c:v>
                </c:pt>
                <c:pt idx="231">
                  <c:v>0.17362876647344244</c:v>
                </c:pt>
                <c:pt idx="232">
                  <c:v>0.14352979424214807</c:v>
                </c:pt>
                <c:pt idx="233">
                  <c:v>8.8301117056822781E-2</c:v>
                </c:pt>
                <c:pt idx="234">
                  <c:v>0.1</c:v>
                </c:pt>
                <c:pt idx="235">
                  <c:v>0.19999999999999998</c:v>
                </c:pt>
                <c:pt idx="236">
                  <c:v>0.33</c:v>
                </c:pt>
                <c:pt idx="237">
                  <c:v>0.43597140375156029</c:v>
                </c:pt>
                <c:pt idx="238">
                  <c:v>0.4457154610326135</c:v>
                </c:pt>
                <c:pt idx="239">
                  <c:v>0.44857154615291328</c:v>
                </c:pt>
                <c:pt idx="240">
                  <c:v>0.44556937302475941</c:v>
                </c:pt>
                <c:pt idx="241">
                  <c:v>0.43764602866887631</c:v>
                </c:pt>
                <c:pt idx="242">
                  <c:v>0.42565107808197022</c:v>
                </c:pt>
                <c:pt idx="243">
                  <c:v>0.10999999999999999</c:v>
                </c:pt>
                <c:pt idx="244">
                  <c:v>0.2</c:v>
                </c:pt>
                <c:pt idx="245">
                  <c:v>0.33000000000000007</c:v>
                </c:pt>
                <c:pt idx="246">
                  <c:v>0.45988164727714359</c:v>
                </c:pt>
                <c:pt idx="247">
                  <c:v>0.47579535562106084</c:v>
                </c:pt>
                <c:pt idx="248">
                  <c:v>0.48481076662524353</c:v>
                </c:pt>
                <c:pt idx="249">
                  <c:v>0.48780897543357127</c:v>
                </c:pt>
                <c:pt idx="250">
                  <c:v>0.48560208289740942</c:v>
                </c:pt>
                <c:pt idx="251">
                  <c:v>0.47893651729059428</c:v>
                </c:pt>
                <c:pt idx="252">
                  <c:v>0.43873457701123286</c:v>
                </c:pt>
                <c:pt idx="253">
                  <c:v>0.51326799501517417</c:v>
                </c:pt>
                <c:pt idx="254">
                  <c:v>0.2</c:v>
                </c:pt>
                <c:pt idx="255">
                  <c:v>0.33</c:v>
                </c:pt>
                <c:pt idx="256">
                  <c:v>0.49999999999999983</c:v>
                </c:pt>
                <c:pt idx="257">
                  <c:v>0.52300095456751516</c:v>
                </c:pt>
                <c:pt idx="258">
                  <c:v>0.54237292935233727</c:v>
                </c:pt>
                <c:pt idx="259">
                  <c:v>0.55574739117657757</c:v>
                </c:pt>
                <c:pt idx="260">
                  <c:v>0.56374395928975263</c:v>
                </c:pt>
                <c:pt idx="261">
                  <c:v>0.56694271147394415</c:v>
                </c:pt>
                <c:pt idx="262">
                  <c:v>0.52869705392724531</c:v>
                </c:pt>
                <c:pt idx="263">
                  <c:v>0.32988685975501875</c:v>
                </c:pt>
                <c:pt idx="264">
                  <c:v>0.60769958509504529</c:v>
                </c:pt>
                <c:pt idx="265">
                  <c:v>0.62424703401210657</c:v>
                </c:pt>
                <c:pt idx="266">
                  <c:v>0.63596340716708433</c:v>
                </c:pt>
                <c:pt idx="267">
                  <c:v>0.63646016569350716</c:v>
                </c:pt>
                <c:pt idx="268">
                  <c:v>0.57175974720932388</c:v>
                </c:pt>
                <c:pt idx="269">
                  <c:v>0.36998817986210386</c:v>
                </c:pt>
                <c:pt idx="270">
                  <c:v>0.2</c:v>
                </c:pt>
                <c:pt idx="271">
                  <c:v>0.32</c:v>
                </c:pt>
                <c:pt idx="272">
                  <c:v>0.35199999999999992</c:v>
                </c:pt>
                <c:pt idx="273">
                  <c:v>0.40000000000000008</c:v>
                </c:pt>
                <c:pt idx="274">
                  <c:v>0.45988164727714359</c:v>
                </c:pt>
                <c:pt idx="275">
                  <c:v>0.4819744261589432</c:v>
                </c:pt>
                <c:pt idx="276">
                  <c:v>0.48700968724911964</c:v>
                </c:pt>
                <c:pt idx="277">
                  <c:v>0.48706024775136775</c:v>
                </c:pt>
                <c:pt idx="278">
                  <c:v>0.47893651729059428</c:v>
                </c:pt>
                <c:pt idx="279">
                  <c:v>0.40065887500357056</c:v>
                </c:pt>
                <c:pt idx="280">
                  <c:v>0.15000000000000002</c:v>
                </c:pt>
                <c:pt idx="281">
                  <c:v>0.25000000000000006</c:v>
                </c:pt>
                <c:pt idx="282">
                  <c:v>0.33</c:v>
                </c:pt>
                <c:pt idx="283">
                  <c:v>0.49999999999999983</c:v>
                </c:pt>
                <c:pt idx="284">
                  <c:v>0.52300095456751516</c:v>
                </c:pt>
                <c:pt idx="285">
                  <c:v>0.53070649125524572</c:v>
                </c:pt>
                <c:pt idx="286">
                  <c:v>0.53151079372758014</c:v>
                </c:pt>
                <c:pt idx="287">
                  <c:v>0.54237292935233727</c:v>
                </c:pt>
                <c:pt idx="288">
                  <c:v>0.56694271147394415</c:v>
                </c:pt>
                <c:pt idx="289">
                  <c:v>0.55970923555998764</c:v>
                </c:pt>
                <c:pt idx="290">
                  <c:v>0.49612112479631099</c:v>
                </c:pt>
                <c:pt idx="291">
                  <c:v>0.43741312618371181</c:v>
                </c:pt>
                <c:pt idx="292">
                  <c:v>0.38181610176729164</c:v>
                </c:pt>
                <c:pt idx="293">
                  <c:v>0.32988685975501875</c:v>
                </c:pt>
                <c:pt idx="294">
                  <c:v>0.15</c:v>
                </c:pt>
                <c:pt idx="295">
                  <c:v>0.24999999999999997</c:v>
                </c:pt>
                <c:pt idx="296">
                  <c:v>0.37900000000000011</c:v>
                </c:pt>
                <c:pt idx="297">
                  <c:v>0.53598019949488196</c:v>
                </c:pt>
                <c:pt idx="298">
                  <c:v>0.56767285956980562</c:v>
                </c:pt>
                <c:pt idx="299">
                  <c:v>0.58536692942772839</c:v>
                </c:pt>
                <c:pt idx="300">
                  <c:v>0.59964443622790198</c:v>
                </c:pt>
                <c:pt idx="301">
                  <c:v>0.59416262612800641</c:v>
                </c:pt>
                <c:pt idx="302">
                  <c:v>0.57968450369779068</c:v>
                </c:pt>
                <c:pt idx="303">
                  <c:v>0.53954663570780792</c:v>
                </c:pt>
                <c:pt idx="304">
                  <c:v>0.44127375470780728</c:v>
                </c:pt>
                <c:pt idx="305">
                  <c:v>0.15000000000000002</c:v>
                </c:pt>
                <c:pt idx="306">
                  <c:v>0.25</c:v>
                </c:pt>
                <c:pt idx="307">
                  <c:v>0.379</c:v>
                </c:pt>
                <c:pt idx="308">
                  <c:v>0.5</c:v>
                </c:pt>
                <c:pt idx="309">
                  <c:v>0.54499999999999993</c:v>
                </c:pt>
                <c:pt idx="310">
                  <c:v>0.59747174850634821</c:v>
                </c:pt>
                <c:pt idx="311">
                  <c:v>0.63596340716708433</c:v>
                </c:pt>
                <c:pt idx="312">
                  <c:v>0.6468446817717034</c:v>
                </c:pt>
                <c:pt idx="313">
                  <c:v>0.62750187943582825</c:v>
                </c:pt>
                <c:pt idx="314">
                  <c:v>0.61627844755958949</c:v>
                </c:pt>
                <c:pt idx="315">
                  <c:v>0.52581948530167388</c:v>
                </c:pt>
                <c:pt idx="316">
                  <c:v>0.33300000000000007</c:v>
                </c:pt>
                <c:pt idx="317">
                  <c:v>0.62413544609409488</c:v>
                </c:pt>
                <c:pt idx="318">
                  <c:v>0.6912074462718002</c:v>
                </c:pt>
                <c:pt idx="319">
                  <c:v>0.71186819743793739</c:v>
                </c:pt>
                <c:pt idx="320">
                  <c:v>0.721295451580241</c:v>
                </c:pt>
                <c:pt idx="321">
                  <c:v>0.65228282082910449</c:v>
                </c:pt>
                <c:pt idx="322">
                  <c:v>0.60143981973671701</c:v>
                </c:pt>
                <c:pt idx="323">
                  <c:v>0.51391618121347293</c:v>
                </c:pt>
                <c:pt idx="324">
                  <c:v>0.33545088090017366</c:v>
                </c:pt>
                <c:pt idx="325">
                  <c:v>0.27027027027027029</c:v>
                </c:pt>
                <c:pt idx="326">
                  <c:v>0.28183098591549294</c:v>
                </c:pt>
                <c:pt idx="327">
                  <c:v>0.29411764705882354</c:v>
                </c:pt>
                <c:pt idx="328">
                  <c:v>0.35714285714285715</c:v>
                </c:pt>
                <c:pt idx="329">
                  <c:v>0.45545454545454545</c:v>
                </c:pt>
                <c:pt idx="330">
                  <c:v>0.49259667653996542</c:v>
                </c:pt>
                <c:pt idx="331">
                  <c:v>0.56694271147394415</c:v>
                </c:pt>
                <c:pt idx="332">
                  <c:v>0.25974025974025972</c:v>
                </c:pt>
                <c:pt idx="333">
                  <c:v>0.27027027027027029</c:v>
                </c:pt>
                <c:pt idx="334">
                  <c:v>0.28183098591549294</c:v>
                </c:pt>
                <c:pt idx="335">
                  <c:v>0.25043782837127848</c:v>
                </c:pt>
                <c:pt idx="336">
                  <c:v>0.43597140375156029</c:v>
                </c:pt>
                <c:pt idx="337">
                  <c:v>0.44774206347219248</c:v>
                </c:pt>
                <c:pt idx="338">
                  <c:v>0.25</c:v>
                </c:pt>
                <c:pt idx="339">
                  <c:v>0.5</c:v>
                </c:pt>
                <c:pt idx="340">
                  <c:v>0.54944198891805596</c:v>
                </c:pt>
                <c:pt idx="341">
                  <c:v>0.25263157894736843</c:v>
                </c:pt>
                <c:pt idx="342">
                  <c:v>0.5</c:v>
                </c:pt>
                <c:pt idx="343">
                  <c:v>0.63400721288396622</c:v>
                </c:pt>
                <c:pt idx="344">
                  <c:v>0.2905770144252009</c:v>
                </c:pt>
                <c:pt idx="345">
                  <c:v>0.18616699654196861</c:v>
                </c:pt>
                <c:pt idx="346">
                  <c:v>0.10482773499946327</c:v>
                </c:pt>
                <c:pt idx="347">
                  <c:v>2.0003455112911465E-2</c:v>
                </c:pt>
                <c:pt idx="348">
                  <c:v>0.52869705392724531</c:v>
                </c:pt>
                <c:pt idx="349">
                  <c:v>0.43741312618371181</c:v>
                </c:pt>
                <c:pt idx="350">
                  <c:v>0.32988685975501875</c:v>
                </c:pt>
                <c:pt idx="351">
                  <c:v>0.22855632000834739</c:v>
                </c:pt>
                <c:pt idx="352">
                  <c:v>8.3401970183990801E-2</c:v>
                </c:pt>
                <c:pt idx="353">
                  <c:v>1.8497638189980983E-2</c:v>
                </c:pt>
                <c:pt idx="354">
                  <c:v>0.63646016569350716</c:v>
                </c:pt>
                <c:pt idx="355">
                  <c:v>0.57175974720932388</c:v>
                </c:pt>
                <c:pt idx="356">
                  <c:v>0.47524332836603828</c:v>
                </c:pt>
                <c:pt idx="357">
                  <c:v>0.36998817986210386</c:v>
                </c:pt>
                <c:pt idx="358">
                  <c:v>0.18602540873214479</c:v>
                </c:pt>
                <c:pt idx="359">
                  <c:v>7.0458632543374616E-2</c:v>
                </c:pt>
                <c:pt idx="360">
                  <c:v>1.7790917300086303E-2</c:v>
                </c:pt>
                <c:pt idx="361">
                  <c:v>2.1550047896075355E-3</c:v>
                </c:pt>
                <c:pt idx="362">
                  <c:v>0.6912074462718002</c:v>
                </c:pt>
                <c:pt idx="363">
                  <c:v>0.72692493219390897</c:v>
                </c:pt>
                <c:pt idx="364">
                  <c:v>0.69088268710188294</c:v>
                </c:pt>
                <c:pt idx="365">
                  <c:v>0.61256612193184656</c:v>
                </c:pt>
                <c:pt idx="366">
                  <c:v>0.51391618121347293</c:v>
                </c:pt>
                <c:pt idx="367">
                  <c:v>0.31294246966941547</c:v>
                </c:pt>
                <c:pt idx="368">
                  <c:v>0.15685080738796359</c:v>
                </c:pt>
                <c:pt idx="369">
                  <c:v>6.2092261357051245E-2</c:v>
                </c:pt>
                <c:pt idx="370">
                  <c:v>1.7519290969291904E-2</c:v>
                </c:pt>
                <c:pt idx="371">
                  <c:v>0.86838340983951778</c:v>
                </c:pt>
                <c:pt idx="372">
                  <c:v>0.88707800030453254</c:v>
                </c:pt>
                <c:pt idx="373">
                  <c:v>0.85241889270589033</c:v>
                </c:pt>
                <c:pt idx="374">
                  <c:v>0.78272335922851355</c:v>
                </c:pt>
                <c:pt idx="375">
                  <c:v>0.59298376969495004</c:v>
                </c:pt>
                <c:pt idx="376">
                  <c:v>0.39705665791503225</c:v>
                </c:pt>
                <c:pt idx="377">
                  <c:v>0.23526165171066354</c:v>
                </c:pt>
                <c:pt idx="378">
                  <c:v>0.12128820647913505</c:v>
                </c:pt>
                <c:pt idx="379">
                  <c:v>0.44653179190751441</c:v>
                </c:pt>
                <c:pt idx="380">
                  <c:v>0.49216300940438878</c:v>
                </c:pt>
                <c:pt idx="381">
                  <c:v>0.53628889035937899</c:v>
                </c:pt>
                <c:pt idx="382">
                  <c:v>0.36077057793345013</c:v>
                </c:pt>
                <c:pt idx="383">
                  <c:v>0.39499036608863197</c:v>
                </c:pt>
                <c:pt idx="384">
                  <c:v>0.3360258481421648</c:v>
                </c:pt>
                <c:pt idx="385">
                  <c:v>0.34641068447412354</c:v>
                </c:pt>
                <c:pt idx="386">
                  <c:v>0.31732168850072778</c:v>
                </c:pt>
                <c:pt idx="387">
                  <c:v>0.29514824797843664</c:v>
                </c:pt>
                <c:pt idx="388">
                  <c:v>0.48723897911832947</c:v>
                </c:pt>
                <c:pt idx="389">
                  <c:v>0.44142259414225948</c:v>
                </c:pt>
                <c:pt idx="390">
                  <c:v>0.45064377682403434</c:v>
                </c:pt>
                <c:pt idx="391">
                  <c:v>0.45518572668682711</c:v>
                </c:pt>
                <c:pt idx="392">
                  <c:v>0.31411530815109345</c:v>
                </c:pt>
                <c:pt idx="393">
                  <c:v>0.34581497797356825</c:v>
                </c:pt>
                <c:pt idx="394">
                  <c:v>0.29917184265010355</c:v>
                </c:pt>
                <c:pt idx="395">
                  <c:v>0.33410672853828305</c:v>
                </c:pt>
                <c:pt idx="396">
                  <c:v>0.40458015267175568</c:v>
                </c:pt>
                <c:pt idx="397">
                  <c:v>0.48520710059171596</c:v>
                </c:pt>
                <c:pt idx="398">
                  <c:v>0</c:v>
                </c:pt>
                <c:pt idx="399">
                  <c:v>0.40000000000000008</c:v>
                </c:pt>
                <c:pt idx="400">
                  <c:v>0.44556937302475941</c:v>
                </c:pt>
                <c:pt idx="401">
                  <c:v>0.42565107808197022</c:v>
                </c:pt>
                <c:pt idx="402">
                  <c:v>0.39243668939191939</c:v>
                </c:pt>
                <c:pt idx="403">
                  <c:v>0.44999999999999984</c:v>
                </c:pt>
                <c:pt idx="404">
                  <c:v>0.52300095456751516</c:v>
                </c:pt>
                <c:pt idx="405">
                  <c:v>0.56694271147394415</c:v>
                </c:pt>
                <c:pt idx="406">
                  <c:v>0.43741312618371181</c:v>
                </c:pt>
                <c:pt idx="407">
                  <c:v>0.32988685975501875</c:v>
                </c:pt>
                <c:pt idx="408">
                  <c:v>0.66249878658266281</c:v>
                </c:pt>
                <c:pt idx="409">
                  <c:v>0.66772212248092755</c:v>
                </c:pt>
                <c:pt idx="410">
                  <c:v>0.66796597954961223</c:v>
                </c:pt>
                <c:pt idx="411">
                  <c:v>0.66662598153096397</c:v>
                </c:pt>
                <c:pt idx="412">
                  <c:v>0.65912900301747768</c:v>
                </c:pt>
                <c:pt idx="413">
                  <c:v>0.64535391489883587</c:v>
                </c:pt>
                <c:pt idx="414">
                  <c:v>0.71763676558845824</c:v>
                </c:pt>
                <c:pt idx="415">
                  <c:v>0.71156840704804047</c:v>
                </c:pt>
                <c:pt idx="416">
                  <c:v>0.69155268041824003</c:v>
                </c:pt>
                <c:pt idx="417">
                  <c:v>0.66740766215941139</c:v>
                </c:pt>
                <c:pt idx="418">
                  <c:v>0.66326546412815246</c:v>
                </c:pt>
                <c:pt idx="419">
                  <c:v>0.24689165186500889</c:v>
                </c:pt>
                <c:pt idx="420">
                  <c:v>0.29574468085106381</c:v>
                </c:pt>
                <c:pt idx="421">
                  <c:v>0.37165775401069523</c:v>
                </c:pt>
                <c:pt idx="422">
                  <c:v>0.49466192170818502</c:v>
                </c:pt>
                <c:pt idx="423">
                  <c:v>0.61737640366506086</c:v>
                </c:pt>
                <c:pt idx="424">
                  <c:v>0.78276568565340343</c:v>
                </c:pt>
                <c:pt idx="425">
                  <c:v>0.63713808917228776</c:v>
                </c:pt>
                <c:pt idx="426">
                  <c:v>0.55805334047513622</c:v>
                </c:pt>
                <c:pt idx="427">
                  <c:v>0.53868194842406869</c:v>
                </c:pt>
                <c:pt idx="428">
                  <c:v>0.44976076555023919</c:v>
                </c:pt>
                <c:pt idx="429">
                  <c:v>0.38603696098562634</c:v>
                </c:pt>
                <c:pt idx="430">
                  <c:v>1</c:v>
                </c:pt>
                <c:pt idx="431">
                  <c:v>0.9205063776206559</c:v>
                </c:pt>
                <c:pt idx="432">
                  <c:v>0.63658276219741683</c:v>
                </c:pt>
                <c:pt idx="433">
                  <c:v>0.40331164991129509</c:v>
                </c:pt>
                <c:pt idx="434">
                  <c:v>0.49466248037676602</c:v>
                </c:pt>
                <c:pt idx="435">
                  <c:v>0.4461250360126765</c:v>
                </c:pt>
                <c:pt idx="436">
                  <c:v>0.37007874015748032</c:v>
                </c:pt>
                <c:pt idx="437">
                  <c:v>0.3430656934306569</c:v>
                </c:pt>
                <c:pt idx="438">
                  <c:v>0.31972789115646255</c:v>
                </c:pt>
                <c:pt idx="439">
                  <c:v>0.2814371257485031</c:v>
                </c:pt>
                <c:pt idx="440">
                  <c:v>0.25133689839572193</c:v>
                </c:pt>
                <c:pt idx="441">
                  <c:v>0.4328609893047598</c:v>
                </c:pt>
                <c:pt idx="442">
                  <c:v>0.45391725919337861</c:v>
                </c:pt>
                <c:pt idx="443">
                  <c:v>0.45630519445848833</c:v>
                </c:pt>
                <c:pt idx="444">
                  <c:v>0.42857142857142855</c:v>
                </c:pt>
                <c:pt idx="445">
                  <c:v>0.27777777777777779</c:v>
                </c:pt>
                <c:pt idx="446">
                  <c:v>0.18181818181818182</c:v>
                </c:pt>
                <c:pt idx="447">
                  <c:v>0.11538461538461539</c:v>
                </c:pt>
                <c:pt idx="448">
                  <c:v>7.1428571428571425E-2</c:v>
                </c:pt>
                <c:pt idx="449">
                  <c:v>7.874015748031496E-2</c:v>
                </c:pt>
                <c:pt idx="450">
                  <c:v>0.43416370106761559</c:v>
                </c:pt>
                <c:pt idx="451">
                  <c:v>0.51819089354887948</c:v>
                </c:pt>
                <c:pt idx="452">
                  <c:v>0.56255614599212322</c:v>
                </c:pt>
                <c:pt idx="453">
                  <c:v>0.57704316320679283</c:v>
                </c:pt>
                <c:pt idx="454">
                  <c:v>0.55929599251536444</c:v>
                </c:pt>
                <c:pt idx="455">
                  <c:v>0.50971307565860657</c:v>
                </c:pt>
                <c:pt idx="456">
                  <c:v>0.23255813953488372</c:v>
                </c:pt>
                <c:pt idx="457">
                  <c:v>0.33578431372549022</c:v>
                </c:pt>
                <c:pt idx="458">
                  <c:v>0.22222222222222221</c:v>
                </c:pt>
                <c:pt idx="459">
                  <c:v>0.2424242424242424</c:v>
                </c:pt>
                <c:pt idx="460">
                  <c:v>0.26666666666666666</c:v>
                </c:pt>
                <c:pt idx="461">
                  <c:v>0.33333333333333331</c:v>
                </c:pt>
                <c:pt idx="462">
                  <c:v>0.33333333333333326</c:v>
                </c:pt>
                <c:pt idx="463">
                  <c:v>0.37037037037037029</c:v>
                </c:pt>
                <c:pt idx="464">
                  <c:v>0.41666666666666663</c:v>
                </c:pt>
                <c:pt idx="465">
                  <c:v>0.45195769066397623</c:v>
                </c:pt>
                <c:pt idx="466">
                  <c:v>0.29761904761904756</c:v>
                </c:pt>
                <c:pt idx="467">
                  <c:v>0.26881720430107525</c:v>
                </c:pt>
                <c:pt idx="468">
                  <c:v>0.24509803921568624</c:v>
                </c:pt>
                <c:pt idx="469">
                  <c:v>0.2252252252252252</c:v>
                </c:pt>
                <c:pt idx="470">
                  <c:v>0.32679738562091498</c:v>
                </c:pt>
                <c:pt idx="471">
                  <c:v>0.36231884057971009</c:v>
                </c:pt>
                <c:pt idx="472">
                  <c:v>0.46296296296296291</c:v>
                </c:pt>
                <c:pt idx="473">
                  <c:v>0.29239766081871343</c:v>
                </c:pt>
                <c:pt idx="474">
                  <c:v>0.32051282051282048</c:v>
                </c:pt>
                <c:pt idx="475">
                  <c:v>0.39682539682539675</c:v>
                </c:pt>
                <c:pt idx="476">
                  <c:v>0.26455026455026454</c:v>
                </c:pt>
                <c:pt idx="477">
                  <c:v>0.28735632183908044</c:v>
                </c:pt>
                <c:pt idx="478">
                  <c:v>0.34722222222222215</c:v>
                </c:pt>
                <c:pt idx="479">
                  <c:v>0.24154589371980673</c:v>
                </c:pt>
                <c:pt idx="480">
                  <c:v>0.26041666666666663</c:v>
                </c:pt>
                <c:pt idx="481">
                  <c:v>0.30864197530864196</c:v>
                </c:pt>
                <c:pt idx="482">
                  <c:v>0.03</c:v>
                </c:pt>
                <c:pt idx="483">
                  <c:v>0.1</c:v>
                </c:pt>
                <c:pt idx="484">
                  <c:v>0.20000000000000004</c:v>
                </c:pt>
                <c:pt idx="485">
                  <c:v>0.30000000000000004</c:v>
                </c:pt>
                <c:pt idx="486">
                  <c:v>0.40000000000000013</c:v>
                </c:pt>
                <c:pt idx="487">
                  <c:v>0.40701138914924623</c:v>
                </c:pt>
                <c:pt idx="488">
                  <c:v>0.40564961277588563</c:v>
                </c:pt>
                <c:pt idx="489">
                  <c:v>0.3822113548781052</c:v>
                </c:pt>
                <c:pt idx="490">
                  <c:v>0.03</c:v>
                </c:pt>
                <c:pt idx="491">
                  <c:v>0.1</c:v>
                </c:pt>
                <c:pt idx="492">
                  <c:v>0.20000000000000004</c:v>
                </c:pt>
                <c:pt idx="493">
                  <c:v>0.40000000000000013</c:v>
                </c:pt>
                <c:pt idx="494">
                  <c:v>0.40564961277588563</c:v>
                </c:pt>
                <c:pt idx="495">
                  <c:v>0.39613240427395546</c:v>
                </c:pt>
                <c:pt idx="496">
                  <c:v>0.20000000000000004</c:v>
                </c:pt>
                <c:pt idx="497">
                  <c:v>0.40896564346170639</c:v>
                </c:pt>
                <c:pt idx="498">
                  <c:v>0.40564961277588563</c:v>
                </c:pt>
                <c:pt idx="499">
                  <c:v>0.1</c:v>
                </c:pt>
                <c:pt idx="500">
                  <c:v>0.20000000000000004</c:v>
                </c:pt>
                <c:pt idx="501">
                  <c:v>0.40555779221123972</c:v>
                </c:pt>
                <c:pt idx="502">
                  <c:v>0.40896564346170639</c:v>
                </c:pt>
                <c:pt idx="503">
                  <c:v>0.40564961277588563</c:v>
                </c:pt>
                <c:pt idx="504">
                  <c:v>0.39613240427395546</c:v>
                </c:pt>
                <c:pt idx="505">
                  <c:v>0.03</c:v>
                </c:pt>
                <c:pt idx="506">
                  <c:v>0.1</c:v>
                </c:pt>
                <c:pt idx="507">
                  <c:v>0.20000000000000004</c:v>
                </c:pt>
                <c:pt idx="508">
                  <c:v>0.32</c:v>
                </c:pt>
                <c:pt idx="509">
                  <c:v>0.40000000000000013</c:v>
                </c:pt>
                <c:pt idx="510">
                  <c:v>0.40896564346170639</c:v>
                </c:pt>
                <c:pt idx="511">
                  <c:v>0.4096797227504676</c:v>
                </c:pt>
                <c:pt idx="512">
                  <c:v>0.40564961277588563</c:v>
                </c:pt>
                <c:pt idx="513">
                  <c:v>0.39613240427395546</c:v>
                </c:pt>
                <c:pt idx="514">
                  <c:v>0.3822113548781052</c:v>
                </c:pt>
                <c:pt idx="515">
                  <c:v>0.34489959884073507</c:v>
                </c:pt>
                <c:pt idx="516">
                  <c:v>0.2765149737339338</c:v>
                </c:pt>
                <c:pt idx="517">
                  <c:v>0.25641025641025639</c:v>
                </c:pt>
                <c:pt idx="518">
                  <c:v>0.35833333333333334</c:v>
                </c:pt>
                <c:pt idx="519">
                  <c:v>0.23888888888888887</c:v>
                </c:pt>
                <c:pt idx="520">
                  <c:v>0.23888888888888887</c:v>
                </c:pt>
                <c:pt idx="521">
                  <c:v>0.18867924528301888</c:v>
                </c:pt>
                <c:pt idx="522">
                  <c:v>0.2792207792207792</c:v>
                </c:pt>
                <c:pt idx="523">
                  <c:v>0.18614718614718614</c:v>
                </c:pt>
                <c:pt idx="524">
                  <c:v>0.18614718614718614</c:v>
                </c:pt>
                <c:pt idx="525">
                  <c:v>0.25595238095238093</c:v>
                </c:pt>
                <c:pt idx="526">
                  <c:v>0.17063492063492061</c:v>
                </c:pt>
                <c:pt idx="527">
                  <c:v>0.17063492063492061</c:v>
                </c:pt>
                <c:pt idx="528">
                  <c:v>0.10576923076923077</c:v>
                </c:pt>
                <c:pt idx="529">
                  <c:v>0.15666666666666665</c:v>
                </c:pt>
                <c:pt idx="530">
                  <c:v>0.27272727272727271</c:v>
                </c:pt>
                <c:pt idx="531">
                  <c:v>0.27272727272727271</c:v>
                </c:pt>
                <c:pt idx="532">
                  <c:v>6.0606060606060601E-2</c:v>
                </c:pt>
                <c:pt idx="533">
                  <c:v>6.0606060606060601E-2</c:v>
                </c:pt>
                <c:pt idx="534">
                  <c:v>0.25</c:v>
                </c:pt>
                <c:pt idx="535">
                  <c:v>0.25</c:v>
                </c:pt>
                <c:pt idx="536">
                  <c:v>5.5555555555555552E-2</c:v>
                </c:pt>
                <c:pt idx="537">
                  <c:v>5.5555555555555552E-2</c:v>
                </c:pt>
                <c:pt idx="538">
                  <c:v>0.14352979424214807</c:v>
                </c:pt>
                <c:pt idx="539">
                  <c:v>0.33053436022900884</c:v>
                </c:pt>
                <c:pt idx="540">
                  <c:v>0.40150628817455186</c:v>
                </c:pt>
                <c:pt idx="541">
                  <c:v>0.40701138914924623</c:v>
                </c:pt>
                <c:pt idx="542">
                  <c:v>0.33333333333333331</c:v>
                </c:pt>
                <c:pt idx="543">
                  <c:v>0.21428571428571427</c:v>
                </c:pt>
                <c:pt idx="544">
                  <c:v>0.16666666666666666</c:v>
                </c:pt>
                <c:pt idx="545">
                  <c:v>0.25641025641025639</c:v>
                </c:pt>
                <c:pt idx="546">
                  <c:v>0.51282051282051277</c:v>
                </c:pt>
                <c:pt idx="547">
                  <c:v>0.18867924528301888</c:v>
                </c:pt>
                <c:pt idx="548">
                  <c:v>0.37735849056603776</c:v>
                </c:pt>
                <c:pt idx="549">
                  <c:v>0.48251626657491664</c:v>
                </c:pt>
                <c:pt idx="550">
                  <c:v>0.29166666666666669</c:v>
                </c:pt>
                <c:pt idx="551">
                  <c:v>0.23076923076923078</c:v>
                </c:pt>
                <c:pt idx="552">
                  <c:v>0.96042578028452652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0.83208795975285499</c:v>
                </c:pt>
                <c:pt idx="557">
                  <c:v>0.74808940667742274</c:v>
                </c:pt>
                <c:pt idx="558">
                  <c:v>0.76377952755905509</c:v>
                </c:pt>
                <c:pt idx="559">
                  <c:v>0.53846153846153844</c:v>
                </c:pt>
                <c:pt idx="560">
                  <c:v>0.47513812154696139</c:v>
                </c:pt>
                <c:pt idx="561">
                  <c:v>0.43497757847533636</c:v>
                </c:pt>
                <c:pt idx="562">
                  <c:v>0</c:v>
                </c:pt>
                <c:pt idx="563">
                  <c:v>8.6956521739130432E-2</c:v>
                </c:pt>
                <c:pt idx="564">
                  <c:v>0.14942528735632185</c:v>
                </c:pt>
                <c:pt idx="565">
                  <c:v>0.21951219512195122</c:v>
                </c:pt>
                <c:pt idx="566">
                  <c:v>0.29870129870129869</c:v>
                </c:pt>
                <c:pt idx="567">
                  <c:v>0.3888888888888889</c:v>
                </c:pt>
                <c:pt idx="568">
                  <c:v>0.40650719825244142</c:v>
                </c:pt>
                <c:pt idx="569">
                  <c:v>0.40950917242650742</c:v>
                </c:pt>
                <c:pt idx="570">
                  <c:v>0.53915972200399775</c:v>
                </c:pt>
                <c:pt idx="571">
                  <c:v>0.53915972200399775</c:v>
                </c:pt>
                <c:pt idx="572">
                  <c:v>0.53915972200399775</c:v>
                </c:pt>
                <c:pt idx="573">
                  <c:v>0.53915972200399775</c:v>
                </c:pt>
                <c:pt idx="574">
                  <c:v>0.53915972200399775</c:v>
                </c:pt>
                <c:pt idx="575">
                  <c:v>0.53915972200399775</c:v>
                </c:pt>
                <c:pt idx="576">
                  <c:v>0.40564961277588563</c:v>
                </c:pt>
                <c:pt idx="577">
                  <c:v>0.3822113548781052</c:v>
                </c:pt>
                <c:pt idx="578">
                  <c:v>0.40564961277588563</c:v>
                </c:pt>
                <c:pt idx="579">
                  <c:v>0.3822113548781052</c:v>
                </c:pt>
                <c:pt idx="580">
                  <c:v>0.35422198619224637</c:v>
                </c:pt>
                <c:pt idx="581">
                  <c:v>0.35448751991502919</c:v>
                </c:pt>
                <c:pt idx="582">
                  <c:v>0.35422198619224637</c:v>
                </c:pt>
                <c:pt idx="583">
                  <c:v>0.35422198619224637</c:v>
                </c:pt>
                <c:pt idx="584">
                  <c:v>0.35422198619224637</c:v>
                </c:pt>
                <c:pt idx="585">
                  <c:v>0.35448751991502919</c:v>
                </c:pt>
                <c:pt idx="586">
                  <c:v>0.35422198619224637</c:v>
                </c:pt>
                <c:pt idx="587">
                  <c:v>0.35687732342007428</c:v>
                </c:pt>
                <c:pt idx="588">
                  <c:v>0.35422198619224637</c:v>
                </c:pt>
                <c:pt idx="589">
                  <c:v>0.35448751991502919</c:v>
                </c:pt>
                <c:pt idx="590">
                  <c:v>0.35422198619224637</c:v>
                </c:pt>
                <c:pt idx="591">
                  <c:v>0.16699999999999998</c:v>
                </c:pt>
                <c:pt idx="592">
                  <c:v>0.33399999999999996</c:v>
                </c:pt>
                <c:pt idx="593">
                  <c:v>0.40701138914924623</c:v>
                </c:pt>
                <c:pt idx="594">
                  <c:v>0.40764281546119419</c:v>
                </c:pt>
                <c:pt idx="595">
                  <c:v>0.39392211657697429</c:v>
                </c:pt>
                <c:pt idx="596">
                  <c:v>0.16699999999999998</c:v>
                </c:pt>
                <c:pt idx="597">
                  <c:v>0.33399999999999996</c:v>
                </c:pt>
                <c:pt idx="598">
                  <c:v>0.40701138914924623</c:v>
                </c:pt>
                <c:pt idx="599">
                  <c:v>0.40764281546119419</c:v>
                </c:pt>
                <c:pt idx="600">
                  <c:v>0.39392211657697429</c:v>
                </c:pt>
                <c:pt idx="601">
                  <c:v>0.16699999999999998</c:v>
                </c:pt>
                <c:pt idx="602">
                  <c:v>0.33399999999999996</c:v>
                </c:pt>
                <c:pt idx="603">
                  <c:v>0.40701138914924623</c:v>
                </c:pt>
                <c:pt idx="604">
                  <c:v>0.40764281546119419</c:v>
                </c:pt>
                <c:pt idx="605">
                  <c:v>0.39392211657697429</c:v>
                </c:pt>
                <c:pt idx="606">
                  <c:v>0.16699999999999998</c:v>
                </c:pt>
                <c:pt idx="607">
                  <c:v>0.33399999999999996</c:v>
                </c:pt>
                <c:pt idx="608">
                  <c:v>0.40701138914924623</c:v>
                </c:pt>
                <c:pt idx="609">
                  <c:v>0.40764281546119419</c:v>
                </c:pt>
                <c:pt idx="610">
                  <c:v>0.39392211657697429</c:v>
                </c:pt>
                <c:pt idx="611">
                  <c:v>0.16699999999999998</c:v>
                </c:pt>
                <c:pt idx="612">
                  <c:v>0.33399999999999996</c:v>
                </c:pt>
                <c:pt idx="613">
                  <c:v>0.40701138914924623</c:v>
                </c:pt>
                <c:pt idx="614">
                  <c:v>0.40764281546119419</c:v>
                </c:pt>
                <c:pt idx="615">
                  <c:v>0.39392211657697429</c:v>
                </c:pt>
                <c:pt idx="616">
                  <c:v>7.7351736458709762E-3</c:v>
                </c:pt>
                <c:pt idx="617">
                  <c:v>2.2235565803807849E-2</c:v>
                </c:pt>
                <c:pt idx="618">
                  <c:v>5.0593758821704471E-2</c:v>
                </c:pt>
                <c:pt idx="619">
                  <c:v>0.11141848006632056</c:v>
                </c:pt>
                <c:pt idx="620">
                  <c:v>0.15823935572240894</c:v>
                </c:pt>
                <c:pt idx="621">
                  <c:v>0.19258436729404155</c:v>
                </c:pt>
                <c:pt idx="622">
                  <c:v>0.24922001825110449</c:v>
                </c:pt>
                <c:pt idx="623">
                  <c:v>0.35703549624888248</c:v>
                </c:pt>
                <c:pt idx="624">
                  <c:v>0.40758309938636167</c:v>
                </c:pt>
                <c:pt idx="625">
                  <c:v>8.3080858159622503E-2</c:v>
                </c:pt>
                <c:pt idx="626">
                  <c:v>0.13946115793410221</c:v>
                </c:pt>
                <c:pt idx="627">
                  <c:v>0.18269728070693125</c:v>
                </c:pt>
                <c:pt idx="628">
                  <c:v>0.29027962682016528</c:v>
                </c:pt>
                <c:pt idx="629">
                  <c:v>0.40158797821633013</c:v>
                </c:pt>
                <c:pt idx="630">
                  <c:v>3.5169999999999993E-2</c:v>
                </c:pt>
                <c:pt idx="631">
                  <c:v>0.10038999999999998</c:v>
                </c:pt>
                <c:pt idx="632">
                  <c:v>0.19811999999999999</c:v>
                </c:pt>
                <c:pt idx="633">
                  <c:v>0.29994999999999999</c:v>
                </c:pt>
                <c:pt idx="634">
                  <c:v>0.32074000000000003</c:v>
                </c:pt>
                <c:pt idx="635">
                  <c:v>0.40533631180756258</c:v>
                </c:pt>
                <c:pt idx="636">
                  <c:v>0.40706021562236133</c:v>
                </c:pt>
                <c:pt idx="637">
                  <c:v>0.40891830989247635</c:v>
                </c:pt>
                <c:pt idx="638">
                  <c:v>0.77210314073893749</c:v>
                </c:pt>
                <c:pt idx="639">
                  <c:v>0.11583011583011583</c:v>
                </c:pt>
                <c:pt idx="640">
                  <c:v>0.11583011583011583</c:v>
                </c:pt>
                <c:pt idx="641">
                  <c:v>0.11583011583011583</c:v>
                </c:pt>
                <c:pt idx="642">
                  <c:v>0.10890734641271661</c:v>
                </c:pt>
                <c:pt idx="643">
                  <c:v>0.10890734641271661</c:v>
                </c:pt>
                <c:pt idx="644">
                  <c:v>0.10890734641271661</c:v>
                </c:pt>
                <c:pt idx="645">
                  <c:v>0.10205314009661837</c:v>
                </c:pt>
                <c:pt idx="646">
                  <c:v>0.10205314009661837</c:v>
                </c:pt>
                <c:pt idx="647">
                  <c:v>0.10205314009661837</c:v>
                </c:pt>
                <c:pt idx="648">
                  <c:v>9.5592877888622307E-2</c:v>
                </c:pt>
                <c:pt idx="649">
                  <c:v>9.5592877888622307E-2</c:v>
                </c:pt>
                <c:pt idx="650">
                  <c:v>9.5592877888622307E-2</c:v>
                </c:pt>
                <c:pt idx="651">
                  <c:v>9.0262843488649935E-2</c:v>
                </c:pt>
                <c:pt idx="652">
                  <c:v>9.0262843488649935E-2</c:v>
                </c:pt>
                <c:pt idx="653">
                  <c:v>9.0262843488649935E-2</c:v>
                </c:pt>
                <c:pt idx="654">
                  <c:v>0.80392411748809589</c:v>
                </c:pt>
                <c:pt idx="655">
                  <c:v>0.48371174728529132</c:v>
                </c:pt>
                <c:pt idx="656">
                  <c:v>0.32775919732441477</c:v>
                </c:pt>
                <c:pt idx="657">
                  <c:v>0.1675041876046901</c:v>
                </c:pt>
                <c:pt idx="658">
                  <c:v>0.14582731735489463</c:v>
                </c:pt>
                <c:pt idx="659">
                  <c:v>0.1271079788572867</c:v>
                </c:pt>
                <c:pt idx="660">
                  <c:v>0.9454162947132797</c:v>
                </c:pt>
                <c:pt idx="661">
                  <c:v>0.63042536611617417</c:v>
                </c:pt>
                <c:pt idx="662">
                  <c:v>0.51719305512742142</c:v>
                </c:pt>
                <c:pt idx="663">
                  <c:v>0.46031729825954915</c:v>
                </c:pt>
                <c:pt idx="664">
                  <c:v>0.39447336804164995</c:v>
                </c:pt>
                <c:pt idx="665">
                  <c:v>0.33</c:v>
                </c:pt>
                <c:pt idx="666">
                  <c:v>0.7870829892769875</c:v>
                </c:pt>
                <c:pt idx="667">
                  <c:v>0.5900972177902194</c:v>
                </c:pt>
                <c:pt idx="668">
                  <c:v>0.51229893841542806</c:v>
                </c:pt>
                <c:pt idx="669">
                  <c:v>0.41690945950966501</c:v>
                </c:pt>
                <c:pt idx="670">
                  <c:v>0.50732332921318612</c:v>
                </c:pt>
                <c:pt idx="671">
                  <c:v>0.44216683919769612</c:v>
                </c:pt>
                <c:pt idx="672">
                  <c:v>0.31292517006802723</c:v>
                </c:pt>
                <c:pt idx="673">
                  <c:v>0.24352331606217617</c:v>
                </c:pt>
                <c:pt idx="674">
                  <c:v>0.19789473684210526</c:v>
                </c:pt>
                <c:pt idx="675">
                  <c:v>0.16433566433566432</c:v>
                </c:pt>
                <c:pt idx="676">
                  <c:v>0.14264264264264265</c:v>
                </c:pt>
                <c:pt idx="677">
                  <c:v>0.12467191601049868</c:v>
                </c:pt>
                <c:pt idx="678">
                  <c:v>0.11098130841121497</c:v>
                </c:pt>
                <c:pt idx="679">
                  <c:v>9.9580712788259945E-2</c:v>
                </c:pt>
                <c:pt idx="680">
                  <c:v>0.4328609893047598</c:v>
                </c:pt>
                <c:pt idx="681">
                  <c:v>0.41686693485161125</c:v>
                </c:pt>
                <c:pt idx="682">
                  <c:v>0.15074169970634649</c:v>
                </c:pt>
                <c:pt idx="683">
                  <c:v>0.54944198891805596</c:v>
                </c:pt>
                <c:pt idx="684">
                  <c:v>0.54944198891805596</c:v>
                </c:pt>
                <c:pt idx="685">
                  <c:v>0.63400721288396622</c:v>
                </c:pt>
                <c:pt idx="686">
                  <c:v>0.63400721288396622</c:v>
                </c:pt>
                <c:pt idx="687">
                  <c:v>0.63400721288396622</c:v>
                </c:pt>
                <c:pt idx="688">
                  <c:v>0.56034482758620696</c:v>
                </c:pt>
                <c:pt idx="689">
                  <c:v>0.41587098274672779</c:v>
                </c:pt>
                <c:pt idx="690">
                  <c:v>0.26058631921824105</c:v>
                </c:pt>
                <c:pt idx="691">
                  <c:v>0.5</c:v>
                </c:pt>
                <c:pt idx="692">
                  <c:v>0.32907952659700329</c:v>
                </c:pt>
                <c:pt idx="693">
                  <c:v>0.7171647275423404</c:v>
                </c:pt>
                <c:pt idx="694">
                  <c:v>0.375</c:v>
                </c:pt>
                <c:pt idx="695">
                  <c:v>0.37237762237762229</c:v>
                </c:pt>
                <c:pt idx="696">
                  <c:v>0.67330643788544586</c:v>
                </c:pt>
                <c:pt idx="697">
                  <c:v>0.7263447075892413</c:v>
                </c:pt>
                <c:pt idx="698">
                  <c:v>0.61703892760696333</c:v>
                </c:pt>
                <c:pt idx="699">
                  <c:v>0.54973732443967671</c:v>
                </c:pt>
                <c:pt idx="700">
                  <c:v>0.54973732443967671</c:v>
                </c:pt>
                <c:pt idx="701">
                  <c:v>0.54973732443967671</c:v>
                </c:pt>
                <c:pt idx="702">
                  <c:v>0.54973732443967671</c:v>
                </c:pt>
                <c:pt idx="703">
                  <c:v>0.51402517386927882</c:v>
                </c:pt>
                <c:pt idx="704">
                  <c:v>0.51402517386927882</c:v>
                </c:pt>
                <c:pt idx="705">
                  <c:v>0.51402517386927882</c:v>
                </c:pt>
                <c:pt idx="706">
                  <c:v>0.51402517386927882</c:v>
                </c:pt>
                <c:pt idx="707">
                  <c:v>0.63628626573093094</c:v>
                </c:pt>
                <c:pt idx="708">
                  <c:v>0.63628626573093094</c:v>
                </c:pt>
                <c:pt idx="709">
                  <c:v>0.63628626573093094</c:v>
                </c:pt>
                <c:pt idx="710">
                  <c:v>0.63628626573093094</c:v>
                </c:pt>
                <c:pt idx="711">
                  <c:v>0.56282570932252463</c:v>
                </c:pt>
                <c:pt idx="712">
                  <c:v>0.56282570932252463</c:v>
                </c:pt>
                <c:pt idx="713">
                  <c:v>0.56282570932252463</c:v>
                </c:pt>
                <c:pt idx="714">
                  <c:v>0.56282570932252463</c:v>
                </c:pt>
                <c:pt idx="715">
                  <c:v>0.41624384953049554</c:v>
                </c:pt>
                <c:pt idx="716">
                  <c:v>0.41624384953049554</c:v>
                </c:pt>
                <c:pt idx="717">
                  <c:v>0.41624384953049554</c:v>
                </c:pt>
                <c:pt idx="718">
                  <c:v>0.41624384953049554</c:v>
                </c:pt>
                <c:pt idx="719">
                  <c:v>0.51724302714220094</c:v>
                </c:pt>
                <c:pt idx="720">
                  <c:v>0.51724302714220094</c:v>
                </c:pt>
                <c:pt idx="721">
                  <c:v>0.51724302714220094</c:v>
                </c:pt>
                <c:pt idx="722">
                  <c:v>0.51724302714220094</c:v>
                </c:pt>
                <c:pt idx="723">
                  <c:v>0.6778459578426147</c:v>
                </c:pt>
                <c:pt idx="724">
                  <c:v>0.6778459578426147</c:v>
                </c:pt>
                <c:pt idx="725">
                  <c:v>0.6778459578426147</c:v>
                </c:pt>
                <c:pt idx="726">
                  <c:v>0.6778459578426147</c:v>
                </c:pt>
                <c:pt idx="727">
                  <c:v>0.72538306734732816</c:v>
                </c:pt>
                <c:pt idx="728">
                  <c:v>0.72538306734732816</c:v>
                </c:pt>
                <c:pt idx="729">
                  <c:v>0.72538306734732816</c:v>
                </c:pt>
                <c:pt idx="730">
                  <c:v>0.72538306734732816</c:v>
                </c:pt>
                <c:pt idx="731">
                  <c:v>0.63628626573093094</c:v>
                </c:pt>
                <c:pt idx="732">
                  <c:v>0.63628626573093094</c:v>
                </c:pt>
                <c:pt idx="733">
                  <c:v>0.63628626573093094</c:v>
                </c:pt>
                <c:pt idx="734">
                  <c:v>0.41624384953049554</c:v>
                </c:pt>
                <c:pt idx="735">
                  <c:v>0.41624384953049554</c:v>
                </c:pt>
                <c:pt idx="736">
                  <c:v>0.41624384953049554</c:v>
                </c:pt>
                <c:pt idx="737">
                  <c:v>0.63613740785212414</c:v>
                </c:pt>
                <c:pt idx="738">
                  <c:v>0.63613740785212414</c:v>
                </c:pt>
                <c:pt idx="739">
                  <c:v>0.63630539064497738</c:v>
                </c:pt>
                <c:pt idx="740">
                  <c:v>0.63630539064497738</c:v>
                </c:pt>
                <c:pt idx="741">
                  <c:v>0.63613740785212414</c:v>
                </c:pt>
                <c:pt idx="742">
                  <c:v>0.63630539064497738</c:v>
                </c:pt>
                <c:pt idx="743">
                  <c:v>0.56282570932252463</c:v>
                </c:pt>
                <c:pt idx="744">
                  <c:v>0.56282570932252463</c:v>
                </c:pt>
                <c:pt idx="745">
                  <c:v>0.56282570932252463</c:v>
                </c:pt>
                <c:pt idx="746">
                  <c:v>0.54944198891805596</c:v>
                </c:pt>
                <c:pt idx="747">
                  <c:v>0.63400721288396622</c:v>
                </c:pt>
                <c:pt idx="748">
                  <c:v>0.56034482758620696</c:v>
                </c:pt>
                <c:pt idx="749">
                  <c:v>0.72467446182954043</c:v>
                </c:pt>
                <c:pt idx="750">
                  <c:v>0.44634637514384357</c:v>
                </c:pt>
                <c:pt idx="751">
                  <c:v>0.62884973905421637</c:v>
                </c:pt>
                <c:pt idx="752">
                  <c:v>0.24306261804445736</c:v>
                </c:pt>
                <c:pt idx="753">
                  <c:v>0.16695788118447674</c:v>
                </c:pt>
                <c:pt idx="754">
                  <c:v>0.60180412371134018</c:v>
                </c:pt>
                <c:pt idx="755">
                  <c:v>0.3569078947368422</c:v>
                </c:pt>
                <c:pt idx="756">
                  <c:v>0.32345027981058977</c:v>
                </c:pt>
                <c:pt idx="757">
                  <c:v>0.31126570915619384</c:v>
                </c:pt>
                <c:pt idx="758">
                  <c:v>0.96761861258506165</c:v>
                </c:pt>
                <c:pt idx="759">
                  <c:v>0.68427807068043367</c:v>
                </c:pt>
                <c:pt idx="760">
                  <c:v>0.56722704397600943</c:v>
                </c:pt>
                <c:pt idx="761">
                  <c:v>0.5020104238254971</c:v>
                </c:pt>
                <c:pt idx="762">
                  <c:v>0.45988164727714359</c:v>
                </c:pt>
                <c:pt idx="763">
                  <c:v>0.25</c:v>
                </c:pt>
                <c:pt idx="764">
                  <c:v>0.5</c:v>
                </c:pt>
                <c:pt idx="765">
                  <c:v>0.60764264654513012</c:v>
                </c:pt>
                <c:pt idx="766">
                  <c:v>0.63596340716708433</c:v>
                </c:pt>
                <c:pt idx="767">
                  <c:v>0.62622196303608457</c:v>
                </c:pt>
                <c:pt idx="768">
                  <c:v>0.29675324675324671</c:v>
                </c:pt>
                <c:pt idx="769">
                  <c:v>0.3520833333333333</c:v>
                </c:pt>
                <c:pt idx="770">
                  <c:v>0.41567164179104477</c:v>
                </c:pt>
                <c:pt idx="771">
                  <c:v>0.40629022364887563</c:v>
                </c:pt>
                <c:pt idx="772">
                  <c:v>0.4097010305156516</c:v>
                </c:pt>
                <c:pt idx="773">
                  <c:v>0.96042578028452652</c:v>
                </c:pt>
                <c:pt idx="774">
                  <c:v>0.96042578028452652</c:v>
                </c:pt>
                <c:pt idx="775">
                  <c:v>0.96042578028452652</c:v>
                </c:pt>
                <c:pt idx="776">
                  <c:v>0.96042578028452652</c:v>
                </c:pt>
                <c:pt idx="777">
                  <c:v>0.96042578028452652</c:v>
                </c:pt>
                <c:pt idx="778">
                  <c:v>0.96042578028452652</c:v>
                </c:pt>
                <c:pt idx="779">
                  <c:v>0.96042578028452652</c:v>
                </c:pt>
                <c:pt idx="780">
                  <c:v>0.47816550862757157</c:v>
                </c:pt>
                <c:pt idx="781">
                  <c:v>0.49124726477024067</c:v>
                </c:pt>
                <c:pt idx="782">
                  <c:v>0.42997811816192555</c:v>
                </c:pt>
                <c:pt idx="783">
                  <c:v>0.36870897155361049</c:v>
                </c:pt>
                <c:pt idx="784">
                  <c:v>8.1978319783197834E-2</c:v>
                </c:pt>
                <c:pt idx="785">
                  <c:v>0.49124726477024067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2-4CE6-9AD1-8E70A14D75C9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092-4CE6-9AD1-8E70A14D7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829968"/>
        <c:axId val="1587757664"/>
      </c:scatterChart>
      <c:valAx>
        <c:axId val="167482996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N4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57664"/>
        <c:crosses val="autoZero"/>
        <c:crossBetween val="midCat"/>
      </c:valAx>
      <c:valAx>
        <c:axId val="15877576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 N''4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2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'Bernstein model'!$AV$798:$AV$834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0.17</c:v>
                </c:pt>
                <c:pt idx="5">
                  <c:v>0.11</c:v>
                </c:pt>
                <c:pt idx="6">
                  <c:v>7.0000000000000007E-2</c:v>
                </c:pt>
                <c:pt idx="7">
                  <c:v>0.02</c:v>
                </c:pt>
                <c:pt idx="8">
                  <c:v>0</c:v>
                </c:pt>
                <c:pt idx="9">
                  <c:v>0.12</c:v>
                </c:pt>
                <c:pt idx="10">
                  <c:v>0.38</c:v>
                </c:pt>
                <c:pt idx="11">
                  <c:v>0.51</c:v>
                </c:pt>
                <c:pt idx="12">
                  <c:v>0.56999999999999995</c:v>
                </c:pt>
                <c:pt idx="13">
                  <c:v>0</c:v>
                </c:pt>
                <c:pt idx="14">
                  <c:v>0.28000000000000003</c:v>
                </c:pt>
                <c:pt idx="15">
                  <c:v>0.48</c:v>
                </c:pt>
                <c:pt idx="16">
                  <c:v>0.52</c:v>
                </c:pt>
                <c:pt idx="17">
                  <c:v>0.68</c:v>
                </c:pt>
                <c:pt idx="18">
                  <c:v>0.7</c:v>
                </c:pt>
                <c:pt idx="19">
                  <c:v>0.66</c:v>
                </c:pt>
                <c:pt idx="20">
                  <c:v>0.67</c:v>
                </c:pt>
                <c:pt idx="21">
                  <c:v>0.53</c:v>
                </c:pt>
                <c:pt idx="22">
                  <c:v>0.56000000000000005</c:v>
                </c:pt>
                <c:pt idx="23">
                  <c:v>0.127</c:v>
                </c:pt>
                <c:pt idx="24">
                  <c:v>0.39700000000000002</c:v>
                </c:pt>
                <c:pt idx="25">
                  <c:v>0.55100000000000005</c:v>
                </c:pt>
                <c:pt idx="26">
                  <c:v>0.622</c:v>
                </c:pt>
                <c:pt idx="27">
                  <c:v>0.12</c:v>
                </c:pt>
                <c:pt idx="28">
                  <c:v>1</c:v>
                </c:pt>
                <c:pt idx="29">
                  <c:v>0.94099999999999995</c:v>
                </c:pt>
                <c:pt idx="30">
                  <c:v>0.90500000000000003</c:v>
                </c:pt>
                <c:pt idx="31">
                  <c:v>1</c:v>
                </c:pt>
                <c:pt idx="32">
                  <c:v>0.93</c:v>
                </c:pt>
                <c:pt idx="33">
                  <c:v>0.91400000000000003</c:v>
                </c:pt>
                <c:pt idx="34">
                  <c:v>1</c:v>
                </c:pt>
                <c:pt idx="35">
                  <c:v>0.94799999999999995</c:v>
                </c:pt>
                <c:pt idx="36">
                  <c:v>0.90599999999999992</c:v>
                </c:pt>
              </c:numCache>
            </c:numRef>
          </c:xVal>
          <c:yVal>
            <c:numRef>
              <c:f>'Bernstein model'!$BL$798:$BL$834</c:f>
              <c:numCache>
                <c:formatCode>0.0000</c:formatCode>
                <c:ptCount val="37"/>
                <c:pt idx="0">
                  <c:v>0.17989167787959651</c:v>
                </c:pt>
                <c:pt idx="1">
                  <c:v>0.19099842742784337</c:v>
                </c:pt>
                <c:pt idx="2">
                  <c:v>0.20356691750881503</c:v>
                </c:pt>
                <c:pt idx="3">
                  <c:v>0.21790604031279653</c:v>
                </c:pt>
                <c:pt idx="4">
                  <c:v>0.23441831577765834</c:v>
                </c:pt>
                <c:pt idx="5">
                  <c:v>0.16090225563909774</c:v>
                </c:pt>
                <c:pt idx="6">
                  <c:v>0.14952614952614954</c:v>
                </c:pt>
                <c:pt idx="7">
                  <c:v>0.1156085389520377</c:v>
                </c:pt>
                <c:pt idx="8">
                  <c:v>0.24974493337463885</c:v>
                </c:pt>
                <c:pt idx="9">
                  <c:v>0.30838830358541791</c:v>
                </c:pt>
                <c:pt idx="10">
                  <c:v>0.39985278434150756</c:v>
                </c:pt>
                <c:pt idx="11">
                  <c:v>0.47941375891883009</c:v>
                </c:pt>
                <c:pt idx="12">
                  <c:v>0.56655168944491174</c:v>
                </c:pt>
                <c:pt idx="13">
                  <c:v>0.27075673110302367</c:v>
                </c:pt>
                <c:pt idx="14">
                  <c:v>0.30759425845213739</c:v>
                </c:pt>
                <c:pt idx="15">
                  <c:v>0.40055854601106999</c:v>
                </c:pt>
                <c:pt idx="16">
                  <c:v>0.57250065683999152</c:v>
                </c:pt>
                <c:pt idx="17">
                  <c:v>0.54797974985734244</c:v>
                </c:pt>
                <c:pt idx="18">
                  <c:v>0.48556819908891741</c:v>
                </c:pt>
                <c:pt idx="19">
                  <c:v>0.53349487072770319</c:v>
                </c:pt>
                <c:pt idx="20">
                  <c:v>0.54044975627465275</c:v>
                </c:pt>
                <c:pt idx="21">
                  <c:v>0.55254815184147599</c:v>
                </c:pt>
                <c:pt idx="22">
                  <c:v>0.5453741158208304</c:v>
                </c:pt>
                <c:pt idx="23">
                  <c:v>0.29411764705882354</c:v>
                </c:pt>
                <c:pt idx="24">
                  <c:v>0.35714285714285715</c:v>
                </c:pt>
                <c:pt idx="25">
                  <c:v>0.45454545454545453</c:v>
                </c:pt>
                <c:pt idx="26">
                  <c:v>0.49259667653996542</c:v>
                </c:pt>
                <c:pt idx="27">
                  <c:v>0.17408906882591094</c:v>
                </c:pt>
                <c:pt idx="28">
                  <c:v>0.40701138914924623</c:v>
                </c:pt>
                <c:pt idx="29">
                  <c:v>0.40701138914924623</c:v>
                </c:pt>
                <c:pt idx="30">
                  <c:v>0.40701138914924623</c:v>
                </c:pt>
                <c:pt idx="31">
                  <c:v>0.40701138914924623</c:v>
                </c:pt>
                <c:pt idx="32">
                  <c:v>0.40701138914924623</c:v>
                </c:pt>
                <c:pt idx="33">
                  <c:v>0.40701138914924623</c:v>
                </c:pt>
                <c:pt idx="34">
                  <c:v>0.40701138914924623</c:v>
                </c:pt>
                <c:pt idx="35">
                  <c:v>0.40701138914924623</c:v>
                </c:pt>
                <c:pt idx="36">
                  <c:v>0.40701138914924623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4-467E-AE22-ED20C220B559}"/>
            </c:ext>
          </c:extLst>
        </c:ser>
        <c:ser>
          <c:idx val="1"/>
          <c:order val="1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604-467E-AE22-ED20C220B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4829968"/>
        <c:axId val="1587757664"/>
      </c:scatterChart>
      <c:valAx>
        <c:axId val="167482996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N4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57664"/>
        <c:crosses val="autoZero"/>
        <c:crossBetween val="midCat"/>
      </c:valAx>
      <c:valAx>
        <c:axId val="158775766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 N'4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82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39218</xdr:colOff>
      <xdr:row>0</xdr:row>
      <xdr:rowOff>56035</xdr:rowOff>
    </xdr:from>
    <xdr:to>
      <xdr:col>80</xdr:col>
      <xdr:colOff>392204</xdr:colOff>
      <xdr:row>21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4995B0-54C5-4F6E-93AC-27612740F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56030</xdr:colOff>
      <xdr:row>22</xdr:row>
      <xdr:rowOff>123265</xdr:rowOff>
    </xdr:from>
    <xdr:to>
      <xdr:col>80</xdr:col>
      <xdr:colOff>409016</xdr:colOff>
      <xdr:row>46</xdr:row>
      <xdr:rowOff>156876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99890C-B1EE-405E-AF87-968F0D0B1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39218</xdr:colOff>
      <xdr:row>0</xdr:row>
      <xdr:rowOff>56035</xdr:rowOff>
    </xdr:from>
    <xdr:to>
      <xdr:col>79</xdr:col>
      <xdr:colOff>392204</xdr:colOff>
      <xdr:row>21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E9CF9-6B50-46D9-9E56-5A528E2C4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70</xdr:col>
      <xdr:colOff>56030</xdr:colOff>
      <xdr:row>22</xdr:row>
      <xdr:rowOff>123265</xdr:rowOff>
    </xdr:from>
    <xdr:to>
      <xdr:col>79</xdr:col>
      <xdr:colOff>409016</xdr:colOff>
      <xdr:row>46</xdr:row>
      <xdr:rowOff>156876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BFF914-8C7B-4E7A-B586-A3A50AD98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222A-CB1C-4884-9E61-8A4B9141EDC8}">
  <dimension ref="A1:BV832"/>
  <sheetViews>
    <sheetView tabSelected="1" topLeftCell="AT1" zoomScale="73" zoomScaleNormal="70" workbookViewId="0">
      <pane ySplit="1" topLeftCell="A2" activePane="bottomLeft" state="frozen"/>
      <selection pane="bottomLeft" activeCell="BJ1" sqref="BJ1:BO1048576"/>
    </sheetView>
  </sheetViews>
  <sheetFormatPr defaultColWidth="9.140625" defaultRowHeight="15.75" x14ac:dyDescent="0.25"/>
  <cols>
    <col min="1" max="1" width="5.85546875" style="4" bestFit="1" customWidth="1"/>
    <col min="2" max="2" width="13.140625" style="4" customWidth="1"/>
    <col min="3" max="3" width="15.7109375" customWidth="1"/>
    <col min="4" max="4" width="9.140625" style="5"/>
    <col min="5" max="6" width="9.140625" style="9"/>
    <col min="39" max="42" width="0.7109375" customWidth="1"/>
    <col min="43" max="48" width="10.85546875" style="1" customWidth="1"/>
    <col min="49" max="56" width="1.28515625" style="1" customWidth="1"/>
    <col min="57" max="59" width="10.85546875" customWidth="1"/>
    <col min="60" max="66" width="10.85546875" style="1" customWidth="1"/>
    <col min="67" max="68" width="9.85546875" style="1" customWidth="1"/>
    <col min="69" max="69" width="20.140625" style="6" customWidth="1"/>
    <col min="70" max="16384" width="9.140625" style="1"/>
  </cols>
  <sheetData>
    <row r="1" spans="1:74" x14ac:dyDescent="0.25">
      <c r="A1" s="3"/>
      <c r="B1" s="3"/>
      <c r="C1" s="14" t="s">
        <v>462</v>
      </c>
      <c r="D1" s="6" t="s">
        <v>454</v>
      </c>
      <c r="E1" s="1" t="s">
        <v>456</v>
      </c>
      <c r="F1" s="1" t="s">
        <v>457</v>
      </c>
      <c r="G1" s="15" t="s">
        <v>197</v>
      </c>
      <c r="H1" s="15" t="s">
        <v>143</v>
      </c>
      <c r="I1" s="16" t="s">
        <v>0</v>
      </c>
      <c r="J1" s="14" t="s">
        <v>356</v>
      </c>
      <c r="K1" s="15" t="s">
        <v>357</v>
      </c>
      <c r="L1" s="16" t="s">
        <v>344</v>
      </c>
      <c r="M1" s="16" t="s">
        <v>328</v>
      </c>
      <c r="N1" s="16" t="s">
        <v>41</v>
      </c>
      <c r="O1" s="16" t="s">
        <v>142</v>
      </c>
      <c r="P1" s="15" t="s">
        <v>301</v>
      </c>
      <c r="Q1" s="15" t="s">
        <v>141</v>
      </c>
      <c r="R1" s="14" t="s">
        <v>358</v>
      </c>
      <c r="S1" s="15" t="s">
        <v>359</v>
      </c>
      <c r="T1" s="16" t="s">
        <v>300</v>
      </c>
      <c r="U1" s="15" t="s">
        <v>360</v>
      </c>
      <c r="V1" s="16" t="s">
        <v>94</v>
      </c>
      <c r="W1" s="16" t="s">
        <v>221</v>
      </c>
      <c r="X1" s="16" t="s">
        <v>190</v>
      </c>
      <c r="Y1" s="15" t="s">
        <v>811</v>
      </c>
      <c r="Z1" s="16" t="s">
        <v>298</v>
      </c>
      <c r="AA1" s="16" t="s">
        <v>299</v>
      </c>
      <c r="AB1" s="16" t="s">
        <v>148</v>
      </c>
      <c r="AC1" s="14" t="s">
        <v>302</v>
      </c>
      <c r="AD1" s="16" t="s">
        <v>345</v>
      </c>
      <c r="AE1" s="14" t="s">
        <v>196</v>
      </c>
      <c r="AF1" s="16" t="s">
        <v>276</v>
      </c>
      <c r="AG1" s="14" t="s">
        <v>812</v>
      </c>
      <c r="AH1" s="14" t="s">
        <v>813</v>
      </c>
      <c r="AI1" s="14" t="s">
        <v>814</v>
      </c>
      <c r="AJ1" s="14" t="s">
        <v>815</v>
      </c>
      <c r="AK1" s="14" t="s">
        <v>350</v>
      </c>
      <c r="AL1" s="14" t="s">
        <v>368</v>
      </c>
      <c r="AM1" s="14" t="s">
        <v>369</v>
      </c>
      <c r="AN1" s="14" t="s">
        <v>370</v>
      </c>
      <c r="AO1" s="14" t="s">
        <v>371</v>
      </c>
      <c r="AP1" s="14" t="s">
        <v>402</v>
      </c>
      <c r="AQ1" s="2" t="s">
        <v>13</v>
      </c>
      <c r="AR1" s="2" t="s">
        <v>408</v>
      </c>
      <c r="AS1" s="2" t="s">
        <v>197</v>
      </c>
      <c r="AT1" s="2" t="s">
        <v>143</v>
      </c>
      <c r="AU1" s="2" t="s">
        <v>141</v>
      </c>
      <c r="AV1" s="2" t="s">
        <v>140</v>
      </c>
      <c r="AW1" s="1" t="s">
        <v>405</v>
      </c>
      <c r="AX1" s="1" t="s">
        <v>406</v>
      </c>
      <c r="AY1" s="1" t="s">
        <v>407</v>
      </c>
      <c r="AZ1" s="1" t="s">
        <v>409</v>
      </c>
      <c r="BA1" s="1" t="s">
        <v>410</v>
      </c>
      <c r="BB1" s="1" t="s">
        <v>411</v>
      </c>
      <c r="BC1" s="1" t="s">
        <v>416</v>
      </c>
      <c r="BD1" s="1" t="s">
        <v>417</v>
      </c>
      <c r="BE1" s="1" t="s">
        <v>418</v>
      </c>
      <c r="BF1" s="1" t="s">
        <v>857</v>
      </c>
      <c r="BG1" s="1" t="s">
        <v>858</v>
      </c>
      <c r="BH1" s="6" t="s">
        <v>460</v>
      </c>
      <c r="BI1" s="6" t="s">
        <v>433</v>
      </c>
      <c r="BJ1" s="6" t="s">
        <v>426</v>
      </c>
      <c r="BK1" s="6" t="s">
        <v>427</v>
      </c>
      <c r="BL1" s="6" t="s">
        <v>434</v>
      </c>
      <c r="BM1" s="6" t="s">
        <v>435</v>
      </c>
      <c r="BN1" s="1" t="s">
        <v>428</v>
      </c>
      <c r="BO1" s="1" t="s">
        <v>436</v>
      </c>
      <c r="BQ1" s="6" t="s">
        <v>418</v>
      </c>
      <c r="BS1" s="1" t="s">
        <v>459</v>
      </c>
    </row>
    <row r="2" spans="1:74" x14ac:dyDescent="0.25">
      <c r="A2" s="3"/>
      <c r="B2" s="3"/>
      <c r="C2" t="s">
        <v>463</v>
      </c>
      <c r="D2" s="5">
        <v>1</v>
      </c>
      <c r="E2" s="9">
        <f t="shared" ref="E2:E65" si="0">I2+L2+M2+N2+O2+V2+X2+AB2+AD2</f>
        <v>51.3</v>
      </c>
      <c r="F2" s="9">
        <f t="shared" ref="F2:F65" si="1">Q2/(H2+P2+Q2+AC2)</f>
        <v>0.85215605749486645</v>
      </c>
      <c r="G2">
        <v>0</v>
      </c>
      <c r="H2">
        <v>4.5999999999999996</v>
      </c>
      <c r="I2">
        <v>26.7</v>
      </c>
      <c r="J2">
        <v>0</v>
      </c>
      <c r="K2">
        <v>0</v>
      </c>
      <c r="L2">
        <v>0</v>
      </c>
      <c r="M2">
        <v>0</v>
      </c>
      <c r="N2">
        <v>0</v>
      </c>
      <c r="O2">
        <v>24.6</v>
      </c>
      <c r="P2">
        <v>2.6</v>
      </c>
      <c r="Q2">
        <v>41.5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16.899999999999999</v>
      </c>
      <c r="AK2" t="s">
        <v>1</v>
      </c>
      <c r="AL2" t="s">
        <v>372</v>
      </c>
      <c r="AN2" t="s">
        <v>373</v>
      </c>
      <c r="AO2" t="s">
        <v>375</v>
      </c>
      <c r="AQ2" s="1">
        <f>SUM(G2:AI2)</f>
        <v>100</v>
      </c>
      <c r="AR2" s="1">
        <f t="shared" ref="AR2:AR65" si="2">(L2+M2+O2+X2)/100</f>
        <v>0.24600000000000002</v>
      </c>
      <c r="AS2" s="1">
        <f t="shared" ref="AS2:AS65" si="3">G2/100</f>
        <v>0</v>
      </c>
      <c r="AT2" s="1">
        <f t="shared" ref="AT2:AT65" si="4">H2/100</f>
        <v>4.5999999999999999E-2</v>
      </c>
      <c r="AU2" s="1">
        <f t="shared" ref="AU2:AU65" si="5">Q2/100</f>
        <v>0.41499999999999998</v>
      </c>
      <c r="AV2" s="1">
        <f>AJ2/100</f>
        <v>0.16899999999999998</v>
      </c>
      <c r="AX2" s="1">
        <f>AU2/(AT2+AS2)</f>
        <v>9.0217391304347831</v>
      </c>
      <c r="AY2" s="1">
        <f t="shared" ref="AY2:AY65" si="6">AR2/(AS2+AT2)</f>
        <v>5.3478260869565224</v>
      </c>
      <c r="AZ2" s="1">
        <f t="shared" ref="AZ2:AZ65" si="7">0.5+AX2/16</f>
        <v>1.0638586956521738</v>
      </c>
      <c r="BA2" s="1">
        <f t="shared" ref="BA2:BA65" si="8">0.5+AX2/4</f>
        <v>2.7554347826086958</v>
      </c>
      <c r="BB2" s="1">
        <f t="shared" ref="BB2:BB65" si="9">IF(AY2&lt;=AZ2,AY2,IF(AY2&lt;=BA2,AZ2,AZ2-(AY2-BA2)*(8+AX2)/(12*(2+AX2))))</f>
        <v>0.73022253666066361</v>
      </c>
      <c r="BC2" s="1">
        <f t="shared" ref="BC2:BC65" si="10">IF(BB2&lt;1,BB2,1)</f>
        <v>0.73022253666066361</v>
      </c>
      <c r="BD2" s="1">
        <f>ABS(BC2-AV2)</f>
        <v>0.56122253666066357</v>
      </c>
      <c r="BF2">
        <f t="shared" ref="BF2:BF65" si="11">$BR$3*H2+$BR$4*G2+$BR$5*P2+$BR$6*K2+$BR$7*S2+$BR$8*U2+$BR$9*Y2+$BR$10*J2+$BR$11*AC2+$BR$12*AG2+$BR$13*AH2+$BR$14*R2+$BR$15*AE2</f>
        <v>6.42</v>
      </c>
      <c r="BG2">
        <f>O2+$BR$17*M2+$BR$18*L2+$BR$19*X2+$BR$20*AD2+$BR$21*I2+$BR$22*N2+$BR$23*AB2+$BR$24*V2+$BR$25*T2+$BR$26*AA2+$BR$28*Z2+$BR$29*AF2+$BR$30*W2+$BR$27*AI2</f>
        <v>37.950000000000003</v>
      </c>
      <c r="BH2" s="1">
        <f t="shared" ref="BH2:BH65" si="12">(Q2)/BF2</f>
        <v>6.4641744548286608</v>
      </c>
      <c r="BI2" s="1">
        <f t="shared" ref="BI2:BI65" si="13">BG2/BF2</f>
        <v>5.9112149532710285</v>
      </c>
      <c r="BJ2" s="1">
        <f t="shared" ref="BJ2:BJ65" si="14">$BR$32+BH2*$BR$33</f>
        <v>0.71281931464174453</v>
      </c>
      <c r="BK2" s="1">
        <f t="shared" ref="BK2:BK65" si="15">$BR$34+BH2*$BR$35</f>
        <v>3.3410155763239877</v>
      </c>
      <c r="BL2" s="1">
        <f>IF(BI2&lt;=BJ2,BI2,IF(BI2&lt;=BK2,BJ2,BJ2-(BI2-BK2)*(8+BH2)/(12*(2+BH2))))</f>
        <v>0.34680791398031929</v>
      </c>
      <c r="BM2" s="1">
        <f>IF(BL2&lt;1,IF(BL2&gt;0,BL2,0),1)</f>
        <v>0.34680791398031929</v>
      </c>
      <c r="BN2" s="1">
        <f>(BM2-AV2)^2</f>
        <v>3.161565427403263E-2</v>
      </c>
      <c r="BO2" s="1">
        <f t="shared" ref="BO2:BO65" si="16">(AV2-AVERAGE($AV$2:$AV$638))^2</f>
        <v>5.6949491048301611E-2</v>
      </c>
      <c r="BQ2" s="19" t="s">
        <v>419</v>
      </c>
      <c r="BR2" s="19"/>
    </row>
    <row r="3" spans="1:74" ht="18.75" x14ac:dyDescent="0.25">
      <c r="A3" s="3"/>
      <c r="B3" s="3"/>
      <c r="C3" t="s">
        <v>464</v>
      </c>
      <c r="D3" s="5">
        <v>1</v>
      </c>
      <c r="E3" s="9">
        <f t="shared" si="0"/>
        <v>51.3</v>
      </c>
      <c r="F3" s="9">
        <f t="shared" si="1"/>
        <v>0.75770020533880911</v>
      </c>
      <c r="G3">
        <v>0</v>
      </c>
      <c r="H3">
        <v>9.1999999999999993</v>
      </c>
      <c r="I3">
        <v>26.7</v>
      </c>
      <c r="J3">
        <v>0</v>
      </c>
      <c r="K3">
        <v>0</v>
      </c>
      <c r="L3">
        <v>0</v>
      </c>
      <c r="M3">
        <v>0</v>
      </c>
      <c r="N3">
        <v>0</v>
      </c>
      <c r="O3">
        <v>24.6</v>
      </c>
      <c r="P3">
        <v>2.6</v>
      </c>
      <c r="Q3">
        <v>36.9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26</v>
      </c>
      <c r="AK3" t="s">
        <v>1</v>
      </c>
      <c r="AL3" t="s">
        <v>372</v>
      </c>
      <c r="AQ3" s="1">
        <f t="shared" ref="AQ3:AQ66" si="17">SUM(G3:AI3)</f>
        <v>100</v>
      </c>
      <c r="AR3" s="1">
        <f t="shared" si="2"/>
        <v>0.24600000000000002</v>
      </c>
      <c r="AS3" s="1">
        <f t="shared" si="3"/>
        <v>0</v>
      </c>
      <c r="AT3" s="1">
        <f t="shared" si="4"/>
        <v>9.1999999999999998E-2</v>
      </c>
      <c r="AU3" s="1">
        <f t="shared" si="5"/>
        <v>0.36899999999999999</v>
      </c>
      <c r="AV3" s="1">
        <f t="shared" ref="AV3:AV65" si="18">AJ3/100</f>
        <v>0.26</v>
      </c>
      <c r="AX3" s="1">
        <f t="shared" ref="AX3:AX65" si="19">AU3/(AT3+AS3)</f>
        <v>4.0108695652173916</v>
      </c>
      <c r="AY3" s="1">
        <f t="shared" si="6"/>
        <v>2.6739130434782612</v>
      </c>
      <c r="AZ3" s="1">
        <f t="shared" si="7"/>
        <v>0.75067934782608692</v>
      </c>
      <c r="BA3" s="1">
        <f t="shared" si="8"/>
        <v>1.5027173913043479</v>
      </c>
      <c r="BB3" s="1">
        <f t="shared" si="9"/>
        <v>0.55565656367114813</v>
      </c>
      <c r="BC3" s="1">
        <f t="shared" si="10"/>
        <v>0.55565656367114813</v>
      </c>
      <c r="BD3" s="1">
        <f t="shared" ref="BD3:BD65" si="20">ABS(BC3-AV3)</f>
        <v>0.29565656367114812</v>
      </c>
      <c r="BF3">
        <f t="shared" si="11"/>
        <v>11.02</v>
      </c>
      <c r="BG3">
        <f t="shared" ref="BG3:BG4" si="21">O3+$BR$17*M3+$BR$18*L3+$BR$19*X3+$BR$20*AD3+$BR$21*I3+$BR$22*N3+$BR$23*AB3+$BR$24*V3+$BR$25*T3+$BR$26*AA3+$BR$28*Z3+$BR$29*AF3+$BR$30*W3+$BR$27*AI3</f>
        <v>37.950000000000003</v>
      </c>
      <c r="BH3" s="1">
        <f t="shared" si="12"/>
        <v>3.3484573502722323</v>
      </c>
      <c r="BI3" s="1">
        <f t="shared" si="13"/>
        <v>3.4437386569872963</v>
      </c>
      <c r="BJ3" s="1">
        <f t="shared" si="14"/>
        <v>0.65362068965517239</v>
      </c>
      <c r="BK3" s="1">
        <f t="shared" si="15"/>
        <v>1.7769255898366607</v>
      </c>
      <c r="BL3" s="1">
        <f t="shared" ref="BL3:BL65" si="22">IF(BI3&lt;=BJ3,BI3,IF(BI3&lt;=BK3,BJ3,BJ3-(BI3-BK3)*(8+BH3)/(12*(2+BH3))))</f>
        <v>0.35889774799436125</v>
      </c>
      <c r="BM3" s="1">
        <f t="shared" ref="BM3:BM65" si="23">IF(BL3&lt;1,IF(BL3&gt;0,BL3,0),1)</f>
        <v>0.35889774799436125</v>
      </c>
      <c r="BN3" s="1">
        <f t="shared" ref="BN3:BN66" si="24">(BM3-AV3)^2</f>
        <v>9.7807645583561833E-3</v>
      </c>
      <c r="BO3" s="1">
        <f t="shared" si="16"/>
        <v>2.1797842712240601E-2</v>
      </c>
      <c r="BQ3" s="7" t="s">
        <v>437</v>
      </c>
      <c r="BR3" s="1">
        <v>1</v>
      </c>
    </row>
    <row r="4" spans="1:74" ht="18.75" x14ac:dyDescent="0.25">
      <c r="A4" s="3"/>
      <c r="B4" s="3"/>
      <c r="C4" t="s">
        <v>465</v>
      </c>
      <c r="D4" s="5">
        <v>1</v>
      </c>
      <c r="E4" s="9">
        <f t="shared" si="0"/>
        <v>51.3</v>
      </c>
      <c r="F4" s="9">
        <f t="shared" si="1"/>
        <v>0.66255144032921809</v>
      </c>
      <c r="G4">
        <v>0</v>
      </c>
      <c r="H4">
        <v>13.8</v>
      </c>
      <c r="I4">
        <v>26.7</v>
      </c>
      <c r="J4">
        <v>0</v>
      </c>
      <c r="K4">
        <v>0</v>
      </c>
      <c r="L4">
        <v>0</v>
      </c>
      <c r="M4">
        <v>0</v>
      </c>
      <c r="N4">
        <v>0</v>
      </c>
      <c r="O4">
        <v>24.6</v>
      </c>
      <c r="P4">
        <v>2.6</v>
      </c>
      <c r="Q4">
        <v>32.200000000000003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29.5</v>
      </c>
      <c r="AK4" t="s">
        <v>1</v>
      </c>
      <c r="AL4" t="s">
        <v>372</v>
      </c>
      <c r="AQ4" s="1">
        <f t="shared" si="17"/>
        <v>99.899999999999991</v>
      </c>
      <c r="AR4" s="1">
        <f t="shared" si="2"/>
        <v>0.24600000000000002</v>
      </c>
      <c r="AS4" s="1">
        <f t="shared" si="3"/>
        <v>0</v>
      </c>
      <c r="AT4" s="1">
        <f t="shared" si="4"/>
        <v>0.13800000000000001</v>
      </c>
      <c r="AU4" s="1">
        <f t="shared" si="5"/>
        <v>0.32200000000000001</v>
      </c>
      <c r="AV4" s="1">
        <f t="shared" si="18"/>
        <v>0.29499999999999998</v>
      </c>
      <c r="AX4" s="1">
        <f t="shared" si="19"/>
        <v>2.333333333333333</v>
      </c>
      <c r="AY4" s="1">
        <f t="shared" si="6"/>
        <v>1.7826086956521738</v>
      </c>
      <c r="AZ4" s="1">
        <f t="shared" si="7"/>
        <v>0.64583333333333326</v>
      </c>
      <c r="BA4" s="1">
        <f t="shared" si="8"/>
        <v>1.0833333333333333</v>
      </c>
      <c r="BB4" s="1">
        <f t="shared" si="9"/>
        <v>0.50687476774433293</v>
      </c>
      <c r="BC4" s="1">
        <f t="shared" si="10"/>
        <v>0.50687476774433293</v>
      </c>
      <c r="BD4" s="1">
        <f t="shared" si="20"/>
        <v>0.21187476774433295</v>
      </c>
      <c r="BF4">
        <f t="shared" si="11"/>
        <v>15.620000000000001</v>
      </c>
      <c r="BG4">
        <f t="shared" si="21"/>
        <v>37.950000000000003</v>
      </c>
      <c r="BH4" s="1">
        <f t="shared" si="12"/>
        <v>2.0614596670934699</v>
      </c>
      <c r="BI4" s="1">
        <f t="shared" si="13"/>
        <v>2.4295774647887325</v>
      </c>
      <c r="BJ4" s="1">
        <f t="shared" si="14"/>
        <v>0.62916773367477585</v>
      </c>
      <c r="BK4" s="1">
        <f t="shared" si="15"/>
        <v>1.130852752880922</v>
      </c>
      <c r="BL4" s="1">
        <f t="shared" si="22"/>
        <v>0.36105668948153358</v>
      </c>
      <c r="BM4" s="1">
        <f t="shared" si="23"/>
        <v>0.36105668948153358</v>
      </c>
      <c r="BN4" s="1">
        <f t="shared" si="24"/>
        <v>4.3634862252597507E-3</v>
      </c>
      <c r="BO4" s="1">
        <f t="shared" si="16"/>
        <v>1.268797796760176E-2</v>
      </c>
      <c r="BQ4" s="7" t="s">
        <v>438</v>
      </c>
      <c r="BR4" s="10">
        <v>4</v>
      </c>
    </row>
    <row r="5" spans="1:74" ht="18.75" x14ac:dyDescent="0.25">
      <c r="A5" s="3"/>
      <c r="B5" s="3"/>
      <c r="C5" t="s">
        <v>466</v>
      </c>
      <c r="D5" s="5">
        <v>1</v>
      </c>
      <c r="E5" s="9">
        <f t="shared" si="0"/>
        <v>51.3</v>
      </c>
      <c r="F5" s="9">
        <f t="shared" si="1"/>
        <v>0.56878850102669398</v>
      </c>
      <c r="G5">
        <v>0</v>
      </c>
      <c r="H5">
        <v>18.399999999999999</v>
      </c>
      <c r="I5">
        <v>26.7</v>
      </c>
      <c r="J5">
        <v>0</v>
      </c>
      <c r="K5">
        <v>0</v>
      </c>
      <c r="L5">
        <v>0</v>
      </c>
      <c r="M5">
        <v>0</v>
      </c>
      <c r="N5">
        <v>0</v>
      </c>
      <c r="O5">
        <v>24.6</v>
      </c>
      <c r="P5">
        <v>2.6</v>
      </c>
      <c r="Q5">
        <v>27.7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31.6</v>
      </c>
      <c r="AK5" t="s">
        <v>1</v>
      </c>
      <c r="AL5" t="s">
        <v>372</v>
      </c>
      <c r="AQ5" s="1">
        <f t="shared" si="17"/>
        <v>99.999999999999986</v>
      </c>
      <c r="AR5" s="1">
        <f t="shared" si="2"/>
        <v>0.24600000000000002</v>
      </c>
      <c r="AS5" s="1">
        <f t="shared" si="3"/>
        <v>0</v>
      </c>
      <c r="AT5" s="1">
        <f t="shared" si="4"/>
        <v>0.184</v>
      </c>
      <c r="AU5" s="1">
        <f t="shared" si="5"/>
        <v>0.27699999999999997</v>
      </c>
      <c r="AV5" s="1">
        <f t="shared" si="18"/>
        <v>0.316</v>
      </c>
      <c r="AX5" s="1">
        <f t="shared" si="19"/>
        <v>1.5054347826086956</v>
      </c>
      <c r="AY5" s="1">
        <f t="shared" si="6"/>
        <v>1.3369565217391306</v>
      </c>
      <c r="AZ5" s="1">
        <f t="shared" si="7"/>
        <v>0.59408967391304346</v>
      </c>
      <c r="BA5" s="1">
        <f t="shared" si="8"/>
        <v>0.87635869565217384</v>
      </c>
      <c r="BB5" s="1">
        <f t="shared" si="9"/>
        <v>0.49000884732052569</v>
      </c>
      <c r="BC5" s="1">
        <f t="shared" si="10"/>
        <v>0.49000884732052569</v>
      </c>
      <c r="BD5" s="1">
        <f t="shared" si="20"/>
        <v>0.17400884732052568</v>
      </c>
      <c r="BF5">
        <f t="shared" si="11"/>
        <v>20.22</v>
      </c>
      <c r="BG5">
        <f t="shared" ref="BG5:BG68" si="25">O5+$BR$17*M5+$BR$18*L5+$BR$19*X5+$BR$20*AD5+$BR$21*I5+$BR$22*N5+$BR$23*AB5+$BR$24*V5+$BR$25*T5+$BR$26*AA5+$BR$28*Z5+$BR$29*AF5+$BR$30*W5+$BR$27*AI5</f>
        <v>37.950000000000003</v>
      </c>
      <c r="BH5" s="1">
        <f t="shared" si="12"/>
        <v>1.3699307616221563</v>
      </c>
      <c r="BI5" s="1">
        <f t="shared" si="13"/>
        <v>1.8768545994065284</v>
      </c>
      <c r="BJ5" s="1">
        <f t="shared" si="14"/>
        <v>0.61602868447082093</v>
      </c>
      <c r="BK5" s="1">
        <f t="shared" si="15"/>
        <v>0.78370524233432248</v>
      </c>
      <c r="BL5" s="1">
        <f t="shared" si="22"/>
        <v>0.36274124049408168</v>
      </c>
      <c r="BM5" s="1">
        <f t="shared" si="23"/>
        <v>0.36274124049408168</v>
      </c>
      <c r="BN5" s="1">
        <f t="shared" si="24"/>
        <v>2.184743562925581E-3</v>
      </c>
      <c r="BO5" s="1">
        <f t="shared" si="16"/>
        <v>8.3980591208184501E-3</v>
      </c>
      <c r="BQ5" s="7" t="s">
        <v>439</v>
      </c>
      <c r="BR5" s="1">
        <v>0.7</v>
      </c>
    </row>
    <row r="6" spans="1:74" ht="18.75" x14ac:dyDescent="0.25">
      <c r="A6" s="3"/>
      <c r="B6" s="3"/>
      <c r="C6" t="s">
        <v>467</v>
      </c>
      <c r="D6" s="5">
        <v>1</v>
      </c>
      <c r="E6" s="9">
        <f t="shared" si="0"/>
        <v>51.3</v>
      </c>
      <c r="F6" s="9">
        <f t="shared" si="1"/>
        <v>0.37782340862422992</v>
      </c>
      <c r="G6">
        <v>0</v>
      </c>
      <c r="H6">
        <v>27.7</v>
      </c>
      <c r="I6">
        <v>26.7</v>
      </c>
      <c r="J6">
        <v>0</v>
      </c>
      <c r="K6">
        <v>0</v>
      </c>
      <c r="L6">
        <v>0</v>
      </c>
      <c r="M6">
        <v>0</v>
      </c>
      <c r="N6">
        <v>0</v>
      </c>
      <c r="O6">
        <v>24.6</v>
      </c>
      <c r="P6">
        <v>2.6</v>
      </c>
      <c r="Q6">
        <v>18.399999999999999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33.5</v>
      </c>
      <c r="AK6" t="s">
        <v>1</v>
      </c>
      <c r="AL6" t="s">
        <v>372</v>
      </c>
      <c r="AQ6" s="1">
        <f t="shared" si="17"/>
        <v>100</v>
      </c>
      <c r="AR6" s="1">
        <f t="shared" si="2"/>
        <v>0.24600000000000002</v>
      </c>
      <c r="AS6" s="1">
        <f t="shared" si="3"/>
        <v>0</v>
      </c>
      <c r="AT6" s="1">
        <f t="shared" si="4"/>
        <v>0.27699999999999997</v>
      </c>
      <c r="AU6" s="1">
        <f t="shared" si="5"/>
        <v>0.184</v>
      </c>
      <c r="AV6" s="1">
        <f t="shared" si="18"/>
        <v>0.33500000000000002</v>
      </c>
      <c r="AX6" s="1">
        <f t="shared" si="19"/>
        <v>0.66425992779783405</v>
      </c>
      <c r="AY6" s="1">
        <f t="shared" si="6"/>
        <v>0.88808664259927816</v>
      </c>
      <c r="AZ6" s="1">
        <f t="shared" si="7"/>
        <v>0.54151624548736466</v>
      </c>
      <c r="BA6" s="1">
        <f t="shared" si="8"/>
        <v>0.66606498194945851</v>
      </c>
      <c r="BB6" s="1">
        <f t="shared" si="9"/>
        <v>0.48134777376654631</v>
      </c>
      <c r="BC6" s="1">
        <f t="shared" si="10"/>
        <v>0.48134777376654631</v>
      </c>
      <c r="BD6" s="1">
        <f t="shared" si="20"/>
        <v>0.14634777376654629</v>
      </c>
      <c r="BF6">
        <f t="shared" si="11"/>
        <v>29.52</v>
      </c>
      <c r="BG6">
        <f t="shared" si="25"/>
        <v>37.950000000000003</v>
      </c>
      <c r="BH6" s="1">
        <f t="shared" si="12"/>
        <v>0.62330623306233057</v>
      </c>
      <c r="BI6" s="1">
        <f t="shared" si="13"/>
        <v>1.285569105691057</v>
      </c>
      <c r="BJ6" s="1">
        <f t="shared" si="14"/>
        <v>0.60184281842818421</v>
      </c>
      <c r="BK6" s="1">
        <f t="shared" si="15"/>
        <v>0.40889972899728999</v>
      </c>
      <c r="BL6" s="1">
        <f t="shared" si="22"/>
        <v>0.36169457835935104</v>
      </c>
      <c r="BM6" s="1">
        <f t="shared" si="23"/>
        <v>0.36169457835935104</v>
      </c>
      <c r="BN6" s="1">
        <f t="shared" si="24"/>
        <v>7.1260051378353164E-4</v>
      </c>
      <c r="BO6" s="1">
        <f t="shared" si="16"/>
        <v>5.2767039737287883E-3</v>
      </c>
      <c r="BQ6" s="7" t="s">
        <v>440</v>
      </c>
      <c r="BR6" s="1">
        <v>0</v>
      </c>
    </row>
    <row r="7" spans="1:74" ht="18.75" x14ac:dyDescent="0.25">
      <c r="A7" s="3"/>
      <c r="B7" s="3"/>
      <c r="C7" t="s">
        <v>468</v>
      </c>
      <c r="D7" s="5">
        <v>1</v>
      </c>
      <c r="E7" s="9">
        <f t="shared" si="0"/>
        <v>51.3</v>
      </c>
      <c r="F7" s="9">
        <f t="shared" si="1"/>
        <v>0.18891170431211496</v>
      </c>
      <c r="G7">
        <v>0</v>
      </c>
      <c r="H7">
        <v>36.9</v>
      </c>
      <c r="I7">
        <v>26.7</v>
      </c>
      <c r="J7">
        <v>0</v>
      </c>
      <c r="K7">
        <v>0</v>
      </c>
      <c r="L7">
        <v>0</v>
      </c>
      <c r="M7">
        <v>0</v>
      </c>
      <c r="N7">
        <v>0</v>
      </c>
      <c r="O7">
        <v>24.6</v>
      </c>
      <c r="P7">
        <v>2.6</v>
      </c>
      <c r="Q7">
        <v>9.1999999999999993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34</v>
      </c>
      <c r="AK7" t="s">
        <v>1</v>
      </c>
      <c r="AL7" t="s">
        <v>372</v>
      </c>
      <c r="AQ7" s="1">
        <f t="shared" si="17"/>
        <v>99.999999999999986</v>
      </c>
      <c r="AR7" s="1">
        <f t="shared" si="2"/>
        <v>0.24600000000000002</v>
      </c>
      <c r="AS7" s="1">
        <f t="shared" si="3"/>
        <v>0</v>
      </c>
      <c r="AT7" s="1">
        <f t="shared" si="4"/>
        <v>0.36899999999999999</v>
      </c>
      <c r="AU7" s="1">
        <f t="shared" si="5"/>
        <v>9.1999999999999998E-2</v>
      </c>
      <c r="AV7" s="1">
        <f t="shared" si="18"/>
        <v>0.34</v>
      </c>
      <c r="AX7" s="1">
        <f t="shared" si="19"/>
        <v>0.24932249322493225</v>
      </c>
      <c r="AY7" s="1">
        <f t="shared" si="6"/>
        <v>0.66666666666666674</v>
      </c>
      <c r="AZ7" s="1">
        <f t="shared" si="7"/>
        <v>0.51558265582655827</v>
      </c>
      <c r="BA7" s="1">
        <f t="shared" si="8"/>
        <v>0.56233062330623307</v>
      </c>
      <c r="BB7" s="1">
        <f t="shared" si="9"/>
        <v>0.48369521446218477</v>
      </c>
      <c r="BC7" s="1">
        <f t="shared" si="10"/>
        <v>0.48369521446218477</v>
      </c>
      <c r="BD7" s="1">
        <f t="shared" si="20"/>
        <v>0.14369521446218475</v>
      </c>
      <c r="BF7">
        <f t="shared" si="11"/>
        <v>38.72</v>
      </c>
      <c r="BG7">
        <f t="shared" si="25"/>
        <v>37.950000000000003</v>
      </c>
      <c r="BH7" s="1">
        <f t="shared" si="12"/>
        <v>0.23760330578512395</v>
      </c>
      <c r="BI7" s="1">
        <f t="shared" si="13"/>
        <v>0.98011363636363646</v>
      </c>
      <c r="BJ7" s="1">
        <f t="shared" si="14"/>
        <v>0.59451446280991738</v>
      </c>
      <c r="BK7" s="1">
        <f t="shared" si="15"/>
        <v>0.21527685950413222</v>
      </c>
      <c r="BL7" s="1">
        <f t="shared" si="22"/>
        <v>0.35987270924429388</v>
      </c>
      <c r="BM7" s="1">
        <f t="shared" si="23"/>
        <v>0.35987270924429388</v>
      </c>
      <c r="BN7" s="1">
        <f t="shared" si="24"/>
        <v>3.9492457270824227E-4</v>
      </c>
      <c r="BO7" s="1">
        <f t="shared" si="16"/>
        <v>4.5752947244946671E-3</v>
      </c>
      <c r="BQ7" s="7" t="s">
        <v>441</v>
      </c>
      <c r="BR7" s="1">
        <v>0</v>
      </c>
    </row>
    <row r="8" spans="1:74" ht="18.75" x14ac:dyDescent="0.25">
      <c r="A8" s="3"/>
      <c r="B8" s="3"/>
      <c r="C8" t="s">
        <v>469</v>
      </c>
      <c r="D8" s="5">
        <v>1</v>
      </c>
      <c r="E8" s="9">
        <f t="shared" si="0"/>
        <v>51.3</v>
      </c>
      <c r="F8" s="9">
        <f t="shared" si="1"/>
        <v>0</v>
      </c>
      <c r="G8">
        <v>0</v>
      </c>
      <c r="H8">
        <v>46.1</v>
      </c>
      <c r="I8">
        <v>26.7</v>
      </c>
      <c r="J8">
        <v>0</v>
      </c>
      <c r="K8">
        <v>0</v>
      </c>
      <c r="L8">
        <v>0</v>
      </c>
      <c r="M8">
        <v>0</v>
      </c>
      <c r="N8">
        <v>0</v>
      </c>
      <c r="O8">
        <v>24.6</v>
      </c>
      <c r="P8">
        <v>2.6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33.4</v>
      </c>
      <c r="AK8" t="s">
        <v>1</v>
      </c>
      <c r="AL8" t="s">
        <v>372</v>
      </c>
      <c r="AQ8" s="1">
        <f t="shared" si="17"/>
        <v>100</v>
      </c>
      <c r="AR8" s="1">
        <f t="shared" si="2"/>
        <v>0.24600000000000002</v>
      </c>
      <c r="AS8" s="1">
        <f t="shared" si="3"/>
        <v>0</v>
      </c>
      <c r="AT8" s="1">
        <f t="shared" si="4"/>
        <v>0.46100000000000002</v>
      </c>
      <c r="AU8" s="1">
        <f t="shared" si="5"/>
        <v>0</v>
      </c>
      <c r="AV8" s="1">
        <f t="shared" si="18"/>
        <v>0.33399999999999996</v>
      </c>
      <c r="AX8" s="1">
        <f t="shared" si="19"/>
        <v>0</v>
      </c>
      <c r="AY8" s="1">
        <f t="shared" si="6"/>
        <v>0.53362255965292849</v>
      </c>
      <c r="AZ8" s="1">
        <f t="shared" si="7"/>
        <v>0.5</v>
      </c>
      <c r="BA8" s="1">
        <f t="shared" si="8"/>
        <v>0.5</v>
      </c>
      <c r="BB8" s="1">
        <f t="shared" si="9"/>
        <v>0.48879248011569049</v>
      </c>
      <c r="BC8" s="1">
        <f t="shared" si="10"/>
        <v>0.48879248011569049</v>
      </c>
      <c r="BD8" s="1">
        <f t="shared" si="20"/>
        <v>0.15479248011569052</v>
      </c>
      <c r="BF8">
        <f t="shared" si="11"/>
        <v>47.92</v>
      </c>
      <c r="BG8">
        <f t="shared" si="25"/>
        <v>37.950000000000003</v>
      </c>
      <c r="BH8" s="1">
        <f t="shared" si="12"/>
        <v>0</v>
      </c>
      <c r="BI8" s="1">
        <f t="shared" si="13"/>
        <v>0.7919449081803005</v>
      </c>
      <c r="BJ8" s="1">
        <f t="shared" si="14"/>
        <v>0.59</v>
      </c>
      <c r="BK8" s="1">
        <f t="shared" si="15"/>
        <v>9.6000000000000002E-2</v>
      </c>
      <c r="BL8" s="1">
        <f t="shared" si="22"/>
        <v>0.35801836393989983</v>
      </c>
      <c r="BM8" s="1">
        <f t="shared" si="23"/>
        <v>0.35801836393989983</v>
      </c>
      <c r="BN8" s="1">
        <f t="shared" si="24"/>
        <v>5.7688180634948231E-4</v>
      </c>
      <c r="BO8" s="1">
        <f t="shared" si="16"/>
        <v>5.4229858235756209E-3</v>
      </c>
      <c r="BQ8" s="7" t="s">
        <v>442</v>
      </c>
      <c r="BR8" s="10">
        <v>3</v>
      </c>
    </row>
    <row r="9" spans="1:74" ht="18.75" x14ac:dyDescent="0.25">
      <c r="A9" s="3"/>
      <c r="B9" s="3"/>
      <c r="C9" t="s">
        <v>470</v>
      </c>
      <c r="D9" s="5">
        <v>1</v>
      </c>
      <c r="E9" s="9">
        <f t="shared" si="0"/>
        <v>47.400000000000006</v>
      </c>
      <c r="F9" s="9">
        <f t="shared" si="1"/>
        <v>0.8783269961977187</v>
      </c>
      <c r="G9">
        <v>0</v>
      </c>
      <c r="H9">
        <v>2.4</v>
      </c>
      <c r="I9">
        <v>23.3</v>
      </c>
      <c r="J9">
        <v>0</v>
      </c>
      <c r="K9">
        <v>0</v>
      </c>
      <c r="L9">
        <v>0</v>
      </c>
      <c r="M9">
        <v>0</v>
      </c>
      <c r="N9">
        <v>0</v>
      </c>
      <c r="O9">
        <v>24.1</v>
      </c>
      <c r="P9">
        <v>4</v>
      </c>
      <c r="Q9">
        <v>46.2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36.5</v>
      </c>
      <c r="AK9" t="s">
        <v>1</v>
      </c>
      <c r="AL9" t="s">
        <v>372</v>
      </c>
      <c r="AQ9" s="1">
        <f t="shared" si="17"/>
        <v>100</v>
      </c>
      <c r="AR9" s="1">
        <f t="shared" si="2"/>
        <v>0.24100000000000002</v>
      </c>
      <c r="AS9" s="1">
        <f t="shared" si="3"/>
        <v>0</v>
      </c>
      <c r="AT9" s="1">
        <f t="shared" si="4"/>
        <v>2.4E-2</v>
      </c>
      <c r="AU9" s="1">
        <f t="shared" si="5"/>
        <v>0.46200000000000002</v>
      </c>
      <c r="AV9" s="1">
        <f t="shared" si="18"/>
        <v>0.36499999999999999</v>
      </c>
      <c r="AX9" s="1">
        <f t="shared" si="19"/>
        <v>19.25</v>
      </c>
      <c r="AY9" s="1">
        <f t="shared" si="6"/>
        <v>10.041666666666668</v>
      </c>
      <c r="AZ9" s="1">
        <f t="shared" si="7"/>
        <v>1.703125</v>
      </c>
      <c r="BA9" s="1">
        <f t="shared" si="8"/>
        <v>5.3125</v>
      </c>
      <c r="BB9" s="1">
        <f t="shared" si="9"/>
        <v>1.1977532679738561</v>
      </c>
      <c r="BC9" s="1">
        <f t="shared" si="10"/>
        <v>1</v>
      </c>
      <c r="BD9" s="1">
        <f t="shared" si="20"/>
        <v>0.63500000000000001</v>
      </c>
      <c r="BF9">
        <f t="shared" si="11"/>
        <v>5.1999999999999993</v>
      </c>
      <c r="BG9">
        <f t="shared" si="25"/>
        <v>35.75</v>
      </c>
      <c r="BH9" s="1">
        <f t="shared" si="12"/>
        <v>8.8846153846153868</v>
      </c>
      <c r="BI9" s="1">
        <f t="shared" si="13"/>
        <v>6.8750000000000009</v>
      </c>
      <c r="BJ9" s="1">
        <f t="shared" si="14"/>
        <v>0.75880769230769229</v>
      </c>
      <c r="BK9" s="1">
        <f t="shared" si="15"/>
        <v>4.5560769230769242</v>
      </c>
      <c r="BL9" s="1">
        <f t="shared" si="22"/>
        <v>0.45904113436622274</v>
      </c>
      <c r="BM9" s="1">
        <f t="shared" si="23"/>
        <v>0.45904113436622274</v>
      </c>
      <c r="BN9" s="1">
        <f t="shared" si="24"/>
        <v>8.84373495288596E-3</v>
      </c>
      <c r="BO9" s="1">
        <f t="shared" si="16"/>
        <v>1.8182484783240667E-3</v>
      </c>
      <c r="BQ9" s="7" t="s">
        <v>443</v>
      </c>
      <c r="BR9" s="1">
        <v>0</v>
      </c>
    </row>
    <row r="10" spans="1:74" x14ac:dyDescent="0.25">
      <c r="A10" s="3"/>
      <c r="B10" s="3"/>
      <c r="C10" t="s">
        <v>471</v>
      </c>
      <c r="D10" s="5">
        <v>1</v>
      </c>
      <c r="E10" s="9">
        <f t="shared" si="0"/>
        <v>47.400000000000006</v>
      </c>
      <c r="F10" s="9">
        <f t="shared" si="1"/>
        <v>0.83079847908745252</v>
      </c>
      <c r="G10">
        <v>0</v>
      </c>
      <c r="H10">
        <v>4.9000000000000004</v>
      </c>
      <c r="I10">
        <v>23.3</v>
      </c>
      <c r="J10">
        <v>0</v>
      </c>
      <c r="K10">
        <v>0</v>
      </c>
      <c r="L10">
        <v>0</v>
      </c>
      <c r="M10">
        <v>0</v>
      </c>
      <c r="N10">
        <v>0</v>
      </c>
      <c r="O10">
        <v>24.1</v>
      </c>
      <c r="P10">
        <v>4</v>
      </c>
      <c r="Q10">
        <v>43.7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38.799999999999997</v>
      </c>
      <c r="AK10" t="s">
        <v>1</v>
      </c>
      <c r="AL10" t="s">
        <v>372</v>
      </c>
      <c r="AQ10" s="1">
        <f t="shared" si="17"/>
        <v>100</v>
      </c>
      <c r="AR10" s="1">
        <f t="shared" si="2"/>
        <v>0.24100000000000002</v>
      </c>
      <c r="AS10" s="1">
        <f t="shared" si="3"/>
        <v>0</v>
      </c>
      <c r="AT10" s="1">
        <f t="shared" si="4"/>
        <v>4.9000000000000002E-2</v>
      </c>
      <c r="AU10" s="1">
        <f t="shared" si="5"/>
        <v>0.43700000000000006</v>
      </c>
      <c r="AV10" s="1">
        <f t="shared" si="18"/>
        <v>0.38799999999999996</v>
      </c>
      <c r="AX10" s="1">
        <f t="shared" si="19"/>
        <v>8.9183673469387763</v>
      </c>
      <c r="AY10" s="1">
        <f t="shared" si="6"/>
        <v>4.9183673469387754</v>
      </c>
      <c r="AZ10" s="1">
        <f t="shared" si="7"/>
        <v>1.0573979591836735</v>
      </c>
      <c r="BA10" s="1">
        <f t="shared" si="8"/>
        <v>2.7295918367346941</v>
      </c>
      <c r="BB10" s="1">
        <f t="shared" si="9"/>
        <v>0.77476635514018699</v>
      </c>
      <c r="BC10" s="1">
        <f t="shared" si="10"/>
        <v>0.77476635514018699</v>
      </c>
      <c r="BD10" s="1">
        <f t="shared" si="20"/>
        <v>0.38676635514018703</v>
      </c>
      <c r="BF10">
        <f t="shared" si="11"/>
        <v>7.7</v>
      </c>
      <c r="BG10">
        <f t="shared" si="25"/>
        <v>35.75</v>
      </c>
      <c r="BH10" s="1">
        <f t="shared" si="12"/>
        <v>5.675324675324676</v>
      </c>
      <c r="BI10" s="1">
        <f t="shared" si="13"/>
        <v>4.6428571428571423</v>
      </c>
      <c r="BJ10" s="1">
        <f t="shared" si="14"/>
        <v>0.6978311688311688</v>
      </c>
      <c r="BK10" s="1">
        <f t="shared" si="15"/>
        <v>2.9450129870129875</v>
      </c>
      <c r="BL10" s="1">
        <f t="shared" si="22"/>
        <v>0.44574009493045041</v>
      </c>
      <c r="BM10" s="1">
        <f t="shared" si="23"/>
        <v>0.44574009493045041</v>
      </c>
      <c r="BN10" s="1">
        <f t="shared" si="24"/>
        <v>3.3339185625774308E-3</v>
      </c>
      <c r="BO10" s="1">
        <f t="shared" si="16"/>
        <v>3.8576593184711173E-4</v>
      </c>
      <c r="BQ10" s="17" t="s">
        <v>356</v>
      </c>
      <c r="BR10" s="1">
        <v>1</v>
      </c>
    </row>
    <row r="11" spans="1:74" x14ac:dyDescent="0.25">
      <c r="A11" s="3"/>
      <c r="B11" s="3"/>
      <c r="C11" t="s">
        <v>472</v>
      </c>
      <c r="D11" s="5">
        <v>1</v>
      </c>
      <c r="E11" s="9">
        <f t="shared" si="0"/>
        <v>47.400000000000006</v>
      </c>
      <c r="F11" s="9">
        <f t="shared" si="1"/>
        <v>0.78517110266159695</v>
      </c>
      <c r="G11">
        <v>0</v>
      </c>
      <c r="H11">
        <v>7.3</v>
      </c>
      <c r="I11">
        <v>23.3</v>
      </c>
      <c r="J11">
        <v>0</v>
      </c>
      <c r="K11">
        <v>0</v>
      </c>
      <c r="L11">
        <v>0</v>
      </c>
      <c r="M11">
        <v>0</v>
      </c>
      <c r="N11">
        <v>0</v>
      </c>
      <c r="O11">
        <v>24.1</v>
      </c>
      <c r="P11">
        <v>4</v>
      </c>
      <c r="Q11">
        <v>41.3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41.1</v>
      </c>
      <c r="AK11" t="s">
        <v>1</v>
      </c>
      <c r="AL11" t="s">
        <v>372</v>
      </c>
      <c r="AQ11" s="1">
        <f t="shared" si="17"/>
        <v>100</v>
      </c>
      <c r="AR11" s="1">
        <f t="shared" si="2"/>
        <v>0.24100000000000002</v>
      </c>
      <c r="AS11" s="1">
        <f t="shared" si="3"/>
        <v>0</v>
      </c>
      <c r="AT11" s="1">
        <f t="shared" si="4"/>
        <v>7.2999999999999995E-2</v>
      </c>
      <c r="AU11" s="1">
        <f t="shared" si="5"/>
        <v>0.41299999999999998</v>
      </c>
      <c r="AV11" s="1">
        <f t="shared" si="18"/>
        <v>0.41100000000000003</v>
      </c>
      <c r="AX11" s="1">
        <f t="shared" si="19"/>
        <v>5.6575342465753424</v>
      </c>
      <c r="AY11" s="1">
        <f t="shared" si="6"/>
        <v>3.3013698630136989</v>
      </c>
      <c r="AZ11" s="1">
        <f t="shared" si="7"/>
        <v>0.85359589041095885</v>
      </c>
      <c r="BA11" s="1">
        <f t="shared" si="8"/>
        <v>1.9143835616438356</v>
      </c>
      <c r="BB11" s="1">
        <f t="shared" si="9"/>
        <v>0.64745019236895618</v>
      </c>
      <c r="BC11" s="1">
        <f t="shared" si="10"/>
        <v>0.64745019236895618</v>
      </c>
      <c r="BD11" s="1">
        <f t="shared" si="20"/>
        <v>0.23645019236895615</v>
      </c>
      <c r="BF11">
        <f t="shared" si="11"/>
        <v>10.1</v>
      </c>
      <c r="BG11">
        <f t="shared" si="25"/>
        <v>35.75</v>
      </c>
      <c r="BH11" s="1">
        <f t="shared" si="12"/>
        <v>4.0891089108910892</v>
      </c>
      <c r="BI11" s="1">
        <f t="shared" si="13"/>
        <v>3.5396039603960396</v>
      </c>
      <c r="BJ11" s="1">
        <f t="shared" si="14"/>
        <v>0.66769306930693062</v>
      </c>
      <c r="BK11" s="1">
        <f t="shared" si="15"/>
        <v>2.1487326732673271</v>
      </c>
      <c r="BL11" s="1">
        <f t="shared" si="22"/>
        <v>0.43757737261531027</v>
      </c>
      <c r="BM11" s="1">
        <f t="shared" si="23"/>
        <v>0.43757737261531027</v>
      </c>
      <c r="BN11" s="1">
        <f t="shared" si="24"/>
        <v>7.0635673513304244E-4</v>
      </c>
      <c r="BO11" s="1">
        <f t="shared" si="16"/>
        <v>1.1283385370154325E-5</v>
      </c>
      <c r="BQ11" s="17" t="s">
        <v>302</v>
      </c>
      <c r="BR11" s="1">
        <v>0</v>
      </c>
      <c r="BV11" s="1">
        <v>0</v>
      </c>
    </row>
    <row r="12" spans="1:74" x14ac:dyDescent="0.25">
      <c r="A12" s="3"/>
      <c r="B12" s="3"/>
      <c r="C12" t="s">
        <v>473</v>
      </c>
      <c r="D12" s="5">
        <v>1</v>
      </c>
      <c r="E12" s="9">
        <f t="shared" si="0"/>
        <v>47.400000000000006</v>
      </c>
      <c r="F12" s="9">
        <f t="shared" si="1"/>
        <v>0.73954372623574149</v>
      </c>
      <c r="G12">
        <v>0</v>
      </c>
      <c r="H12">
        <v>9.6999999999999993</v>
      </c>
      <c r="I12">
        <v>23.3</v>
      </c>
      <c r="J12">
        <v>0</v>
      </c>
      <c r="K12">
        <v>0</v>
      </c>
      <c r="L12">
        <v>0</v>
      </c>
      <c r="M12">
        <v>0</v>
      </c>
      <c r="N12">
        <v>0</v>
      </c>
      <c r="O12">
        <v>24.1</v>
      </c>
      <c r="P12">
        <v>4</v>
      </c>
      <c r="Q12">
        <v>38.9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42.4</v>
      </c>
      <c r="AK12" t="s">
        <v>1</v>
      </c>
      <c r="AL12" t="s">
        <v>372</v>
      </c>
      <c r="AQ12" s="1">
        <f t="shared" si="17"/>
        <v>100</v>
      </c>
      <c r="AR12" s="1">
        <f t="shared" si="2"/>
        <v>0.24100000000000002</v>
      </c>
      <c r="AS12" s="1">
        <f t="shared" si="3"/>
        <v>0</v>
      </c>
      <c r="AT12" s="1">
        <f t="shared" si="4"/>
        <v>9.6999999999999989E-2</v>
      </c>
      <c r="AU12" s="1">
        <f t="shared" si="5"/>
        <v>0.38900000000000001</v>
      </c>
      <c r="AV12" s="1">
        <f t="shared" si="18"/>
        <v>0.42399999999999999</v>
      </c>
      <c r="AX12" s="1">
        <f t="shared" si="19"/>
        <v>4.0103092783505163</v>
      </c>
      <c r="AY12" s="1">
        <f t="shared" si="6"/>
        <v>2.4845360824742273</v>
      </c>
      <c r="AZ12" s="1">
        <f t="shared" si="7"/>
        <v>0.75064432989690721</v>
      </c>
      <c r="BA12" s="1">
        <f t="shared" si="8"/>
        <v>1.5025773195876291</v>
      </c>
      <c r="BB12" s="1">
        <f t="shared" si="9"/>
        <v>0.58712489611147456</v>
      </c>
      <c r="BC12" s="1">
        <f t="shared" si="10"/>
        <v>0.58712489611147456</v>
      </c>
      <c r="BD12" s="1">
        <f t="shared" si="20"/>
        <v>0.16312489611147457</v>
      </c>
      <c r="BF12">
        <f t="shared" si="11"/>
        <v>12.5</v>
      </c>
      <c r="BG12">
        <f t="shared" si="25"/>
        <v>35.75</v>
      </c>
      <c r="BH12" s="1">
        <f t="shared" si="12"/>
        <v>3.1120000000000001</v>
      </c>
      <c r="BI12" s="1">
        <f t="shared" si="13"/>
        <v>2.86</v>
      </c>
      <c r="BJ12" s="1">
        <f t="shared" si="14"/>
        <v>0.64912799999999993</v>
      </c>
      <c r="BK12" s="1">
        <f t="shared" si="15"/>
        <v>1.6582240000000001</v>
      </c>
      <c r="BL12" s="1">
        <f t="shared" si="22"/>
        <v>0.43143539906103284</v>
      </c>
      <c r="BM12" s="1">
        <f t="shared" si="23"/>
        <v>0.43143539906103284</v>
      </c>
      <c r="BN12" s="1">
        <f t="shared" si="24"/>
        <v>5.5285159196808259E-5</v>
      </c>
      <c r="BO12" s="1">
        <f t="shared" si="16"/>
        <v>2.6761933736143954E-4</v>
      </c>
      <c r="BQ12" s="17" t="s">
        <v>812</v>
      </c>
      <c r="BR12" s="1">
        <v>0</v>
      </c>
      <c r="BV12" s="1">
        <v>1</v>
      </c>
    </row>
    <row r="13" spans="1:74" x14ac:dyDescent="0.25">
      <c r="A13" s="3"/>
      <c r="B13" s="3"/>
      <c r="C13" t="s">
        <v>474</v>
      </c>
      <c r="D13" s="5">
        <v>1</v>
      </c>
      <c r="E13" s="9">
        <f t="shared" si="0"/>
        <v>47.400000000000006</v>
      </c>
      <c r="F13" s="9">
        <f t="shared" si="1"/>
        <v>0.64638783269961975</v>
      </c>
      <c r="G13">
        <v>0</v>
      </c>
      <c r="H13">
        <v>14.6</v>
      </c>
      <c r="I13">
        <v>23.3</v>
      </c>
      <c r="J13">
        <v>0</v>
      </c>
      <c r="K13">
        <v>0</v>
      </c>
      <c r="L13">
        <v>0</v>
      </c>
      <c r="M13">
        <v>0</v>
      </c>
      <c r="N13">
        <v>0</v>
      </c>
      <c r="O13">
        <v>24.1</v>
      </c>
      <c r="P13">
        <v>4</v>
      </c>
      <c r="Q13">
        <v>34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43.2</v>
      </c>
      <c r="AK13" t="s">
        <v>1</v>
      </c>
      <c r="AL13" t="s">
        <v>372</v>
      </c>
      <c r="AQ13" s="1">
        <f t="shared" si="17"/>
        <v>100</v>
      </c>
      <c r="AR13" s="1">
        <f t="shared" si="2"/>
        <v>0.24100000000000002</v>
      </c>
      <c r="AS13" s="1">
        <f t="shared" si="3"/>
        <v>0</v>
      </c>
      <c r="AT13" s="1">
        <f t="shared" si="4"/>
        <v>0.14599999999999999</v>
      </c>
      <c r="AU13" s="1">
        <f t="shared" si="5"/>
        <v>0.34</v>
      </c>
      <c r="AV13" s="1">
        <f t="shared" si="18"/>
        <v>0.43200000000000005</v>
      </c>
      <c r="AX13" s="1">
        <f t="shared" si="19"/>
        <v>2.3287671232876717</v>
      </c>
      <c r="AY13" s="1">
        <f t="shared" si="6"/>
        <v>1.6506849315068495</v>
      </c>
      <c r="AZ13" s="1">
        <f t="shared" si="7"/>
        <v>0.64554794520547953</v>
      </c>
      <c r="BA13" s="1">
        <f t="shared" si="8"/>
        <v>1.0821917808219179</v>
      </c>
      <c r="BB13" s="1">
        <f t="shared" si="9"/>
        <v>0.53250895901970996</v>
      </c>
      <c r="BC13" s="1">
        <f t="shared" si="10"/>
        <v>0.53250895901970996</v>
      </c>
      <c r="BD13" s="1">
        <f t="shared" si="20"/>
        <v>0.10050895901970991</v>
      </c>
      <c r="BF13">
        <f t="shared" si="11"/>
        <v>17.399999999999999</v>
      </c>
      <c r="BG13">
        <f t="shared" si="25"/>
        <v>35.75</v>
      </c>
      <c r="BH13" s="1">
        <f t="shared" si="12"/>
        <v>1.9540229885057472</v>
      </c>
      <c r="BI13" s="1">
        <f t="shared" si="13"/>
        <v>2.0545977011494254</v>
      </c>
      <c r="BJ13" s="1">
        <f t="shared" si="14"/>
        <v>0.62712643678160918</v>
      </c>
      <c r="BK13" s="1">
        <f t="shared" si="15"/>
        <v>1.076919540229885</v>
      </c>
      <c r="BL13" s="1">
        <f t="shared" si="22"/>
        <v>0.42202244275149242</v>
      </c>
      <c r="BM13" s="1">
        <f t="shared" si="23"/>
        <v>0.42202244275149242</v>
      </c>
      <c r="BN13" s="1">
        <f t="shared" si="24"/>
        <v>9.955164864724713E-5</v>
      </c>
      <c r="BO13" s="1">
        <f t="shared" si="16"/>
        <v>5.9336453858684904E-4</v>
      </c>
      <c r="BQ13" s="17" t="s">
        <v>813</v>
      </c>
      <c r="BR13" s="1">
        <v>1</v>
      </c>
    </row>
    <row r="14" spans="1:74" x14ac:dyDescent="0.25">
      <c r="A14" s="3"/>
      <c r="B14" s="3"/>
      <c r="C14" t="s">
        <v>475</v>
      </c>
      <c r="D14" s="5">
        <v>1</v>
      </c>
      <c r="E14" s="9">
        <f t="shared" si="0"/>
        <v>47.400000000000006</v>
      </c>
      <c r="F14" s="9">
        <f t="shared" si="1"/>
        <v>0.55513307984790883</v>
      </c>
      <c r="G14">
        <v>0</v>
      </c>
      <c r="H14">
        <v>19.399999999999999</v>
      </c>
      <c r="I14">
        <v>23.3</v>
      </c>
      <c r="J14">
        <v>0</v>
      </c>
      <c r="K14">
        <v>0</v>
      </c>
      <c r="L14">
        <v>0</v>
      </c>
      <c r="M14">
        <v>0</v>
      </c>
      <c r="N14">
        <v>0</v>
      </c>
      <c r="O14">
        <v>24.1</v>
      </c>
      <c r="P14">
        <v>4</v>
      </c>
      <c r="Q14">
        <v>29.2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43.3</v>
      </c>
      <c r="AK14" t="s">
        <v>1</v>
      </c>
      <c r="AL14" t="s">
        <v>372</v>
      </c>
      <c r="AQ14" s="1">
        <f t="shared" si="17"/>
        <v>100.00000000000001</v>
      </c>
      <c r="AR14" s="1">
        <f t="shared" si="2"/>
        <v>0.24100000000000002</v>
      </c>
      <c r="AS14" s="1">
        <f t="shared" si="3"/>
        <v>0</v>
      </c>
      <c r="AT14" s="1">
        <f t="shared" si="4"/>
        <v>0.19399999999999998</v>
      </c>
      <c r="AU14" s="1">
        <f t="shared" si="5"/>
        <v>0.29199999999999998</v>
      </c>
      <c r="AV14" s="1">
        <f t="shared" si="18"/>
        <v>0.433</v>
      </c>
      <c r="AX14" s="1">
        <f t="shared" si="19"/>
        <v>1.5051546391752577</v>
      </c>
      <c r="AY14" s="1">
        <f t="shared" si="6"/>
        <v>1.2422680412371137</v>
      </c>
      <c r="AZ14" s="1">
        <f t="shared" si="7"/>
        <v>0.59407216494845361</v>
      </c>
      <c r="BA14" s="1">
        <f t="shared" si="8"/>
        <v>0.87628865979381443</v>
      </c>
      <c r="BB14" s="1">
        <f t="shared" si="9"/>
        <v>0.51136800080857081</v>
      </c>
      <c r="BC14" s="1">
        <f t="shared" si="10"/>
        <v>0.51136800080857081</v>
      </c>
      <c r="BD14" s="1">
        <f t="shared" si="20"/>
        <v>7.8368000808570815E-2</v>
      </c>
      <c r="BF14">
        <f t="shared" si="11"/>
        <v>22.2</v>
      </c>
      <c r="BG14">
        <f t="shared" si="25"/>
        <v>35.75</v>
      </c>
      <c r="BH14" s="1">
        <f t="shared" si="12"/>
        <v>1.3153153153153154</v>
      </c>
      <c r="BI14" s="1">
        <f t="shared" si="13"/>
        <v>1.6103603603603605</v>
      </c>
      <c r="BJ14" s="1">
        <f t="shared" si="14"/>
        <v>0.61499099099099097</v>
      </c>
      <c r="BK14" s="1">
        <f t="shared" si="15"/>
        <v>0.75628828828828831</v>
      </c>
      <c r="BL14" s="1">
        <f t="shared" si="22"/>
        <v>0.41501125310092696</v>
      </c>
      <c r="BM14" s="1">
        <f t="shared" si="23"/>
        <v>0.41501125310092696</v>
      </c>
      <c r="BN14" s="1">
        <f t="shared" si="24"/>
        <v>3.2359501499890986E-4</v>
      </c>
      <c r="BO14" s="1">
        <f t="shared" si="16"/>
        <v>6.4308268874002216E-4</v>
      </c>
      <c r="BQ14" s="17" t="s">
        <v>358</v>
      </c>
      <c r="BR14" s="1">
        <v>0</v>
      </c>
    </row>
    <row r="15" spans="1:74" x14ac:dyDescent="0.25">
      <c r="A15" s="3"/>
      <c r="B15" s="3"/>
      <c r="C15" t="s">
        <v>476</v>
      </c>
      <c r="D15" s="5">
        <v>1</v>
      </c>
      <c r="E15" s="9">
        <f t="shared" si="0"/>
        <v>47.400000000000006</v>
      </c>
      <c r="F15" s="9">
        <f t="shared" si="1"/>
        <v>0.46197718631178708</v>
      </c>
      <c r="G15">
        <v>0</v>
      </c>
      <c r="H15">
        <v>24.3</v>
      </c>
      <c r="I15">
        <v>23.3</v>
      </c>
      <c r="J15">
        <v>0</v>
      </c>
      <c r="K15">
        <v>0</v>
      </c>
      <c r="L15">
        <v>0</v>
      </c>
      <c r="M15">
        <v>0</v>
      </c>
      <c r="N15">
        <v>0</v>
      </c>
      <c r="O15">
        <v>24.1</v>
      </c>
      <c r="P15">
        <v>4</v>
      </c>
      <c r="Q15">
        <v>24.3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43.3</v>
      </c>
      <c r="AK15" t="s">
        <v>1</v>
      </c>
      <c r="AL15" t="s">
        <v>372</v>
      </c>
      <c r="AQ15" s="1">
        <f t="shared" si="17"/>
        <v>100</v>
      </c>
      <c r="AR15" s="1">
        <f t="shared" si="2"/>
        <v>0.24100000000000002</v>
      </c>
      <c r="AS15" s="1">
        <f t="shared" si="3"/>
        <v>0</v>
      </c>
      <c r="AT15" s="1">
        <f t="shared" si="4"/>
        <v>0.24299999999999999</v>
      </c>
      <c r="AU15" s="1">
        <f t="shared" si="5"/>
        <v>0.24299999999999999</v>
      </c>
      <c r="AV15" s="1">
        <f t="shared" si="18"/>
        <v>0.433</v>
      </c>
      <c r="AX15" s="1">
        <f t="shared" si="19"/>
        <v>1</v>
      </c>
      <c r="AY15" s="1">
        <f t="shared" si="6"/>
        <v>0.99176954732510303</v>
      </c>
      <c r="AZ15" s="1">
        <f t="shared" si="7"/>
        <v>0.5625</v>
      </c>
      <c r="BA15" s="1">
        <f t="shared" si="8"/>
        <v>0.75</v>
      </c>
      <c r="BB15" s="1">
        <f t="shared" si="9"/>
        <v>0.50205761316872421</v>
      </c>
      <c r="BC15" s="1">
        <f t="shared" si="10"/>
        <v>0.50205761316872421</v>
      </c>
      <c r="BD15" s="1">
        <f t="shared" si="20"/>
        <v>6.9057613168724219E-2</v>
      </c>
      <c r="BF15">
        <f t="shared" si="11"/>
        <v>27.1</v>
      </c>
      <c r="BG15">
        <f t="shared" si="25"/>
        <v>35.75</v>
      </c>
      <c r="BH15" s="1">
        <f t="shared" si="12"/>
        <v>0.89667896678966785</v>
      </c>
      <c r="BI15" s="1">
        <f t="shared" si="13"/>
        <v>1.3191881918819188</v>
      </c>
      <c r="BJ15" s="1">
        <f t="shared" si="14"/>
        <v>0.60703690036900371</v>
      </c>
      <c r="BK15" s="1">
        <f t="shared" si="15"/>
        <v>0.54613284132841322</v>
      </c>
      <c r="BL15" s="1">
        <f t="shared" si="22"/>
        <v>0.40917740459570195</v>
      </c>
      <c r="BM15" s="1">
        <f t="shared" si="23"/>
        <v>0.40917740459570195</v>
      </c>
      <c r="BN15" s="1">
        <f t="shared" si="24"/>
        <v>5.6751605179688222E-4</v>
      </c>
      <c r="BO15" s="1">
        <f t="shared" si="16"/>
        <v>6.4308268874002216E-4</v>
      </c>
      <c r="BQ15" s="17" t="s">
        <v>196</v>
      </c>
      <c r="BR15" s="1">
        <v>1</v>
      </c>
    </row>
    <row r="16" spans="1:74" x14ac:dyDescent="0.25">
      <c r="A16" s="3"/>
      <c r="B16" s="3"/>
      <c r="C16" t="s">
        <v>477</v>
      </c>
      <c r="D16" s="5">
        <v>1</v>
      </c>
      <c r="E16" s="9">
        <f t="shared" si="0"/>
        <v>47.400000000000006</v>
      </c>
      <c r="F16" s="9">
        <f t="shared" si="1"/>
        <v>0.18441064638783269</v>
      </c>
      <c r="G16">
        <v>0</v>
      </c>
      <c r="H16">
        <v>38.9</v>
      </c>
      <c r="I16">
        <v>23.3</v>
      </c>
      <c r="J16">
        <v>0</v>
      </c>
      <c r="K16">
        <v>0</v>
      </c>
      <c r="L16">
        <v>0</v>
      </c>
      <c r="M16">
        <v>0</v>
      </c>
      <c r="N16">
        <v>0</v>
      </c>
      <c r="O16">
        <v>24.1</v>
      </c>
      <c r="P16">
        <v>4</v>
      </c>
      <c r="Q16">
        <v>9.6999999999999993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41.9</v>
      </c>
      <c r="AK16" t="s">
        <v>1</v>
      </c>
      <c r="AL16" t="s">
        <v>372</v>
      </c>
      <c r="AQ16" s="1">
        <f t="shared" si="17"/>
        <v>100.00000000000001</v>
      </c>
      <c r="AR16" s="1">
        <f t="shared" si="2"/>
        <v>0.24100000000000002</v>
      </c>
      <c r="AS16" s="1">
        <f t="shared" si="3"/>
        <v>0</v>
      </c>
      <c r="AT16" s="1">
        <f t="shared" si="4"/>
        <v>0.38900000000000001</v>
      </c>
      <c r="AU16" s="1">
        <f t="shared" si="5"/>
        <v>9.6999999999999989E-2</v>
      </c>
      <c r="AV16" s="1">
        <f t="shared" si="18"/>
        <v>0.41899999999999998</v>
      </c>
      <c r="AX16" s="1">
        <f t="shared" si="19"/>
        <v>0.24935732647814907</v>
      </c>
      <c r="AY16" s="1">
        <f t="shared" si="6"/>
        <v>0.61953727506426737</v>
      </c>
      <c r="AZ16" s="1">
        <f t="shared" si="7"/>
        <v>0.51558483290488433</v>
      </c>
      <c r="BA16" s="1">
        <f t="shared" si="8"/>
        <v>0.56233933161953731</v>
      </c>
      <c r="BB16" s="1">
        <f t="shared" si="9"/>
        <v>0.49810405190353779</v>
      </c>
      <c r="BC16" s="1">
        <f t="shared" si="10"/>
        <v>0.49810405190353779</v>
      </c>
      <c r="BD16" s="1">
        <f t="shared" si="20"/>
        <v>7.9104051903537809E-2</v>
      </c>
      <c r="BF16">
        <f t="shared" si="11"/>
        <v>41.699999999999996</v>
      </c>
      <c r="BG16">
        <f t="shared" si="25"/>
        <v>35.75</v>
      </c>
      <c r="BH16" s="1">
        <f t="shared" si="12"/>
        <v>0.23261390887290168</v>
      </c>
      <c r="BI16" s="1">
        <f t="shared" si="13"/>
        <v>0.85731414868105527</v>
      </c>
      <c r="BJ16" s="1">
        <f t="shared" si="14"/>
        <v>0.59441966426858506</v>
      </c>
      <c r="BK16" s="1">
        <f t="shared" si="15"/>
        <v>0.21277218225419664</v>
      </c>
      <c r="BL16" s="1">
        <f t="shared" si="22"/>
        <v>0.39636089495750332</v>
      </c>
      <c r="BM16" s="1">
        <f t="shared" si="23"/>
        <v>0.39636089495750332</v>
      </c>
      <c r="BN16" s="1">
        <f t="shared" si="24"/>
        <v>5.125290771251979E-4</v>
      </c>
      <c r="BO16" s="1">
        <f t="shared" si="16"/>
        <v>1.2902858659556037E-4</v>
      </c>
      <c r="BQ16" s="18" t="s">
        <v>420</v>
      </c>
      <c r="BR16" s="18"/>
    </row>
    <row r="17" spans="1:71" ht="18.75" x14ac:dyDescent="0.25">
      <c r="A17" s="3"/>
      <c r="B17" s="3"/>
      <c r="C17" t="s">
        <v>2</v>
      </c>
      <c r="D17" s="5">
        <v>1</v>
      </c>
      <c r="E17" s="9">
        <f t="shared" si="0"/>
        <v>10</v>
      </c>
      <c r="F17" s="9">
        <f t="shared" si="1"/>
        <v>0</v>
      </c>
      <c r="G17">
        <v>0</v>
      </c>
      <c r="H17">
        <v>90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11.6</v>
      </c>
      <c r="AK17" t="s">
        <v>1</v>
      </c>
      <c r="AL17" t="s">
        <v>372</v>
      </c>
      <c r="AN17" t="s">
        <v>373</v>
      </c>
      <c r="AO17" t="s">
        <v>375</v>
      </c>
      <c r="AQ17" s="1">
        <f t="shared" si="17"/>
        <v>100</v>
      </c>
      <c r="AR17" s="1">
        <f t="shared" si="2"/>
        <v>0.1</v>
      </c>
      <c r="AS17" s="1">
        <f t="shared" si="3"/>
        <v>0</v>
      </c>
      <c r="AT17" s="1">
        <f t="shared" si="4"/>
        <v>0.9</v>
      </c>
      <c r="AU17" s="1">
        <f t="shared" si="5"/>
        <v>0</v>
      </c>
      <c r="AV17" s="1">
        <f t="shared" si="18"/>
        <v>0.11599999999999999</v>
      </c>
      <c r="AX17" s="1">
        <f t="shared" si="19"/>
        <v>0</v>
      </c>
      <c r="AY17" s="1">
        <f t="shared" si="6"/>
        <v>0.11111111111111112</v>
      </c>
      <c r="AZ17" s="1">
        <f t="shared" si="7"/>
        <v>0.5</v>
      </c>
      <c r="BA17" s="1">
        <f t="shared" si="8"/>
        <v>0.5</v>
      </c>
      <c r="BB17" s="1">
        <f t="shared" si="9"/>
        <v>0.11111111111111112</v>
      </c>
      <c r="BC17" s="1">
        <f t="shared" si="10"/>
        <v>0.11111111111111112</v>
      </c>
      <c r="BD17" s="1">
        <f t="shared" si="20"/>
        <v>4.8888888888888732E-3</v>
      </c>
      <c r="BF17">
        <f t="shared" si="11"/>
        <v>90</v>
      </c>
      <c r="BG17">
        <f t="shared" si="25"/>
        <v>10</v>
      </c>
      <c r="BH17" s="1">
        <f t="shared" si="12"/>
        <v>0</v>
      </c>
      <c r="BI17" s="1">
        <f t="shared" si="13"/>
        <v>0.1111111111111111</v>
      </c>
      <c r="BJ17" s="1">
        <f t="shared" si="14"/>
        <v>0.59</v>
      </c>
      <c r="BK17" s="1">
        <f t="shared" si="15"/>
        <v>9.6000000000000002E-2</v>
      </c>
      <c r="BL17" s="1">
        <f t="shared" si="22"/>
        <v>0.1111111111111111</v>
      </c>
      <c r="BM17" s="1">
        <f t="shared" si="23"/>
        <v>0.1111111111111111</v>
      </c>
      <c r="BN17" s="1">
        <f t="shared" si="24"/>
        <v>2.3901234567901216E-5</v>
      </c>
      <c r="BO17" s="1">
        <f t="shared" si="16"/>
        <v>8.5054429090183292E-2</v>
      </c>
      <c r="BQ17" s="7" t="s">
        <v>444</v>
      </c>
      <c r="BR17" s="1">
        <f t="shared" ref="BR17:BR26" si="26">1/BS17</f>
        <v>1</v>
      </c>
      <c r="BS17" s="1">
        <v>1</v>
      </c>
    </row>
    <row r="18" spans="1:71" ht="18.75" x14ac:dyDescent="0.25">
      <c r="A18" s="3"/>
      <c r="B18" s="3"/>
      <c r="C18" t="s">
        <v>3</v>
      </c>
      <c r="D18" s="5">
        <v>1</v>
      </c>
      <c r="E18" s="9">
        <f t="shared" si="0"/>
        <v>20</v>
      </c>
      <c r="F18" s="9">
        <f t="shared" si="1"/>
        <v>0</v>
      </c>
      <c r="G18">
        <v>0</v>
      </c>
      <c r="H18">
        <v>80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32</v>
      </c>
      <c r="AK18" t="s">
        <v>1</v>
      </c>
      <c r="AL18" t="s">
        <v>372</v>
      </c>
      <c r="AQ18" s="1">
        <f t="shared" si="17"/>
        <v>100</v>
      </c>
      <c r="AR18" s="1">
        <f t="shared" si="2"/>
        <v>0.2</v>
      </c>
      <c r="AS18" s="1">
        <f t="shared" si="3"/>
        <v>0</v>
      </c>
      <c r="AT18" s="1">
        <f t="shared" si="4"/>
        <v>0.8</v>
      </c>
      <c r="AU18" s="1">
        <f t="shared" si="5"/>
        <v>0</v>
      </c>
      <c r="AV18" s="1">
        <f t="shared" si="18"/>
        <v>0.32</v>
      </c>
      <c r="AX18" s="1">
        <f t="shared" si="19"/>
        <v>0</v>
      </c>
      <c r="AY18" s="1">
        <f t="shared" si="6"/>
        <v>0.25</v>
      </c>
      <c r="AZ18" s="1">
        <f t="shared" si="7"/>
        <v>0.5</v>
      </c>
      <c r="BA18" s="1">
        <f t="shared" si="8"/>
        <v>0.5</v>
      </c>
      <c r="BB18" s="1">
        <f t="shared" si="9"/>
        <v>0.25</v>
      </c>
      <c r="BC18" s="1">
        <f t="shared" si="10"/>
        <v>0.25</v>
      </c>
      <c r="BD18" s="1">
        <f t="shared" si="20"/>
        <v>7.0000000000000007E-2</v>
      </c>
      <c r="BF18">
        <f t="shared" si="11"/>
        <v>80</v>
      </c>
      <c r="BG18">
        <f t="shared" si="25"/>
        <v>20</v>
      </c>
      <c r="BH18" s="1">
        <f t="shared" si="12"/>
        <v>0</v>
      </c>
      <c r="BI18" s="1">
        <f t="shared" si="13"/>
        <v>0.25</v>
      </c>
      <c r="BJ18" s="1">
        <f t="shared" si="14"/>
        <v>0.59</v>
      </c>
      <c r="BK18" s="1">
        <f t="shared" si="15"/>
        <v>9.6000000000000002E-2</v>
      </c>
      <c r="BL18" s="1">
        <f t="shared" si="22"/>
        <v>0.25</v>
      </c>
      <c r="BM18" s="1">
        <f t="shared" si="23"/>
        <v>0.25</v>
      </c>
      <c r="BN18" s="1">
        <f t="shared" si="24"/>
        <v>4.9000000000000007E-3</v>
      </c>
      <c r="BO18" s="1">
        <f t="shared" si="16"/>
        <v>7.680931721431152E-3</v>
      </c>
      <c r="BQ18" s="7" t="s">
        <v>445</v>
      </c>
      <c r="BR18" s="1">
        <f t="shared" si="26"/>
        <v>1</v>
      </c>
      <c r="BS18" s="1">
        <v>1</v>
      </c>
    </row>
    <row r="19" spans="1:71" ht="18.75" x14ac:dyDescent="0.25">
      <c r="A19" s="3"/>
      <c r="B19" s="3"/>
      <c r="C19" t="s">
        <v>4</v>
      </c>
      <c r="D19" s="5">
        <v>1</v>
      </c>
      <c r="E19" s="9">
        <f t="shared" si="0"/>
        <v>33.299999999999997</v>
      </c>
      <c r="F19" s="9">
        <f t="shared" si="1"/>
        <v>0</v>
      </c>
      <c r="G19">
        <v>0</v>
      </c>
      <c r="H19">
        <v>66.7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33.299999999999997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43</v>
      </c>
      <c r="AK19" t="s">
        <v>1</v>
      </c>
      <c r="AL19" t="s">
        <v>372</v>
      </c>
      <c r="AQ19" s="1">
        <f t="shared" si="17"/>
        <v>100</v>
      </c>
      <c r="AR19" s="1">
        <f t="shared" si="2"/>
        <v>0.33299999999999996</v>
      </c>
      <c r="AS19" s="1">
        <f t="shared" si="3"/>
        <v>0</v>
      </c>
      <c r="AT19" s="1">
        <f t="shared" si="4"/>
        <v>0.66700000000000004</v>
      </c>
      <c r="AU19" s="1">
        <f t="shared" si="5"/>
        <v>0</v>
      </c>
      <c r="AV19" s="1">
        <f t="shared" si="18"/>
        <v>0.43</v>
      </c>
      <c r="AX19" s="1">
        <f t="shared" si="19"/>
        <v>0</v>
      </c>
      <c r="AY19" s="1">
        <f t="shared" si="6"/>
        <v>0.4992503748125936</v>
      </c>
      <c r="AZ19" s="1">
        <f t="shared" si="7"/>
        <v>0.5</v>
      </c>
      <c r="BA19" s="1">
        <f t="shared" si="8"/>
        <v>0.5</v>
      </c>
      <c r="BB19" s="1">
        <f t="shared" si="9"/>
        <v>0.4992503748125936</v>
      </c>
      <c r="BC19" s="1">
        <f t="shared" si="10"/>
        <v>0.4992503748125936</v>
      </c>
      <c r="BD19" s="1">
        <f t="shared" si="20"/>
        <v>6.9250374812593607E-2</v>
      </c>
      <c r="BF19">
        <f t="shared" si="11"/>
        <v>66.7</v>
      </c>
      <c r="BG19">
        <f t="shared" si="25"/>
        <v>33.299999999999997</v>
      </c>
      <c r="BH19" s="1">
        <f t="shared" si="12"/>
        <v>0</v>
      </c>
      <c r="BI19" s="1">
        <f t="shared" si="13"/>
        <v>0.49925037481259366</v>
      </c>
      <c r="BJ19" s="1">
        <f t="shared" si="14"/>
        <v>0.59</v>
      </c>
      <c r="BK19" s="1">
        <f t="shared" si="15"/>
        <v>9.6000000000000002E-2</v>
      </c>
      <c r="BL19" s="1">
        <f t="shared" si="22"/>
        <v>0.49925037481259366</v>
      </c>
      <c r="BM19" s="1">
        <f t="shared" si="23"/>
        <v>0.49925037481259366</v>
      </c>
      <c r="BN19" s="1">
        <f t="shared" si="24"/>
        <v>4.7956144116847064E-3</v>
      </c>
      <c r="BO19" s="1">
        <f t="shared" si="16"/>
        <v>4.9992823828049458E-4</v>
      </c>
      <c r="BQ19" s="7" t="s">
        <v>446</v>
      </c>
      <c r="BR19" s="1">
        <f t="shared" si="26"/>
        <v>1</v>
      </c>
      <c r="BS19" s="1">
        <v>1</v>
      </c>
    </row>
    <row r="20" spans="1:71" ht="18.75" x14ac:dyDescent="0.25">
      <c r="A20" s="3"/>
      <c r="B20" s="3"/>
      <c r="C20" t="s">
        <v>5</v>
      </c>
      <c r="D20" s="5">
        <v>1</v>
      </c>
      <c r="E20" s="9">
        <f t="shared" si="0"/>
        <v>40</v>
      </c>
      <c r="F20" s="9">
        <f t="shared" si="1"/>
        <v>0</v>
      </c>
      <c r="G20">
        <v>0</v>
      </c>
      <c r="H20">
        <v>60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43.8</v>
      </c>
      <c r="AK20" t="s">
        <v>1</v>
      </c>
      <c r="AL20" t="s">
        <v>372</v>
      </c>
      <c r="AQ20" s="1">
        <f t="shared" si="17"/>
        <v>100</v>
      </c>
      <c r="AR20" s="1">
        <f t="shared" si="2"/>
        <v>0.4</v>
      </c>
      <c r="AS20" s="1">
        <f t="shared" si="3"/>
        <v>0</v>
      </c>
      <c r="AT20" s="1">
        <f t="shared" si="4"/>
        <v>0.6</v>
      </c>
      <c r="AU20" s="1">
        <f t="shared" si="5"/>
        <v>0</v>
      </c>
      <c r="AV20" s="1">
        <f t="shared" si="18"/>
        <v>0.43799999999999994</v>
      </c>
      <c r="AX20" s="1">
        <f t="shared" si="19"/>
        <v>0</v>
      </c>
      <c r="AY20" s="1">
        <f t="shared" si="6"/>
        <v>0.66666666666666674</v>
      </c>
      <c r="AZ20" s="1">
        <f t="shared" si="7"/>
        <v>0.5</v>
      </c>
      <c r="BA20" s="1">
        <f t="shared" si="8"/>
        <v>0.5</v>
      </c>
      <c r="BB20" s="1">
        <f t="shared" si="9"/>
        <v>0.44444444444444442</v>
      </c>
      <c r="BC20" s="1">
        <f t="shared" si="10"/>
        <v>0.44444444444444442</v>
      </c>
      <c r="BD20" s="1">
        <f t="shared" si="20"/>
        <v>6.4444444444444748E-3</v>
      </c>
      <c r="BF20">
        <f t="shared" si="11"/>
        <v>60</v>
      </c>
      <c r="BG20">
        <f t="shared" si="25"/>
        <v>40</v>
      </c>
      <c r="BH20" s="1">
        <f t="shared" si="12"/>
        <v>0</v>
      </c>
      <c r="BI20" s="1">
        <f t="shared" si="13"/>
        <v>0.66666666666666663</v>
      </c>
      <c r="BJ20" s="1">
        <f t="shared" si="14"/>
        <v>0.59</v>
      </c>
      <c r="BK20" s="1">
        <f t="shared" si="15"/>
        <v>9.6000000000000002E-2</v>
      </c>
      <c r="BL20" s="1">
        <f t="shared" si="22"/>
        <v>0.39977777777777779</v>
      </c>
      <c r="BM20" s="1">
        <f t="shared" si="23"/>
        <v>0.39977777777777779</v>
      </c>
      <c r="BN20" s="1">
        <f t="shared" si="24"/>
        <v>1.4609382716049334E-3</v>
      </c>
      <c r="BO20" s="1">
        <f t="shared" si="16"/>
        <v>9.2167343950589817E-4</v>
      </c>
      <c r="BQ20" s="7" t="s">
        <v>447</v>
      </c>
      <c r="BR20" s="1">
        <f t="shared" si="26"/>
        <v>1</v>
      </c>
      <c r="BS20" s="1">
        <v>1</v>
      </c>
    </row>
    <row r="21" spans="1:71" x14ac:dyDescent="0.25">
      <c r="A21" s="3"/>
      <c r="B21" s="3"/>
      <c r="C21" t="s">
        <v>6</v>
      </c>
      <c r="D21" s="5">
        <v>1</v>
      </c>
      <c r="E21" s="9">
        <f t="shared" si="0"/>
        <v>7.7</v>
      </c>
      <c r="F21" s="9">
        <f t="shared" si="1"/>
        <v>0.66630552546045507</v>
      </c>
      <c r="G21">
        <v>0</v>
      </c>
      <c r="H21">
        <v>30.8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7.7</v>
      </c>
      <c r="P21">
        <v>0</v>
      </c>
      <c r="Q21">
        <v>61.5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23</v>
      </c>
      <c r="AK21" t="s">
        <v>1</v>
      </c>
      <c r="AL21" t="s">
        <v>372</v>
      </c>
      <c r="AQ21" s="1">
        <f t="shared" si="17"/>
        <v>100</v>
      </c>
      <c r="AR21" s="1">
        <f t="shared" si="2"/>
        <v>7.6999999999999999E-2</v>
      </c>
      <c r="AS21" s="1">
        <f t="shared" si="3"/>
        <v>0</v>
      </c>
      <c r="AT21" s="1">
        <f t="shared" si="4"/>
        <v>0.308</v>
      </c>
      <c r="AU21" s="1">
        <f t="shared" si="5"/>
        <v>0.61499999999999999</v>
      </c>
      <c r="AV21" s="1">
        <f t="shared" si="18"/>
        <v>0.23</v>
      </c>
      <c r="AX21" s="1">
        <f t="shared" si="19"/>
        <v>1.9967532467532467</v>
      </c>
      <c r="AY21" s="1">
        <f t="shared" si="6"/>
        <v>0.25</v>
      </c>
      <c r="AZ21" s="1">
        <f t="shared" si="7"/>
        <v>0.62479707792207795</v>
      </c>
      <c r="BA21" s="1">
        <f t="shared" si="8"/>
        <v>0.99918831168831168</v>
      </c>
      <c r="BB21" s="1">
        <f t="shared" si="9"/>
        <v>0.25</v>
      </c>
      <c r="BC21" s="1">
        <f t="shared" si="10"/>
        <v>0.25</v>
      </c>
      <c r="BD21" s="1">
        <f t="shared" si="20"/>
        <v>1.999999999999999E-2</v>
      </c>
      <c r="BF21">
        <f t="shared" si="11"/>
        <v>30.8</v>
      </c>
      <c r="BG21">
        <f t="shared" si="25"/>
        <v>7.7</v>
      </c>
      <c r="BH21" s="1">
        <f t="shared" si="12"/>
        <v>1.9967532467532467</v>
      </c>
      <c r="BI21" s="1">
        <f t="shared" si="13"/>
        <v>0.25</v>
      </c>
      <c r="BJ21" s="1">
        <f t="shared" si="14"/>
        <v>0.62793831168831171</v>
      </c>
      <c r="BK21" s="1">
        <f t="shared" si="15"/>
        <v>1.0983701298701301</v>
      </c>
      <c r="BL21" s="1">
        <f t="shared" si="22"/>
        <v>0.25</v>
      </c>
      <c r="BM21" s="1">
        <f t="shared" si="23"/>
        <v>0.25</v>
      </c>
      <c r="BN21" s="1">
        <f t="shared" si="24"/>
        <v>3.9999999999999959E-4</v>
      </c>
      <c r="BO21" s="1">
        <f t="shared" si="16"/>
        <v>3.1556298207645328E-2</v>
      </c>
      <c r="BQ21" s="7" t="s">
        <v>0</v>
      </c>
      <c r="BR21" s="1">
        <f t="shared" si="26"/>
        <v>0.5</v>
      </c>
      <c r="BS21" s="1">
        <v>2</v>
      </c>
    </row>
    <row r="22" spans="1:71" x14ac:dyDescent="0.25">
      <c r="A22" s="3"/>
      <c r="B22" s="3"/>
      <c r="C22" t="s">
        <v>7</v>
      </c>
      <c r="D22" s="5">
        <v>1</v>
      </c>
      <c r="E22" s="9">
        <f t="shared" si="0"/>
        <v>14.3</v>
      </c>
      <c r="F22" s="9">
        <f t="shared" si="1"/>
        <v>0.66627771295215865</v>
      </c>
      <c r="G22">
        <v>0</v>
      </c>
      <c r="H22">
        <v>28.6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14.3</v>
      </c>
      <c r="P22">
        <v>0</v>
      </c>
      <c r="Q22">
        <v>57.1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45</v>
      </c>
      <c r="AK22" t="s">
        <v>1</v>
      </c>
      <c r="AL22" t="s">
        <v>372</v>
      </c>
      <c r="AQ22" s="1">
        <f t="shared" si="17"/>
        <v>100</v>
      </c>
      <c r="AR22" s="1">
        <f t="shared" si="2"/>
        <v>0.14300000000000002</v>
      </c>
      <c r="AS22" s="1">
        <f t="shared" si="3"/>
        <v>0</v>
      </c>
      <c r="AT22" s="1">
        <f t="shared" si="4"/>
        <v>0.28600000000000003</v>
      </c>
      <c r="AU22" s="1">
        <f t="shared" si="5"/>
        <v>0.57100000000000006</v>
      </c>
      <c r="AV22" s="1">
        <f t="shared" si="18"/>
        <v>0.45</v>
      </c>
      <c r="AX22" s="1">
        <f t="shared" si="19"/>
        <v>1.9965034965034965</v>
      </c>
      <c r="AY22" s="1">
        <f t="shared" si="6"/>
        <v>0.5</v>
      </c>
      <c r="AZ22" s="1">
        <f t="shared" si="7"/>
        <v>0.62478146853146854</v>
      </c>
      <c r="BA22" s="1">
        <f t="shared" si="8"/>
        <v>0.99912587412587417</v>
      </c>
      <c r="BB22" s="1">
        <f t="shared" si="9"/>
        <v>0.5</v>
      </c>
      <c r="BC22" s="1">
        <f t="shared" si="10"/>
        <v>0.5</v>
      </c>
      <c r="BD22" s="1">
        <f t="shared" si="20"/>
        <v>4.9999999999999989E-2</v>
      </c>
      <c r="BF22">
        <f t="shared" si="11"/>
        <v>28.6</v>
      </c>
      <c r="BG22">
        <f t="shared" si="25"/>
        <v>14.3</v>
      </c>
      <c r="BH22" s="1">
        <f t="shared" si="12"/>
        <v>1.9965034965034965</v>
      </c>
      <c r="BI22" s="1">
        <f t="shared" si="13"/>
        <v>0.5</v>
      </c>
      <c r="BJ22" s="1">
        <f t="shared" si="14"/>
        <v>0.62793356643356635</v>
      </c>
      <c r="BK22" s="1">
        <f t="shared" si="15"/>
        <v>1.0982447552447554</v>
      </c>
      <c r="BL22" s="1">
        <f t="shared" si="22"/>
        <v>0.5</v>
      </c>
      <c r="BM22" s="1">
        <f t="shared" si="23"/>
        <v>0.5</v>
      </c>
      <c r="BN22" s="1">
        <f t="shared" si="24"/>
        <v>2.4999999999999988E-3</v>
      </c>
      <c r="BO22" s="1">
        <f t="shared" si="16"/>
        <v>1.7942912413440124E-3</v>
      </c>
      <c r="BQ22" s="7" t="s">
        <v>41</v>
      </c>
      <c r="BR22" s="1">
        <f t="shared" si="26"/>
        <v>0.5</v>
      </c>
      <c r="BS22" s="1">
        <v>2</v>
      </c>
    </row>
    <row r="23" spans="1:71" x14ac:dyDescent="0.25">
      <c r="A23" s="3"/>
      <c r="B23" s="3"/>
      <c r="C23" t="s">
        <v>8</v>
      </c>
      <c r="D23" s="5">
        <v>1</v>
      </c>
      <c r="E23" s="9">
        <f t="shared" si="0"/>
        <v>20</v>
      </c>
      <c r="F23" s="9">
        <f t="shared" si="1"/>
        <v>0.66625000000000001</v>
      </c>
      <c r="G23">
        <v>0</v>
      </c>
      <c r="H23">
        <v>26.7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20</v>
      </c>
      <c r="P23">
        <v>0</v>
      </c>
      <c r="Q23">
        <v>53.3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58.1</v>
      </c>
      <c r="AK23" t="s">
        <v>1</v>
      </c>
      <c r="AL23" t="s">
        <v>372</v>
      </c>
      <c r="AQ23" s="1">
        <f t="shared" si="17"/>
        <v>100</v>
      </c>
      <c r="AR23" s="1">
        <f t="shared" si="2"/>
        <v>0.2</v>
      </c>
      <c r="AS23" s="1">
        <f t="shared" si="3"/>
        <v>0</v>
      </c>
      <c r="AT23" s="1">
        <f t="shared" si="4"/>
        <v>0.26700000000000002</v>
      </c>
      <c r="AU23" s="1">
        <f t="shared" si="5"/>
        <v>0.53299999999999992</v>
      </c>
      <c r="AV23" s="1">
        <f t="shared" si="18"/>
        <v>0.58099999999999996</v>
      </c>
      <c r="AX23" s="1">
        <f t="shared" si="19"/>
        <v>1.9962546816479396</v>
      </c>
      <c r="AY23" s="1">
        <f t="shared" si="6"/>
        <v>0.74906367041198507</v>
      </c>
      <c r="AZ23" s="1">
        <f t="shared" si="7"/>
        <v>0.62476591760299627</v>
      </c>
      <c r="BA23" s="1">
        <f t="shared" si="8"/>
        <v>0.99906367041198485</v>
      </c>
      <c r="BB23" s="1">
        <f t="shared" si="9"/>
        <v>0.62476591760299627</v>
      </c>
      <c r="BC23" s="1">
        <f t="shared" si="10"/>
        <v>0.62476591760299627</v>
      </c>
      <c r="BD23" s="1">
        <f t="shared" si="20"/>
        <v>4.3765917602996307E-2</v>
      </c>
      <c r="BF23">
        <f t="shared" si="11"/>
        <v>26.7</v>
      </c>
      <c r="BG23">
        <f t="shared" si="25"/>
        <v>20</v>
      </c>
      <c r="BH23" s="1">
        <f t="shared" si="12"/>
        <v>1.9962546816479401</v>
      </c>
      <c r="BI23" s="1">
        <f t="shared" si="13"/>
        <v>0.74906367041198507</v>
      </c>
      <c r="BJ23" s="1">
        <f t="shared" si="14"/>
        <v>0.6279288389513108</v>
      </c>
      <c r="BK23" s="1">
        <f t="shared" si="15"/>
        <v>1.098119850187266</v>
      </c>
      <c r="BL23" s="1">
        <f t="shared" si="22"/>
        <v>0.6279288389513108</v>
      </c>
      <c r="BM23" s="1">
        <f t="shared" si="23"/>
        <v>0.6279288389513108</v>
      </c>
      <c r="BN23" s="1">
        <f t="shared" si="24"/>
        <v>2.202315925318069E-3</v>
      </c>
      <c r="BO23" s="1">
        <f t="shared" si="16"/>
        <v>3.0053368911410031E-2</v>
      </c>
      <c r="BQ23" s="7" t="s">
        <v>148</v>
      </c>
      <c r="BR23" s="1">
        <f t="shared" si="26"/>
        <v>0.5</v>
      </c>
      <c r="BS23" s="1">
        <v>2</v>
      </c>
    </row>
    <row r="24" spans="1:71" x14ac:dyDescent="0.25">
      <c r="A24" s="3"/>
      <c r="B24" s="3"/>
      <c r="C24" t="s">
        <v>9</v>
      </c>
      <c r="D24" s="5">
        <v>1</v>
      </c>
      <c r="E24" s="9">
        <f t="shared" si="0"/>
        <v>45.4</v>
      </c>
      <c r="F24" s="9">
        <f t="shared" si="1"/>
        <v>0.66666666666666674</v>
      </c>
      <c r="G24">
        <v>0</v>
      </c>
      <c r="H24">
        <v>18.2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45.4</v>
      </c>
      <c r="P24">
        <v>0</v>
      </c>
      <c r="Q24">
        <v>36.4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35</v>
      </c>
      <c r="AK24" t="s">
        <v>1</v>
      </c>
      <c r="AL24" t="s">
        <v>372</v>
      </c>
      <c r="AQ24" s="1">
        <f t="shared" si="17"/>
        <v>100</v>
      </c>
      <c r="AR24" s="1">
        <f t="shared" si="2"/>
        <v>0.45399999999999996</v>
      </c>
      <c r="AS24" s="1">
        <f t="shared" si="3"/>
        <v>0</v>
      </c>
      <c r="AT24" s="1">
        <f t="shared" si="4"/>
        <v>0.182</v>
      </c>
      <c r="AU24" s="1">
        <f t="shared" si="5"/>
        <v>0.36399999999999999</v>
      </c>
      <c r="AV24" s="1">
        <f t="shared" si="18"/>
        <v>0.35</v>
      </c>
      <c r="AX24" s="1">
        <f t="shared" si="19"/>
        <v>2</v>
      </c>
      <c r="AY24" s="1">
        <f t="shared" si="6"/>
        <v>2.4945054945054945</v>
      </c>
      <c r="AZ24" s="1">
        <f t="shared" si="7"/>
        <v>0.625</v>
      </c>
      <c r="BA24" s="1">
        <f t="shared" si="8"/>
        <v>1</v>
      </c>
      <c r="BB24" s="1">
        <f t="shared" si="9"/>
        <v>0.31364468864468864</v>
      </c>
      <c r="BC24" s="1">
        <f t="shared" si="10"/>
        <v>0.31364468864468864</v>
      </c>
      <c r="BD24" s="1">
        <f t="shared" si="20"/>
        <v>3.6355311355311337E-2</v>
      </c>
      <c r="BF24">
        <f t="shared" si="11"/>
        <v>18.2</v>
      </c>
      <c r="BG24">
        <f t="shared" si="25"/>
        <v>45.4</v>
      </c>
      <c r="BH24" s="1">
        <f t="shared" si="12"/>
        <v>2</v>
      </c>
      <c r="BI24" s="1">
        <f t="shared" si="13"/>
        <v>2.4945054945054945</v>
      </c>
      <c r="BJ24" s="1">
        <f t="shared" si="14"/>
        <v>0.628</v>
      </c>
      <c r="BK24" s="1">
        <f t="shared" si="15"/>
        <v>1.1000000000000001</v>
      </c>
      <c r="BL24" s="1">
        <f t="shared" si="22"/>
        <v>0.33747802197802196</v>
      </c>
      <c r="BM24" s="1">
        <f t="shared" si="23"/>
        <v>0.33747802197802196</v>
      </c>
      <c r="BN24" s="1">
        <f t="shared" si="24"/>
        <v>1.5679993358290055E-4</v>
      </c>
      <c r="BO24" s="1">
        <f t="shared" si="16"/>
        <v>3.3224762260264311E-3</v>
      </c>
      <c r="BQ24" s="7" t="s">
        <v>94</v>
      </c>
      <c r="BR24" s="1">
        <f t="shared" si="26"/>
        <v>0.5</v>
      </c>
      <c r="BS24" s="1">
        <v>2</v>
      </c>
    </row>
    <row r="25" spans="1:71" x14ac:dyDescent="0.25">
      <c r="A25" s="3"/>
      <c r="B25" s="3"/>
      <c r="C25" t="s">
        <v>10</v>
      </c>
      <c r="D25" s="5">
        <v>1</v>
      </c>
      <c r="E25" s="9">
        <f t="shared" si="0"/>
        <v>25</v>
      </c>
      <c r="F25" s="9">
        <f t="shared" si="1"/>
        <v>0.33333333333333331</v>
      </c>
      <c r="G25">
        <v>0</v>
      </c>
      <c r="H25">
        <v>50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25</v>
      </c>
      <c r="P25">
        <v>0</v>
      </c>
      <c r="Q25">
        <v>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42</v>
      </c>
      <c r="AK25" t="s">
        <v>1</v>
      </c>
      <c r="AL25" t="s">
        <v>372</v>
      </c>
      <c r="AQ25" s="1">
        <f t="shared" si="17"/>
        <v>100</v>
      </c>
      <c r="AR25" s="1">
        <f t="shared" si="2"/>
        <v>0.25</v>
      </c>
      <c r="AS25" s="1">
        <f t="shared" si="3"/>
        <v>0</v>
      </c>
      <c r="AT25" s="1">
        <f t="shared" si="4"/>
        <v>0.5</v>
      </c>
      <c r="AU25" s="1">
        <f t="shared" si="5"/>
        <v>0.25</v>
      </c>
      <c r="AV25" s="1">
        <f t="shared" si="18"/>
        <v>0.42</v>
      </c>
      <c r="AX25" s="1">
        <f t="shared" si="19"/>
        <v>0.5</v>
      </c>
      <c r="AY25" s="1">
        <f t="shared" si="6"/>
        <v>0.5</v>
      </c>
      <c r="AZ25" s="1">
        <f t="shared" si="7"/>
        <v>0.53125</v>
      </c>
      <c r="BA25" s="1">
        <f t="shared" si="8"/>
        <v>0.625</v>
      </c>
      <c r="BB25" s="1">
        <f t="shared" si="9"/>
        <v>0.5</v>
      </c>
      <c r="BC25" s="1">
        <f t="shared" si="10"/>
        <v>0.5</v>
      </c>
      <c r="BD25" s="1">
        <f t="shared" si="20"/>
        <v>8.0000000000000016E-2</v>
      </c>
      <c r="BF25">
        <f t="shared" si="11"/>
        <v>50</v>
      </c>
      <c r="BG25">
        <f t="shared" si="25"/>
        <v>25</v>
      </c>
      <c r="BH25" s="1">
        <f t="shared" si="12"/>
        <v>0.5</v>
      </c>
      <c r="BI25" s="1">
        <f t="shared" si="13"/>
        <v>0.5</v>
      </c>
      <c r="BJ25" s="1">
        <f t="shared" si="14"/>
        <v>0.59949999999999992</v>
      </c>
      <c r="BK25" s="1">
        <f t="shared" si="15"/>
        <v>0.34699999999999998</v>
      </c>
      <c r="BL25" s="1">
        <f t="shared" si="22"/>
        <v>0.5</v>
      </c>
      <c r="BM25" s="1">
        <f t="shared" si="23"/>
        <v>0.5</v>
      </c>
      <c r="BN25" s="1">
        <f t="shared" si="24"/>
        <v>6.4000000000000029E-3</v>
      </c>
      <c r="BO25" s="1">
        <f t="shared" si="16"/>
        <v>1.527467367487362E-4</v>
      </c>
      <c r="BQ25" s="7" t="s">
        <v>300</v>
      </c>
      <c r="BR25" s="1">
        <f t="shared" si="26"/>
        <v>0.5</v>
      </c>
      <c r="BS25" s="1">
        <v>2</v>
      </c>
    </row>
    <row r="26" spans="1:71" x14ac:dyDescent="0.25">
      <c r="A26" s="3"/>
      <c r="B26" s="3"/>
      <c r="C26" t="s">
        <v>12</v>
      </c>
      <c r="D26" s="5">
        <v>1</v>
      </c>
      <c r="E26" s="9">
        <f t="shared" si="0"/>
        <v>17.7</v>
      </c>
      <c r="F26" s="9">
        <f t="shared" si="1"/>
        <v>0.83596597812879703</v>
      </c>
      <c r="G26">
        <v>0</v>
      </c>
      <c r="H26">
        <v>13.5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17.7</v>
      </c>
      <c r="P26">
        <v>0</v>
      </c>
      <c r="Q26">
        <v>68.8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83</v>
      </c>
      <c r="AK26" t="s">
        <v>1</v>
      </c>
      <c r="AL26" t="s">
        <v>372</v>
      </c>
      <c r="AQ26" s="1">
        <f t="shared" si="17"/>
        <v>100</v>
      </c>
      <c r="AR26" s="1">
        <f t="shared" si="2"/>
        <v>0.17699999999999999</v>
      </c>
      <c r="AS26" s="1">
        <f t="shared" si="3"/>
        <v>0</v>
      </c>
      <c r="AT26" s="1">
        <f t="shared" si="4"/>
        <v>0.13500000000000001</v>
      </c>
      <c r="AU26" s="1">
        <f t="shared" si="5"/>
        <v>0.68799999999999994</v>
      </c>
      <c r="AV26" s="1">
        <f t="shared" si="18"/>
        <v>0.83</v>
      </c>
      <c r="AX26" s="1">
        <f t="shared" si="19"/>
        <v>5.0962962962962957</v>
      </c>
      <c r="AY26" s="1">
        <f t="shared" si="6"/>
        <v>1.3111111111111109</v>
      </c>
      <c r="AZ26" s="1">
        <f t="shared" si="7"/>
        <v>0.81851851851851842</v>
      </c>
      <c r="BA26" s="1">
        <f t="shared" si="8"/>
        <v>1.7740740740740739</v>
      </c>
      <c r="BB26" s="1">
        <f t="shared" si="9"/>
        <v>0.81851851851851842</v>
      </c>
      <c r="BC26" s="1">
        <f t="shared" si="10"/>
        <v>0.81851851851851842</v>
      </c>
      <c r="BD26" s="1">
        <f t="shared" si="20"/>
        <v>1.1481481481481537E-2</v>
      </c>
      <c r="BF26">
        <f t="shared" si="11"/>
        <v>13.5</v>
      </c>
      <c r="BG26">
        <f t="shared" si="25"/>
        <v>17.7</v>
      </c>
      <c r="BH26" s="1">
        <f t="shared" si="12"/>
        <v>5.0962962962962957</v>
      </c>
      <c r="BI26" s="1">
        <f t="shared" si="13"/>
        <v>1.3111111111111111</v>
      </c>
      <c r="BJ26" s="1">
        <f t="shared" si="14"/>
        <v>0.68682962962962957</v>
      </c>
      <c r="BK26" s="1">
        <f t="shared" si="15"/>
        <v>2.6543407407407407</v>
      </c>
      <c r="BL26" s="1">
        <f t="shared" si="22"/>
        <v>0.68682962962962957</v>
      </c>
      <c r="BM26" s="1">
        <f t="shared" si="23"/>
        <v>0.68682962962962957</v>
      </c>
      <c r="BN26" s="1">
        <f t="shared" si="24"/>
        <v>2.0497754951989033E-2</v>
      </c>
      <c r="BO26" s="1">
        <f t="shared" si="16"/>
        <v>0.1783871882995508</v>
      </c>
      <c r="BQ26" s="7" t="s">
        <v>299</v>
      </c>
      <c r="BR26" s="1">
        <f t="shared" si="26"/>
        <v>0.5</v>
      </c>
      <c r="BS26" s="1">
        <v>2</v>
      </c>
    </row>
    <row r="27" spans="1:71" x14ac:dyDescent="0.25">
      <c r="A27" s="3"/>
      <c r="B27" s="3"/>
      <c r="C27" t="s">
        <v>11</v>
      </c>
      <c r="D27" s="5">
        <v>1</v>
      </c>
      <c r="E27" s="9">
        <f t="shared" si="0"/>
        <v>44.5</v>
      </c>
      <c r="F27" s="9">
        <f t="shared" si="1"/>
        <v>0.80180180180180183</v>
      </c>
      <c r="G27">
        <v>0</v>
      </c>
      <c r="H27">
        <v>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44.5</v>
      </c>
      <c r="P27">
        <v>0</v>
      </c>
      <c r="Q27">
        <v>44.5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38</v>
      </c>
      <c r="AK27" t="s">
        <v>1</v>
      </c>
      <c r="AL27" t="s">
        <v>372</v>
      </c>
      <c r="AQ27" s="1">
        <f t="shared" si="17"/>
        <v>100</v>
      </c>
      <c r="AR27" s="1">
        <f t="shared" si="2"/>
        <v>0.44500000000000001</v>
      </c>
      <c r="AS27" s="1">
        <f t="shared" si="3"/>
        <v>0</v>
      </c>
      <c r="AT27" s="1">
        <f t="shared" si="4"/>
        <v>0.11</v>
      </c>
      <c r="AU27" s="1">
        <f t="shared" si="5"/>
        <v>0.44500000000000001</v>
      </c>
      <c r="AV27" s="1">
        <f t="shared" si="18"/>
        <v>0.38</v>
      </c>
      <c r="AX27" s="1">
        <f t="shared" si="19"/>
        <v>4.0454545454545459</v>
      </c>
      <c r="AY27" s="1">
        <f t="shared" si="6"/>
        <v>4.0454545454545459</v>
      </c>
      <c r="AZ27" s="1">
        <f t="shared" si="7"/>
        <v>0.75284090909090917</v>
      </c>
      <c r="BA27" s="1">
        <f t="shared" si="8"/>
        <v>1.5113636363636365</v>
      </c>
      <c r="BB27" s="1">
        <f t="shared" si="9"/>
        <v>0.33208020050125314</v>
      </c>
      <c r="BC27" s="1">
        <f t="shared" si="10"/>
        <v>0.33208020050125314</v>
      </c>
      <c r="BD27" s="1">
        <f t="shared" si="20"/>
        <v>4.7919799498746862E-2</v>
      </c>
      <c r="BF27">
        <f t="shared" si="11"/>
        <v>11</v>
      </c>
      <c r="BG27">
        <f t="shared" si="25"/>
        <v>44.5</v>
      </c>
      <c r="BH27" s="1">
        <f t="shared" si="12"/>
        <v>4.0454545454545459</v>
      </c>
      <c r="BI27" s="1">
        <f t="shared" si="13"/>
        <v>4.0454545454545459</v>
      </c>
      <c r="BJ27" s="1">
        <f t="shared" si="14"/>
        <v>0.66686363636363633</v>
      </c>
      <c r="BK27" s="1">
        <f t="shared" si="15"/>
        <v>2.1268181818181819</v>
      </c>
      <c r="BL27" s="1">
        <f t="shared" si="22"/>
        <v>0.34829306220095679</v>
      </c>
      <c r="BM27" s="1">
        <f t="shared" si="23"/>
        <v>0.34829306220095679</v>
      </c>
      <c r="BN27" s="1">
        <f t="shared" si="24"/>
        <v>1.0053299045923952E-3</v>
      </c>
      <c r="BO27" s="1">
        <f t="shared" si="16"/>
        <v>7.6402073062170313E-4</v>
      </c>
      <c r="BQ27" s="17" t="s">
        <v>814</v>
      </c>
      <c r="BR27" s="1">
        <v>0.5</v>
      </c>
      <c r="BS27" s="1">
        <v>2</v>
      </c>
    </row>
    <row r="28" spans="1:71" x14ac:dyDescent="0.25">
      <c r="A28" s="3"/>
      <c r="B28" s="3"/>
      <c r="C28" t="s">
        <v>14</v>
      </c>
      <c r="D28" s="5">
        <v>1</v>
      </c>
      <c r="E28" s="9">
        <f t="shared" si="0"/>
        <v>14</v>
      </c>
      <c r="F28" s="9">
        <f t="shared" si="1"/>
        <v>0.80232558139534882</v>
      </c>
      <c r="G28">
        <v>0</v>
      </c>
      <c r="H28">
        <v>17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10</v>
      </c>
      <c r="P28">
        <v>0</v>
      </c>
      <c r="Q28">
        <v>69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61</v>
      </c>
      <c r="AK28" t="s">
        <v>1</v>
      </c>
      <c r="AL28" t="s">
        <v>374</v>
      </c>
      <c r="AN28" t="s">
        <v>373</v>
      </c>
      <c r="AO28" t="s">
        <v>375</v>
      </c>
      <c r="AQ28" s="1">
        <f t="shared" si="17"/>
        <v>100</v>
      </c>
      <c r="AR28" s="1">
        <f t="shared" si="2"/>
        <v>0.1</v>
      </c>
      <c r="AS28" s="1">
        <f t="shared" si="3"/>
        <v>0</v>
      </c>
      <c r="AT28" s="1">
        <f t="shared" si="4"/>
        <v>0.17</v>
      </c>
      <c r="AU28" s="1">
        <f t="shared" si="5"/>
        <v>0.69</v>
      </c>
      <c r="AV28" s="1">
        <f t="shared" si="18"/>
        <v>0.61</v>
      </c>
      <c r="AX28" s="1">
        <f t="shared" si="19"/>
        <v>4.0588235294117645</v>
      </c>
      <c r="AY28" s="1">
        <f t="shared" si="6"/>
        <v>0.58823529411764708</v>
      </c>
      <c r="AZ28" s="1">
        <f t="shared" si="7"/>
        <v>0.75367647058823528</v>
      </c>
      <c r="BA28" s="1">
        <f t="shared" si="8"/>
        <v>1.5147058823529411</v>
      </c>
      <c r="BB28" s="1">
        <f t="shared" si="9"/>
        <v>0.58823529411764708</v>
      </c>
      <c r="BC28" s="1">
        <f t="shared" si="10"/>
        <v>0.58823529411764708</v>
      </c>
      <c r="BD28" s="1">
        <f t="shared" si="20"/>
        <v>2.1764705882352908E-2</v>
      </c>
      <c r="BF28">
        <f t="shared" si="11"/>
        <v>17</v>
      </c>
      <c r="BG28">
        <f t="shared" si="25"/>
        <v>12</v>
      </c>
      <c r="BH28" s="1">
        <f t="shared" si="12"/>
        <v>4.0588235294117645</v>
      </c>
      <c r="BI28" s="1">
        <f t="shared" si="13"/>
        <v>0.70588235294117652</v>
      </c>
      <c r="BJ28" s="1">
        <f t="shared" si="14"/>
        <v>0.66711764705882348</v>
      </c>
      <c r="BK28" s="1">
        <f t="shared" si="15"/>
        <v>2.1335294117647057</v>
      </c>
      <c r="BL28" s="1">
        <f t="shared" si="22"/>
        <v>0.66711764705882348</v>
      </c>
      <c r="BM28" s="1">
        <f t="shared" si="23"/>
        <v>0.66711764705882348</v>
      </c>
      <c r="BN28" s="1">
        <f t="shared" si="24"/>
        <v>3.2624256055363283E-3</v>
      </c>
      <c r="BO28" s="1">
        <f t="shared" si="16"/>
        <v>4.094919526585214E-2</v>
      </c>
      <c r="BQ28" s="7" t="s">
        <v>298</v>
      </c>
      <c r="BR28" s="1">
        <f>1/BS28</f>
        <v>0.33333333333333331</v>
      </c>
      <c r="BS28" s="1">
        <v>3</v>
      </c>
    </row>
    <row r="29" spans="1:71" x14ac:dyDescent="0.25">
      <c r="A29" s="3"/>
      <c r="B29" s="3"/>
      <c r="C29" t="s">
        <v>15</v>
      </c>
      <c r="D29" s="5">
        <v>1</v>
      </c>
      <c r="E29" s="9">
        <f t="shared" si="0"/>
        <v>14</v>
      </c>
      <c r="F29" s="9">
        <f t="shared" si="1"/>
        <v>0.7831325301204819</v>
      </c>
      <c r="G29">
        <v>0</v>
      </c>
      <c r="H29">
        <v>18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>
        <v>10</v>
      </c>
      <c r="P29">
        <v>0</v>
      </c>
      <c r="Q29">
        <v>65</v>
      </c>
      <c r="R29">
        <v>0</v>
      </c>
      <c r="S29">
        <v>0</v>
      </c>
      <c r="T29">
        <v>0</v>
      </c>
      <c r="U29">
        <v>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47</v>
      </c>
      <c r="AK29" t="s">
        <v>1</v>
      </c>
      <c r="AL29" t="s">
        <v>374</v>
      </c>
      <c r="AQ29" s="1">
        <f t="shared" si="17"/>
        <v>101</v>
      </c>
      <c r="AR29" s="1">
        <f t="shared" si="2"/>
        <v>0.1</v>
      </c>
      <c r="AS29" s="1">
        <f t="shared" si="3"/>
        <v>0</v>
      </c>
      <c r="AT29" s="1">
        <f t="shared" si="4"/>
        <v>0.18</v>
      </c>
      <c r="AU29" s="1">
        <f t="shared" si="5"/>
        <v>0.65</v>
      </c>
      <c r="AV29" s="1">
        <f t="shared" si="18"/>
        <v>0.47</v>
      </c>
      <c r="AX29" s="1">
        <f t="shared" si="19"/>
        <v>3.6111111111111112</v>
      </c>
      <c r="AY29" s="1">
        <f t="shared" si="6"/>
        <v>0.55555555555555558</v>
      </c>
      <c r="AZ29" s="1">
        <f t="shared" si="7"/>
        <v>0.72569444444444442</v>
      </c>
      <c r="BA29" s="1">
        <f t="shared" si="8"/>
        <v>1.4027777777777777</v>
      </c>
      <c r="BB29" s="1">
        <f t="shared" si="9"/>
        <v>0.55555555555555558</v>
      </c>
      <c r="BC29" s="1">
        <f t="shared" si="10"/>
        <v>0.55555555555555558</v>
      </c>
      <c r="BD29" s="1">
        <f t="shared" si="20"/>
        <v>8.5555555555555607E-2</v>
      </c>
      <c r="BF29">
        <f t="shared" si="11"/>
        <v>30</v>
      </c>
      <c r="BG29">
        <f t="shared" si="25"/>
        <v>12</v>
      </c>
      <c r="BH29" s="1">
        <f t="shared" si="12"/>
        <v>2.1666666666666665</v>
      </c>
      <c r="BI29" s="1">
        <f t="shared" si="13"/>
        <v>0.4</v>
      </c>
      <c r="BJ29" s="1">
        <f t="shared" si="14"/>
        <v>0.63116666666666665</v>
      </c>
      <c r="BK29" s="1">
        <f t="shared" si="15"/>
        <v>1.1836666666666666</v>
      </c>
      <c r="BL29" s="1">
        <f t="shared" si="22"/>
        <v>0.4</v>
      </c>
      <c r="BM29" s="1">
        <f t="shared" si="23"/>
        <v>0.4</v>
      </c>
      <c r="BN29" s="1">
        <f t="shared" si="24"/>
        <v>4.8999999999999929E-3</v>
      </c>
      <c r="BO29" s="1">
        <f t="shared" si="16"/>
        <v>3.8886542444075247E-3</v>
      </c>
      <c r="BQ29" s="7" t="s">
        <v>276</v>
      </c>
      <c r="BR29" s="1">
        <f>1/BS29</f>
        <v>0.33333333333333331</v>
      </c>
      <c r="BS29" s="1">
        <v>3</v>
      </c>
    </row>
    <row r="30" spans="1:71" ht="18.75" x14ac:dyDescent="0.25">
      <c r="A30" s="3"/>
      <c r="B30" s="3"/>
      <c r="C30" t="s">
        <v>16</v>
      </c>
      <c r="D30" s="5">
        <v>1</v>
      </c>
      <c r="E30" s="9">
        <f t="shared" si="0"/>
        <v>18</v>
      </c>
      <c r="F30" s="9">
        <f t="shared" si="1"/>
        <v>0.78749999999999998</v>
      </c>
      <c r="G30">
        <v>0</v>
      </c>
      <c r="H30">
        <v>17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18</v>
      </c>
      <c r="P30">
        <v>0</v>
      </c>
      <c r="Q30">
        <v>63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73</v>
      </c>
      <c r="AK30" t="s">
        <v>1</v>
      </c>
      <c r="AL30" t="s">
        <v>374</v>
      </c>
      <c r="AQ30" s="1">
        <f t="shared" si="17"/>
        <v>100</v>
      </c>
      <c r="AR30" s="1">
        <f t="shared" si="2"/>
        <v>0.18</v>
      </c>
      <c r="AS30" s="1">
        <f t="shared" si="3"/>
        <v>0</v>
      </c>
      <c r="AT30" s="1">
        <f t="shared" si="4"/>
        <v>0.17</v>
      </c>
      <c r="AU30" s="1">
        <f t="shared" si="5"/>
        <v>0.63</v>
      </c>
      <c r="AV30" s="1">
        <f t="shared" si="18"/>
        <v>0.73</v>
      </c>
      <c r="AX30" s="1">
        <f t="shared" si="19"/>
        <v>3.7058823529411762</v>
      </c>
      <c r="AY30" s="1">
        <f t="shared" si="6"/>
        <v>1.0588235294117645</v>
      </c>
      <c r="AZ30" s="1">
        <f t="shared" si="7"/>
        <v>0.73161764705882348</v>
      </c>
      <c r="BA30" s="1">
        <f t="shared" si="8"/>
        <v>1.4264705882352939</v>
      </c>
      <c r="BB30" s="1">
        <f t="shared" si="9"/>
        <v>0.73161764705882348</v>
      </c>
      <c r="BC30" s="1">
        <f t="shared" si="10"/>
        <v>0.73161764705882348</v>
      </c>
      <c r="BD30" s="1">
        <f t="shared" si="20"/>
        <v>1.6176470588235015E-3</v>
      </c>
      <c r="BF30">
        <f t="shared" si="11"/>
        <v>23</v>
      </c>
      <c r="BG30">
        <f t="shared" si="25"/>
        <v>18</v>
      </c>
      <c r="BH30" s="1">
        <f t="shared" si="12"/>
        <v>2.7391304347826089</v>
      </c>
      <c r="BI30" s="1">
        <f t="shared" si="13"/>
        <v>0.78260869565217395</v>
      </c>
      <c r="BJ30" s="1">
        <f t="shared" si="14"/>
        <v>0.64204347826086949</v>
      </c>
      <c r="BK30" s="1">
        <f t="shared" si="15"/>
        <v>1.4710434782608697</v>
      </c>
      <c r="BL30" s="1">
        <f t="shared" si="22"/>
        <v>0.64204347826086949</v>
      </c>
      <c r="BM30" s="1">
        <f t="shared" si="23"/>
        <v>0.64204347826086949</v>
      </c>
      <c r="BN30" s="1">
        <f t="shared" si="24"/>
        <v>7.7363497164461342E-3</v>
      </c>
      <c r="BO30" s="1">
        <f t="shared" si="16"/>
        <v>0.10391537328423324</v>
      </c>
      <c r="BQ30" s="7" t="s">
        <v>448</v>
      </c>
      <c r="BR30" s="1">
        <f>1/BS30</f>
        <v>0.33333333333333331</v>
      </c>
      <c r="BS30" s="1">
        <v>3</v>
      </c>
    </row>
    <row r="31" spans="1:71" x14ac:dyDescent="0.25">
      <c r="A31" s="3"/>
      <c r="B31" s="3"/>
      <c r="C31" t="s">
        <v>17</v>
      </c>
      <c r="D31" s="5">
        <v>1</v>
      </c>
      <c r="E31" s="9">
        <f t="shared" si="0"/>
        <v>19</v>
      </c>
      <c r="F31" s="9">
        <f t="shared" si="1"/>
        <v>0.79746835443037978</v>
      </c>
      <c r="G31">
        <v>0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16</v>
      </c>
      <c r="P31">
        <v>0</v>
      </c>
      <c r="Q31">
        <v>63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67</v>
      </c>
      <c r="AK31" t="s">
        <v>1</v>
      </c>
      <c r="AL31" t="s">
        <v>374</v>
      </c>
      <c r="AQ31" s="1">
        <f t="shared" si="17"/>
        <v>100</v>
      </c>
      <c r="AR31" s="1">
        <f t="shared" si="2"/>
        <v>0.16</v>
      </c>
      <c r="AS31" s="1">
        <f t="shared" si="3"/>
        <v>0</v>
      </c>
      <c r="AT31" s="1">
        <f t="shared" si="4"/>
        <v>0.16</v>
      </c>
      <c r="AU31" s="1">
        <f t="shared" si="5"/>
        <v>0.63</v>
      </c>
      <c r="AV31" s="1">
        <f t="shared" si="18"/>
        <v>0.67</v>
      </c>
      <c r="AX31" s="1">
        <f t="shared" si="19"/>
        <v>3.9375</v>
      </c>
      <c r="AY31" s="1">
        <f t="shared" si="6"/>
        <v>1</v>
      </c>
      <c r="AZ31" s="1">
        <f t="shared" si="7"/>
        <v>0.74609375</v>
      </c>
      <c r="BA31" s="1">
        <f t="shared" si="8"/>
        <v>1.484375</v>
      </c>
      <c r="BB31" s="1">
        <f t="shared" si="9"/>
        <v>0.74609375</v>
      </c>
      <c r="BC31" s="1">
        <f t="shared" si="10"/>
        <v>0.74609375</v>
      </c>
      <c r="BD31" s="1">
        <f t="shared" si="20"/>
        <v>7.609374999999996E-2</v>
      </c>
      <c r="BF31">
        <f t="shared" si="11"/>
        <v>22</v>
      </c>
      <c r="BG31">
        <f t="shared" si="25"/>
        <v>17.5</v>
      </c>
      <c r="BH31" s="1">
        <f t="shared" si="12"/>
        <v>2.8636363636363638</v>
      </c>
      <c r="BI31" s="1">
        <f t="shared" si="13"/>
        <v>0.79545454545454541</v>
      </c>
      <c r="BJ31" s="1">
        <f t="shared" si="14"/>
        <v>0.64440909090909093</v>
      </c>
      <c r="BK31" s="1">
        <f t="shared" si="15"/>
        <v>1.5335454545454548</v>
      </c>
      <c r="BL31" s="1">
        <f t="shared" si="22"/>
        <v>0.64440909090909093</v>
      </c>
      <c r="BM31" s="1">
        <f t="shared" si="23"/>
        <v>0.64440909090909093</v>
      </c>
      <c r="BN31" s="1">
        <f t="shared" si="24"/>
        <v>6.548946280991745E-4</v>
      </c>
      <c r="BO31" s="1">
        <f t="shared" si="16"/>
        <v>6.8832284275042718E-2</v>
      </c>
      <c r="BQ31" s="20" t="s">
        <v>421</v>
      </c>
    </row>
    <row r="32" spans="1:71" x14ac:dyDescent="0.25">
      <c r="A32" s="3"/>
      <c r="B32" s="3"/>
      <c r="C32" t="s">
        <v>18</v>
      </c>
      <c r="D32" s="5">
        <v>1</v>
      </c>
      <c r="E32" s="9">
        <f t="shared" si="0"/>
        <v>19</v>
      </c>
      <c r="F32" s="9">
        <f t="shared" si="1"/>
        <v>0.78481012658227844</v>
      </c>
      <c r="G32">
        <v>0</v>
      </c>
      <c r="H32">
        <v>17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13</v>
      </c>
      <c r="P32">
        <v>0</v>
      </c>
      <c r="Q32">
        <v>62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61</v>
      </c>
      <c r="AK32" t="s">
        <v>1</v>
      </c>
      <c r="AL32" t="s">
        <v>374</v>
      </c>
      <c r="AQ32" s="1">
        <f t="shared" si="17"/>
        <v>100</v>
      </c>
      <c r="AR32" s="1">
        <f t="shared" si="2"/>
        <v>0.13</v>
      </c>
      <c r="AS32" s="1">
        <f t="shared" si="3"/>
        <v>0</v>
      </c>
      <c r="AT32" s="1">
        <f t="shared" si="4"/>
        <v>0.17</v>
      </c>
      <c r="AU32" s="1">
        <f t="shared" si="5"/>
        <v>0.62</v>
      </c>
      <c r="AV32" s="1">
        <f t="shared" si="18"/>
        <v>0.61</v>
      </c>
      <c r="AX32" s="1">
        <f t="shared" si="19"/>
        <v>3.6470588235294117</v>
      </c>
      <c r="AY32" s="1">
        <f t="shared" si="6"/>
        <v>0.76470588235294112</v>
      </c>
      <c r="AZ32" s="1">
        <f t="shared" si="7"/>
        <v>0.7279411764705882</v>
      </c>
      <c r="BA32" s="1">
        <f t="shared" si="8"/>
        <v>1.4117647058823528</v>
      </c>
      <c r="BB32" s="1">
        <f t="shared" si="9"/>
        <v>0.7279411764705882</v>
      </c>
      <c r="BC32" s="1">
        <f t="shared" si="10"/>
        <v>0.7279411764705882</v>
      </c>
      <c r="BD32" s="1">
        <f t="shared" si="20"/>
        <v>0.11794117647058822</v>
      </c>
      <c r="BF32">
        <f t="shared" si="11"/>
        <v>23</v>
      </c>
      <c r="BG32">
        <f t="shared" si="25"/>
        <v>16</v>
      </c>
      <c r="BH32" s="1">
        <f t="shared" si="12"/>
        <v>2.6956521739130435</v>
      </c>
      <c r="BI32" s="1">
        <f t="shared" si="13"/>
        <v>0.69565217391304346</v>
      </c>
      <c r="BJ32" s="1">
        <f t="shared" si="14"/>
        <v>0.64121739130434774</v>
      </c>
      <c r="BK32" s="1">
        <f t="shared" si="15"/>
        <v>1.449217391304348</v>
      </c>
      <c r="BL32" s="1">
        <f t="shared" si="22"/>
        <v>0.64121739130434774</v>
      </c>
      <c r="BM32" s="1">
        <f t="shared" si="23"/>
        <v>0.64121739130434774</v>
      </c>
      <c r="BN32" s="1">
        <f t="shared" si="24"/>
        <v>9.7452551984876664E-4</v>
      </c>
      <c r="BO32" s="1">
        <f t="shared" si="16"/>
        <v>4.094919526585214E-2</v>
      </c>
      <c r="BQ32" s="7" t="s">
        <v>422</v>
      </c>
      <c r="BR32" s="12">
        <v>0.59</v>
      </c>
      <c r="BS32" s="12">
        <v>0.58982479610523098</v>
      </c>
    </row>
    <row r="33" spans="1:71" x14ac:dyDescent="0.25">
      <c r="A33" s="3"/>
      <c r="B33" s="3"/>
      <c r="C33" t="s">
        <v>19</v>
      </c>
      <c r="D33" s="5">
        <v>1</v>
      </c>
      <c r="E33" s="9">
        <f t="shared" si="0"/>
        <v>19</v>
      </c>
      <c r="F33" s="9">
        <f t="shared" si="1"/>
        <v>0.78481012658227844</v>
      </c>
      <c r="G33">
        <v>0</v>
      </c>
      <c r="H33">
        <v>17</v>
      </c>
      <c r="I33">
        <v>9</v>
      </c>
      <c r="J33">
        <v>0</v>
      </c>
      <c r="K33">
        <v>0</v>
      </c>
      <c r="L33">
        <v>0</v>
      </c>
      <c r="M33">
        <v>0</v>
      </c>
      <c r="N33">
        <v>0</v>
      </c>
      <c r="O33">
        <v>10</v>
      </c>
      <c r="P33">
        <v>0</v>
      </c>
      <c r="Q33">
        <v>62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51</v>
      </c>
      <c r="AK33" t="s">
        <v>1</v>
      </c>
      <c r="AL33" t="s">
        <v>374</v>
      </c>
      <c r="AQ33" s="1">
        <f t="shared" si="17"/>
        <v>100</v>
      </c>
      <c r="AR33" s="1">
        <f t="shared" si="2"/>
        <v>0.1</v>
      </c>
      <c r="AS33" s="1">
        <f t="shared" si="3"/>
        <v>0</v>
      </c>
      <c r="AT33" s="1">
        <f t="shared" si="4"/>
        <v>0.17</v>
      </c>
      <c r="AU33" s="1">
        <f t="shared" si="5"/>
        <v>0.62</v>
      </c>
      <c r="AV33" s="1">
        <f t="shared" si="18"/>
        <v>0.51</v>
      </c>
      <c r="AX33" s="1">
        <f t="shared" si="19"/>
        <v>3.6470588235294117</v>
      </c>
      <c r="AY33" s="1">
        <f t="shared" si="6"/>
        <v>0.58823529411764708</v>
      </c>
      <c r="AZ33" s="1">
        <f t="shared" si="7"/>
        <v>0.7279411764705882</v>
      </c>
      <c r="BA33" s="1">
        <f t="shared" si="8"/>
        <v>1.4117647058823528</v>
      </c>
      <c r="BB33" s="1">
        <f t="shared" si="9"/>
        <v>0.58823529411764708</v>
      </c>
      <c r="BC33" s="1">
        <f t="shared" si="10"/>
        <v>0.58823529411764708</v>
      </c>
      <c r="BD33" s="1">
        <f t="shared" si="20"/>
        <v>7.823529411764707E-2</v>
      </c>
      <c r="BF33">
        <f t="shared" si="11"/>
        <v>23</v>
      </c>
      <c r="BG33">
        <f t="shared" si="25"/>
        <v>14.5</v>
      </c>
      <c r="BH33" s="1">
        <f t="shared" si="12"/>
        <v>2.6956521739130435</v>
      </c>
      <c r="BI33" s="1">
        <f t="shared" si="13"/>
        <v>0.63043478260869568</v>
      </c>
      <c r="BJ33" s="1">
        <f t="shared" si="14"/>
        <v>0.64121739130434774</v>
      </c>
      <c r="BK33" s="1">
        <f t="shared" si="15"/>
        <v>1.449217391304348</v>
      </c>
      <c r="BL33" s="1">
        <f t="shared" si="22"/>
        <v>0.63043478260869568</v>
      </c>
      <c r="BM33" s="1">
        <f t="shared" si="23"/>
        <v>0.63043478260869568</v>
      </c>
      <c r="BN33" s="1">
        <f t="shared" si="24"/>
        <v>1.4504536862003784E-2</v>
      </c>
      <c r="BO33" s="1">
        <f t="shared" si="16"/>
        <v>1.0477380250534563E-2</v>
      </c>
      <c r="BQ33" s="7" t="s">
        <v>423</v>
      </c>
      <c r="BR33" s="12">
        <v>1.9E-2</v>
      </c>
      <c r="BS33" s="12">
        <v>1.8909490393302281E-2</v>
      </c>
    </row>
    <row r="34" spans="1:71" x14ac:dyDescent="0.25">
      <c r="A34" s="3"/>
      <c r="B34" s="3"/>
      <c r="C34" t="s">
        <v>20</v>
      </c>
      <c r="D34" s="5">
        <v>1</v>
      </c>
      <c r="E34" s="9">
        <f t="shared" si="0"/>
        <v>22</v>
      </c>
      <c r="F34" s="9">
        <f t="shared" si="1"/>
        <v>0.78205128205128205</v>
      </c>
      <c r="G34">
        <v>0</v>
      </c>
      <c r="H34">
        <v>17</v>
      </c>
      <c r="I34">
        <v>4</v>
      </c>
      <c r="J34">
        <v>0</v>
      </c>
      <c r="K34">
        <v>0</v>
      </c>
      <c r="L34">
        <v>0</v>
      </c>
      <c r="M34">
        <v>0</v>
      </c>
      <c r="N34">
        <v>0</v>
      </c>
      <c r="O34">
        <v>18</v>
      </c>
      <c r="P34">
        <v>0</v>
      </c>
      <c r="Q34">
        <v>61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73</v>
      </c>
      <c r="AK34" t="s">
        <v>1</v>
      </c>
      <c r="AL34" t="s">
        <v>374</v>
      </c>
      <c r="AQ34" s="1">
        <f t="shared" si="17"/>
        <v>100</v>
      </c>
      <c r="AR34" s="1">
        <f t="shared" si="2"/>
        <v>0.18</v>
      </c>
      <c r="AS34" s="1">
        <f t="shared" si="3"/>
        <v>0</v>
      </c>
      <c r="AT34" s="1">
        <f t="shared" si="4"/>
        <v>0.17</v>
      </c>
      <c r="AU34" s="1">
        <f t="shared" si="5"/>
        <v>0.61</v>
      </c>
      <c r="AV34" s="1">
        <f t="shared" si="18"/>
        <v>0.73</v>
      </c>
      <c r="AX34" s="1">
        <f t="shared" si="19"/>
        <v>3.5882352941176467</v>
      </c>
      <c r="AY34" s="1">
        <f t="shared" si="6"/>
        <v>1.0588235294117645</v>
      </c>
      <c r="AZ34" s="1">
        <f t="shared" si="7"/>
        <v>0.72426470588235292</v>
      </c>
      <c r="BA34" s="1">
        <f t="shared" si="8"/>
        <v>1.3970588235294117</v>
      </c>
      <c r="BB34" s="1">
        <f t="shared" si="9"/>
        <v>0.72426470588235292</v>
      </c>
      <c r="BC34" s="1">
        <f t="shared" si="10"/>
        <v>0.72426470588235292</v>
      </c>
      <c r="BD34" s="1">
        <f t="shared" si="20"/>
        <v>5.7352941176470607E-3</v>
      </c>
      <c r="BF34">
        <f t="shared" si="11"/>
        <v>17</v>
      </c>
      <c r="BG34">
        <f t="shared" si="25"/>
        <v>20</v>
      </c>
      <c r="BH34" s="1">
        <f t="shared" si="12"/>
        <v>3.5882352941176472</v>
      </c>
      <c r="BI34" s="1">
        <f t="shared" si="13"/>
        <v>1.1764705882352942</v>
      </c>
      <c r="BJ34" s="1">
        <f t="shared" si="14"/>
        <v>0.65817647058823525</v>
      </c>
      <c r="BK34" s="1">
        <f t="shared" si="15"/>
        <v>1.897294117647059</v>
      </c>
      <c r="BL34" s="1">
        <f t="shared" si="22"/>
        <v>0.65817647058823525</v>
      </c>
      <c r="BM34" s="1">
        <f t="shared" si="23"/>
        <v>0.65817647058823525</v>
      </c>
      <c r="BN34" s="1">
        <f t="shared" si="24"/>
        <v>5.1586193771626333E-3</v>
      </c>
      <c r="BO34" s="1">
        <f t="shared" si="16"/>
        <v>0.10391537328423324</v>
      </c>
      <c r="BQ34" s="7" t="s">
        <v>424</v>
      </c>
      <c r="BR34" s="12">
        <v>9.6000000000000002E-2</v>
      </c>
      <c r="BS34" s="12">
        <v>9.5973820789570216E-2</v>
      </c>
    </row>
    <row r="35" spans="1:71" x14ac:dyDescent="0.25">
      <c r="A35" s="3"/>
      <c r="B35" s="3"/>
      <c r="C35" t="s">
        <v>21</v>
      </c>
      <c r="D35" s="5">
        <v>1</v>
      </c>
      <c r="E35" s="9">
        <f t="shared" si="0"/>
        <v>22</v>
      </c>
      <c r="F35" s="9">
        <f t="shared" si="1"/>
        <v>0.77922077922077926</v>
      </c>
      <c r="G35">
        <v>0</v>
      </c>
      <c r="H35">
        <v>17</v>
      </c>
      <c r="I35">
        <v>4</v>
      </c>
      <c r="J35">
        <v>0</v>
      </c>
      <c r="K35">
        <v>0</v>
      </c>
      <c r="L35">
        <v>0</v>
      </c>
      <c r="M35">
        <v>0</v>
      </c>
      <c r="N35">
        <v>0</v>
      </c>
      <c r="O35">
        <v>18</v>
      </c>
      <c r="P35">
        <v>0</v>
      </c>
      <c r="Q35">
        <v>60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71</v>
      </c>
      <c r="AK35" t="s">
        <v>1</v>
      </c>
      <c r="AL35" t="s">
        <v>374</v>
      </c>
      <c r="AQ35" s="1">
        <f t="shared" si="17"/>
        <v>100</v>
      </c>
      <c r="AR35" s="1">
        <f t="shared" si="2"/>
        <v>0.18</v>
      </c>
      <c r="AS35" s="1">
        <f t="shared" si="3"/>
        <v>0</v>
      </c>
      <c r="AT35" s="1">
        <f t="shared" si="4"/>
        <v>0.17</v>
      </c>
      <c r="AU35" s="1">
        <f t="shared" si="5"/>
        <v>0.6</v>
      </c>
      <c r="AV35" s="1">
        <f t="shared" si="18"/>
        <v>0.71</v>
      </c>
      <c r="AX35" s="1">
        <f t="shared" si="19"/>
        <v>3.5294117647058818</v>
      </c>
      <c r="AY35" s="1">
        <f t="shared" si="6"/>
        <v>1.0588235294117645</v>
      </c>
      <c r="AZ35" s="1">
        <f t="shared" si="7"/>
        <v>0.72058823529411764</v>
      </c>
      <c r="BA35" s="1">
        <f t="shared" si="8"/>
        <v>1.3823529411764706</v>
      </c>
      <c r="BB35" s="1">
        <f t="shared" si="9"/>
        <v>0.72058823529411764</v>
      </c>
      <c r="BC35" s="1">
        <f t="shared" si="10"/>
        <v>0.72058823529411764</v>
      </c>
      <c r="BD35" s="1">
        <f t="shared" si="20"/>
        <v>1.0588235294117676E-2</v>
      </c>
      <c r="BF35">
        <f t="shared" si="11"/>
        <v>20</v>
      </c>
      <c r="BG35">
        <f t="shared" si="25"/>
        <v>20</v>
      </c>
      <c r="BH35" s="1">
        <f t="shared" si="12"/>
        <v>3</v>
      </c>
      <c r="BI35" s="1">
        <f t="shared" si="13"/>
        <v>1</v>
      </c>
      <c r="BJ35" s="1">
        <f t="shared" si="14"/>
        <v>0.64700000000000002</v>
      </c>
      <c r="BK35" s="1">
        <f t="shared" si="15"/>
        <v>1.6020000000000001</v>
      </c>
      <c r="BL35" s="1">
        <f t="shared" si="22"/>
        <v>0.64700000000000002</v>
      </c>
      <c r="BM35" s="1">
        <f t="shared" si="23"/>
        <v>0.64700000000000002</v>
      </c>
      <c r="BN35" s="1">
        <f t="shared" si="24"/>
        <v>3.9689999999999934E-3</v>
      </c>
      <c r="BO35" s="1">
        <f t="shared" si="16"/>
        <v>9.142101028116971E-2</v>
      </c>
      <c r="BQ35" s="7" t="s">
        <v>425</v>
      </c>
      <c r="BR35" s="12">
        <v>0.502</v>
      </c>
      <c r="BS35" s="12">
        <v>0.50230925903078827</v>
      </c>
    </row>
    <row r="36" spans="1:71" x14ac:dyDescent="0.25">
      <c r="A36" s="3"/>
      <c r="B36" s="3"/>
      <c r="C36" t="s">
        <v>22</v>
      </c>
      <c r="D36" s="5">
        <v>1</v>
      </c>
      <c r="E36" s="9">
        <f t="shared" si="0"/>
        <v>22</v>
      </c>
      <c r="F36" s="9">
        <f t="shared" si="1"/>
        <v>0.76623376623376627</v>
      </c>
      <c r="G36">
        <v>0</v>
      </c>
      <c r="H36">
        <v>18</v>
      </c>
      <c r="I36">
        <v>4</v>
      </c>
      <c r="J36">
        <v>0</v>
      </c>
      <c r="K36">
        <v>0</v>
      </c>
      <c r="L36">
        <v>0</v>
      </c>
      <c r="M36">
        <v>0</v>
      </c>
      <c r="N36">
        <v>0</v>
      </c>
      <c r="O36">
        <v>18</v>
      </c>
      <c r="P36">
        <v>0</v>
      </c>
      <c r="Q36">
        <v>59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68</v>
      </c>
      <c r="AK36" t="s">
        <v>1</v>
      </c>
      <c r="AL36" t="s">
        <v>374</v>
      </c>
      <c r="AQ36" s="1">
        <f t="shared" si="17"/>
        <v>101</v>
      </c>
      <c r="AR36" s="1">
        <f t="shared" si="2"/>
        <v>0.18</v>
      </c>
      <c r="AS36" s="1">
        <f t="shared" si="3"/>
        <v>0</v>
      </c>
      <c r="AT36" s="1">
        <f t="shared" si="4"/>
        <v>0.18</v>
      </c>
      <c r="AU36" s="1">
        <f t="shared" si="5"/>
        <v>0.59</v>
      </c>
      <c r="AV36" s="1">
        <f t="shared" si="18"/>
        <v>0.68</v>
      </c>
      <c r="AX36" s="1">
        <f t="shared" si="19"/>
        <v>3.2777777777777777</v>
      </c>
      <c r="AY36" s="1">
        <f t="shared" si="6"/>
        <v>1</v>
      </c>
      <c r="AZ36" s="1">
        <f t="shared" si="7"/>
        <v>0.70486111111111116</v>
      </c>
      <c r="BA36" s="1">
        <f t="shared" si="8"/>
        <v>1.3194444444444444</v>
      </c>
      <c r="BB36" s="1">
        <f t="shared" si="9"/>
        <v>0.70486111111111116</v>
      </c>
      <c r="BC36" s="1">
        <f t="shared" si="10"/>
        <v>0.70486111111111116</v>
      </c>
      <c r="BD36" s="1">
        <f t="shared" si="20"/>
        <v>2.4861111111111112E-2</v>
      </c>
      <c r="BF36">
        <f t="shared" si="11"/>
        <v>24</v>
      </c>
      <c r="BG36">
        <f t="shared" si="25"/>
        <v>20</v>
      </c>
      <c r="BH36" s="1">
        <f t="shared" si="12"/>
        <v>2.4583333333333335</v>
      </c>
      <c r="BI36" s="1">
        <f t="shared" si="13"/>
        <v>0.83333333333333337</v>
      </c>
      <c r="BJ36" s="1">
        <f t="shared" si="14"/>
        <v>0.63670833333333332</v>
      </c>
      <c r="BK36" s="1">
        <f t="shared" si="15"/>
        <v>1.3300833333333335</v>
      </c>
      <c r="BL36" s="1">
        <f t="shared" si="22"/>
        <v>0.63670833333333332</v>
      </c>
      <c r="BM36" s="1">
        <f t="shared" si="23"/>
        <v>0.63670833333333332</v>
      </c>
      <c r="BN36" s="1">
        <f t="shared" si="24"/>
        <v>1.8741684027777832E-3</v>
      </c>
      <c r="BO36" s="1">
        <f t="shared" si="16"/>
        <v>7.4179465776574485E-2</v>
      </c>
      <c r="BQ36" s="20" t="s">
        <v>429</v>
      </c>
    </row>
    <row r="37" spans="1:71" x14ac:dyDescent="0.25">
      <c r="A37" s="3"/>
      <c r="B37" s="3"/>
      <c r="C37" t="s">
        <v>25</v>
      </c>
      <c r="D37" s="5">
        <v>1</v>
      </c>
      <c r="E37" s="9">
        <f t="shared" si="0"/>
        <v>22</v>
      </c>
      <c r="F37" s="9">
        <f t="shared" si="1"/>
        <v>0.76</v>
      </c>
      <c r="G37">
        <v>0</v>
      </c>
      <c r="H37">
        <v>18</v>
      </c>
      <c r="I37">
        <v>4</v>
      </c>
      <c r="J37">
        <v>0</v>
      </c>
      <c r="K37">
        <v>0</v>
      </c>
      <c r="L37">
        <v>0</v>
      </c>
      <c r="M37">
        <v>0</v>
      </c>
      <c r="N37">
        <v>0</v>
      </c>
      <c r="O37">
        <v>18</v>
      </c>
      <c r="P37">
        <v>0</v>
      </c>
      <c r="Q37">
        <v>57</v>
      </c>
      <c r="R37">
        <v>0</v>
      </c>
      <c r="S37">
        <v>0</v>
      </c>
      <c r="T37">
        <v>0</v>
      </c>
      <c r="U37">
        <v>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64</v>
      </c>
      <c r="AK37" t="s">
        <v>1</v>
      </c>
      <c r="AL37" t="s">
        <v>374</v>
      </c>
      <c r="AQ37" s="1">
        <f t="shared" si="17"/>
        <v>101</v>
      </c>
      <c r="AR37" s="1">
        <f t="shared" si="2"/>
        <v>0.18</v>
      </c>
      <c r="AS37" s="1">
        <f t="shared" si="3"/>
        <v>0</v>
      </c>
      <c r="AT37" s="1">
        <f t="shared" si="4"/>
        <v>0.18</v>
      </c>
      <c r="AU37" s="1">
        <f t="shared" si="5"/>
        <v>0.56999999999999995</v>
      </c>
      <c r="AV37" s="1">
        <f t="shared" si="18"/>
        <v>0.64</v>
      </c>
      <c r="AX37" s="1">
        <f t="shared" si="19"/>
        <v>3.1666666666666665</v>
      </c>
      <c r="AY37" s="1">
        <f t="shared" si="6"/>
        <v>1</v>
      </c>
      <c r="AZ37" s="1">
        <f t="shared" si="7"/>
        <v>0.69791666666666663</v>
      </c>
      <c r="BA37" s="1">
        <f t="shared" si="8"/>
        <v>1.2916666666666665</v>
      </c>
      <c r="BB37" s="1">
        <f t="shared" si="9"/>
        <v>0.69791666666666663</v>
      </c>
      <c r="BC37" s="1">
        <f t="shared" si="10"/>
        <v>0.69791666666666663</v>
      </c>
      <c r="BD37" s="1">
        <f t="shared" si="20"/>
        <v>5.7916666666666616E-2</v>
      </c>
      <c r="BF37">
        <f t="shared" si="11"/>
        <v>30</v>
      </c>
      <c r="BG37">
        <f t="shared" si="25"/>
        <v>20</v>
      </c>
      <c r="BH37" s="1">
        <f t="shared" si="12"/>
        <v>1.9</v>
      </c>
      <c r="BI37" s="1">
        <f t="shared" si="13"/>
        <v>0.66666666666666663</v>
      </c>
      <c r="BJ37" s="1">
        <f t="shared" si="14"/>
        <v>0.62609999999999999</v>
      </c>
      <c r="BK37" s="1">
        <f t="shared" si="15"/>
        <v>1.0498000000000001</v>
      </c>
      <c r="BL37" s="1">
        <f t="shared" si="22"/>
        <v>0.62609999999999999</v>
      </c>
      <c r="BM37" s="1">
        <f t="shared" si="23"/>
        <v>0.62609999999999999</v>
      </c>
      <c r="BN37" s="1">
        <f t="shared" si="24"/>
        <v>1.9321000000000065E-4</v>
      </c>
      <c r="BO37" s="1">
        <f t="shared" si="16"/>
        <v>5.3990739770447424E-2</v>
      </c>
      <c r="BQ37" s="7" t="s">
        <v>430</v>
      </c>
      <c r="BR37" s="1">
        <f>SUM(BN2:BN787)</f>
        <v>8.3712292430485711</v>
      </c>
    </row>
    <row r="38" spans="1:71" x14ac:dyDescent="0.25">
      <c r="A38" s="3"/>
      <c r="B38" s="3"/>
      <c r="C38" t="s">
        <v>23</v>
      </c>
      <c r="D38" s="5">
        <v>1</v>
      </c>
      <c r="E38" s="9">
        <f t="shared" si="0"/>
        <v>22</v>
      </c>
      <c r="F38" s="9">
        <f t="shared" si="1"/>
        <v>0.76388888888888884</v>
      </c>
      <c r="G38">
        <v>0</v>
      </c>
      <c r="H38">
        <v>17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  <c r="O38">
        <v>18</v>
      </c>
      <c r="P38">
        <v>0</v>
      </c>
      <c r="Q38">
        <v>55</v>
      </c>
      <c r="R38">
        <v>0</v>
      </c>
      <c r="S38">
        <v>0</v>
      </c>
      <c r="T38">
        <v>0</v>
      </c>
      <c r="U38">
        <v>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56</v>
      </c>
      <c r="AK38" t="s">
        <v>1</v>
      </c>
      <c r="AL38" t="s">
        <v>374</v>
      </c>
      <c r="AQ38" s="1">
        <f t="shared" si="17"/>
        <v>100</v>
      </c>
      <c r="AR38" s="1">
        <f t="shared" si="2"/>
        <v>0.18</v>
      </c>
      <c r="AS38" s="1">
        <f t="shared" si="3"/>
        <v>0</v>
      </c>
      <c r="AT38" s="1">
        <f t="shared" si="4"/>
        <v>0.17</v>
      </c>
      <c r="AU38" s="1">
        <f t="shared" si="5"/>
        <v>0.55000000000000004</v>
      </c>
      <c r="AV38" s="1">
        <f t="shared" si="18"/>
        <v>0.56000000000000005</v>
      </c>
      <c r="AX38" s="1">
        <f t="shared" si="19"/>
        <v>3.2352941176470589</v>
      </c>
      <c r="AY38" s="1">
        <f t="shared" si="6"/>
        <v>1.0588235294117645</v>
      </c>
      <c r="AZ38" s="1">
        <f t="shared" si="7"/>
        <v>0.70220588235294112</v>
      </c>
      <c r="BA38" s="1">
        <f t="shared" si="8"/>
        <v>1.3088235294117647</v>
      </c>
      <c r="BB38" s="1">
        <f t="shared" si="9"/>
        <v>0.70220588235294112</v>
      </c>
      <c r="BC38" s="1">
        <f t="shared" si="10"/>
        <v>0.70220588235294112</v>
      </c>
      <c r="BD38" s="1">
        <f t="shared" si="20"/>
        <v>0.14220588235294107</v>
      </c>
      <c r="BF38">
        <f t="shared" si="11"/>
        <v>35</v>
      </c>
      <c r="BG38">
        <f t="shared" si="25"/>
        <v>20</v>
      </c>
      <c r="BH38" s="1">
        <f t="shared" si="12"/>
        <v>1.5714285714285714</v>
      </c>
      <c r="BI38" s="1">
        <f t="shared" si="13"/>
        <v>0.5714285714285714</v>
      </c>
      <c r="BJ38" s="1">
        <f t="shared" si="14"/>
        <v>0.61985714285714277</v>
      </c>
      <c r="BK38" s="1">
        <f t="shared" si="15"/>
        <v>0.88485714285714279</v>
      </c>
      <c r="BL38" s="1">
        <f t="shared" si="22"/>
        <v>0.5714285714285714</v>
      </c>
      <c r="BM38" s="1">
        <f t="shared" si="23"/>
        <v>0.5714285714285714</v>
      </c>
      <c r="BN38" s="1">
        <f t="shared" si="24"/>
        <v>1.3061224489795725E-4</v>
      </c>
      <c r="BO38" s="1">
        <f t="shared" si="16"/>
        <v>2.3213287758193368E-2</v>
      </c>
      <c r="BQ38" s="7" t="s">
        <v>431</v>
      </c>
      <c r="BR38" s="1">
        <f>SUM(BO2:BO787)</f>
        <v>36.693495211324283</v>
      </c>
    </row>
    <row r="39" spans="1:71" x14ac:dyDescent="0.25">
      <c r="A39" s="3"/>
      <c r="B39" s="3"/>
      <c r="C39" t="s">
        <v>24</v>
      </c>
      <c r="D39" s="5">
        <v>1</v>
      </c>
      <c r="E39" s="9">
        <f t="shared" si="0"/>
        <v>23</v>
      </c>
      <c r="F39" s="9">
        <f t="shared" si="1"/>
        <v>0.73913043478260865</v>
      </c>
      <c r="G39">
        <v>0</v>
      </c>
      <c r="H39">
        <v>18</v>
      </c>
      <c r="I39">
        <v>4</v>
      </c>
      <c r="J39">
        <v>0</v>
      </c>
      <c r="K39">
        <v>0</v>
      </c>
      <c r="L39">
        <v>0</v>
      </c>
      <c r="M39">
        <v>0</v>
      </c>
      <c r="N39">
        <v>0</v>
      </c>
      <c r="O39">
        <v>19</v>
      </c>
      <c r="P39">
        <v>0</v>
      </c>
      <c r="Q39">
        <v>51</v>
      </c>
      <c r="R39">
        <v>0</v>
      </c>
      <c r="S39">
        <v>0</v>
      </c>
      <c r="T39">
        <v>0</v>
      </c>
      <c r="U39">
        <v>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53</v>
      </c>
      <c r="AK39" t="s">
        <v>1</v>
      </c>
      <c r="AL39" t="s">
        <v>374</v>
      </c>
      <c r="AQ39" s="1">
        <f t="shared" si="17"/>
        <v>100</v>
      </c>
      <c r="AR39" s="1">
        <f t="shared" si="2"/>
        <v>0.19</v>
      </c>
      <c r="AS39" s="1">
        <f t="shared" si="3"/>
        <v>0</v>
      </c>
      <c r="AT39" s="1">
        <f t="shared" si="4"/>
        <v>0.18</v>
      </c>
      <c r="AU39" s="1">
        <f t="shared" si="5"/>
        <v>0.51</v>
      </c>
      <c r="AV39" s="1">
        <f t="shared" si="18"/>
        <v>0.53</v>
      </c>
      <c r="AX39" s="1">
        <f t="shared" si="19"/>
        <v>2.8333333333333335</v>
      </c>
      <c r="AY39" s="1">
        <f t="shared" si="6"/>
        <v>1.0555555555555556</v>
      </c>
      <c r="AZ39" s="1">
        <f t="shared" si="7"/>
        <v>0.67708333333333337</v>
      </c>
      <c r="BA39" s="1">
        <f t="shared" si="8"/>
        <v>1.2083333333333335</v>
      </c>
      <c r="BB39" s="1">
        <f t="shared" si="9"/>
        <v>0.67708333333333337</v>
      </c>
      <c r="BC39" s="1">
        <f t="shared" si="10"/>
        <v>0.67708333333333337</v>
      </c>
      <c r="BD39" s="1">
        <f t="shared" si="20"/>
        <v>0.14708333333333334</v>
      </c>
      <c r="BF39">
        <f t="shared" si="11"/>
        <v>42</v>
      </c>
      <c r="BG39">
        <f t="shared" si="25"/>
        <v>21</v>
      </c>
      <c r="BH39" s="1">
        <f t="shared" si="12"/>
        <v>1.2142857142857142</v>
      </c>
      <c r="BI39" s="1">
        <f t="shared" si="13"/>
        <v>0.5</v>
      </c>
      <c r="BJ39" s="1">
        <f t="shared" si="14"/>
        <v>0.61307142857142849</v>
      </c>
      <c r="BK39" s="1">
        <f t="shared" si="15"/>
        <v>0.70557142857142852</v>
      </c>
      <c r="BL39" s="1">
        <f t="shared" si="22"/>
        <v>0.5</v>
      </c>
      <c r="BM39" s="1">
        <f t="shared" si="23"/>
        <v>0.5</v>
      </c>
      <c r="BN39" s="1">
        <f t="shared" si="24"/>
        <v>9.000000000000016E-4</v>
      </c>
      <c r="BO39" s="1">
        <f t="shared" si="16"/>
        <v>1.4971743253598084E-2</v>
      </c>
      <c r="BQ39" s="7" t="s">
        <v>432</v>
      </c>
      <c r="BR39" s="1">
        <f>1-BR37/BR38</f>
        <v>0.77186067462809982</v>
      </c>
    </row>
    <row r="40" spans="1:71" x14ac:dyDescent="0.25">
      <c r="A40" s="3"/>
      <c r="B40" s="3"/>
      <c r="C40" t="s">
        <v>26</v>
      </c>
      <c r="D40" s="5">
        <v>1</v>
      </c>
      <c r="E40" s="9">
        <f t="shared" si="0"/>
        <v>20</v>
      </c>
      <c r="F40" s="9">
        <f t="shared" si="1"/>
        <v>0.77500000000000002</v>
      </c>
      <c r="G40">
        <v>0</v>
      </c>
      <c r="H40">
        <v>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20</v>
      </c>
      <c r="P40">
        <v>0</v>
      </c>
      <c r="Q40">
        <v>62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71</v>
      </c>
      <c r="AK40" t="s">
        <v>1</v>
      </c>
      <c r="AL40" t="s">
        <v>374</v>
      </c>
      <c r="AO40" t="s">
        <v>375</v>
      </c>
      <c r="AQ40" s="1">
        <f t="shared" si="17"/>
        <v>100</v>
      </c>
      <c r="AR40" s="1">
        <f t="shared" si="2"/>
        <v>0.2</v>
      </c>
      <c r="AS40" s="1">
        <f t="shared" si="3"/>
        <v>0</v>
      </c>
      <c r="AT40" s="1">
        <f t="shared" si="4"/>
        <v>0.18</v>
      </c>
      <c r="AU40" s="1">
        <f t="shared" si="5"/>
        <v>0.62</v>
      </c>
      <c r="AV40" s="1">
        <f t="shared" si="18"/>
        <v>0.71</v>
      </c>
      <c r="AX40" s="1">
        <f t="shared" si="19"/>
        <v>3.4444444444444446</v>
      </c>
      <c r="AY40" s="1">
        <f t="shared" si="6"/>
        <v>1.1111111111111112</v>
      </c>
      <c r="AZ40" s="1">
        <f t="shared" si="7"/>
        <v>0.71527777777777779</v>
      </c>
      <c r="BA40" s="1">
        <f t="shared" si="8"/>
        <v>1.3611111111111112</v>
      </c>
      <c r="BB40" s="1">
        <f t="shared" si="9"/>
        <v>0.71527777777777779</v>
      </c>
      <c r="BC40" s="1">
        <f t="shared" si="10"/>
        <v>0.71527777777777779</v>
      </c>
      <c r="BD40" s="1">
        <f t="shared" si="20"/>
        <v>5.2777777777778256E-3</v>
      </c>
      <c r="BF40">
        <f t="shared" si="11"/>
        <v>18</v>
      </c>
      <c r="BG40">
        <f t="shared" si="25"/>
        <v>20</v>
      </c>
      <c r="BH40" s="1">
        <f t="shared" si="12"/>
        <v>3.4444444444444446</v>
      </c>
      <c r="BI40" s="1">
        <f t="shared" si="13"/>
        <v>1.1111111111111112</v>
      </c>
      <c r="BJ40" s="1">
        <f t="shared" si="14"/>
        <v>0.65544444444444439</v>
      </c>
      <c r="BK40" s="1">
        <f t="shared" si="15"/>
        <v>1.8251111111111114</v>
      </c>
      <c r="BL40" s="1">
        <f t="shared" si="22"/>
        <v>0.65544444444444439</v>
      </c>
      <c r="BM40" s="1">
        <f t="shared" si="23"/>
        <v>0.65544444444444439</v>
      </c>
      <c r="BN40" s="1">
        <f t="shared" si="24"/>
        <v>2.9763086419753114E-3</v>
      </c>
      <c r="BO40" s="1">
        <f t="shared" si="16"/>
        <v>9.142101028116971E-2</v>
      </c>
    </row>
    <row r="41" spans="1:71" x14ac:dyDescent="0.25">
      <c r="A41" s="3"/>
      <c r="B41" s="3"/>
      <c r="C41" t="s">
        <v>27</v>
      </c>
      <c r="D41" s="5">
        <v>1</v>
      </c>
      <c r="E41" s="9">
        <f t="shared" si="0"/>
        <v>20</v>
      </c>
      <c r="F41" s="9">
        <f t="shared" si="1"/>
        <v>0.78481012658227844</v>
      </c>
      <c r="G41">
        <v>0</v>
      </c>
      <c r="H41">
        <v>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20</v>
      </c>
      <c r="P41">
        <v>0</v>
      </c>
      <c r="Q41">
        <v>62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66</v>
      </c>
      <c r="AK41" t="s">
        <v>1</v>
      </c>
      <c r="AL41" t="s">
        <v>374</v>
      </c>
      <c r="AQ41" s="1">
        <f t="shared" si="17"/>
        <v>100</v>
      </c>
      <c r="AR41" s="1">
        <f t="shared" si="2"/>
        <v>0.2</v>
      </c>
      <c r="AS41" s="1">
        <f t="shared" si="3"/>
        <v>0</v>
      </c>
      <c r="AT41" s="1">
        <f t="shared" si="4"/>
        <v>0.17</v>
      </c>
      <c r="AU41" s="1">
        <f t="shared" si="5"/>
        <v>0.62</v>
      </c>
      <c r="AV41" s="1">
        <f t="shared" si="18"/>
        <v>0.66</v>
      </c>
      <c r="AX41" s="1">
        <f t="shared" si="19"/>
        <v>3.6470588235294117</v>
      </c>
      <c r="AY41" s="1">
        <f t="shared" si="6"/>
        <v>1.1764705882352942</v>
      </c>
      <c r="AZ41" s="1">
        <f t="shared" si="7"/>
        <v>0.7279411764705882</v>
      </c>
      <c r="BA41" s="1">
        <f t="shared" si="8"/>
        <v>1.4117647058823528</v>
      </c>
      <c r="BB41" s="1">
        <f t="shared" si="9"/>
        <v>0.7279411764705882</v>
      </c>
      <c r="BC41" s="1">
        <f t="shared" si="10"/>
        <v>0.7279411764705882</v>
      </c>
      <c r="BD41" s="1">
        <f t="shared" si="20"/>
        <v>6.7941176470588172E-2</v>
      </c>
      <c r="BF41">
        <f t="shared" si="11"/>
        <v>17</v>
      </c>
      <c r="BG41">
        <f t="shared" si="25"/>
        <v>20.333333333333332</v>
      </c>
      <c r="BH41" s="1">
        <f t="shared" si="12"/>
        <v>3.6470588235294117</v>
      </c>
      <c r="BI41" s="1">
        <f t="shared" si="13"/>
        <v>1.196078431372549</v>
      </c>
      <c r="BJ41" s="1">
        <f t="shared" si="14"/>
        <v>0.65929411764705881</v>
      </c>
      <c r="BK41" s="1">
        <f t="shared" si="15"/>
        <v>1.9268235294117648</v>
      </c>
      <c r="BL41" s="1">
        <f t="shared" si="22"/>
        <v>0.65929411764705881</v>
      </c>
      <c r="BM41" s="1">
        <f t="shared" si="23"/>
        <v>0.65929411764705881</v>
      </c>
      <c r="BN41" s="1">
        <f t="shared" si="24"/>
        <v>4.9826989619383705E-7</v>
      </c>
      <c r="BO41" s="1">
        <f t="shared" si="16"/>
        <v>6.3685102773510957E-2</v>
      </c>
      <c r="BQ41" s="1"/>
    </row>
    <row r="42" spans="1:71" x14ac:dyDescent="0.25">
      <c r="A42" s="3"/>
      <c r="B42" s="3"/>
      <c r="C42" t="s">
        <v>28</v>
      </c>
      <c r="D42" s="5">
        <v>1</v>
      </c>
      <c r="E42" s="9">
        <f t="shared" si="0"/>
        <v>18</v>
      </c>
      <c r="F42" s="9">
        <f t="shared" si="1"/>
        <v>0.77500000000000002</v>
      </c>
      <c r="G42">
        <v>0</v>
      </c>
      <c r="H42">
        <v>18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18</v>
      </c>
      <c r="P42">
        <v>0</v>
      </c>
      <c r="Q42">
        <v>62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62</v>
      </c>
      <c r="AK42" t="s">
        <v>1</v>
      </c>
      <c r="AL42" t="s">
        <v>374</v>
      </c>
      <c r="AQ42" s="1">
        <f t="shared" si="17"/>
        <v>100</v>
      </c>
      <c r="AR42" s="1">
        <f t="shared" si="2"/>
        <v>0.18</v>
      </c>
      <c r="AS42" s="1">
        <f t="shared" si="3"/>
        <v>0</v>
      </c>
      <c r="AT42" s="1">
        <f t="shared" si="4"/>
        <v>0.18</v>
      </c>
      <c r="AU42" s="1">
        <f t="shared" si="5"/>
        <v>0.62</v>
      </c>
      <c r="AV42" s="1">
        <f t="shared" si="18"/>
        <v>0.62</v>
      </c>
      <c r="AX42" s="1">
        <f t="shared" si="19"/>
        <v>3.4444444444444446</v>
      </c>
      <c r="AY42" s="1">
        <f t="shared" si="6"/>
        <v>1</v>
      </c>
      <c r="AZ42" s="1">
        <f t="shared" si="7"/>
        <v>0.71527777777777779</v>
      </c>
      <c r="BA42" s="1">
        <f t="shared" si="8"/>
        <v>1.3611111111111112</v>
      </c>
      <c r="BB42" s="1">
        <f t="shared" si="9"/>
        <v>0.71527777777777779</v>
      </c>
      <c r="BC42" s="1">
        <f t="shared" si="10"/>
        <v>0.71527777777777779</v>
      </c>
      <c r="BD42" s="1">
        <f t="shared" si="20"/>
        <v>9.5277777777777795E-2</v>
      </c>
      <c r="BF42">
        <f t="shared" si="11"/>
        <v>18</v>
      </c>
      <c r="BG42">
        <f t="shared" si="25"/>
        <v>18.666666666666668</v>
      </c>
      <c r="BH42" s="1">
        <f t="shared" si="12"/>
        <v>3.4444444444444446</v>
      </c>
      <c r="BI42" s="1">
        <f t="shared" si="13"/>
        <v>1.0370370370370372</v>
      </c>
      <c r="BJ42" s="1">
        <f t="shared" si="14"/>
        <v>0.65544444444444439</v>
      </c>
      <c r="BK42" s="1">
        <f t="shared" si="15"/>
        <v>1.8251111111111114</v>
      </c>
      <c r="BL42" s="1">
        <f t="shared" si="22"/>
        <v>0.65544444444444439</v>
      </c>
      <c r="BM42" s="1">
        <f t="shared" si="23"/>
        <v>0.65544444444444439</v>
      </c>
      <c r="BN42" s="1">
        <f t="shared" si="24"/>
        <v>1.2563086419753048E-3</v>
      </c>
      <c r="BO42" s="1">
        <f t="shared" si="16"/>
        <v>4.50963767673839E-2</v>
      </c>
    </row>
    <row r="43" spans="1:71" x14ac:dyDescent="0.25">
      <c r="A43" s="3"/>
      <c r="B43" s="3"/>
      <c r="C43" t="s">
        <v>29</v>
      </c>
      <c r="D43" s="5">
        <v>1</v>
      </c>
      <c r="E43" s="9">
        <f t="shared" si="0"/>
        <v>18</v>
      </c>
      <c r="F43" s="9">
        <f t="shared" si="1"/>
        <v>0.76923076923076927</v>
      </c>
      <c r="G43">
        <v>0</v>
      </c>
      <c r="H43">
        <v>18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18</v>
      </c>
      <c r="P43">
        <v>0</v>
      </c>
      <c r="Q43">
        <v>60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52</v>
      </c>
      <c r="AK43" t="s">
        <v>1</v>
      </c>
      <c r="AL43" t="s">
        <v>374</v>
      </c>
      <c r="AQ43" s="1">
        <f t="shared" si="17"/>
        <v>100</v>
      </c>
      <c r="AR43" s="1">
        <f t="shared" si="2"/>
        <v>0.18</v>
      </c>
      <c r="AS43" s="1">
        <f t="shared" si="3"/>
        <v>0</v>
      </c>
      <c r="AT43" s="1">
        <f t="shared" si="4"/>
        <v>0.18</v>
      </c>
      <c r="AU43" s="1">
        <f t="shared" si="5"/>
        <v>0.6</v>
      </c>
      <c r="AV43" s="1">
        <f t="shared" si="18"/>
        <v>0.52</v>
      </c>
      <c r="AX43" s="1">
        <f t="shared" si="19"/>
        <v>3.3333333333333335</v>
      </c>
      <c r="AY43" s="1">
        <f t="shared" si="6"/>
        <v>1</v>
      </c>
      <c r="AZ43" s="1">
        <f t="shared" si="7"/>
        <v>0.70833333333333337</v>
      </c>
      <c r="BA43" s="1">
        <f t="shared" si="8"/>
        <v>1.3333333333333335</v>
      </c>
      <c r="BB43" s="1">
        <f t="shared" si="9"/>
        <v>0.70833333333333337</v>
      </c>
      <c r="BC43" s="1">
        <f t="shared" si="10"/>
        <v>0.70833333333333337</v>
      </c>
      <c r="BD43" s="1">
        <f t="shared" si="20"/>
        <v>0.18833333333333335</v>
      </c>
      <c r="BF43">
        <f t="shared" si="11"/>
        <v>18</v>
      </c>
      <c r="BG43">
        <f t="shared" si="25"/>
        <v>19.333333333333332</v>
      </c>
      <c r="BH43" s="1">
        <f t="shared" si="12"/>
        <v>3.3333333333333335</v>
      </c>
      <c r="BI43" s="1">
        <f t="shared" si="13"/>
        <v>1.074074074074074</v>
      </c>
      <c r="BJ43" s="1">
        <f t="shared" si="14"/>
        <v>0.65333333333333332</v>
      </c>
      <c r="BK43" s="1">
        <f t="shared" si="15"/>
        <v>1.7693333333333334</v>
      </c>
      <c r="BL43" s="1">
        <f t="shared" si="22"/>
        <v>0.65333333333333332</v>
      </c>
      <c r="BM43" s="1">
        <f t="shared" si="23"/>
        <v>0.65333333333333332</v>
      </c>
      <c r="BN43" s="1">
        <f t="shared" si="24"/>
        <v>1.7777777777777771E-2</v>
      </c>
      <c r="BO43" s="1">
        <f t="shared" si="16"/>
        <v>1.2624561752066324E-2</v>
      </c>
    </row>
    <row r="44" spans="1:71" x14ac:dyDescent="0.25">
      <c r="A44" s="3"/>
      <c r="B44" s="3"/>
      <c r="C44" t="s">
        <v>30</v>
      </c>
      <c r="D44" s="5">
        <v>1</v>
      </c>
      <c r="E44" s="9">
        <f t="shared" si="0"/>
        <v>14</v>
      </c>
      <c r="F44" s="9">
        <f t="shared" si="1"/>
        <v>0.75641025641025639</v>
      </c>
      <c r="G44">
        <v>0</v>
      </c>
      <c r="H44">
        <v>19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14</v>
      </c>
      <c r="P44">
        <v>0</v>
      </c>
      <c r="Q44">
        <v>59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8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41</v>
      </c>
      <c r="AK44" t="s">
        <v>1</v>
      </c>
      <c r="AL44" t="s">
        <v>374</v>
      </c>
      <c r="AQ44" s="1">
        <f t="shared" si="17"/>
        <v>100</v>
      </c>
      <c r="AR44" s="1">
        <f t="shared" si="2"/>
        <v>0.14000000000000001</v>
      </c>
      <c r="AS44" s="1">
        <f t="shared" si="3"/>
        <v>0</v>
      </c>
      <c r="AT44" s="1">
        <f t="shared" si="4"/>
        <v>0.19</v>
      </c>
      <c r="AU44" s="1">
        <f t="shared" si="5"/>
        <v>0.59</v>
      </c>
      <c r="AV44" s="1">
        <f t="shared" si="18"/>
        <v>0.41</v>
      </c>
      <c r="AX44" s="1">
        <f t="shared" si="19"/>
        <v>3.1052631578947367</v>
      </c>
      <c r="AY44" s="1">
        <f t="shared" si="6"/>
        <v>0.73684210526315796</v>
      </c>
      <c r="AZ44" s="1">
        <f t="shared" si="7"/>
        <v>0.69407894736842102</v>
      </c>
      <c r="BA44" s="1">
        <f t="shared" si="8"/>
        <v>1.2763157894736841</v>
      </c>
      <c r="BB44" s="1">
        <f t="shared" si="9"/>
        <v>0.69407894736842102</v>
      </c>
      <c r="BC44" s="1">
        <f t="shared" si="10"/>
        <v>0.69407894736842102</v>
      </c>
      <c r="BD44" s="1">
        <f t="shared" si="20"/>
        <v>0.28407894736842104</v>
      </c>
      <c r="BF44">
        <f t="shared" si="11"/>
        <v>19</v>
      </c>
      <c r="BG44">
        <f t="shared" si="25"/>
        <v>16.666666666666668</v>
      </c>
      <c r="BH44" s="1">
        <f t="shared" si="12"/>
        <v>3.1052631578947367</v>
      </c>
      <c r="BI44" s="1">
        <f t="shared" si="13"/>
        <v>0.87719298245614041</v>
      </c>
      <c r="BJ44" s="1">
        <f t="shared" si="14"/>
        <v>0.64900000000000002</v>
      </c>
      <c r="BK44" s="1">
        <f t="shared" si="15"/>
        <v>1.6548421052631579</v>
      </c>
      <c r="BL44" s="1">
        <f t="shared" si="22"/>
        <v>0.64900000000000002</v>
      </c>
      <c r="BM44" s="1">
        <f t="shared" si="23"/>
        <v>0.64900000000000002</v>
      </c>
      <c r="BN44" s="1">
        <f t="shared" si="24"/>
        <v>5.7121000000000019E-2</v>
      </c>
      <c r="BO44" s="1">
        <f t="shared" si="16"/>
        <v>5.5652352169781633E-6</v>
      </c>
    </row>
    <row r="45" spans="1:71" x14ac:dyDescent="0.25">
      <c r="A45" s="3"/>
      <c r="B45" s="3"/>
      <c r="C45" t="s">
        <v>31</v>
      </c>
      <c r="D45" s="5">
        <v>1</v>
      </c>
      <c r="E45" s="9">
        <f t="shared" si="0"/>
        <v>12</v>
      </c>
      <c r="F45" s="9">
        <f t="shared" si="1"/>
        <v>0.74358974358974361</v>
      </c>
      <c r="G45">
        <v>0</v>
      </c>
      <c r="H45">
        <v>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12</v>
      </c>
      <c r="P45">
        <v>0</v>
      </c>
      <c r="Q45">
        <v>58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35</v>
      </c>
      <c r="AK45" t="s">
        <v>1</v>
      </c>
      <c r="AL45" t="s">
        <v>374</v>
      </c>
      <c r="AQ45" s="1">
        <f t="shared" si="17"/>
        <v>100</v>
      </c>
      <c r="AR45" s="1">
        <f t="shared" si="2"/>
        <v>0.12</v>
      </c>
      <c r="AS45" s="1">
        <f t="shared" si="3"/>
        <v>0</v>
      </c>
      <c r="AT45" s="1">
        <f t="shared" si="4"/>
        <v>0.2</v>
      </c>
      <c r="AU45" s="1">
        <f t="shared" si="5"/>
        <v>0.57999999999999996</v>
      </c>
      <c r="AV45" s="1">
        <f t="shared" si="18"/>
        <v>0.35</v>
      </c>
      <c r="AX45" s="1">
        <f t="shared" si="19"/>
        <v>2.8999999999999995</v>
      </c>
      <c r="AY45" s="1">
        <f t="shared" si="6"/>
        <v>0.6</v>
      </c>
      <c r="AZ45" s="1">
        <f t="shared" si="7"/>
        <v>0.68124999999999991</v>
      </c>
      <c r="BA45" s="1">
        <f t="shared" si="8"/>
        <v>1.2249999999999999</v>
      </c>
      <c r="BB45" s="1">
        <f t="shared" si="9"/>
        <v>0.6</v>
      </c>
      <c r="BC45" s="1">
        <f t="shared" si="10"/>
        <v>0.6</v>
      </c>
      <c r="BD45" s="1">
        <f t="shared" si="20"/>
        <v>0.25</v>
      </c>
      <c r="BF45">
        <f t="shared" si="11"/>
        <v>20</v>
      </c>
      <c r="BG45">
        <f t="shared" si="25"/>
        <v>15.333333333333332</v>
      </c>
      <c r="BH45" s="1">
        <f t="shared" si="12"/>
        <v>2.9</v>
      </c>
      <c r="BI45" s="1">
        <f t="shared" si="13"/>
        <v>0.76666666666666661</v>
      </c>
      <c r="BJ45" s="1">
        <f t="shared" si="14"/>
        <v>0.64510000000000001</v>
      </c>
      <c r="BK45" s="1">
        <f t="shared" si="15"/>
        <v>1.5518000000000001</v>
      </c>
      <c r="BL45" s="1">
        <f t="shared" si="22"/>
        <v>0.64510000000000001</v>
      </c>
      <c r="BM45" s="1">
        <f t="shared" si="23"/>
        <v>0.64510000000000001</v>
      </c>
      <c r="BN45" s="1">
        <f t="shared" si="24"/>
        <v>8.7084010000000017E-2</v>
      </c>
      <c r="BO45" s="1">
        <f t="shared" si="16"/>
        <v>3.3224762260264311E-3</v>
      </c>
    </row>
    <row r="46" spans="1:71" x14ac:dyDescent="0.25">
      <c r="A46" s="3"/>
      <c r="B46" s="3"/>
      <c r="C46" t="s">
        <v>32</v>
      </c>
      <c r="D46" s="5">
        <v>1</v>
      </c>
      <c r="E46" s="9">
        <f t="shared" si="0"/>
        <v>20</v>
      </c>
      <c r="F46" s="9">
        <f t="shared" si="1"/>
        <v>0.77500000000000002</v>
      </c>
      <c r="G46">
        <v>0</v>
      </c>
      <c r="H46">
        <v>18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16</v>
      </c>
      <c r="P46">
        <v>0</v>
      </c>
      <c r="Q46">
        <v>62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64</v>
      </c>
      <c r="AK46" t="s">
        <v>1</v>
      </c>
      <c r="AL46" t="s">
        <v>374</v>
      </c>
      <c r="AQ46" s="1">
        <f t="shared" si="17"/>
        <v>100</v>
      </c>
      <c r="AR46" s="1">
        <f t="shared" si="2"/>
        <v>0.16</v>
      </c>
      <c r="AS46" s="1">
        <f t="shared" si="3"/>
        <v>0</v>
      </c>
      <c r="AT46" s="1">
        <f t="shared" si="4"/>
        <v>0.18</v>
      </c>
      <c r="AU46" s="1">
        <f t="shared" si="5"/>
        <v>0.62</v>
      </c>
      <c r="AV46" s="1">
        <f t="shared" si="18"/>
        <v>0.64</v>
      </c>
      <c r="AX46" s="1">
        <f t="shared" si="19"/>
        <v>3.4444444444444446</v>
      </c>
      <c r="AY46" s="1">
        <f t="shared" si="6"/>
        <v>0.88888888888888895</v>
      </c>
      <c r="AZ46" s="1">
        <f t="shared" si="7"/>
        <v>0.71527777777777779</v>
      </c>
      <c r="BA46" s="1">
        <f t="shared" si="8"/>
        <v>1.3611111111111112</v>
      </c>
      <c r="BB46" s="1">
        <f t="shared" si="9"/>
        <v>0.71527777777777779</v>
      </c>
      <c r="BC46" s="1">
        <f t="shared" si="10"/>
        <v>0.71527777777777779</v>
      </c>
      <c r="BD46" s="1">
        <f t="shared" si="20"/>
        <v>7.5277777777777777E-2</v>
      </c>
      <c r="BF46">
        <f t="shared" si="11"/>
        <v>18</v>
      </c>
      <c r="BG46">
        <f t="shared" si="25"/>
        <v>18</v>
      </c>
      <c r="BH46" s="1">
        <f t="shared" si="12"/>
        <v>3.4444444444444446</v>
      </c>
      <c r="BI46" s="1">
        <f t="shared" si="13"/>
        <v>1</v>
      </c>
      <c r="BJ46" s="1">
        <f t="shared" si="14"/>
        <v>0.65544444444444439</v>
      </c>
      <c r="BK46" s="1">
        <f t="shared" si="15"/>
        <v>1.8251111111111114</v>
      </c>
      <c r="BL46" s="1">
        <f t="shared" si="22"/>
        <v>0.65544444444444439</v>
      </c>
      <c r="BM46" s="1">
        <f t="shared" si="23"/>
        <v>0.65544444444444439</v>
      </c>
      <c r="BN46" s="1">
        <f t="shared" si="24"/>
        <v>2.3853086419752862E-4</v>
      </c>
      <c r="BO46" s="1">
        <f t="shared" si="16"/>
        <v>5.3990739770447424E-2</v>
      </c>
    </row>
    <row r="47" spans="1:71" x14ac:dyDescent="0.25">
      <c r="A47" s="3"/>
      <c r="B47" s="3"/>
      <c r="C47" t="s">
        <v>33</v>
      </c>
      <c r="D47" s="5">
        <v>1</v>
      </c>
      <c r="E47" s="9">
        <f t="shared" si="0"/>
        <v>20</v>
      </c>
      <c r="F47" s="9">
        <f t="shared" si="1"/>
        <v>0.78749999999999998</v>
      </c>
      <c r="G47">
        <v>0</v>
      </c>
      <c r="H47">
        <v>17</v>
      </c>
      <c r="I47">
        <v>8</v>
      </c>
      <c r="J47">
        <v>0</v>
      </c>
      <c r="K47">
        <v>0</v>
      </c>
      <c r="L47">
        <v>0</v>
      </c>
      <c r="M47">
        <v>0</v>
      </c>
      <c r="N47">
        <v>0</v>
      </c>
      <c r="O47">
        <v>12</v>
      </c>
      <c r="P47">
        <v>0</v>
      </c>
      <c r="Q47">
        <v>63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57</v>
      </c>
      <c r="AK47" t="s">
        <v>1</v>
      </c>
      <c r="AL47" t="s">
        <v>374</v>
      </c>
      <c r="AQ47" s="1">
        <f t="shared" si="17"/>
        <v>100</v>
      </c>
      <c r="AR47" s="1">
        <f t="shared" si="2"/>
        <v>0.12</v>
      </c>
      <c r="AS47" s="1">
        <f t="shared" si="3"/>
        <v>0</v>
      </c>
      <c r="AT47" s="1">
        <f t="shared" si="4"/>
        <v>0.17</v>
      </c>
      <c r="AU47" s="1">
        <f t="shared" si="5"/>
        <v>0.63</v>
      </c>
      <c r="AV47" s="1">
        <f t="shared" si="18"/>
        <v>0.56999999999999995</v>
      </c>
      <c r="AX47" s="1">
        <f t="shared" si="19"/>
        <v>3.7058823529411762</v>
      </c>
      <c r="AY47" s="1">
        <f t="shared" si="6"/>
        <v>0.70588235294117641</v>
      </c>
      <c r="AZ47" s="1">
        <f t="shared" si="7"/>
        <v>0.73161764705882348</v>
      </c>
      <c r="BA47" s="1">
        <f t="shared" si="8"/>
        <v>1.4264705882352939</v>
      </c>
      <c r="BB47" s="1">
        <f t="shared" si="9"/>
        <v>0.70588235294117641</v>
      </c>
      <c r="BC47" s="1">
        <f t="shared" si="10"/>
        <v>0.70588235294117641</v>
      </c>
      <c r="BD47" s="1">
        <f t="shared" si="20"/>
        <v>0.13588235294117645</v>
      </c>
      <c r="BF47">
        <f t="shared" si="11"/>
        <v>17</v>
      </c>
      <c r="BG47">
        <f t="shared" si="25"/>
        <v>16</v>
      </c>
      <c r="BH47" s="1">
        <f t="shared" si="12"/>
        <v>3.7058823529411766</v>
      </c>
      <c r="BI47" s="1">
        <f t="shared" si="13"/>
        <v>0.94117647058823528</v>
      </c>
      <c r="BJ47" s="1">
        <f t="shared" si="14"/>
        <v>0.66041176470588236</v>
      </c>
      <c r="BK47" s="1">
        <f t="shared" si="15"/>
        <v>1.9563529411764708</v>
      </c>
      <c r="BL47" s="1">
        <f t="shared" si="22"/>
        <v>0.66041176470588236</v>
      </c>
      <c r="BM47" s="1">
        <f t="shared" si="23"/>
        <v>0.66041176470588236</v>
      </c>
      <c r="BN47" s="1">
        <f t="shared" si="24"/>
        <v>8.1742871972318443E-3</v>
      </c>
      <c r="BO47" s="1">
        <f t="shared" si="16"/>
        <v>2.6360469259725097E-2</v>
      </c>
    </row>
    <row r="48" spans="1:71" x14ac:dyDescent="0.25">
      <c r="A48" s="3"/>
      <c r="B48" s="3"/>
      <c r="C48" t="s">
        <v>34</v>
      </c>
      <c r="D48" s="5">
        <v>1</v>
      </c>
      <c r="E48" s="9">
        <f t="shared" si="0"/>
        <v>20</v>
      </c>
      <c r="F48" s="9">
        <f t="shared" si="1"/>
        <v>0.77500000000000002</v>
      </c>
      <c r="G48">
        <v>0</v>
      </c>
      <c r="H48">
        <v>18</v>
      </c>
      <c r="I48">
        <v>10</v>
      </c>
      <c r="J48">
        <v>0</v>
      </c>
      <c r="K48">
        <v>0</v>
      </c>
      <c r="L48">
        <v>0</v>
      </c>
      <c r="M48">
        <v>0</v>
      </c>
      <c r="N48">
        <v>0</v>
      </c>
      <c r="O48">
        <v>10</v>
      </c>
      <c r="P48">
        <v>0</v>
      </c>
      <c r="Q48">
        <v>62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53</v>
      </c>
      <c r="AK48" t="s">
        <v>1</v>
      </c>
      <c r="AL48" t="s">
        <v>374</v>
      </c>
      <c r="AQ48" s="1">
        <f t="shared" si="17"/>
        <v>100</v>
      </c>
      <c r="AR48" s="1">
        <f t="shared" si="2"/>
        <v>0.1</v>
      </c>
      <c r="AS48" s="1">
        <f t="shared" si="3"/>
        <v>0</v>
      </c>
      <c r="AT48" s="1">
        <f t="shared" si="4"/>
        <v>0.18</v>
      </c>
      <c r="AU48" s="1">
        <f t="shared" si="5"/>
        <v>0.62</v>
      </c>
      <c r="AV48" s="1">
        <f t="shared" si="18"/>
        <v>0.53</v>
      </c>
      <c r="AX48" s="1">
        <f t="shared" si="19"/>
        <v>3.4444444444444446</v>
      </c>
      <c r="AY48" s="1">
        <f t="shared" si="6"/>
        <v>0.55555555555555558</v>
      </c>
      <c r="AZ48" s="1">
        <f t="shared" si="7"/>
        <v>0.71527777777777779</v>
      </c>
      <c r="BA48" s="1">
        <f t="shared" si="8"/>
        <v>1.3611111111111112</v>
      </c>
      <c r="BB48" s="1">
        <f t="shared" si="9"/>
        <v>0.55555555555555558</v>
      </c>
      <c r="BC48" s="1">
        <f t="shared" si="10"/>
        <v>0.55555555555555558</v>
      </c>
      <c r="BD48" s="1">
        <f t="shared" si="20"/>
        <v>2.5555555555555554E-2</v>
      </c>
      <c r="BF48">
        <f t="shared" si="11"/>
        <v>18</v>
      </c>
      <c r="BG48">
        <f t="shared" si="25"/>
        <v>15</v>
      </c>
      <c r="BH48" s="1">
        <f t="shared" si="12"/>
        <v>3.4444444444444446</v>
      </c>
      <c r="BI48" s="1">
        <f t="shared" si="13"/>
        <v>0.83333333333333337</v>
      </c>
      <c r="BJ48" s="1">
        <f t="shared" si="14"/>
        <v>0.65544444444444439</v>
      </c>
      <c r="BK48" s="1">
        <f t="shared" si="15"/>
        <v>1.8251111111111114</v>
      </c>
      <c r="BL48" s="1">
        <f t="shared" si="22"/>
        <v>0.65544444444444439</v>
      </c>
      <c r="BM48" s="1">
        <f t="shared" si="23"/>
        <v>0.65544444444444439</v>
      </c>
      <c r="BN48" s="1">
        <f t="shared" si="24"/>
        <v>1.5736308641975286E-2</v>
      </c>
      <c r="BO48" s="1">
        <f t="shared" si="16"/>
        <v>1.4971743253598084E-2</v>
      </c>
    </row>
    <row r="49" spans="1:67" x14ac:dyDescent="0.25">
      <c r="A49" s="3"/>
      <c r="B49" s="3"/>
      <c r="C49" t="s">
        <v>35</v>
      </c>
      <c r="D49" s="5">
        <v>1</v>
      </c>
      <c r="E49" s="9">
        <f t="shared" si="0"/>
        <v>26</v>
      </c>
      <c r="F49" s="9">
        <f t="shared" si="1"/>
        <v>0.7567567567567568</v>
      </c>
      <c r="G49">
        <v>0</v>
      </c>
      <c r="H49">
        <v>18</v>
      </c>
      <c r="I49">
        <v>12</v>
      </c>
      <c r="J49">
        <v>0</v>
      </c>
      <c r="K49">
        <v>0</v>
      </c>
      <c r="L49">
        <v>0</v>
      </c>
      <c r="M49">
        <v>0</v>
      </c>
      <c r="N49">
        <v>0</v>
      </c>
      <c r="O49">
        <v>14</v>
      </c>
      <c r="P49">
        <v>0</v>
      </c>
      <c r="Q49">
        <v>56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57</v>
      </c>
      <c r="AK49" t="s">
        <v>1</v>
      </c>
      <c r="AL49" t="s">
        <v>374</v>
      </c>
      <c r="AQ49" s="1">
        <f t="shared" si="17"/>
        <v>100</v>
      </c>
      <c r="AR49" s="1">
        <f t="shared" si="2"/>
        <v>0.14000000000000001</v>
      </c>
      <c r="AS49" s="1">
        <f t="shared" si="3"/>
        <v>0</v>
      </c>
      <c r="AT49" s="1">
        <f t="shared" si="4"/>
        <v>0.18</v>
      </c>
      <c r="AU49" s="1">
        <f t="shared" si="5"/>
        <v>0.56000000000000005</v>
      </c>
      <c r="AV49" s="1">
        <f t="shared" si="18"/>
        <v>0.56999999999999995</v>
      </c>
      <c r="AX49" s="1">
        <f t="shared" si="19"/>
        <v>3.1111111111111116</v>
      </c>
      <c r="AY49" s="1">
        <f t="shared" si="6"/>
        <v>0.7777777777777779</v>
      </c>
      <c r="AZ49" s="1">
        <f t="shared" si="7"/>
        <v>0.69444444444444442</v>
      </c>
      <c r="BA49" s="1">
        <f t="shared" si="8"/>
        <v>1.2777777777777779</v>
      </c>
      <c r="BB49" s="1">
        <f t="shared" si="9"/>
        <v>0.69444444444444442</v>
      </c>
      <c r="BC49" s="1">
        <f t="shared" si="10"/>
        <v>0.69444444444444442</v>
      </c>
      <c r="BD49" s="1">
        <f t="shared" si="20"/>
        <v>0.12444444444444447</v>
      </c>
      <c r="BF49">
        <f t="shared" si="11"/>
        <v>18</v>
      </c>
      <c r="BG49">
        <f t="shared" si="25"/>
        <v>20</v>
      </c>
      <c r="BH49" s="1">
        <f t="shared" si="12"/>
        <v>3.1111111111111112</v>
      </c>
      <c r="BI49" s="1">
        <f t="shared" si="13"/>
        <v>1.1111111111111112</v>
      </c>
      <c r="BJ49" s="1">
        <f t="shared" si="14"/>
        <v>0.64911111111111108</v>
      </c>
      <c r="BK49" s="1">
        <f t="shared" si="15"/>
        <v>1.6577777777777778</v>
      </c>
      <c r="BL49" s="1">
        <f t="shared" si="22"/>
        <v>0.64911111111111108</v>
      </c>
      <c r="BM49" s="1">
        <f t="shared" si="23"/>
        <v>0.64911111111111108</v>
      </c>
      <c r="BN49" s="1">
        <f t="shared" si="24"/>
        <v>6.2585679012345709E-3</v>
      </c>
      <c r="BO49" s="1">
        <f t="shared" si="16"/>
        <v>2.6360469259725097E-2</v>
      </c>
    </row>
    <row r="50" spans="1:67" x14ac:dyDescent="0.25">
      <c r="A50" s="3"/>
      <c r="B50" s="3"/>
      <c r="C50" t="s">
        <v>36</v>
      </c>
      <c r="D50" s="5">
        <v>1</v>
      </c>
      <c r="E50" s="9">
        <f t="shared" si="0"/>
        <v>25</v>
      </c>
      <c r="F50" s="9">
        <f t="shared" si="1"/>
        <v>0.76388888888888884</v>
      </c>
      <c r="G50">
        <v>0</v>
      </c>
      <c r="H50">
        <v>17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20</v>
      </c>
      <c r="P50">
        <v>0</v>
      </c>
      <c r="Q50">
        <v>55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54</v>
      </c>
      <c r="AK50" t="s">
        <v>1</v>
      </c>
      <c r="AL50" t="s">
        <v>374</v>
      </c>
      <c r="AQ50" s="1">
        <f t="shared" si="17"/>
        <v>101</v>
      </c>
      <c r="AR50" s="1">
        <f t="shared" si="2"/>
        <v>0.2</v>
      </c>
      <c r="AS50" s="1">
        <f t="shared" si="3"/>
        <v>0</v>
      </c>
      <c r="AT50" s="1">
        <f t="shared" si="4"/>
        <v>0.17</v>
      </c>
      <c r="AU50" s="1">
        <f t="shared" si="5"/>
        <v>0.55000000000000004</v>
      </c>
      <c r="AV50" s="1">
        <f t="shared" si="18"/>
        <v>0.54</v>
      </c>
      <c r="AX50" s="1">
        <f t="shared" si="19"/>
        <v>3.2352941176470589</v>
      </c>
      <c r="AY50" s="1">
        <f t="shared" si="6"/>
        <v>1.1764705882352942</v>
      </c>
      <c r="AZ50" s="1">
        <f t="shared" si="7"/>
        <v>0.70220588235294112</v>
      </c>
      <c r="BA50" s="1">
        <f t="shared" si="8"/>
        <v>1.3088235294117647</v>
      </c>
      <c r="BB50" s="1">
        <f t="shared" si="9"/>
        <v>0.70220588235294112</v>
      </c>
      <c r="BC50" s="1">
        <f t="shared" si="10"/>
        <v>0.70220588235294112</v>
      </c>
      <c r="BD50" s="1">
        <f t="shared" si="20"/>
        <v>0.16220588235294109</v>
      </c>
      <c r="BF50">
        <f t="shared" si="11"/>
        <v>17</v>
      </c>
      <c r="BG50">
        <f t="shared" si="25"/>
        <v>23.833333333333332</v>
      </c>
      <c r="BH50" s="1">
        <f t="shared" si="12"/>
        <v>3.2352941176470589</v>
      </c>
      <c r="BI50" s="1">
        <f t="shared" si="13"/>
        <v>1.4019607843137254</v>
      </c>
      <c r="BJ50" s="1">
        <f t="shared" si="14"/>
        <v>0.65147058823529413</v>
      </c>
      <c r="BK50" s="1">
        <f t="shared" si="15"/>
        <v>1.7201176470588238</v>
      </c>
      <c r="BL50" s="1">
        <f t="shared" si="22"/>
        <v>0.65147058823529413</v>
      </c>
      <c r="BM50" s="1">
        <f t="shared" si="23"/>
        <v>0.65147058823529413</v>
      </c>
      <c r="BN50" s="1">
        <f t="shared" si="24"/>
        <v>1.2425692041522487E-2</v>
      </c>
      <c r="BO50" s="1">
        <f t="shared" si="16"/>
        <v>1.7518924755129846E-2</v>
      </c>
    </row>
    <row r="51" spans="1:67" x14ac:dyDescent="0.25">
      <c r="A51" s="3"/>
      <c r="B51" s="3"/>
      <c r="C51" t="s">
        <v>37</v>
      </c>
      <c r="D51" s="5">
        <v>1</v>
      </c>
      <c r="E51" s="9">
        <f t="shared" si="0"/>
        <v>15.29</v>
      </c>
      <c r="F51" s="9">
        <f t="shared" si="1"/>
        <v>0.9285920786354438</v>
      </c>
      <c r="G51">
        <v>15.09</v>
      </c>
      <c r="H51">
        <v>4.9400000000000004</v>
      </c>
      <c r="I51">
        <v>15.29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64.239999999999995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</v>
      </c>
      <c r="AK51" t="s">
        <v>1</v>
      </c>
      <c r="AL51" t="s">
        <v>374</v>
      </c>
      <c r="AO51" t="s">
        <v>376</v>
      </c>
      <c r="AQ51" s="1">
        <f t="shared" si="17"/>
        <v>99.56</v>
      </c>
      <c r="AR51" s="1">
        <f t="shared" si="2"/>
        <v>0</v>
      </c>
      <c r="AS51" s="1">
        <f t="shared" si="3"/>
        <v>0.15090000000000001</v>
      </c>
      <c r="AT51" s="1">
        <f t="shared" si="4"/>
        <v>4.9400000000000006E-2</v>
      </c>
      <c r="AU51" s="1">
        <f t="shared" si="5"/>
        <v>0.64239999999999997</v>
      </c>
      <c r="AV51" s="1">
        <f t="shared" si="18"/>
        <v>0.04</v>
      </c>
      <c r="AX51" s="1">
        <f t="shared" si="19"/>
        <v>3.207189216175736</v>
      </c>
      <c r="AY51" s="1">
        <f t="shared" si="6"/>
        <v>0</v>
      </c>
      <c r="AZ51" s="1">
        <f t="shared" si="7"/>
        <v>0.70044932601098353</v>
      </c>
      <c r="BA51" s="1">
        <f t="shared" si="8"/>
        <v>1.3017973040439341</v>
      </c>
      <c r="BB51" s="1">
        <f t="shared" si="9"/>
        <v>0</v>
      </c>
      <c r="BC51" s="1">
        <f t="shared" si="10"/>
        <v>0</v>
      </c>
      <c r="BD51" s="1">
        <f t="shared" si="20"/>
        <v>0.04</v>
      </c>
      <c r="BF51">
        <f t="shared" si="11"/>
        <v>65.3</v>
      </c>
      <c r="BG51">
        <f t="shared" si="25"/>
        <v>7.6449999999999996</v>
      </c>
      <c r="BH51" s="1">
        <f t="shared" si="12"/>
        <v>0.98376722817764162</v>
      </c>
      <c r="BI51" s="1">
        <f t="shared" si="13"/>
        <v>0.1170750382848392</v>
      </c>
      <c r="BJ51" s="1">
        <f t="shared" si="14"/>
        <v>0.60869157733537516</v>
      </c>
      <c r="BK51" s="1">
        <f t="shared" si="15"/>
        <v>0.58985114854517606</v>
      </c>
      <c r="BL51" s="1">
        <f t="shared" si="22"/>
        <v>0.1170750382848392</v>
      </c>
      <c r="BM51" s="1">
        <f t="shared" si="23"/>
        <v>0.1170750382848392</v>
      </c>
      <c r="BN51" s="1">
        <f t="shared" si="24"/>
        <v>5.9405615266094275E-3</v>
      </c>
      <c r="BO51" s="1">
        <f t="shared" si="16"/>
        <v>0.13515984967854194</v>
      </c>
    </row>
    <row r="52" spans="1:67" x14ac:dyDescent="0.25">
      <c r="A52" s="3"/>
      <c r="B52" s="3"/>
      <c r="C52" t="s">
        <v>38</v>
      </c>
      <c r="D52" s="5">
        <v>1</v>
      </c>
      <c r="E52" s="9">
        <f t="shared" si="0"/>
        <v>15.38</v>
      </c>
      <c r="F52" s="9">
        <f t="shared" si="1"/>
        <v>0.85873498335504406</v>
      </c>
      <c r="G52">
        <v>15.11</v>
      </c>
      <c r="H52">
        <v>9.76</v>
      </c>
      <c r="I52">
        <v>15.38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59.33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</v>
      </c>
      <c r="AK52" t="s">
        <v>1</v>
      </c>
      <c r="AL52" t="s">
        <v>374</v>
      </c>
      <c r="AQ52" s="1">
        <f t="shared" si="17"/>
        <v>99.58</v>
      </c>
      <c r="AR52" s="1">
        <f t="shared" si="2"/>
        <v>0</v>
      </c>
      <c r="AS52" s="1">
        <f t="shared" si="3"/>
        <v>0.15109999999999998</v>
      </c>
      <c r="AT52" s="1">
        <f t="shared" si="4"/>
        <v>9.7599999999999992E-2</v>
      </c>
      <c r="AU52" s="1">
        <f t="shared" si="5"/>
        <v>0.59329999999999994</v>
      </c>
      <c r="AV52" s="1">
        <f t="shared" si="18"/>
        <v>0.04</v>
      </c>
      <c r="AX52" s="1">
        <f t="shared" si="19"/>
        <v>2.3856051467631683</v>
      </c>
      <c r="AY52" s="1">
        <f t="shared" si="6"/>
        <v>0</v>
      </c>
      <c r="AZ52" s="1">
        <f t="shared" si="7"/>
        <v>0.64910032167269804</v>
      </c>
      <c r="BA52" s="1">
        <f t="shared" si="8"/>
        <v>1.0964012866907922</v>
      </c>
      <c r="BB52" s="1">
        <f t="shared" si="9"/>
        <v>0</v>
      </c>
      <c r="BC52" s="1">
        <f t="shared" si="10"/>
        <v>0</v>
      </c>
      <c r="BD52" s="1">
        <f t="shared" si="20"/>
        <v>0.04</v>
      </c>
      <c r="BF52">
        <f t="shared" si="11"/>
        <v>70.2</v>
      </c>
      <c r="BG52">
        <f t="shared" si="25"/>
        <v>7.69</v>
      </c>
      <c r="BH52" s="1">
        <f t="shared" si="12"/>
        <v>0.84515669515669511</v>
      </c>
      <c r="BI52" s="1">
        <f t="shared" si="13"/>
        <v>0.10954415954415954</v>
      </c>
      <c r="BJ52" s="1">
        <f t="shared" si="14"/>
        <v>0.60605797720797716</v>
      </c>
      <c r="BK52" s="1">
        <f t="shared" si="15"/>
        <v>0.52026866096866098</v>
      </c>
      <c r="BL52" s="1">
        <f t="shared" si="22"/>
        <v>0.10954415954415954</v>
      </c>
      <c r="BM52" s="1">
        <f t="shared" si="23"/>
        <v>0.10954415954415954</v>
      </c>
      <c r="BN52" s="1">
        <f t="shared" si="24"/>
        <v>4.8363901267035169E-3</v>
      </c>
      <c r="BO52" s="1">
        <f t="shared" si="16"/>
        <v>0.13515984967854194</v>
      </c>
    </row>
    <row r="53" spans="1:67" x14ac:dyDescent="0.25">
      <c r="A53" s="3"/>
      <c r="B53" s="3"/>
      <c r="C53" t="s">
        <v>39</v>
      </c>
      <c r="D53" s="5">
        <v>1</v>
      </c>
      <c r="E53" s="9">
        <f t="shared" si="0"/>
        <v>15.28</v>
      </c>
      <c r="F53" s="9">
        <f t="shared" si="1"/>
        <v>0.7238246322468993</v>
      </c>
      <c r="G53">
        <v>14.96</v>
      </c>
      <c r="H53">
        <v>19.149999999999999</v>
      </c>
      <c r="I53">
        <v>15.28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50.19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</v>
      </c>
      <c r="AK53" t="s">
        <v>1</v>
      </c>
      <c r="AL53" t="s">
        <v>374</v>
      </c>
      <c r="AQ53" s="1">
        <f t="shared" si="17"/>
        <v>99.58</v>
      </c>
      <c r="AR53" s="1">
        <f t="shared" si="2"/>
        <v>0</v>
      </c>
      <c r="AS53" s="1">
        <f t="shared" si="3"/>
        <v>0.14960000000000001</v>
      </c>
      <c r="AT53" s="1">
        <f t="shared" si="4"/>
        <v>0.19149999999999998</v>
      </c>
      <c r="AU53" s="1">
        <f t="shared" si="5"/>
        <v>0.50190000000000001</v>
      </c>
      <c r="AV53" s="1">
        <f t="shared" si="18"/>
        <v>0.06</v>
      </c>
      <c r="AX53" s="1">
        <f t="shared" si="19"/>
        <v>1.47141600703606</v>
      </c>
      <c r="AY53" s="1">
        <f t="shared" si="6"/>
        <v>0</v>
      </c>
      <c r="AZ53" s="1">
        <f t="shared" si="7"/>
        <v>0.59196350043975376</v>
      </c>
      <c r="BA53" s="1">
        <f t="shared" si="8"/>
        <v>0.86785400175901506</v>
      </c>
      <c r="BB53" s="1">
        <f t="shared" si="9"/>
        <v>0</v>
      </c>
      <c r="BC53" s="1">
        <f t="shared" si="10"/>
        <v>0</v>
      </c>
      <c r="BD53" s="1">
        <f t="shared" si="20"/>
        <v>0.06</v>
      </c>
      <c r="BF53">
        <f t="shared" si="11"/>
        <v>78.990000000000009</v>
      </c>
      <c r="BG53">
        <f t="shared" si="25"/>
        <v>7.64</v>
      </c>
      <c r="BH53" s="1">
        <f t="shared" si="12"/>
        <v>0.6353968856817318</v>
      </c>
      <c r="BI53" s="1">
        <f t="shared" si="13"/>
        <v>9.6721103937207231E-2</v>
      </c>
      <c r="BJ53" s="1">
        <f t="shared" si="14"/>
        <v>0.60207254082795292</v>
      </c>
      <c r="BK53" s="1">
        <f t="shared" si="15"/>
        <v>0.4149692366122294</v>
      </c>
      <c r="BL53" s="1">
        <f t="shared" si="22"/>
        <v>9.6721103937207231E-2</v>
      </c>
      <c r="BM53" s="1">
        <f t="shared" si="23"/>
        <v>9.6721103937207231E-2</v>
      </c>
      <c r="BN53" s="1">
        <f t="shared" si="24"/>
        <v>1.3484394743671765E-3</v>
      </c>
      <c r="BO53" s="1">
        <f t="shared" si="16"/>
        <v>0.12085421268160544</v>
      </c>
    </row>
    <row r="54" spans="1:67" x14ac:dyDescent="0.25">
      <c r="A54" s="3"/>
      <c r="B54" s="3"/>
      <c r="C54" t="s">
        <v>40</v>
      </c>
      <c r="D54" s="5">
        <v>1</v>
      </c>
      <c r="E54" s="9">
        <f t="shared" si="0"/>
        <v>15.38</v>
      </c>
      <c r="F54" s="9">
        <f t="shared" si="1"/>
        <v>0.66020821283979181</v>
      </c>
      <c r="G54">
        <v>15.04</v>
      </c>
      <c r="H54">
        <v>23.5</v>
      </c>
      <c r="I54">
        <v>15.38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45.66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</v>
      </c>
      <c r="AK54" t="s">
        <v>1</v>
      </c>
      <c r="AL54" t="s">
        <v>374</v>
      </c>
      <c r="AQ54" s="1">
        <f t="shared" si="17"/>
        <v>99.58</v>
      </c>
      <c r="AR54" s="1">
        <f t="shared" si="2"/>
        <v>0</v>
      </c>
      <c r="AS54" s="1">
        <f t="shared" si="3"/>
        <v>0.15039999999999998</v>
      </c>
      <c r="AT54" s="1">
        <f t="shared" si="4"/>
        <v>0.23499999999999999</v>
      </c>
      <c r="AU54" s="1">
        <f t="shared" si="5"/>
        <v>0.45659999999999995</v>
      </c>
      <c r="AV54" s="1">
        <f t="shared" si="18"/>
        <v>7.0000000000000007E-2</v>
      </c>
      <c r="AX54" s="1">
        <f t="shared" si="19"/>
        <v>1.184743124026985</v>
      </c>
      <c r="AY54" s="1">
        <f t="shared" si="6"/>
        <v>0</v>
      </c>
      <c r="AZ54" s="1">
        <f t="shared" si="7"/>
        <v>0.57404644525168658</v>
      </c>
      <c r="BA54" s="1">
        <f t="shared" si="8"/>
        <v>0.79618578100674631</v>
      </c>
      <c r="BB54" s="1">
        <f t="shared" si="9"/>
        <v>0</v>
      </c>
      <c r="BC54" s="1">
        <f t="shared" si="10"/>
        <v>0</v>
      </c>
      <c r="BD54" s="1">
        <f t="shared" si="20"/>
        <v>7.0000000000000007E-2</v>
      </c>
      <c r="BF54">
        <f t="shared" si="11"/>
        <v>83.66</v>
      </c>
      <c r="BG54">
        <f t="shared" si="25"/>
        <v>7.69</v>
      </c>
      <c r="BH54" s="1">
        <f t="shared" si="12"/>
        <v>0.54578054028209422</v>
      </c>
      <c r="BI54" s="1">
        <f t="shared" si="13"/>
        <v>9.1919674874491999E-2</v>
      </c>
      <c r="BJ54" s="1">
        <f t="shared" si="14"/>
        <v>0.60036983026535973</v>
      </c>
      <c r="BK54" s="1">
        <f t="shared" si="15"/>
        <v>0.36998183122161132</v>
      </c>
      <c r="BL54" s="1">
        <f t="shared" si="22"/>
        <v>9.1919674874491999E-2</v>
      </c>
      <c r="BM54" s="1">
        <f t="shared" si="23"/>
        <v>9.1919674874491999E-2</v>
      </c>
      <c r="BN54" s="1">
        <f t="shared" si="24"/>
        <v>4.8047214660343557E-4</v>
      </c>
      <c r="BO54" s="1">
        <f t="shared" si="16"/>
        <v>0.11400139418313719</v>
      </c>
    </row>
    <row r="55" spans="1:67" x14ac:dyDescent="0.25">
      <c r="A55" s="3"/>
      <c r="B55" s="3"/>
      <c r="C55" t="s">
        <v>42</v>
      </c>
      <c r="D55" s="5">
        <v>1</v>
      </c>
      <c r="E55" s="9">
        <f t="shared" si="0"/>
        <v>20</v>
      </c>
      <c r="F55" s="9">
        <f t="shared" si="1"/>
        <v>0</v>
      </c>
      <c r="G55">
        <v>30</v>
      </c>
      <c r="H55">
        <v>50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2.6</v>
      </c>
      <c r="AK55" t="s">
        <v>1</v>
      </c>
      <c r="AL55" t="s">
        <v>372</v>
      </c>
      <c r="AO55" t="s">
        <v>375</v>
      </c>
      <c r="AQ55" s="1">
        <f t="shared" si="17"/>
        <v>100</v>
      </c>
      <c r="AR55" s="1">
        <f t="shared" si="2"/>
        <v>0.2</v>
      </c>
      <c r="AS55" s="1">
        <f t="shared" si="3"/>
        <v>0.3</v>
      </c>
      <c r="AT55" s="1">
        <f t="shared" si="4"/>
        <v>0.5</v>
      </c>
      <c r="AU55" s="1">
        <f t="shared" si="5"/>
        <v>0</v>
      </c>
      <c r="AV55" s="1">
        <f t="shared" si="18"/>
        <v>2.6000000000000002E-2</v>
      </c>
      <c r="AX55" s="1">
        <f t="shared" si="19"/>
        <v>0</v>
      </c>
      <c r="AY55" s="1">
        <f t="shared" si="6"/>
        <v>0.25</v>
      </c>
      <c r="AZ55" s="1">
        <f t="shared" si="7"/>
        <v>0.5</v>
      </c>
      <c r="BA55" s="1">
        <f t="shared" si="8"/>
        <v>0.5</v>
      </c>
      <c r="BB55" s="1">
        <f t="shared" si="9"/>
        <v>0.25</v>
      </c>
      <c r="BC55" s="1">
        <f t="shared" si="10"/>
        <v>0.25</v>
      </c>
      <c r="BD55" s="1">
        <f t="shared" si="20"/>
        <v>0.224</v>
      </c>
      <c r="BF55">
        <f t="shared" si="11"/>
        <v>170</v>
      </c>
      <c r="BG55">
        <f t="shared" si="25"/>
        <v>20</v>
      </c>
      <c r="BH55" s="1">
        <f t="shared" si="12"/>
        <v>0</v>
      </c>
      <c r="BI55" s="1">
        <f t="shared" si="13"/>
        <v>0.11764705882352941</v>
      </c>
      <c r="BJ55" s="1">
        <f t="shared" si="14"/>
        <v>0.59</v>
      </c>
      <c r="BK55" s="1">
        <f t="shared" si="15"/>
        <v>9.6000000000000002E-2</v>
      </c>
      <c r="BL55" s="1">
        <f t="shared" si="22"/>
        <v>0.11764705882352941</v>
      </c>
      <c r="BM55" s="1">
        <f t="shared" si="23"/>
        <v>0.11764705882352941</v>
      </c>
      <c r="BN55" s="1">
        <f t="shared" si="24"/>
        <v>8.3991833910034615E-3</v>
      </c>
      <c r="BO55" s="1">
        <f t="shared" si="16"/>
        <v>0.14564979557639743</v>
      </c>
    </row>
    <row r="56" spans="1:67" x14ac:dyDescent="0.25">
      <c r="A56" s="3"/>
      <c r="B56" s="3"/>
      <c r="C56" t="s">
        <v>43</v>
      </c>
      <c r="D56" s="5">
        <v>1</v>
      </c>
      <c r="E56" s="9">
        <f t="shared" si="0"/>
        <v>25</v>
      </c>
      <c r="F56" s="9">
        <f t="shared" si="1"/>
        <v>0</v>
      </c>
      <c r="G56">
        <v>25</v>
      </c>
      <c r="H56">
        <v>50</v>
      </c>
      <c r="I56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10.8</v>
      </c>
      <c r="AK56" t="s">
        <v>1</v>
      </c>
      <c r="AL56" t="s">
        <v>372</v>
      </c>
      <c r="AQ56" s="1">
        <f t="shared" si="17"/>
        <v>100</v>
      </c>
      <c r="AR56" s="1">
        <f t="shared" si="2"/>
        <v>0</v>
      </c>
      <c r="AS56" s="1">
        <f t="shared" si="3"/>
        <v>0.25</v>
      </c>
      <c r="AT56" s="1">
        <f t="shared" si="4"/>
        <v>0.5</v>
      </c>
      <c r="AU56" s="1">
        <f t="shared" si="5"/>
        <v>0</v>
      </c>
      <c r="AV56" s="1">
        <f t="shared" si="18"/>
        <v>0.10800000000000001</v>
      </c>
      <c r="AX56" s="1">
        <f t="shared" si="19"/>
        <v>0</v>
      </c>
      <c r="AY56" s="1">
        <f t="shared" si="6"/>
        <v>0</v>
      </c>
      <c r="AZ56" s="1">
        <f t="shared" si="7"/>
        <v>0.5</v>
      </c>
      <c r="BA56" s="1">
        <f t="shared" si="8"/>
        <v>0.5</v>
      </c>
      <c r="BB56" s="1">
        <f t="shared" si="9"/>
        <v>0</v>
      </c>
      <c r="BC56" s="1">
        <f t="shared" si="10"/>
        <v>0</v>
      </c>
      <c r="BD56" s="1">
        <f t="shared" si="20"/>
        <v>0.10800000000000001</v>
      </c>
      <c r="BF56">
        <f t="shared" si="11"/>
        <v>150</v>
      </c>
      <c r="BG56">
        <f t="shared" si="25"/>
        <v>12.5</v>
      </c>
      <c r="BH56" s="1">
        <f t="shared" si="12"/>
        <v>0</v>
      </c>
      <c r="BI56" s="1">
        <f t="shared" si="13"/>
        <v>8.3333333333333329E-2</v>
      </c>
      <c r="BJ56" s="1">
        <f t="shared" si="14"/>
        <v>0.59</v>
      </c>
      <c r="BK56" s="1">
        <f t="shared" si="15"/>
        <v>9.6000000000000002E-2</v>
      </c>
      <c r="BL56" s="1">
        <f t="shared" si="22"/>
        <v>8.3333333333333329E-2</v>
      </c>
      <c r="BM56" s="1">
        <f t="shared" si="23"/>
        <v>8.3333333333333329E-2</v>
      </c>
      <c r="BN56" s="1">
        <f t="shared" si="24"/>
        <v>6.0844444444444531E-4</v>
      </c>
      <c r="BO56" s="1">
        <f t="shared" si="16"/>
        <v>8.9784683888957884E-2</v>
      </c>
    </row>
    <row r="57" spans="1:67" x14ac:dyDescent="0.25">
      <c r="A57" s="3"/>
      <c r="B57" s="3"/>
      <c r="C57" t="s">
        <v>44</v>
      </c>
      <c r="D57" s="5">
        <v>1</v>
      </c>
      <c r="E57" s="9">
        <f t="shared" si="0"/>
        <v>25</v>
      </c>
      <c r="F57" s="9">
        <f t="shared" si="1"/>
        <v>0</v>
      </c>
      <c r="G57">
        <v>30</v>
      </c>
      <c r="H57">
        <v>45</v>
      </c>
      <c r="I57">
        <v>0</v>
      </c>
      <c r="J57">
        <v>0</v>
      </c>
      <c r="K57">
        <v>0</v>
      </c>
      <c r="L57">
        <v>0</v>
      </c>
      <c r="M57">
        <v>0</v>
      </c>
      <c r="N57">
        <v>25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</v>
      </c>
      <c r="AK57" t="s">
        <v>1</v>
      </c>
      <c r="AL57" t="s">
        <v>372</v>
      </c>
      <c r="AQ57" s="1">
        <f t="shared" si="17"/>
        <v>100</v>
      </c>
      <c r="AR57" s="1">
        <f t="shared" si="2"/>
        <v>0</v>
      </c>
      <c r="AS57" s="1">
        <f t="shared" si="3"/>
        <v>0.3</v>
      </c>
      <c r="AT57" s="1">
        <f t="shared" si="4"/>
        <v>0.45</v>
      </c>
      <c r="AU57" s="1">
        <f t="shared" si="5"/>
        <v>0</v>
      </c>
      <c r="AV57" s="1">
        <f t="shared" si="18"/>
        <v>0.08</v>
      </c>
      <c r="AX57" s="1">
        <f t="shared" si="19"/>
        <v>0</v>
      </c>
      <c r="AY57" s="1">
        <f t="shared" si="6"/>
        <v>0</v>
      </c>
      <c r="AZ57" s="1">
        <f t="shared" si="7"/>
        <v>0.5</v>
      </c>
      <c r="BA57" s="1">
        <f t="shared" si="8"/>
        <v>0.5</v>
      </c>
      <c r="BB57" s="1">
        <f t="shared" si="9"/>
        <v>0</v>
      </c>
      <c r="BC57" s="1">
        <f t="shared" si="10"/>
        <v>0</v>
      </c>
      <c r="BD57" s="1">
        <f t="shared" si="20"/>
        <v>0.08</v>
      </c>
      <c r="BF57">
        <f t="shared" si="11"/>
        <v>165</v>
      </c>
      <c r="BG57">
        <f t="shared" si="25"/>
        <v>12.5</v>
      </c>
      <c r="BH57" s="1">
        <f t="shared" si="12"/>
        <v>0</v>
      </c>
      <c r="BI57" s="1">
        <f t="shared" si="13"/>
        <v>7.575757575757576E-2</v>
      </c>
      <c r="BJ57" s="1">
        <f t="shared" si="14"/>
        <v>0.59</v>
      </c>
      <c r="BK57" s="1">
        <f t="shared" si="15"/>
        <v>9.6000000000000002E-2</v>
      </c>
      <c r="BL57" s="1">
        <f t="shared" si="22"/>
        <v>7.575757575757576E-2</v>
      </c>
      <c r="BM57" s="1">
        <f t="shared" si="23"/>
        <v>7.575757575757576E-2</v>
      </c>
      <c r="BN57" s="1">
        <f t="shared" si="24"/>
        <v>1.7998163452708904E-5</v>
      </c>
      <c r="BO57" s="1">
        <f t="shared" si="16"/>
        <v>0.10734857568466895</v>
      </c>
    </row>
    <row r="58" spans="1:67" x14ac:dyDescent="0.25">
      <c r="A58" s="3"/>
      <c r="B58" s="3"/>
      <c r="C58" t="s">
        <v>45</v>
      </c>
      <c r="D58" s="5">
        <v>1</v>
      </c>
      <c r="E58" s="9">
        <f t="shared" si="0"/>
        <v>40</v>
      </c>
      <c r="F58" s="9">
        <f t="shared" si="1"/>
        <v>0</v>
      </c>
      <c r="G58">
        <v>20</v>
      </c>
      <c r="H58">
        <v>40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13.7</v>
      </c>
      <c r="AK58" t="s">
        <v>1</v>
      </c>
      <c r="AL58" t="s">
        <v>372</v>
      </c>
      <c r="AQ58" s="1">
        <f t="shared" si="17"/>
        <v>100</v>
      </c>
      <c r="AR58" s="1">
        <f t="shared" si="2"/>
        <v>0.4</v>
      </c>
      <c r="AS58" s="1">
        <f t="shared" si="3"/>
        <v>0.2</v>
      </c>
      <c r="AT58" s="1">
        <f t="shared" si="4"/>
        <v>0.4</v>
      </c>
      <c r="AU58" s="1">
        <f t="shared" si="5"/>
        <v>0</v>
      </c>
      <c r="AV58" s="1">
        <f t="shared" si="18"/>
        <v>0.13699999999999998</v>
      </c>
      <c r="AX58" s="1">
        <f t="shared" si="19"/>
        <v>0</v>
      </c>
      <c r="AY58" s="1">
        <f t="shared" si="6"/>
        <v>0.66666666666666663</v>
      </c>
      <c r="AZ58" s="1">
        <f t="shared" si="7"/>
        <v>0.5</v>
      </c>
      <c r="BA58" s="1">
        <f t="shared" si="8"/>
        <v>0.5</v>
      </c>
      <c r="BB58" s="1">
        <f t="shared" si="9"/>
        <v>0.44444444444444448</v>
      </c>
      <c r="BC58" s="1">
        <f t="shared" si="10"/>
        <v>0.44444444444444448</v>
      </c>
      <c r="BD58" s="1">
        <f t="shared" si="20"/>
        <v>0.30744444444444452</v>
      </c>
      <c r="BF58">
        <f t="shared" si="11"/>
        <v>120</v>
      </c>
      <c r="BG58">
        <f t="shared" si="25"/>
        <v>40</v>
      </c>
      <c r="BH58" s="1">
        <f t="shared" si="12"/>
        <v>0</v>
      </c>
      <c r="BI58" s="1">
        <f t="shared" si="13"/>
        <v>0.33333333333333331</v>
      </c>
      <c r="BJ58" s="1">
        <f t="shared" si="14"/>
        <v>0.59</v>
      </c>
      <c r="BK58" s="1">
        <f t="shared" si="15"/>
        <v>9.6000000000000002E-2</v>
      </c>
      <c r="BL58" s="1">
        <f t="shared" si="22"/>
        <v>0.33333333333333331</v>
      </c>
      <c r="BM58" s="1">
        <f t="shared" si="23"/>
        <v>0.33333333333333331</v>
      </c>
      <c r="BN58" s="1">
        <f t="shared" si="24"/>
        <v>3.8546777777777777E-2</v>
      </c>
      <c r="BO58" s="1">
        <f t="shared" si="16"/>
        <v>7.3246510243399968E-2</v>
      </c>
    </row>
    <row r="59" spans="1:67" x14ac:dyDescent="0.25">
      <c r="A59" s="3"/>
      <c r="B59" s="3"/>
      <c r="C59" t="s">
        <v>46</v>
      </c>
      <c r="D59" s="5">
        <v>1</v>
      </c>
      <c r="E59" s="9">
        <f t="shared" si="0"/>
        <v>40</v>
      </c>
      <c r="F59" s="9">
        <f t="shared" si="1"/>
        <v>0</v>
      </c>
      <c r="G59">
        <v>20</v>
      </c>
      <c r="H59">
        <v>40</v>
      </c>
      <c r="I59">
        <v>40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12</v>
      </c>
      <c r="AK59" t="s">
        <v>1</v>
      </c>
      <c r="AL59" t="s">
        <v>372</v>
      </c>
      <c r="AQ59" s="1">
        <f t="shared" si="17"/>
        <v>100</v>
      </c>
      <c r="AR59" s="1">
        <f t="shared" si="2"/>
        <v>0</v>
      </c>
      <c r="AS59" s="1">
        <f t="shared" si="3"/>
        <v>0.2</v>
      </c>
      <c r="AT59" s="1">
        <f t="shared" si="4"/>
        <v>0.4</v>
      </c>
      <c r="AU59" s="1">
        <f t="shared" si="5"/>
        <v>0</v>
      </c>
      <c r="AV59" s="1">
        <f t="shared" si="18"/>
        <v>0.12</v>
      </c>
      <c r="AX59" s="1">
        <f t="shared" si="19"/>
        <v>0</v>
      </c>
      <c r="AY59" s="1">
        <f t="shared" si="6"/>
        <v>0</v>
      </c>
      <c r="AZ59" s="1">
        <f t="shared" si="7"/>
        <v>0.5</v>
      </c>
      <c r="BA59" s="1">
        <f t="shared" si="8"/>
        <v>0.5</v>
      </c>
      <c r="BB59" s="1">
        <f t="shared" si="9"/>
        <v>0</v>
      </c>
      <c r="BC59" s="1">
        <f t="shared" si="10"/>
        <v>0</v>
      </c>
      <c r="BD59" s="1">
        <f t="shared" si="20"/>
        <v>0.12</v>
      </c>
      <c r="BF59">
        <f t="shared" si="11"/>
        <v>120</v>
      </c>
      <c r="BG59">
        <f t="shared" si="25"/>
        <v>20</v>
      </c>
      <c r="BH59" s="1">
        <f t="shared" si="12"/>
        <v>0</v>
      </c>
      <c r="BI59" s="1">
        <f t="shared" si="13"/>
        <v>0.16666666666666666</v>
      </c>
      <c r="BJ59" s="1">
        <f t="shared" si="14"/>
        <v>0.59</v>
      </c>
      <c r="BK59" s="1">
        <f t="shared" si="15"/>
        <v>9.6000000000000002E-2</v>
      </c>
      <c r="BL59" s="1">
        <f t="shared" si="22"/>
        <v>0.16666666666666666</v>
      </c>
      <c r="BM59" s="1">
        <f t="shared" si="23"/>
        <v>0.16666666666666666</v>
      </c>
      <c r="BN59" s="1">
        <f t="shared" si="24"/>
        <v>2.1777777777777772E-3</v>
      </c>
      <c r="BO59" s="1">
        <f t="shared" si="16"/>
        <v>8.2737301690795989E-2</v>
      </c>
    </row>
    <row r="60" spans="1:67" x14ac:dyDescent="0.25">
      <c r="A60" s="3"/>
      <c r="B60" s="3"/>
      <c r="C60" t="s">
        <v>47</v>
      </c>
      <c r="D60" s="5">
        <v>1</v>
      </c>
      <c r="E60" s="9">
        <f t="shared" si="0"/>
        <v>40</v>
      </c>
      <c r="F60" s="9">
        <f t="shared" si="1"/>
        <v>0</v>
      </c>
      <c r="G60">
        <v>20</v>
      </c>
      <c r="H60">
        <v>40</v>
      </c>
      <c r="I60">
        <v>0</v>
      </c>
      <c r="J60">
        <v>0</v>
      </c>
      <c r="K60">
        <v>0</v>
      </c>
      <c r="L60">
        <v>0</v>
      </c>
      <c r="M60">
        <v>0</v>
      </c>
      <c r="N60">
        <v>40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8.9</v>
      </c>
      <c r="AK60" t="s">
        <v>1</v>
      </c>
      <c r="AL60" t="s">
        <v>372</v>
      </c>
      <c r="AQ60" s="1">
        <f t="shared" si="17"/>
        <v>100</v>
      </c>
      <c r="AR60" s="1">
        <f t="shared" si="2"/>
        <v>0</v>
      </c>
      <c r="AS60" s="1">
        <f t="shared" si="3"/>
        <v>0.2</v>
      </c>
      <c r="AT60" s="1">
        <f t="shared" si="4"/>
        <v>0.4</v>
      </c>
      <c r="AU60" s="1">
        <f t="shared" si="5"/>
        <v>0</v>
      </c>
      <c r="AV60" s="1">
        <f t="shared" si="18"/>
        <v>8.900000000000001E-2</v>
      </c>
      <c r="AX60" s="1">
        <f t="shared" si="19"/>
        <v>0</v>
      </c>
      <c r="AY60" s="1">
        <f t="shared" si="6"/>
        <v>0</v>
      </c>
      <c r="AZ60" s="1">
        <f t="shared" si="7"/>
        <v>0.5</v>
      </c>
      <c r="BA60" s="1">
        <f t="shared" si="8"/>
        <v>0.5</v>
      </c>
      <c r="BB60" s="1">
        <f t="shared" si="9"/>
        <v>0</v>
      </c>
      <c r="BC60" s="1">
        <f t="shared" si="10"/>
        <v>0</v>
      </c>
      <c r="BD60" s="1">
        <f t="shared" si="20"/>
        <v>8.900000000000001E-2</v>
      </c>
      <c r="BF60">
        <f t="shared" si="11"/>
        <v>120</v>
      </c>
      <c r="BG60">
        <f t="shared" si="25"/>
        <v>20</v>
      </c>
      <c r="BH60" s="1">
        <f t="shared" si="12"/>
        <v>0</v>
      </c>
      <c r="BI60" s="1">
        <f t="shared" si="13"/>
        <v>0.16666666666666666</v>
      </c>
      <c r="BJ60" s="1">
        <f t="shared" si="14"/>
        <v>0.59</v>
      </c>
      <c r="BK60" s="1">
        <f t="shared" si="15"/>
        <v>9.6000000000000002E-2</v>
      </c>
      <c r="BL60" s="1">
        <f t="shared" si="22"/>
        <v>0.16666666666666666</v>
      </c>
      <c r="BM60" s="1">
        <f t="shared" si="23"/>
        <v>0.16666666666666666</v>
      </c>
      <c r="BN60" s="1">
        <f t="shared" si="24"/>
        <v>6.0321111111111079E-3</v>
      </c>
      <c r="BO60" s="1">
        <f t="shared" si="16"/>
        <v>0.10153203903604752</v>
      </c>
    </row>
    <row r="61" spans="1:67" x14ac:dyDescent="0.25">
      <c r="A61" s="3"/>
      <c r="B61" s="3"/>
      <c r="C61" t="s">
        <v>48</v>
      </c>
      <c r="D61" s="5">
        <v>1</v>
      </c>
      <c r="E61" s="9">
        <f t="shared" si="0"/>
        <v>20</v>
      </c>
      <c r="F61" s="9">
        <f t="shared" si="1"/>
        <v>0.66625000000000001</v>
      </c>
      <c r="G61">
        <v>0</v>
      </c>
      <c r="H61">
        <v>26.7</v>
      </c>
      <c r="I61">
        <v>0</v>
      </c>
      <c r="J61">
        <v>0</v>
      </c>
      <c r="K61">
        <v>0</v>
      </c>
      <c r="L61">
        <v>0</v>
      </c>
      <c r="M61">
        <v>20</v>
      </c>
      <c r="N61">
        <v>0</v>
      </c>
      <c r="O61">
        <v>0</v>
      </c>
      <c r="P61">
        <v>0</v>
      </c>
      <c r="Q61">
        <v>53.3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45</v>
      </c>
      <c r="AK61" t="s">
        <v>1</v>
      </c>
      <c r="AL61" t="s">
        <v>372</v>
      </c>
      <c r="AO61" t="s">
        <v>375</v>
      </c>
      <c r="AQ61" s="1">
        <f t="shared" si="17"/>
        <v>100</v>
      </c>
      <c r="AR61" s="1">
        <f t="shared" si="2"/>
        <v>0.2</v>
      </c>
      <c r="AS61" s="1">
        <f t="shared" si="3"/>
        <v>0</v>
      </c>
      <c r="AT61" s="1">
        <f t="shared" si="4"/>
        <v>0.26700000000000002</v>
      </c>
      <c r="AU61" s="1">
        <f t="shared" si="5"/>
        <v>0.53299999999999992</v>
      </c>
      <c r="AV61" s="1">
        <f t="shared" si="18"/>
        <v>0.45</v>
      </c>
      <c r="AX61" s="1">
        <f t="shared" si="19"/>
        <v>1.9962546816479396</v>
      </c>
      <c r="AY61" s="1">
        <f t="shared" si="6"/>
        <v>0.74906367041198507</v>
      </c>
      <c r="AZ61" s="1">
        <f t="shared" si="7"/>
        <v>0.62476591760299627</v>
      </c>
      <c r="BA61" s="1">
        <f t="shared" si="8"/>
        <v>0.99906367041198485</v>
      </c>
      <c r="BB61" s="1">
        <f t="shared" si="9"/>
        <v>0.62476591760299627</v>
      </c>
      <c r="BC61" s="1">
        <f t="shared" si="10"/>
        <v>0.62476591760299627</v>
      </c>
      <c r="BD61" s="1">
        <f t="shared" si="20"/>
        <v>0.17476591760299626</v>
      </c>
      <c r="BF61">
        <f t="shared" si="11"/>
        <v>26.7</v>
      </c>
      <c r="BG61">
        <f t="shared" si="25"/>
        <v>20</v>
      </c>
      <c r="BH61" s="1">
        <f t="shared" si="12"/>
        <v>1.9962546816479401</v>
      </c>
      <c r="BI61" s="1">
        <f t="shared" si="13"/>
        <v>0.74906367041198507</v>
      </c>
      <c r="BJ61" s="1">
        <f t="shared" si="14"/>
        <v>0.6279288389513108</v>
      </c>
      <c r="BK61" s="1">
        <f t="shared" si="15"/>
        <v>1.098119850187266</v>
      </c>
      <c r="BL61" s="1">
        <f t="shared" si="22"/>
        <v>0.6279288389513108</v>
      </c>
      <c r="BM61" s="1">
        <f t="shared" si="23"/>
        <v>0.6279288389513108</v>
      </c>
      <c r="BN61" s="1">
        <f t="shared" si="24"/>
        <v>3.1658671730561493E-2</v>
      </c>
      <c r="BO61" s="1">
        <f t="shared" si="16"/>
        <v>1.7942912413440124E-3</v>
      </c>
    </row>
    <row r="62" spans="1:67" x14ac:dyDescent="0.25">
      <c r="A62" s="3"/>
      <c r="B62" s="3"/>
      <c r="C62" t="s">
        <v>49</v>
      </c>
      <c r="D62" s="5">
        <v>1</v>
      </c>
      <c r="E62" s="9">
        <f t="shared" si="0"/>
        <v>17.5</v>
      </c>
      <c r="F62" s="9">
        <f t="shared" si="1"/>
        <v>0.66666666666666663</v>
      </c>
      <c r="G62">
        <v>0</v>
      </c>
      <c r="H62">
        <v>27.5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17.5</v>
      </c>
      <c r="P62">
        <v>0</v>
      </c>
      <c r="Q62">
        <v>55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56.7</v>
      </c>
      <c r="AK62" t="s">
        <v>1</v>
      </c>
      <c r="AL62" t="s">
        <v>372</v>
      </c>
      <c r="AQ62" s="1">
        <f t="shared" si="17"/>
        <v>100</v>
      </c>
      <c r="AR62" s="1">
        <f t="shared" si="2"/>
        <v>0.17499999999999999</v>
      </c>
      <c r="AS62" s="1">
        <f t="shared" si="3"/>
        <v>0</v>
      </c>
      <c r="AT62" s="1">
        <f t="shared" si="4"/>
        <v>0.27500000000000002</v>
      </c>
      <c r="AU62" s="1">
        <f t="shared" si="5"/>
        <v>0.55000000000000004</v>
      </c>
      <c r="AV62" s="1">
        <f t="shared" si="18"/>
        <v>0.56700000000000006</v>
      </c>
      <c r="AX62" s="1">
        <f t="shared" si="19"/>
        <v>2</v>
      </c>
      <c r="AY62" s="1">
        <f t="shared" si="6"/>
        <v>0.63636363636363624</v>
      </c>
      <c r="AZ62" s="1">
        <f t="shared" si="7"/>
        <v>0.625</v>
      </c>
      <c r="BA62" s="1">
        <f t="shared" si="8"/>
        <v>1</v>
      </c>
      <c r="BB62" s="1">
        <f t="shared" si="9"/>
        <v>0.625</v>
      </c>
      <c r="BC62" s="1">
        <f t="shared" si="10"/>
        <v>0.625</v>
      </c>
      <c r="BD62" s="1">
        <f t="shared" si="20"/>
        <v>5.799999999999994E-2</v>
      </c>
      <c r="BF62">
        <f t="shared" si="11"/>
        <v>27.5</v>
      </c>
      <c r="BG62">
        <f t="shared" si="25"/>
        <v>17.5</v>
      </c>
      <c r="BH62" s="1">
        <f t="shared" si="12"/>
        <v>2</v>
      </c>
      <c r="BI62" s="1">
        <f t="shared" si="13"/>
        <v>0.63636363636363635</v>
      </c>
      <c r="BJ62" s="1">
        <f t="shared" si="14"/>
        <v>0.628</v>
      </c>
      <c r="BK62" s="1">
        <f t="shared" si="15"/>
        <v>1.1000000000000001</v>
      </c>
      <c r="BL62" s="1">
        <f t="shared" si="22"/>
        <v>0.628</v>
      </c>
      <c r="BM62" s="1">
        <f t="shared" si="23"/>
        <v>0.628</v>
      </c>
      <c r="BN62" s="1">
        <f t="shared" si="24"/>
        <v>3.720999999999993E-3</v>
      </c>
      <c r="BO62" s="1">
        <f t="shared" si="16"/>
        <v>2.5395314809265601E-2</v>
      </c>
    </row>
    <row r="63" spans="1:67" x14ac:dyDescent="0.25">
      <c r="A63" s="3"/>
      <c r="B63" s="3"/>
      <c r="C63" t="s">
        <v>204</v>
      </c>
      <c r="D63" s="5">
        <v>1</v>
      </c>
      <c r="E63" s="9">
        <f t="shared" si="0"/>
        <v>20</v>
      </c>
      <c r="F63" s="9">
        <f t="shared" si="1"/>
        <v>0.66625000000000001</v>
      </c>
      <c r="G63">
        <v>0</v>
      </c>
      <c r="H63">
        <v>26.7</v>
      </c>
      <c r="I63">
        <v>0</v>
      </c>
      <c r="J63">
        <v>0</v>
      </c>
      <c r="K63">
        <v>0</v>
      </c>
      <c r="L63">
        <v>20</v>
      </c>
      <c r="M63">
        <v>0</v>
      </c>
      <c r="N63">
        <v>0</v>
      </c>
      <c r="O63">
        <v>0</v>
      </c>
      <c r="P63">
        <v>0</v>
      </c>
      <c r="Q63">
        <v>53.3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60</v>
      </c>
      <c r="AK63" t="s">
        <v>1</v>
      </c>
      <c r="AL63" t="s">
        <v>372</v>
      </c>
      <c r="AQ63" s="1">
        <f t="shared" si="17"/>
        <v>100</v>
      </c>
      <c r="AR63" s="1">
        <f t="shared" si="2"/>
        <v>0.2</v>
      </c>
      <c r="AS63" s="1">
        <f t="shared" si="3"/>
        <v>0</v>
      </c>
      <c r="AT63" s="1">
        <f t="shared" si="4"/>
        <v>0.26700000000000002</v>
      </c>
      <c r="AU63" s="1">
        <f t="shared" si="5"/>
        <v>0.53299999999999992</v>
      </c>
      <c r="AV63" s="1">
        <f t="shared" si="18"/>
        <v>0.6</v>
      </c>
      <c r="AX63" s="1">
        <f t="shared" si="19"/>
        <v>1.9962546816479396</v>
      </c>
      <c r="AY63" s="1">
        <f t="shared" si="6"/>
        <v>0.74906367041198507</v>
      </c>
      <c r="AZ63" s="1">
        <f t="shared" si="7"/>
        <v>0.62476591760299627</v>
      </c>
      <c r="BA63" s="1">
        <f t="shared" si="8"/>
        <v>0.99906367041198485</v>
      </c>
      <c r="BB63" s="1">
        <f t="shared" si="9"/>
        <v>0.62476591760299627</v>
      </c>
      <c r="BC63" s="1">
        <f t="shared" si="10"/>
        <v>0.62476591760299627</v>
      </c>
      <c r="BD63" s="1">
        <f t="shared" si="20"/>
        <v>2.476591760299629E-2</v>
      </c>
      <c r="BF63">
        <f t="shared" si="11"/>
        <v>26.7</v>
      </c>
      <c r="BG63">
        <f t="shared" si="25"/>
        <v>20</v>
      </c>
      <c r="BH63" s="1">
        <f t="shared" si="12"/>
        <v>1.9962546816479401</v>
      </c>
      <c r="BI63" s="1">
        <f t="shared" si="13"/>
        <v>0.74906367041198507</v>
      </c>
      <c r="BJ63" s="1">
        <f t="shared" si="14"/>
        <v>0.6279288389513108</v>
      </c>
      <c r="BK63" s="1">
        <f t="shared" si="15"/>
        <v>1.098119850187266</v>
      </c>
      <c r="BL63" s="1">
        <f t="shared" si="22"/>
        <v>0.6279288389513108</v>
      </c>
      <c r="BM63" s="1">
        <f t="shared" si="23"/>
        <v>0.6279288389513108</v>
      </c>
      <c r="BN63" s="1">
        <f t="shared" si="24"/>
        <v>7.8002004516825637E-4</v>
      </c>
      <c r="BO63" s="1">
        <f t="shared" si="16"/>
        <v>3.7002013764320378E-2</v>
      </c>
    </row>
    <row r="64" spans="1:67" x14ac:dyDescent="0.25">
      <c r="A64" s="3"/>
      <c r="B64" s="3"/>
      <c r="C64" t="s">
        <v>50</v>
      </c>
      <c r="D64" s="5">
        <v>1</v>
      </c>
      <c r="E64" s="9">
        <f t="shared" si="0"/>
        <v>18.799999999999997</v>
      </c>
      <c r="F64" s="9">
        <f t="shared" si="1"/>
        <v>0.66625615763546797</v>
      </c>
      <c r="G64">
        <v>0</v>
      </c>
      <c r="H64">
        <v>27.1</v>
      </c>
      <c r="I64">
        <v>0</v>
      </c>
      <c r="J64">
        <v>0</v>
      </c>
      <c r="K64">
        <v>0</v>
      </c>
      <c r="L64">
        <v>0</v>
      </c>
      <c r="M64">
        <v>10.199999999999999</v>
      </c>
      <c r="N64">
        <v>0</v>
      </c>
      <c r="O64">
        <v>8.6</v>
      </c>
      <c r="P64">
        <v>0</v>
      </c>
      <c r="Q64">
        <v>54.1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55.2</v>
      </c>
      <c r="AK64" t="s">
        <v>1</v>
      </c>
      <c r="AL64" t="s">
        <v>372</v>
      </c>
      <c r="AQ64" s="1">
        <f t="shared" si="17"/>
        <v>100</v>
      </c>
      <c r="AR64" s="1">
        <f t="shared" si="2"/>
        <v>0.18799999999999997</v>
      </c>
      <c r="AS64" s="1">
        <f t="shared" si="3"/>
        <v>0</v>
      </c>
      <c r="AT64" s="1">
        <f t="shared" si="4"/>
        <v>0.27100000000000002</v>
      </c>
      <c r="AU64" s="1">
        <f t="shared" si="5"/>
        <v>0.54100000000000004</v>
      </c>
      <c r="AV64" s="1">
        <f t="shared" si="18"/>
        <v>0.55200000000000005</v>
      </c>
      <c r="AX64" s="1">
        <f t="shared" si="19"/>
        <v>1.996309963099631</v>
      </c>
      <c r="AY64" s="1">
        <f t="shared" si="6"/>
        <v>0.69372693726937251</v>
      </c>
      <c r="AZ64" s="1">
        <f t="shared" si="7"/>
        <v>0.6247693726937269</v>
      </c>
      <c r="BA64" s="1">
        <f t="shared" si="8"/>
        <v>0.99907749077490782</v>
      </c>
      <c r="BB64" s="1">
        <f t="shared" si="9"/>
        <v>0.6247693726937269</v>
      </c>
      <c r="BC64" s="1">
        <f t="shared" si="10"/>
        <v>0.6247693726937269</v>
      </c>
      <c r="BD64" s="1">
        <f t="shared" si="20"/>
        <v>7.2769372693726853E-2</v>
      </c>
      <c r="BF64">
        <f t="shared" si="11"/>
        <v>27.1</v>
      </c>
      <c r="BG64">
        <f t="shared" si="25"/>
        <v>18.799999999999997</v>
      </c>
      <c r="BH64" s="1">
        <f t="shared" si="12"/>
        <v>1.996309963099631</v>
      </c>
      <c r="BI64" s="1">
        <f t="shared" si="13"/>
        <v>0.69372693726937251</v>
      </c>
      <c r="BJ64" s="1">
        <f t="shared" si="14"/>
        <v>0.62792988929889293</v>
      </c>
      <c r="BK64" s="1">
        <f t="shared" si="15"/>
        <v>1.098147601476015</v>
      </c>
      <c r="BL64" s="1">
        <f t="shared" si="22"/>
        <v>0.62792988929889293</v>
      </c>
      <c r="BM64" s="1">
        <f t="shared" si="23"/>
        <v>0.62792988929889293</v>
      </c>
      <c r="BN64" s="1">
        <f t="shared" si="24"/>
        <v>5.765348088942128E-3</v>
      </c>
      <c r="BO64" s="1">
        <f t="shared" si="16"/>
        <v>2.083954255696796E-2</v>
      </c>
    </row>
    <row r="65" spans="1:67" x14ac:dyDescent="0.25">
      <c r="A65" s="3"/>
      <c r="B65" s="3"/>
      <c r="C65" t="s">
        <v>51</v>
      </c>
      <c r="D65" s="5">
        <v>1</v>
      </c>
      <c r="E65" s="9">
        <f t="shared" si="0"/>
        <v>20</v>
      </c>
      <c r="F65" s="9">
        <f t="shared" si="1"/>
        <v>0.66625000000000001</v>
      </c>
      <c r="G65">
        <v>0</v>
      </c>
      <c r="H65">
        <v>26.7</v>
      </c>
      <c r="I65">
        <v>0</v>
      </c>
      <c r="J65">
        <v>0</v>
      </c>
      <c r="K65">
        <v>0</v>
      </c>
      <c r="L65">
        <v>10</v>
      </c>
      <c r="M65">
        <v>10</v>
      </c>
      <c r="N65">
        <v>0</v>
      </c>
      <c r="O65">
        <v>0</v>
      </c>
      <c r="P65">
        <v>0</v>
      </c>
      <c r="Q65">
        <v>53.3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52.3</v>
      </c>
      <c r="AK65" t="s">
        <v>1</v>
      </c>
      <c r="AL65" t="s">
        <v>372</v>
      </c>
      <c r="AQ65" s="1">
        <f t="shared" si="17"/>
        <v>100</v>
      </c>
      <c r="AR65" s="1">
        <f t="shared" si="2"/>
        <v>0.2</v>
      </c>
      <c r="AS65" s="1">
        <f t="shared" si="3"/>
        <v>0</v>
      </c>
      <c r="AT65" s="1">
        <f t="shared" si="4"/>
        <v>0.26700000000000002</v>
      </c>
      <c r="AU65" s="1">
        <f t="shared" si="5"/>
        <v>0.53299999999999992</v>
      </c>
      <c r="AV65" s="1">
        <f t="shared" si="18"/>
        <v>0.52300000000000002</v>
      </c>
      <c r="AX65" s="1">
        <f t="shared" si="19"/>
        <v>1.9962546816479396</v>
      </c>
      <c r="AY65" s="1">
        <f t="shared" si="6"/>
        <v>0.74906367041198507</v>
      </c>
      <c r="AZ65" s="1">
        <f t="shared" si="7"/>
        <v>0.62476591760299627</v>
      </c>
      <c r="BA65" s="1">
        <f t="shared" si="8"/>
        <v>0.99906367041198485</v>
      </c>
      <c r="BB65" s="1">
        <f t="shared" si="9"/>
        <v>0.62476591760299627</v>
      </c>
      <c r="BC65" s="1">
        <f t="shared" si="10"/>
        <v>0.62476591760299627</v>
      </c>
      <c r="BD65" s="1">
        <f t="shared" si="20"/>
        <v>0.10176591760299625</v>
      </c>
      <c r="BF65">
        <f t="shared" si="11"/>
        <v>26.7</v>
      </c>
      <c r="BG65">
        <f t="shared" si="25"/>
        <v>20</v>
      </c>
      <c r="BH65" s="1">
        <f t="shared" si="12"/>
        <v>1.9962546816479401</v>
      </c>
      <c r="BI65" s="1">
        <f t="shared" si="13"/>
        <v>0.74906367041198507</v>
      </c>
      <c r="BJ65" s="1">
        <f t="shared" si="14"/>
        <v>0.6279288389513108</v>
      </c>
      <c r="BK65" s="1">
        <f t="shared" si="15"/>
        <v>1.098119850187266</v>
      </c>
      <c r="BL65" s="1">
        <f t="shared" si="22"/>
        <v>0.6279288389513108</v>
      </c>
      <c r="BM65" s="1">
        <f t="shared" si="23"/>
        <v>0.6279288389513108</v>
      </c>
      <c r="BN65" s="1">
        <f t="shared" si="24"/>
        <v>1.1010061243670113E-2</v>
      </c>
      <c r="BO65" s="1">
        <f t="shared" si="16"/>
        <v>1.3307716202525853E-2</v>
      </c>
    </row>
    <row r="66" spans="1:67" x14ac:dyDescent="0.25">
      <c r="A66" s="3"/>
      <c r="B66" s="3"/>
      <c r="C66" t="s">
        <v>52</v>
      </c>
      <c r="D66" s="5">
        <v>1</v>
      </c>
      <c r="E66" s="9">
        <f t="shared" ref="E66:E129" si="27">I66+L66+M66+N66+O66+V66+X66+AB66+AD66</f>
        <v>18.799999999999997</v>
      </c>
      <c r="F66" s="9">
        <f t="shared" ref="F66:F129" si="28">Q66/(H66+P66+Q66+AC66)</f>
        <v>0.66625615763546797</v>
      </c>
      <c r="G66">
        <v>0</v>
      </c>
      <c r="H66">
        <v>27.1</v>
      </c>
      <c r="I66">
        <v>0</v>
      </c>
      <c r="J66">
        <v>0</v>
      </c>
      <c r="K66">
        <v>0</v>
      </c>
      <c r="L66">
        <v>10.199999999999999</v>
      </c>
      <c r="M66">
        <v>0</v>
      </c>
      <c r="N66">
        <v>0</v>
      </c>
      <c r="O66">
        <v>8.6</v>
      </c>
      <c r="P66">
        <v>0</v>
      </c>
      <c r="Q66">
        <v>54.1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55.7</v>
      </c>
      <c r="AK66" t="s">
        <v>1</v>
      </c>
      <c r="AL66" t="s">
        <v>372</v>
      </c>
      <c r="AQ66" s="1">
        <f t="shared" si="17"/>
        <v>100</v>
      </c>
      <c r="AR66" s="1">
        <f t="shared" ref="AR66:AR129" si="29">(L66+M66+O66+X66)/100</f>
        <v>0.18799999999999997</v>
      </c>
      <c r="AS66" s="1">
        <f t="shared" ref="AS66:AS129" si="30">G66/100</f>
        <v>0</v>
      </c>
      <c r="AT66" s="1">
        <f t="shared" ref="AT66:AT129" si="31">H66/100</f>
        <v>0.27100000000000002</v>
      </c>
      <c r="AU66" s="1">
        <f t="shared" ref="AU66:AU129" si="32">Q66/100</f>
        <v>0.54100000000000004</v>
      </c>
      <c r="AV66" s="1">
        <f t="shared" ref="AV66:AV129" si="33">AJ66/100</f>
        <v>0.55700000000000005</v>
      </c>
      <c r="AX66" s="1">
        <f t="shared" ref="AX66:AX129" si="34">AU66/(AT66+AS66)</f>
        <v>1.996309963099631</v>
      </c>
      <c r="AY66" s="1">
        <f t="shared" ref="AY66:AY129" si="35">AR66/(AS66+AT66)</f>
        <v>0.69372693726937251</v>
      </c>
      <c r="AZ66" s="1">
        <f t="shared" ref="AZ66:AZ129" si="36">0.5+AX66/16</f>
        <v>0.6247693726937269</v>
      </c>
      <c r="BA66" s="1">
        <f t="shared" ref="BA66:BA129" si="37">0.5+AX66/4</f>
        <v>0.99907749077490782</v>
      </c>
      <c r="BB66" s="1">
        <f t="shared" ref="BB66:BB129" si="38">IF(AY66&lt;=AZ66,AY66,IF(AY66&lt;=BA66,AZ66,AZ66-(AY66-BA66)*(8+AX66)/(12*(2+AX66))))</f>
        <v>0.6247693726937269</v>
      </c>
      <c r="BC66" s="1">
        <f t="shared" ref="BC66:BC129" si="39">IF(BB66&lt;1,BB66,1)</f>
        <v>0.6247693726937269</v>
      </c>
      <c r="BD66" s="1">
        <f t="shared" ref="BD66:BD129" si="40">ABS(BC66-AV66)</f>
        <v>6.7769372693726848E-2</v>
      </c>
      <c r="BF66">
        <f t="shared" ref="BF66:BF129" si="41">$BR$3*H66+$BR$4*G66+$BR$5*P66+$BR$6*K66+$BR$7*S66+$BR$8*U66+$BR$9*Y66+$BR$10*J66+$BR$11*AC66+$BR$12*AG66+$BR$13*AH66+$BR$14*R66+$BR$15*AE66</f>
        <v>27.1</v>
      </c>
      <c r="BG66">
        <f t="shared" si="25"/>
        <v>18.799999999999997</v>
      </c>
      <c r="BH66" s="1">
        <f t="shared" ref="BH66:BH129" si="42">(Q66)/BF66</f>
        <v>1.996309963099631</v>
      </c>
      <c r="BI66" s="1">
        <f t="shared" ref="BI66:BI129" si="43">BG66/BF66</f>
        <v>0.69372693726937251</v>
      </c>
      <c r="BJ66" s="1">
        <f t="shared" ref="BJ66:BJ129" si="44">$BR$32+BH66*$BR$33</f>
        <v>0.62792988929889293</v>
      </c>
      <c r="BK66" s="1">
        <f t="shared" ref="BK66:BK129" si="45">$BR$34+BH66*$BR$35</f>
        <v>1.098147601476015</v>
      </c>
      <c r="BL66" s="1">
        <f t="shared" ref="BL66:BL129" si="46">IF(BI66&lt;=BJ66,BI66,IF(BI66&lt;=BK66,BJ66,BJ66-(BI66-BK66)*(8+BH66)/(12*(2+BH66))))</f>
        <v>0.62792988929889293</v>
      </c>
      <c r="BM66" s="1">
        <f t="shared" ref="BM66:BM129" si="47">IF(BL66&lt;1,IF(BL66&gt;0,BL66,0),1)</f>
        <v>0.62792988929889293</v>
      </c>
      <c r="BN66" s="1">
        <f t="shared" si="24"/>
        <v>5.0310491959531982E-3</v>
      </c>
      <c r="BO66" s="1">
        <f t="shared" ref="BO66:BO129" si="48">(AV66-AVERAGE($AV$2:$AV$638))^2</f>
        <v>2.2308133307733839E-2</v>
      </c>
    </row>
    <row r="67" spans="1:67" x14ac:dyDescent="0.25">
      <c r="A67" s="3"/>
      <c r="B67" s="3"/>
      <c r="C67" t="s">
        <v>53</v>
      </c>
      <c r="D67" s="5">
        <v>1</v>
      </c>
      <c r="E67" s="9">
        <f t="shared" si="27"/>
        <v>19.399999999999999</v>
      </c>
      <c r="F67" s="9">
        <f t="shared" si="28"/>
        <v>0.77548209366391185</v>
      </c>
      <c r="G67">
        <v>8</v>
      </c>
      <c r="H67">
        <v>16.3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19.399999999999999</v>
      </c>
      <c r="P67">
        <v>0</v>
      </c>
      <c r="Q67">
        <v>56.3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75.5</v>
      </c>
      <c r="AK67" t="s">
        <v>1</v>
      </c>
      <c r="AL67" t="s">
        <v>374</v>
      </c>
      <c r="AM67" t="s">
        <v>395</v>
      </c>
      <c r="AN67" t="s">
        <v>373</v>
      </c>
      <c r="AO67" t="s">
        <v>375</v>
      </c>
      <c r="AQ67" s="1">
        <f t="shared" ref="AQ67:AQ130" si="49">SUM(G67:AI67)</f>
        <v>100</v>
      </c>
      <c r="AR67" s="1">
        <f t="shared" si="29"/>
        <v>0.19399999999999998</v>
      </c>
      <c r="AS67" s="1">
        <f t="shared" si="30"/>
        <v>0.08</v>
      </c>
      <c r="AT67" s="1">
        <f t="shared" si="31"/>
        <v>0.16300000000000001</v>
      </c>
      <c r="AU67" s="1">
        <f t="shared" si="32"/>
        <v>0.56299999999999994</v>
      </c>
      <c r="AV67" s="1">
        <f t="shared" si="33"/>
        <v>0.755</v>
      </c>
      <c r="AX67" s="1">
        <f t="shared" si="34"/>
        <v>2.3168724279835389</v>
      </c>
      <c r="AY67" s="1">
        <f t="shared" si="35"/>
        <v>0.79835390946502049</v>
      </c>
      <c r="AZ67" s="1">
        <f t="shared" si="36"/>
        <v>0.64480452674897115</v>
      </c>
      <c r="BA67" s="1">
        <f t="shared" si="37"/>
        <v>1.0792181069958846</v>
      </c>
      <c r="BB67" s="1">
        <f t="shared" si="38"/>
        <v>0.64480452674897115</v>
      </c>
      <c r="BC67" s="1">
        <f t="shared" si="39"/>
        <v>0.64480452674897115</v>
      </c>
      <c r="BD67" s="1">
        <f t="shared" si="40"/>
        <v>0.11019547325102885</v>
      </c>
      <c r="BF67">
        <f t="shared" si="41"/>
        <v>48.3</v>
      </c>
      <c r="BG67">
        <f t="shared" si="25"/>
        <v>19.399999999999999</v>
      </c>
      <c r="BH67" s="1">
        <f t="shared" si="42"/>
        <v>1.165631469979296</v>
      </c>
      <c r="BI67" s="1">
        <f t="shared" si="43"/>
        <v>0.40165631469979296</v>
      </c>
      <c r="BJ67" s="1">
        <f t="shared" si="44"/>
        <v>0.61214699792960658</v>
      </c>
      <c r="BK67" s="1">
        <f t="shared" si="45"/>
        <v>0.68114699792960653</v>
      </c>
      <c r="BL67" s="1">
        <f t="shared" si="46"/>
        <v>0.40165631469979296</v>
      </c>
      <c r="BM67" s="1">
        <f t="shared" si="47"/>
        <v>0.40165631469979296</v>
      </c>
      <c r="BN67" s="1">
        <f t="shared" ref="BN67:BN130" si="50">(BM67-AV67)^2</f>
        <v>0.12485175994153175</v>
      </c>
      <c r="BO67" s="1">
        <f t="shared" si="48"/>
        <v>0.12065832703806265</v>
      </c>
    </row>
    <row r="68" spans="1:67" x14ac:dyDescent="0.25">
      <c r="A68" s="3"/>
      <c r="B68" s="3"/>
      <c r="C68" t="s">
        <v>54</v>
      </c>
      <c r="D68" s="5">
        <v>1</v>
      </c>
      <c r="E68" s="9">
        <f t="shared" si="27"/>
        <v>16.5</v>
      </c>
      <c r="F68" s="9">
        <f t="shared" si="28"/>
        <v>0.7754442649434572</v>
      </c>
      <c r="G68">
        <v>6.8</v>
      </c>
      <c r="H68">
        <v>13.9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16.5</v>
      </c>
      <c r="P68">
        <v>0</v>
      </c>
      <c r="Q68">
        <v>48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14.8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72.400000000000006</v>
      </c>
      <c r="AK68" t="s">
        <v>1</v>
      </c>
      <c r="AL68" t="s">
        <v>374</v>
      </c>
      <c r="AQ68" s="1">
        <f t="shared" si="49"/>
        <v>100</v>
      </c>
      <c r="AR68" s="1">
        <f t="shared" si="29"/>
        <v>0.16500000000000001</v>
      </c>
      <c r="AS68" s="1">
        <f t="shared" si="30"/>
        <v>6.8000000000000005E-2</v>
      </c>
      <c r="AT68" s="1">
        <f t="shared" si="31"/>
        <v>0.13900000000000001</v>
      </c>
      <c r="AU68" s="1">
        <f t="shared" si="32"/>
        <v>0.48</v>
      </c>
      <c r="AV68" s="1">
        <f t="shared" si="33"/>
        <v>0.72400000000000009</v>
      </c>
      <c r="AX68" s="1">
        <f t="shared" si="34"/>
        <v>2.3188405797101446</v>
      </c>
      <c r="AY68" s="1">
        <f t="shared" si="35"/>
        <v>0.79710144927536231</v>
      </c>
      <c r="AZ68" s="1">
        <f t="shared" si="36"/>
        <v>0.64492753623188404</v>
      </c>
      <c r="BA68" s="1">
        <f t="shared" si="37"/>
        <v>1.0797101449275361</v>
      </c>
      <c r="BB68" s="1">
        <f t="shared" si="38"/>
        <v>0.64492753623188404</v>
      </c>
      <c r="BC68" s="1">
        <f t="shared" si="39"/>
        <v>0.64492753623188404</v>
      </c>
      <c r="BD68" s="1">
        <f t="shared" si="40"/>
        <v>7.9072463768116052E-2</v>
      </c>
      <c r="BF68">
        <f t="shared" si="41"/>
        <v>41.1</v>
      </c>
      <c r="BG68">
        <f t="shared" si="25"/>
        <v>16.5</v>
      </c>
      <c r="BH68" s="1">
        <f t="shared" si="42"/>
        <v>1.167883211678832</v>
      </c>
      <c r="BI68" s="1">
        <f t="shared" si="43"/>
        <v>0.40145985401459855</v>
      </c>
      <c r="BJ68" s="1">
        <f t="shared" si="44"/>
        <v>0.61218978102189781</v>
      </c>
      <c r="BK68" s="1">
        <f t="shared" si="45"/>
        <v>0.68227737226277363</v>
      </c>
      <c r="BL68" s="1">
        <f t="shared" si="46"/>
        <v>0.40145985401459855</v>
      </c>
      <c r="BM68" s="1">
        <f t="shared" si="47"/>
        <v>0.40145985401459855</v>
      </c>
      <c r="BN68" s="1">
        <f t="shared" si="50"/>
        <v>0.10403214577228413</v>
      </c>
      <c r="BO68" s="1">
        <f t="shared" si="48"/>
        <v>0.10008306438331424</v>
      </c>
    </row>
    <row r="69" spans="1:67" x14ac:dyDescent="0.25">
      <c r="A69" s="3"/>
      <c r="B69" s="3"/>
      <c r="C69" t="s">
        <v>55</v>
      </c>
      <c r="D69" s="5">
        <v>1</v>
      </c>
      <c r="E69" s="9">
        <f t="shared" si="27"/>
        <v>14.2</v>
      </c>
      <c r="F69" s="9">
        <f t="shared" si="28"/>
        <v>0.77443609022556392</v>
      </c>
      <c r="G69">
        <v>5.8</v>
      </c>
      <c r="H69">
        <v>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14.2</v>
      </c>
      <c r="P69">
        <v>0</v>
      </c>
      <c r="Q69">
        <v>41.2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26.8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69.7</v>
      </c>
      <c r="AK69" t="s">
        <v>1</v>
      </c>
      <c r="AL69" t="s">
        <v>374</v>
      </c>
      <c r="AQ69" s="1">
        <f t="shared" si="49"/>
        <v>100</v>
      </c>
      <c r="AR69" s="1">
        <f t="shared" si="29"/>
        <v>0.14199999999999999</v>
      </c>
      <c r="AS69" s="1">
        <f t="shared" si="30"/>
        <v>5.7999999999999996E-2</v>
      </c>
      <c r="AT69" s="1">
        <f t="shared" si="31"/>
        <v>0.12</v>
      </c>
      <c r="AU69" s="1">
        <f t="shared" si="32"/>
        <v>0.41200000000000003</v>
      </c>
      <c r="AV69" s="1">
        <f t="shared" si="33"/>
        <v>0.69700000000000006</v>
      </c>
      <c r="AX69" s="1">
        <f t="shared" si="34"/>
        <v>2.314606741573034</v>
      </c>
      <c r="AY69" s="1">
        <f t="shared" si="35"/>
        <v>0.797752808988764</v>
      </c>
      <c r="AZ69" s="1">
        <f t="shared" si="36"/>
        <v>0.6446629213483146</v>
      </c>
      <c r="BA69" s="1">
        <f t="shared" si="37"/>
        <v>1.0786516853932584</v>
      </c>
      <c r="BB69" s="1">
        <f t="shared" si="38"/>
        <v>0.6446629213483146</v>
      </c>
      <c r="BC69" s="1">
        <f t="shared" si="39"/>
        <v>0.6446629213483146</v>
      </c>
      <c r="BD69" s="1">
        <f t="shared" si="40"/>
        <v>5.2337078651685465E-2</v>
      </c>
      <c r="BF69">
        <f t="shared" si="41"/>
        <v>35.200000000000003</v>
      </c>
      <c r="BG69">
        <f t="shared" ref="BG69:BG132" si="51">O69+$BR$17*M69+$BR$18*L69+$BR$19*X69+$BR$20*AD69+$BR$21*I69+$BR$22*N69+$BR$23*AB69+$BR$24*V69+$BR$25*T69+$BR$26*AA69+$BR$28*Z69+$BR$29*AF69+$BR$30*W69+$BR$27*AI69</f>
        <v>14.2</v>
      </c>
      <c r="BH69" s="1">
        <f t="shared" si="42"/>
        <v>1.1704545454545454</v>
      </c>
      <c r="BI69" s="1">
        <f t="shared" si="43"/>
        <v>0.40340909090909088</v>
      </c>
      <c r="BJ69" s="1">
        <f t="shared" si="44"/>
        <v>0.61223863636363629</v>
      </c>
      <c r="BK69" s="1">
        <f t="shared" si="45"/>
        <v>0.6835681818181818</v>
      </c>
      <c r="BL69" s="1">
        <f t="shared" si="46"/>
        <v>0.40340909090909088</v>
      </c>
      <c r="BM69" s="1">
        <f t="shared" si="47"/>
        <v>0.40340909090909088</v>
      </c>
      <c r="BN69" s="1">
        <f t="shared" si="50"/>
        <v>8.6195621900826497E-2</v>
      </c>
      <c r="BO69" s="1">
        <f t="shared" si="48"/>
        <v>8.3728674329178479E-2</v>
      </c>
    </row>
    <row r="70" spans="1:67" x14ac:dyDescent="0.25">
      <c r="A70" s="3"/>
      <c r="B70" s="3"/>
      <c r="C70" t="s">
        <v>56</v>
      </c>
      <c r="D70" s="5">
        <v>1</v>
      </c>
      <c r="E70" s="9">
        <f t="shared" si="27"/>
        <v>12.3</v>
      </c>
      <c r="F70" s="9">
        <f t="shared" si="28"/>
        <v>0.7760869565217392</v>
      </c>
      <c r="G70">
        <v>5</v>
      </c>
      <c r="H70">
        <v>10.3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12.3</v>
      </c>
      <c r="P70">
        <v>0</v>
      </c>
      <c r="Q70">
        <v>35.700000000000003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36.700000000000003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65.400000000000006</v>
      </c>
      <c r="AK70" t="s">
        <v>1</v>
      </c>
      <c r="AL70" t="s">
        <v>374</v>
      </c>
      <c r="AQ70" s="1">
        <f t="shared" si="49"/>
        <v>100</v>
      </c>
      <c r="AR70" s="1">
        <f t="shared" si="29"/>
        <v>0.12300000000000001</v>
      </c>
      <c r="AS70" s="1">
        <f t="shared" si="30"/>
        <v>0.05</v>
      </c>
      <c r="AT70" s="1">
        <f t="shared" si="31"/>
        <v>0.10300000000000001</v>
      </c>
      <c r="AU70" s="1">
        <f t="shared" si="32"/>
        <v>0.35700000000000004</v>
      </c>
      <c r="AV70" s="1">
        <f t="shared" si="33"/>
        <v>0.65400000000000003</v>
      </c>
      <c r="AX70" s="1">
        <f t="shared" si="34"/>
        <v>2.333333333333333</v>
      </c>
      <c r="AY70" s="1">
        <f t="shared" si="35"/>
        <v>0.8039215686274509</v>
      </c>
      <c r="AZ70" s="1">
        <f t="shared" si="36"/>
        <v>0.64583333333333326</v>
      </c>
      <c r="BA70" s="1">
        <f t="shared" si="37"/>
        <v>1.0833333333333333</v>
      </c>
      <c r="BB70" s="1">
        <f t="shared" si="38"/>
        <v>0.64583333333333326</v>
      </c>
      <c r="BC70" s="1">
        <f t="shared" si="39"/>
        <v>0.64583333333333326</v>
      </c>
      <c r="BD70" s="1">
        <f t="shared" si="40"/>
        <v>8.1666666666667664E-3</v>
      </c>
      <c r="BF70">
        <f t="shared" si="41"/>
        <v>30.3</v>
      </c>
      <c r="BG70">
        <f t="shared" si="51"/>
        <v>12.3</v>
      </c>
      <c r="BH70" s="1">
        <f t="shared" si="42"/>
        <v>1.1782178217821784</v>
      </c>
      <c r="BI70" s="1">
        <f t="shared" si="43"/>
        <v>0.40594059405940597</v>
      </c>
      <c r="BJ70" s="1">
        <f t="shared" si="44"/>
        <v>0.61238613861386137</v>
      </c>
      <c r="BK70" s="1">
        <f t="shared" si="45"/>
        <v>0.68746534653465352</v>
      </c>
      <c r="BL70" s="1">
        <f t="shared" si="46"/>
        <v>0.40594059405940597</v>
      </c>
      <c r="BM70" s="1">
        <f t="shared" si="47"/>
        <v>0.40594059405940597</v>
      </c>
      <c r="BN70" s="1">
        <f t="shared" si="50"/>
        <v>6.1533468875600433E-2</v>
      </c>
      <c r="BO70" s="1">
        <f t="shared" si="48"/>
        <v>6.0692793872591896E-2</v>
      </c>
    </row>
    <row r="71" spans="1:67" x14ac:dyDescent="0.25">
      <c r="A71" s="3"/>
      <c r="B71" s="3"/>
      <c r="C71" t="s">
        <v>57</v>
      </c>
      <c r="D71" s="5">
        <v>1</v>
      </c>
      <c r="E71" s="9">
        <f t="shared" si="27"/>
        <v>10.6</v>
      </c>
      <c r="F71" s="9">
        <f t="shared" si="28"/>
        <v>0.77443609022556392</v>
      </c>
      <c r="G71">
        <v>4.4000000000000004</v>
      </c>
      <c r="H71">
        <v>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10.6</v>
      </c>
      <c r="P71">
        <v>0</v>
      </c>
      <c r="Q71">
        <v>30.9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45.1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60.2</v>
      </c>
      <c r="AK71" t="s">
        <v>1</v>
      </c>
      <c r="AL71" t="s">
        <v>374</v>
      </c>
      <c r="AQ71" s="1">
        <f t="shared" si="49"/>
        <v>100</v>
      </c>
      <c r="AR71" s="1">
        <f t="shared" si="29"/>
        <v>0.106</v>
      </c>
      <c r="AS71" s="1">
        <f t="shared" si="30"/>
        <v>4.4000000000000004E-2</v>
      </c>
      <c r="AT71" s="1">
        <f t="shared" si="31"/>
        <v>0.09</v>
      </c>
      <c r="AU71" s="1">
        <f t="shared" si="32"/>
        <v>0.309</v>
      </c>
      <c r="AV71" s="1">
        <f t="shared" si="33"/>
        <v>0.60199999999999998</v>
      </c>
      <c r="AX71" s="1">
        <f t="shared" si="34"/>
        <v>2.305970149253731</v>
      </c>
      <c r="AY71" s="1">
        <f t="shared" si="35"/>
        <v>0.79104477611940294</v>
      </c>
      <c r="AZ71" s="1">
        <f t="shared" si="36"/>
        <v>0.64412313432835822</v>
      </c>
      <c r="BA71" s="1">
        <f t="shared" si="37"/>
        <v>1.0764925373134329</v>
      </c>
      <c r="BB71" s="1">
        <f t="shared" si="38"/>
        <v>0.64412313432835822</v>
      </c>
      <c r="BC71" s="1">
        <f t="shared" si="39"/>
        <v>0.64412313432835822</v>
      </c>
      <c r="BD71" s="1">
        <f t="shared" si="40"/>
        <v>4.2123134328358236E-2</v>
      </c>
      <c r="BF71">
        <f t="shared" si="41"/>
        <v>26.6</v>
      </c>
      <c r="BG71">
        <f t="shared" si="51"/>
        <v>10.6</v>
      </c>
      <c r="BH71" s="1">
        <f t="shared" si="42"/>
        <v>1.1616541353383458</v>
      </c>
      <c r="BI71" s="1">
        <f t="shared" si="43"/>
        <v>0.39849624060150374</v>
      </c>
      <c r="BJ71" s="1">
        <f t="shared" si="44"/>
        <v>0.61207142857142849</v>
      </c>
      <c r="BK71" s="1">
        <f t="shared" si="45"/>
        <v>0.67915037593984962</v>
      </c>
      <c r="BL71" s="1">
        <f t="shared" si="46"/>
        <v>0.39849624060150374</v>
      </c>
      <c r="BM71" s="1">
        <f t="shared" si="47"/>
        <v>0.39849624060150374</v>
      </c>
      <c r="BN71" s="1">
        <f t="shared" si="50"/>
        <v>4.1413780089321048E-2</v>
      </c>
      <c r="BO71" s="1">
        <f t="shared" si="48"/>
        <v>3.777545006462673E-2</v>
      </c>
    </row>
    <row r="72" spans="1:67" x14ac:dyDescent="0.25">
      <c r="A72" s="3"/>
      <c r="B72" s="3"/>
      <c r="C72" t="s">
        <v>58</v>
      </c>
      <c r="D72" s="5">
        <v>1</v>
      </c>
      <c r="E72" s="9">
        <f t="shared" si="27"/>
        <v>20.25</v>
      </c>
      <c r="F72" s="9">
        <f t="shared" si="28"/>
        <v>0</v>
      </c>
      <c r="G72">
        <v>0</v>
      </c>
      <c r="H72">
        <v>79.75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20.25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29.5</v>
      </c>
      <c r="AK72" t="s">
        <v>1</v>
      </c>
      <c r="AL72" t="s">
        <v>374</v>
      </c>
      <c r="AM72" t="s">
        <v>377</v>
      </c>
      <c r="AN72" t="s">
        <v>373</v>
      </c>
      <c r="AO72" t="s">
        <v>375</v>
      </c>
      <c r="AQ72" s="1">
        <f t="shared" si="49"/>
        <v>100</v>
      </c>
      <c r="AR72" s="1">
        <f t="shared" si="29"/>
        <v>0.20250000000000001</v>
      </c>
      <c r="AS72" s="1">
        <f t="shared" si="30"/>
        <v>0</v>
      </c>
      <c r="AT72" s="1">
        <f t="shared" si="31"/>
        <v>0.79749999999999999</v>
      </c>
      <c r="AU72" s="1">
        <f t="shared" si="32"/>
        <v>0</v>
      </c>
      <c r="AV72" s="1">
        <f t="shared" si="33"/>
        <v>0.29499999999999998</v>
      </c>
      <c r="AX72" s="1">
        <f t="shared" si="34"/>
        <v>0</v>
      </c>
      <c r="AY72" s="1">
        <f t="shared" si="35"/>
        <v>0.25391849529780569</v>
      </c>
      <c r="AZ72" s="1">
        <f t="shared" si="36"/>
        <v>0.5</v>
      </c>
      <c r="BA72" s="1">
        <f t="shared" si="37"/>
        <v>0.5</v>
      </c>
      <c r="BB72" s="1">
        <f t="shared" si="38"/>
        <v>0.25391849529780569</v>
      </c>
      <c r="BC72" s="1">
        <f t="shared" si="39"/>
        <v>0.25391849529780569</v>
      </c>
      <c r="BD72" s="1">
        <f t="shared" si="40"/>
        <v>4.1081504702194294E-2</v>
      </c>
      <c r="BF72">
        <f t="shared" si="41"/>
        <v>79.75</v>
      </c>
      <c r="BG72">
        <f t="shared" si="51"/>
        <v>20.25</v>
      </c>
      <c r="BH72" s="1">
        <f t="shared" si="42"/>
        <v>0</v>
      </c>
      <c r="BI72" s="1">
        <f t="shared" si="43"/>
        <v>0.25391849529780564</v>
      </c>
      <c r="BJ72" s="1">
        <f t="shared" si="44"/>
        <v>0.59</v>
      </c>
      <c r="BK72" s="1">
        <f t="shared" si="45"/>
        <v>9.6000000000000002E-2</v>
      </c>
      <c r="BL72" s="1">
        <f t="shared" si="46"/>
        <v>0.25391849529780564</v>
      </c>
      <c r="BM72" s="1">
        <f t="shared" si="47"/>
        <v>0.25391849529780564</v>
      </c>
      <c r="BN72" s="1">
        <f t="shared" si="50"/>
        <v>1.6876900285964164E-3</v>
      </c>
      <c r="BO72" s="1">
        <f t="shared" si="48"/>
        <v>1.268797796760176E-2</v>
      </c>
    </row>
    <row r="73" spans="1:67" x14ac:dyDescent="0.25">
      <c r="A73" s="3"/>
      <c r="B73" s="3"/>
      <c r="C73" t="s">
        <v>59</v>
      </c>
      <c r="D73" s="5">
        <v>1</v>
      </c>
      <c r="E73" s="9">
        <f t="shared" si="27"/>
        <v>20.43</v>
      </c>
      <c r="F73" s="9">
        <f t="shared" si="28"/>
        <v>0</v>
      </c>
      <c r="G73">
        <v>5.38</v>
      </c>
      <c r="H73">
        <v>74.180000000000007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20.43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24.2</v>
      </c>
      <c r="AK73" t="s">
        <v>1</v>
      </c>
      <c r="AL73" t="s">
        <v>374</v>
      </c>
      <c r="AQ73" s="1">
        <f t="shared" si="49"/>
        <v>99.990000000000009</v>
      </c>
      <c r="AR73" s="1">
        <f t="shared" si="29"/>
        <v>0.20430000000000001</v>
      </c>
      <c r="AS73" s="1">
        <f t="shared" si="30"/>
        <v>5.3800000000000001E-2</v>
      </c>
      <c r="AT73" s="1">
        <f t="shared" si="31"/>
        <v>0.74180000000000001</v>
      </c>
      <c r="AU73" s="1">
        <f t="shared" si="32"/>
        <v>0</v>
      </c>
      <c r="AV73" s="1">
        <f t="shared" si="33"/>
        <v>0.24199999999999999</v>
      </c>
      <c r="AX73" s="1">
        <f t="shared" si="34"/>
        <v>0</v>
      </c>
      <c r="AY73" s="1">
        <f t="shared" si="35"/>
        <v>0.25678733031674211</v>
      </c>
      <c r="AZ73" s="1">
        <f t="shared" si="36"/>
        <v>0.5</v>
      </c>
      <c r="BA73" s="1">
        <f t="shared" si="37"/>
        <v>0.5</v>
      </c>
      <c r="BB73" s="1">
        <f t="shared" si="38"/>
        <v>0.25678733031674211</v>
      </c>
      <c r="BC73" s="1">
        <f t="shared" si="39"/>
        <v>0.25678733031674211</v>
      </c>
      <c r="BD73" s="1">
        <f t="shared" si="40"/>
        <v>1.478733031674212E-2</v>
      </c>
      <c r="BF73">
        <f t="shared" si="41"/>
        <v>95.7</v>
      </c>
      <c r="BG73">
        <f t="shared" si="51"/>
        <v>20.43</v>
      </c>
      <c r="BH73" s="1">
        <f t="shared" si="42"/>
        <v>0</v>
      </c>
      <c r="BI73" s="1">
        <f t="shared" si="43"/>
        <v>0.2134796238244514</v>
      </c>
      <c r="BJ73" s="1">
        <f t="shared" si="44"/>
        <v>0.59</v>
      </c>
      <c r="BK73" s="1">
        <f t="shared" si="45"/>
        <v>9.6000000000000002E-2</v>
      </c>
      <c r="BL73" s="1">
        <f t="shared" si="46"/>
        <v>0.2134796238244514</v>
      </c>
      <c r="BM73" s="1">
        <f t="shared" si="47"/>
        <v>0.2134796238244514</v>
      </c>
      <c r="BN73" s="1">
        <f t="shared" si="50"/>
        <v>8.1341185719479962E-4</v>
      </c>
      <c r="BO73" s="1">
        <f t="shared" si="48"/>
        <v>2.7436916009483441E-2</v>
      </c>
    </row>
    <row r="74" spans="1:67" x14ac:dyDescent="0.25">
      <c r="A74" s="3"/>
      <c r="B74" s="3"/>
      <c r="C74" t="s">
        <v>60</v>
      </c>
      <c r="D74" s="5">
        <v>1</v>
      </c>
      <c r="E74" s="9">
        <f t="shared" si="27"/>
        <v>20.149999999999999</v>
      </c>
      <c r="F74" s="9">
        <f t="shared" si="28"/>
        <v>0</v>
      </c>
      <c r="G74">
        <v>10.48</v>
      </c>
      <c r="H74">
        <v>69.37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20.149999999999999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18.5</v>
      </c>
      <c r="AK74" t="s">
        <v>1</v>
      </c>
      <c r="AL74" t="s">
        <v>374</v>
      </c>
      <c r="AQ74" s="1">
        <f t="shared" si="49"/>
        <v>100</v>
      </c>
      <c r="AR74" s="1">
        <f t="shared" si="29"/>
        <v>0.20149999999999998</v>
      </c>
      <c r="AS74" s="1">
        <f t="shared" si="30"/>
        <v>0.1048</v>
      </c>
      <c r="AT74" s="1">
        <f t="shared" si="31"/>
        <v>0.69370000000000009</v>
      </c>
      <c r="AU74" s="1">
        <f t="shared" si="32"/>
        <v>0</v>
      </c>
      <c r="AV74" s="1">
        <f t="shared" si="33"/>
        <v>0.185</v>
      </c>
      <c r="AX74" s="1">
        <f t="shared" si="34"/>
        <v>0</v>
      </c>
      <c r="AY74" s="1">
        <f t="shared" si="35"/>
        <v>0.2523481527864746</v>
      </c>
      <c r="AZ74" s="1">
        <f t="shared" si="36"/>
        <v>0.5</v>
      </c>
      <c r="BA74" s="1">
        <f t="shared" si="37"/>
        <v>0.5</v>
      </c>
      <c r="BB74" s="1">
        <f t="shared" si="38"/>
        <v>0.2523481527864746</v>
      </c>
      <c r="BC74" s="1">
        <f t="shared" si="39"/>
        <v>0.2523481527864746</v>
      </c>
      <c r="BD74" s="1">
        <f t="shared" si="40"/>
        <v>6.7348152786474602E-2</v>
      </c>
      <c r="BF74">
        <f t="shared" si="41"/>
        <v>111.29</v>
      </c>
      <c r="BG74">
        <f t="shared" si="51"/>
        <v>20.149999999999999</v>
      </c>
      <c r="BH74" s="1">
        <f t="shared" si="42"/>
        <v>0</v>
      </c>
      <c r="BI74" s="1">
        <f t="shared" si="43"/>
        <v>0.18105849582172701</v>
      </c>
      <c r="BJ74" s="1">
        <f t="shared" si="44"/>
        <v>0.59</v>
      </c>
      <c r="BK74" s="1">
        <f t="shared" si="45"/>
        <v>9.6000000000000002E-2</v>
      </c>
      <c r="BL74" s="1">
        <f t="shared" si="46"/>
        <v>0.18105849582172701</v>
      </c>
      <c r="BM74" s="1">
        <f t="shared" si="47"/>
        <v>0.18105849582172701</v>
      </c>
      <c r="BN74" s="1">
        <f t="shared" si="50"/>
        <v>1.5535455187343455E-5</v>
      </c>
      <c r="BO74" s="1">
        <f t="shared" si="48"/>
        <v>4.956898145075242E-2</v>
      </c>
    </row>
    <row r="75" spans="1:67" x14ac:dyDescent="0.25">
      <c r="A75" s="3"/>
      <c r="B75" s="3"/>
      <c r="C75" t="s">
        <v>61</v>
      </c>
      <c r="D75" s="5">
        <v>1</v>
      </c>
      <c r="E75" s="9">
        <f t="shared" si="27"/>
        <v>20</v>
      </c>
      <c r="F75" s="9">
        <f t="shared" si="28"/>
        <v>0</v>
      </c>
      <c r="G75">
        <v>15.34</v>
      </c>
      <c r="H75">
        <v>64.66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13.6</v>
      </c>
      <c r="AK75" t="s">
        <v>1</v>
      </c>
      <c r="AL75" t="s">
        <v>374</v>
      </c>
      <c r="AQ75" s="1">
        <f t="shared" si="49"/>
        <v>100</v>
      </c>
      <c r="AR75" s="1">
        <f t="shared" si="29"/>
        <v>0.2</v>
      </c>
      <c r="AS75" s="1">
        <f t="shared" si="30"/>
        <v>0.15340000000000001</v>
      </c>
      <c r="AT75" s="1">
        <f t="shared" si="31"/>
        <v>0.64659999999999995</v>
      </c>
      <c r="AU75" s="1">
        <f t="shared" si="32"/>
        <v>0</v>
      </c>
      <c r="AV75" s="1">
        <f t="shared" si="33"/>
        <v>0.13600000000000001</v>
      </c>
      <c r="AX75" s="1">
        <f t="shared" si="34"/>
        <v>0</v>
      </c>
      <c r="AY75" s="1">
        <f t="shared" si="35"/>
        <v>0.25000000000000006</v>
      </c>
      <c r="AZ75" s="1">
        <f t="shared" si="36"/>
        <v>0.5</v>
      </c>
      <c r="BA75" s="1">
        <f t="shared" si="37"/>
        <v>0.5</v>
      </c>
      <c r="BB75" s="1">
        <f t="shared" si="38"/>
        <v>0.25000000000000006</v>
      </c>
      <c r="BC75" s="1">
        <f t="shared" si="39"/>
        <v>0.25000000000000006</v>
      </c>
      <c r="BD75" s="1">
        <f t="shared" si="40"/>
        <v>0.11400000000000005</v>
      </c>
      <c r="BF75">
        <f t="shared" si="41"/>
        <v>126.02</v>
      </c>
      <c r="BG75">
        <f t="shared" si="51"/>
        <v>20</v>
      </c>
      <c r="BH75" s="1">
        <f t="shared" si="42"/>
        <v>0</v>
      </c>
      <c r="BI75" s="1">
        <f t="shared" si="43"/>
        <v>0.15870496746548168</v>
      </c>
      <c r="BJ75" s="1">
        <f t="shared" si="44"/>
        <v>0.59</v>
      </c>
      <c r="BK75" s="1">
        <f t="shared" si="45"/>
        <v>9.6000000000000002E-2</v>
      </c>
      <c r="BL75" s="1">
        <f t="shared" si="46"/>
        <v>0.15870496746548168</v>
      </c>
      <c r="BM75" s="1">
        <f t="shared" si="47"/>
        <v>0.15870496746548168</v>
      </c>
      <c r="BN75" s="1">
        <f t="shared" si="50"/>
        <v>5.1551554760858134E-4</v>
      </c>
      <c r="BO75" s="1">
        <f t="shared" si="48"/>
        <v>7.3788792093246791E-2</v>
      </c>
    </row>
    <row r="76" spans="1:67" x14ac:dyDescent="0.25">
      <c r="A76" s="3"/>
      <c r="B76" s="3"/>
      <c r="C76" t="s">
        <v>62</v>
      </c>
      <c r="D76" s="5">
        <v>1</v>
      </c>
      <c r="E76" s="9">
        <f t="shared" si="27"/>
        <v>19.63</v>
      </c>
      <c r="F76" s="9">
        <f t="shared" si="28"/>
        <v>0</v>
      </c>
      <c r="G76">
        <v>20.68</v>
      </c>
      <c r="H76">
        <v>59.69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19.63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10</v>
      </c>
      <c r="AK76" t="s">
        <v>1</v>
      </c>
      <c r="AL76" t="s">
        <v>374</v>
      </c>
      <c r="AQ76" s="1">
        <f t="shared" si="49"/>
        <v>100</v>
      </c>
      <c r="AR76" s="1">
        <f t="shared" si="29"/>
        <v>0.1963</v>
      </c>
      <c r="AS76" s="1">
        <f t="shared" si="30"/>
        <v>0.20679999999999998</v>
      </c>
      <c r="AT76" s="1">
        <f t="shared" si="31"/>
        <v>0.59689999999999999</v>
      </c>
      <c r="AU76" s="1">
        <f t="shared" si="32"/>
        <v>0</v>
      </c>
      <c r="AV76" s="1">
        <f t="shared" si="33"/>
        <v>0.1</v>
      </c>
      <c r="AX76" s="1">
        <f t="shared" si="34"/>
        <v>0</v>
      </c>
      <c r="AY76" s="1">
        <f t="shared" si="35"/>
        <v>0.2442453651860147</v>
      </c>
      <c r="AZ76" s="1">
        <f t="shared" si="36"/>
        <v>0.5</v>
      </c>
      <c r="BA76" s="1">
        <f t="shared" si="37"/>
        <v>0.5</v>
      </c>
      <c r="BB76" s="1">
        <f t="shared" si="38"/>
        <v>0.2442453651860147</v>
      </c>
      <c r="BC76" s="1">
        <f t="shared" si="39"/>
        <v>0.2442453651860147</v>
      </c>
      <c r="BD76" s="1">
        <f t="shared" si="40"/>
        <v>0.14424536518601469</v>
      </c>
      <c r="BF76">
        <f t="shared" si="41"/>
        <v>142.41</v>
      </c>
      <c r="BG76">
        <f t="shared" si="51"/>
        <v>19.63</v>
      </c>
      <c r="BH76" s="1">
        <f t="shared" si="42"/>
        <v>0</v>
      </c>
      <c r="BI76" s="1">
        <f t="shared" si="43"/>
        <v>0.13784144371883997</v>
      </c>
      <c r="BJ76" s="1">
        <f t="shared" si="44"/>
        <v>0.59</v>
      </c>
      <c r="BK76" s="1">
        <f t="shared" si="45"/>
        <v>9.6000000000000002E-2</v>
      </c>
      <c r="BL76" s="1">
        <f t="shared" si="46"/>
        <v>0.13784144371883997</v>
      </c>
      <c r="BM76" s="1">
        <f t="shared" si="47"/>
        <v>0.13784144371883997</v>
      </c>
      <c r="BN76" s="1">
        <f t="shared" si="50"/>
        <v>1.4319748627261324E-3</v>
      </c>
      <c r="BO76" s="1">
        <f t="shared" si="48"/>
        <v>9.4642938687732478E-2</v>
      </c>
    </row>
    <row r="77" spans="1:67" x14ac:dyDescent="0.25">
      <c r="A77" s="3"/>
      <c r="B77" s="3"/>
      <c r="C77" t="s">
        <v>63</v>
      </c>
      <c r="D77" s="5">
        <v>1</v>
      </c>
      <c r="E77" s="9">
        <f t="shared" si="27"/>
        <v>19.760000000000002</v>
      </c>
      <c r="F77" s="9">
        <f t="shared" si="28"/>
        <v>0</v>
      </c>
      <c r="G77">
        <v>25.69</v>
      </c>
      <c r="H77">
        <v>54.55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19.760000000000002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</v>
      </c>
      <c r="AK77" t="s">
        <v>1</v>
      </c>
      <c r="AL77" t="s">
        <v>374</v>
      </c>
      <c r="AQ77" s="1">
        <f t="shared" si="49"/>
        <v>100</v>
      </c>
      <c r="AR77" s="1">
        <f t="shared" si="29"/>
        <v>0.19760000000000003</v>
      </c>
      <c r="AS77" s="1">
        <f t="shared" si="30"/>
        <v>0.25690000000000002</v>
      </c>
      <c r="AT77" s="1">
        <f t="shared" si="31"/>
        <v>0.54549999999999998</v>
      </c>
      <c r="AU77" s="1">
        <f t="shared" si="32"/>
        <v>0</v>
      </c>
      <c r="AV77" s="1">
        <f t="shared" si="33"/>
        <v>0.08</v>
      </c>
      <c r="AX77" s="1">
        <f t="shared" si="34"/>
        <v>0</v>
      </c>
      <c r="AY77" s="1">
        <f t="shared" si="35"/>
        <v>0.24626121635094719</v>
      </c>
      <c r="AZ77" s="1">
        <f t="shared" si="36"/>
        <v>0.5</v>
      </c>
      <c r="BA77" s="1">
        <f t="shared" si="37"/>
        <v>0.5</v>
      </c>
      <c r="BB77" s="1">
        <f t="shared" si="38"/>
        <v>0.24626121635094719</v>
      </c>
      <c r="BC77" s="1">
        <f t="shared" si="39"/>
        <v>0.24626121635094719</v>
      </c>
      <c r="BD77" s="1">
        <f t="shared" si="40"/>
        <v>0.16626121635094721</v>
      </c>
      <c r="BF77">
        <f t="shared" si="41"/>
        <v>157.31</v>
      </c>
      <c r="BG77">
        <f t="shared" si="51"/>
        <v>19.760000000000002</v>
      </c>
      <c r="BH77" s="1">
        <f t="shared" si="42"/>
        <v>0</v>
      </c>
      <c r="BI77" s="1">
        <f t="shared" si="43"/>
        <v>0.12561184921492596</v>
      </c>
      <c r="BJ77" s="1">
        <f t="shared" si="44"/>
        <v>0.59</v>
      </c>
      <c r="BK77" s="1">
        <f t="shared" si="45"/>
        <v>9.6000000000000002E-2</v>
      </c>
      <c r="BL77" s="1">
        <f t="shared" si="46"/>
        <v>0.12561184921492596</v>
      </c>
      <c r="BM77" s="1">
        <f t="shared" si="47"/>
        <v>0.12561184921492596</v>
      </c>
      <c r="BN77" s="1">
        <f t="shared" si="50"/>
        <v>2.0804407888051421E-3</v>
      </c>
      <c r="BO77" s="1">
        <f t="shared" si="48"/>
        <v>0.10734857568466895</v>
      </c>
    </row>
    <row r="78" spans="1:67" x14ac:dyDescent="0.25">
      <c r="A78" s="3"/>
      <c r="B78" s="3"/>
      <c r="C78" t="s">
        <v>64</v>
      </c>
      <c r="D78" s="5">
        <v>1</v>
      </c>
      <c r="E78" s="9">
        <f t="shared" si="27"/>
        <v>15.01</v>
      </c>
      <c r="F78" s="9">
        <f t="shared" si="28"/>
        <v>0</v>
      </c>
      <c r="G78">
        <v>20.47</v>
      </c>
      <c r="H78">
        <v>64.52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15.01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9.4</v>
      </c>
      <c r="AK78" t="s">
        <v>1</v>
      </c>
      <c r="AL78" t="s">
        <v>374</v>
      </c>
      <c r="AQ78" s="1">
        <f t="shared" si="49"/>
        <v>100</v>
      </c>
      <c r="AR78" s="1">
        <f t="shared" si="29"/>
        <v>0.15010000000000001</v>
      </c>
      <c r="AS78" s="1">
        <f t="shared" si="30"/>
        <v>0.20469999999999999</v>
      </c>
      <c r="AT78" s="1">
        <f t="shared" si="31"/>
        <v>0.6452</v>
      </c>
      <c r="AU78" s="1">
        <f t="shared" si="32"/>
        <v>0</v>
      </c>
      <c r="AV78" s="1">
        <f t="shared" si="33"/>
        <v>9.4E-2</v>
      </c>
      <c r="AX78" s="1">
        <f t="shared" si="34"/>
        <v>0</v>
      </c>
      <c r="AY78" s="1">
        <f t="shared" si="35"/>
        <v>0.17660901282503824</v>
      </c>
      <c r="AZ78" s="1">
        <f t="shared" si="36"/>
        <v>0.5</v>
      </c>
      <c r="BA78" s="1">
        <f t="shared" si="37"/>
        <v>0.5</v>
      </c>
      <c r="BB78" s="1">
        <f t="shared" si="38"/>
        <v>0.17660901282503824</v>
      </c>
      <c r="BC78" s="1">
        <f t="shared" si="39"/>
        <v>0.17660901282503824</v>
      </c>
      <c r="BD78" s="1">
        <f t="shared" si="40"/>
        <v>8.2609012825038242E-2</v>
      </c>
      <c r="BF78">
        <f t="shared" si="41"/>
        <v>146.39999999999998</v>
      </c>
      <c r="BG78">
        <f t="shared" si="51"/>
        <v>15.01</v>
      </c>
      <c r="BH78" s="1">
        <f t="shared" si="42"/>
        <v>0</v>
      </c>
      <c r="BI78" s="1">
        <f t="shared" si="43"/>
        <v>0.1025273224043716</v>
      </c>
      <c r="BJ78" s="1">
        <f t="shared" si="44"/>
        <v>0.59</v>
      </c>
      <c r="BK78" s="1">
        <f t="shared" si="45"/>
        <v>9.6000000000000002E-2</v>
      </c>
      <c r="BL78" s="1">
        <f t="shared" si="46"/>
        <v>0.1025273224043716</v>
      </c>
      <c r="BM78" s="1">
        <f t="shared" si="47"/>
        <v>0.1025273224043716</v>
      </c>
      <c r="BN78" s="1">
        <f t="shared" si="50"/>
        <v>7.2715227388097769E-5</v>
      </c>
      <c r="BO78" s="1">
        <f t="shared" si="48"/>
        <v>9.8370629786813435E-2</v>
      </c>
    </row>
    <row r="79" spans="1:67" x14ac:dyDescent="0.25">
      <c r="A79" s="3"/>
      <c r="B79" s="3"/>
      <c r="C79" t="s">
        <v>65</v>
      </c>
      <c r="D79" s="5">
        <v>1</v>
      </c>
      <c r="E79" s="9">
        <f t="shared" si="27"/>
        <v>25.36</v>
      </c>
      <c r="F79" s="9">
        <f t="shared" si="28"/>
        <v>0</v>
      </c>
      <c r="G79">
        <v>20.6</v>
      </c>
      <c r="H79">
        <v>54.04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25.36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13.1</v>
      </c>
      <c r="AK79" t="s">
        <v>1</v>
      </c>
      <c r="AL79" t="s">
        <v>374</v>
      </c>
      <c r="AQ79" s="1">
        <f t="shared" si="49"/>
        <v>100</v>
      </c>
      <c r="AR79" s="1">
        <f t="shared" si="29"/>
        <v>0.25359999999999999</v>
      </c>
      <c r="AS79" s="1">
        <f t="shared" si="30"/>
        <v>0.20600000000000002</v>
      </c>
      <c r="AT79" s="1">
        <f t="shared" si="31"/>
        <v>0.54039999999999999</v>
      </c>
      <c r="AU79" s="1">
        <f t="shared" si="32"/>
        <v>0</v>
      </c>
      <c r="AV79" s="1">
        <f t="shared" si="33"/>
        <v>0.13100000000000001</v>
      </c>
      <c r="AX79" s="1">
        <f t="shared" si="34"/>
        <v>0</v>
      </c>
      <c r="AY79" s="1">
        <f t="shared" si="35"/>
        <v>0.33976420150053593</v>
      </c>
      <c r="AZ79" s="1">
        <f t="shared" si="36"/>
        <v>0.5</v>
      </c>
      <c r="BA79" s="1">
        <f t="shared" si="37"/>
        <v>0.5</v>
      </c>
      <c r="BB79" s="1">
        <f t="shared" si="38"/>
        <v>0.33976420150053593</v>
      </c>
      <c r="BC79" s="1">
        <f t="shared" si="39"/>
        <v>0.33976420150053593</v>
      </c>
      <c r="BD79" s="1">
        <f t="shared" si="40"/>
        <v>0.20876420150053593</v>
      </c>
      <c r="BF79">
        <f t="shared" si="41"/>
        <v>136.44</v>
      </c>
      <c r="BG79">
        <f t="shared" si="51"/>
        <v>25.36</v>
      </c>
      <c r="BH79" s="1">
        <f t="shared" si="42"/>
        <v>0</v>
      </c>
      <c r="BI79" s="1">
        <f t="shared" si="43"/>
        <v>0.18586924655526238</v>
      </c>
      <c r="BJ79" s="1">
        <f t="shared" si="44"/>
        <v>0.59</v>
      </c>
      <c r="BK79" s="1">
        <f t="shared" si="45"/>
        <v>9.6000000000000002E-2</v>
      </c>
      <c r="BL79" s="1">
        <f t="shared" si="46"/>
        <v>0.18586924655526238</v>
      </c>
      <c r="BM79" s="1">
        <f t="shared" si="47"/>
        <v>0.18586924655526238</v>
      </c>
      <c r="BN79" s="1">
        <f t="shared" si="50"/>
        <v>3.0106342175421721E-3</v>
      </c>
      <c r="BO79" s="1">
        <f t="shared" si="48"/>
        <v>7.6530201342480925E-2</v>
      </c>
    </row>
    <row r="80" spans="1:67" x14ac:dyDescent="0.25">
      <c r="A80" s="3"/>
      <c r="B80" s="3"/>
      <c r="C80" t="s">
        <v>66</v>
      </c>
      <c r="D80" s="5">
        <v>1</v>
      </c>
      <c r="E80" s="9">
        <f t="shared" si="27"/>
        <v>30.11</v>
      </c>
      <c r="F80" s="9">
        <f t="shared" si="28"/>
        <v>0</v>
      </c>
      <c r="G80">
        <v>20.190000000000001</v>
      </c>
      <c r="H80">
        <v>49.7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30.11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19.399999999999999</v>
      </c>
      <c r="AK80" t="s">
        <v>1</v>
      </c>
      <c r="AL80" t="s">
        <v>374</v>
      </c>
      <c r="AQ80" s="1">
        <f t="shared" si="49"/>
        <v>100</v>
      </c>
      <c r="AR80" s="1">
        <f t="shared" si="29"/>
        <v>0.30109999999999998</v>
      </c>
      <c r="AS80" s="1">
        <f t="shared" si="30"/>
        <v>0.20190000000000002</v>
      </c>
      <c r="AT80" s="1">
        <f t="shared" si="31"/>
        <v>0.49700000000000005</v>
      </c>
      <c r="AU80" s="1">
        <f t="shared" si="32"/>
        <v>0</v>
      </c>
      <c r="AV80" s="1">
        <f t="shared" si="33"/>
        <v>0.19399999999999998</v>
      </c>
      <c r="AX80" s="1">
        <f t="shared" si="34"/>
        <v>0</v>
      </c>
      <c r="AY80" s="1">
        <f t="shared" si="35"/>
        <v>0.43081985977965365</v>
      </c>
      <c r="AZ80" s="1">
        <f t="shared" si="36"/>
        <v>0.5</v>
      </c>
      <c r="BA80" s="1">
        <f t="shared" si="37"/>
        <v>0.5</v>
      </c>
      <c r="BB80" s="1">
        <f t="shared" si="38"/>
        <v>0.43081985977965365</v>
      </c>
      <c r="BC80" s="1">
        <f t="shared" si="39"/>
        <v>0.43081985977965365</v>
      </c>
      <c r="BD80" s="1">
        <f t="shared" si="40"/>
        <v>0.23681985977965367</v>
      </c>
      <c r="BF80">
        <f t="shared" si="41"/>
        <v>130.46</v>
      </c>
      <c r="BG80">
        <f t="shared" si="51"/>
        <v>30.11</v>
      </c>
      <c r="BH80" s="1">
        <f t="shared" si="42"/>
        <v>0</v>
      </c>
      <c r="BI80" s="1">
        <f t="shared" si="43"/>
        <v>0.23079871224896517</v>
      </c>
      <c r="BJ80" s="1">
        <f t="shared" si="44"/>
        <v>0.59</v>
      </c>
      <c r="BK80" s="1">
        <f t="shared" si="45"/>
        <v>9.6000000000000002E-2</v>
      </c>
      <c r="BL80" s="1">
        <f t="shared" si="46"/>
        <v>0.23079871224896517</v>
      </c>
      <c r="BM80" s="1">
        <f t="shared" si="47"/>
        <v>0.23079871224896517</v>
      </c>
      <c r="BN80" s="1">
        <f t="shared" si="50"/>
        <v>1.3541452231821409E-3</v>
      </c>
      <c r="BO80" s="1">
        <f t="shared" si="48"/>
        <v>4.5642444802131012E-2</v>
      </c>
    </row>
    <row r="81" spans="1:67" x14ac:dyDescent="0.25">
      <c r="A81" s="3"/>
      <c r="B81" s="3"/>
      <c r="C81" t="s">
        <v>67</v>
      </c>
      <c r="D81" s="5">
        <v>1</v>
      </c>
      <c r="E81" s="9">
        <f t="shared" si="27"/>
        <v>34.950000000000003</v>
      </c>
      <c r="F81" s="9">
        <f t="shared" si="28"/>
        <v>0</v>
      </c>
      <c r="G81">
        <v>20.23</v>
      </c>
      <c r="H81">
        <v>44.82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34.950000000000003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22.8</v>
      </c>
      <c r="AK81" t="s">
        <v>1</v>
      </c>
      <c r="AL81" t="s">
        <v>374</v>
      </c>
      <c r="AQ81" s="1">
        <f t="shared" si="49"/>
        <v>100</v>
      </c>
      <c r="AR81" s="1">
        <f t="shared" si="29"/>
        <v>0.34950000000000003</v>
      </c>
      <c r="AS81" s="1">
        <f t="shared" si="30"/>
        <v>0.20230000000000001</v>
      </c>
      <c r="AT81" s="1">
        <f t="shared" si="31"/>
        <v>0.44819999999999999</v>
      </c>
      <c r="AU81" s="1">
        <f t="shared" si="32"/>
        <v>0</v>
      </c>
      <c r="AV81" s="1">
        <f t="shared" si="33"/>
        <v>0.22800000000000001</v>
      </c>
      <c r="AX81" s="1">
        <f t="shared" si="34"/>
        <v>0</v>
      </c>
      <c r="AY81" s="1">
        <f t="shared" si="35"/>
        <v>0.5372790161414297</v>
      </c>
      <c r="AZ81" s="1">
        <f t="shared" si="36"/>
        <v>0.5</v>
      </c>
      <c r="BA81" s="1">
        <f t="shared" si="37"/>
        <v>0.5</v>
      </c>
      <c r="BB81" s="1">
        <f t="shared" si="38"/>
        <v>0.48757366128619012</v>
      </c>
      <c r="BC81" s="1">
        <f t="shared" si="39"/>
        <v>0.48757366128619012</v>
      </c>
      <c r="BD81" s="1">
        <f t="shared" si="40"/>
        <v>0.25957366128619008</v>
      </c>
      <c r="BF81">
        <f t="shared" si="41"/>
        <v>125.74000000000001</v>
      </c>
      <c r="BG81">
        <f t="shared" si="51"/>
        <v>34.950000000000003</v>
      </c>
      <c r="BH81" s="1">
        <f t="shared" si="42"/>
        <v>0</v>
      </c>
      <c r="BI81" s="1">
        <f t="shared" si="43"/>
        <v>0.27795450930491489</v>
      </c>
      <c r="BJ81" s="1">
        <f t="shared" si="44"/>
        <v>0.59</v>
      </c>
      <c r="BK81" s="1">
        <f t="shared" si="45"/>
        <v>9.6000000000000002E-2</v>
      </c>
      <c r="BL81" s="1">
        <f t="shared" si="46"/>
        <v>0.27795450930491489</v>
      </c>
      <c r="BM81" s="1">
        <f t="shared" si="47"/>
        <v>0.27795450930491489</v>
      </c>
      <c r="BN81" s="1">
        <f t="shared" si="50"/>
        <v>2.4954529998948271E-3</v>
      </c>
      <c r="BO81" s="1">
        <f t="shared" si="48"/>
        <v>3.2270861907338973E-2</v>
      </c>
    </row>
    <row r="82" spans="1:67" x14ac:dyDescent="0.25">
      <c r="A82" s="3"/>
      <c r="B82" s="3"/>
      <c r="C82" t="s">
        <v>68</v>
      </c>
      <c r="D82" s="5">
        <v>1</v>
      </c>
      <c r="E82" s="9">
        <f t="shared" si="27"/>
        <v>39.68</v>
      </c>
      <c r="F82" s="9">
        <f t="shared" si="28"/>
        <v>0</v>
      </c>
      <c r="G82">
        <v>20.43</v>
      </c>
      <c r="H82">
        <v>39.89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39.68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18.600000000000001</v>
      </c>
      <c r="AK82" t="s">
        <v>1</v>
      </c>
      <c r="AL82" t="s">
        <v>374</v>
      </c>
      <c r="AQ82" s="1">
        <f t="shared" si="49"/>
        <v>100</v>
      </c>
      <c r="AR82" s="1">
        <f t="shared" si="29"/>
        <v>0.39679999999999999</v>
      </c>
      <c r="AS82" s="1">
        <f t="shared" si="30"/>
        <v>0.20430000000000001</v>
      </c>
      <c r="AT82" s="1">
        <f t="shared" si="31"/>
        <v>0.39890000000000003</v>
      </c>
      <c r="AU82" s="1">
        <f t="shared" si="32"/>
        <v>0</v>
      </c>
      <c r="AV82" s="1">
        <f t="shared" si="33"/>
        <v>0.18600000000000003</v>
      </c>
      <c r="AX82" s="1">
        <f t="shared" si="34"/>
        <v>0</v>
      </c>
      <c r="AY82" s="1">
        <f t="shared" si="35"/>
        <v>0.65782493368700257</v>
      </c>
      <c r="AZ82" s="1">
        <f t="shared" si="36"/>
        <v>0.5</v>
      </c>
      <c r="BA82" s="1">
        <f t="shared" si="37"/>
        <v>0.5</v>
      </c>
      <c r="BB82" s="1">
        <f t="shared" si="38"/>
        <v>0.44739168877099916</v>
      </c>
      <c r="BC82" s="1">
        <f t="shared" si="39"/>
        <v>0.44739168877099916</v>
      </c>
      <c r="BD82" s="1">
        <f t="shared" si="40"/>
        <v>0.26139168877099916</v>
      </c>
      <c r="BF82">
        <f t="shared" si="41"/>
        <v>121.61</v>
      </c>
      <c r="BG82">
        <f t="shared" si="51"/>
        <v>39.68</v>
      </c>
      <c r="BH82" s="1">
        <f t="shared" si="42"/>
        <v>0</v>
      </c>
      <c r="BI82" s="1">
        <f t="shared" si="43"/>
        <v>0.32628895650028783</v>
      </c>
      <c r="BJ82" s="1">
        <f t="shared" si="44"/>
        <v>0.59</v>
      </c>
      <c r="BK82" s="1">
        <f t="shared" si="45"/>
        <v>9.6000000000000002E-2</v>
      </c>
      <c r="BL82" s="1">
        <f t="shared" si="46"/>
        <v>0.32628895650028783</v>
      </c>
      <c r="BM82" s="1">
        <f t="shared" si="47"/>
        <v>0.32628895650028783</v>
      </c>
      <c r="BN82" s="1">
        <f t="shared" si="50"/>
        <v>1.9680991315939644E-2</v>
      </c>
      <c r="BO82" s="1">
        <f t="shared" si="48"/>
        <v>4.9124699600905583E-2</v>
      </c>
    </row>
    <row r="83" spans="1:67" x14ac:dyDescent="0.25">
      <c r="A83" s="3"/>
      <c r="B83" s="3"/>
      <c r="C83" t="s">
        <v>69</v>
      </c>
      <c r="D83" s="5">
        <v>1</v>
      </c>
      <c r="E83" s="9">
        <f t="shared" si="27"/>
        <v>44.91</v>
      </c>
      <c r="F83" s="9">
        <f t="shared" si="28"/>
        <v>0</v>
      </c>
      <c r="G83">
        <v>20.38</v>
      </c>
      <c r="H83">
        <v>34.71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44.91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12.3</v>
      </c>
      <c r="AK83" t="s">
        <v>1</v>
      </c>
      <c r="AL83" t="s">
        <v>374</v>
      </c>
      <c r="AQ83" s="1">
        <f t="shared" si="49"/>
        <v>100</v>
      </c>
      <c r="AR83" s="1">
        <f t="shared" si="29"/>
        <v>0.44909999999999994</v>
      </c>
      <c r="AS83" s="1">
        <f t="shared" si="30"/>
        <v>0.20379999999999998</v>
      </c>
      <c r="AT83" s="1">
        <f t="shared" si="31"/>
        <v>0.34710000000000002</v>
      </c>
      <c r="AU83" s="1">
        <f t="shared" si="32"/>
        <v>0</v>
      </c>
      <c r="AV83" s="1">
        <f t="shared" si="33"/>
        <v>0.12300000000000001</v>
      </c>
      <c r="AX83" s="1">
        <f t="shared" si="34"/>
        <v>0</v>
      </c>
      <c r="AY83" s="1">
        <f t="shared" si="35"/>
        <v>0.81521147213650391</v>
      </c>
      <c r="AZ83" s="1">
        <f t="shared" si="36"/>
        <v>0.5</v>
      </c>
      <c r="BA83" s="1">
        <f t="shared" si="37"/>
        <v>0.5</v>
      </c>
      <c r="BB83" s="1">
        <f t="shared" si="38"/>
        <v>0.39492950928783205</v>
      </c>
      <c r="BC83" s="1">
        <f t="shared" si="39"/>
        <v>0.39492950928783205</v>
      </c>
      <c r="BD83" s="1">
        <f t="shared" si="40"/>
        <v>0.27192950928783205</v>
      </c>
      <c r="BF83">
        <f t="shared" si="41"/>
        <v>116.22999999999999</v>
      </c>
      <c r="BG83">
        <f t="shared" si="51"/>
        <v>44.91</v>
      </c>
      <c r="BH83" s="1">
        <f t="shared" si="42"/>
        <v>0</v>
      </c>
      <c r="BI83" s="1">
        <f t="shared" si="43"/>
        <v>0.38638905618170871</v>
      </c>
      <c r="BJ83" s="1">
        <f t="shared" si="44"/>
        <v>0.59</v>
      </c>
      <c r="BK83" s="1">
        <f t="shared" si="45"/>
        <v>9.6000000000000002E-2</v>
      </c>
      <c r="BL83" s="1">
        <f t="shared" si="46"/>
        <v>0.38638905618170871</v>
      </c>
      <c r="BM83" s="1">
        <f t="shared" si="47"/>
        <v>0.38638905618170871</v>
      </c>
      <c r="BN83" s="1">
        <f t="shared" si="50"/>
        <v>6.9373794916291309E-2</v>
      </c>
      <c r="BO83" s="1">
        <f t="shared" si="48"/>
        <v>8.1020456141255512E-2</v>
      </c>
    </row>
    <row r="84" spans="1:67" x14ac:dyDescent="0.25">
      <c r="A84" s="3"/>
      <c r="B84" s="3"/>
      <c r="C84" t="s">
        <v>70</v>
      </c>
      <c r="D84" s="5">
        <v>1</v>
      </c>
      <c r="E84" s="9">
        <f t="shared" si="27"/>
        <v>49.51</v>
      </c>
      <c r="F84" s="9">
        <f t="shared" si="28"/>
        <v>0</v>
      </c>
      <c r="G84">
        <v>20.61</v>
      </c>
      <c r="H84">
        <v>29.88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49.51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</v>
      </c>
      <c r="AK84" t="s">
        <v>1</v>
      </c>
      <c r="AL84" t="s">
        <v>374</v>
      </c>
      <c r="AQ84" s="1">
        <f t="shared" si="49"/>
        <v>100</v>
      </c>
      <c r="AR84" s="1">
        <f t="shared" si="29"/>
        <v>0.49509999999999998</v>
      </c>
      <c r="AS84" s="1">
        <f t="shared" si="30"/>
        <v>0.20610000000000001</v>
      </c>
      <c r="AT84" s="1">
        <f t="shared" si="31"/>
        <v>0.29880000000000001</v>
      </c>
      <c r="AU84" s="1">
        <f t="shared" si="32"/>
        <v>0</v>
      </c>
      <c r="AV84" s="1">
        <f t="shared" si="33"/>
        <v>0.04</v>
      </c>
      <c r="AX84" s="1">
        <f t="shared" si="34"/>
        <v>0</v>
      </c>
      <c r="AY84" s="1">
        <f t="shared" si="35"/>
        <v>0.98059021588433348</v>
      </c>
      <c r="AZ84" s="1">
        <f t="shared" si="36"/>
        <v>0.5</v>
      </c>
      <c r="BA84" s="1">
        <f t="shared" si="37"/>
        <v>0.5</v>
      </c>
      <c r="BB84" s="1">
        <f t="shared" si="38"/>
        <v>0.33980326137188888</v>
      </c>
      <c r="BC84" s="1">
        <f t="shared" si="39"/>
        <v>0.33980326137188888</v>
      </c>
      <c r="BD84" s="1">
        <f t="shared" si="40"/>
        <v>0.2998032613718889</v>
      </c>
      <c r="BF84">
        <f t="shared" si="41"/>
        <v>112.32</v>
      </c>
      <c r="BG84">
        <f t="shared" si="51"/>
        <v>49.51</v>
      </c>
      <c r="BH84" s="1">
        <f t="shared" si="42"/>
        <v>0</v>
      </c>
      <c r="BI84" s="1">
        <f t="shared" si="43"/>
        <v>0.44079415954415957</v>
      </c>
      <c r="BJ84" s="1">
        <f t="shared" si="44"/>
        <v>0.59</v>
      </c>
      <c r="BK84" s="1">
        <f t="shared" si="45"/>
        <v>9.6000000000000002E-2</v>
      </c>
      <c r="BL84" s="1">
        <f t="shared" si="46"/>
        <v>0.44079415954415957</v>
      </c>
      <c r="BM84" s="1">
        <f t="shared" si="47"/>
        <v>0.44079415954415957</v>
      </c>
      <c r="BN84" s="1">
        <f t="shared" si="50"/>
        <v>0.16063595832470925</v>
      </c>
      <c r="BO84" s="1">
        <f t="shared" si="48"/>
        <v>0.13515984967854194</v>
      </c>
    </row>
    <row r="85" spans="1:67" x14ac:dyDescent="0.25">
      <c r="A85" s="3"/>
      <c r="B85" s="3"/>
      <c r="C85" t="s">
        <v>71</v>
      </c>
      <c r="D85" s="5">
        <v>1</v>
      </c>
      <c r="E85" s="9">
        <f t="shared" si="27"/>
        <v>20</v>
      </c>
      <c r="F85" s="9">
        <f t="shared" si="28"/>
        <v>0.90277777777777779</v>
      </c>
      <c r="G85">
        <v>8</v>
      </c>
      <c r="H85">
        <v>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20</v>
      </c>
      <c r="P85">
        <v>0</v>
      </c>
      <c r="Q85">
        <v>65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62</v>
      </c>
      <c r="AK85" t="s">
        <v>1</v>
      </c>
      <c r="AL85" t="s">
        <v>372</v>
      </c>
      <c r="AO85" t="s">
        <v>375</v>
      </c>
      <c r="AQ85" s="1">
        <f t="shared" si="49"/>
        <v>100</v>
      </c>
      <c r="AR85" s="1">
        <f t="shared" si="29"/>
        <v>0.2</v>
      </c>
      <c r="AS85" s="1">
        <f t="shared" si="30"/>
        <v>0.08</v>
      </c>
      <c r="AT85" s="1">
        <f t="shared" si="31"/>
        <v>7.0000000000000007E-2</v>
      </c>
      <c r="AU85" s="1">
        <f t="shared" si="32"/>
        <v>0.65</v>
      </c>
      <c r="AV85" s="1">
        <f t="shared" si="33"/>
        <v>0.62</v>
      </c>
      <c r="AX85" s="1">
        <f t="shared" si="34"/>
        <v>4.333333333333333</v>
      </c>
      <c r="AY85" s="1">
        <f t="shared" si="35"/>
        <v>1.3333333333333333</v>
      </c>
      <c r="AZ85" s="1">
        <f t="shared" si="36"/>
        <v>0.77083333333333326</v>
      </c>
      <c r="BA85" s="1">
        <f t="shared" si="37"/>
        <v>1.5833333333333333</v>
      </c>
      <c r="BB85" s="1">
        <f t="shared" si="38"/>
        <v>0.77083333333333326</v>
      </c>
      <c r="BC85" s="1">
        <f t="shared" si="39"/>
        <v>0.77083333333333326</v>
      </c>
      <c r="BD85" s="1">
        <f t="shared" si="40"/>
        <v>0.15083333333333326</v>
      </c>
      <c r="BF85">
        <f t="shared" si="41"/>
        <v>39</v>
      </c>
      <c r="BG85">
        <f t="shared" si="51"/>
        <v>20</v>
      </c>
      <c r="BH85" s="1">
        <f t="shared" si="42"/>
        <v>1.6666666666666667</v>
      </c>
      <c r="BI85" s="1">
        <f t="shared" si="43"/>
        <v>0.51282051282051277</v>
      </c>
      <c r="BJ85" s="1">
        <f t="shared" si="44"/>
        <v>0.62166666666666659</v>
      </c>
      <c r="BK85" s="1">
        <f t="shared" si="45"/>
        <v>0.93266666666666664</v>
      </c>
      <c r="BL85" s="1">
        <f t="shared" si="46"/>
        <v>0.51282051282051277</v>
      </c>
      <c r="BM85" s="1">
        <f t="shared" si="47"/>
        <v>0.51282051282051277</v>
      </c>
      <c r="BN85" s="1">
        <f t="shared" si="50"/>
        <v>1.1487442472057866E-2</v>
      </c>
      <c r="BO85" s="1">
        <f t="shared" si="48"/>
        <v>4.50963767673839E-2</v>
      </c>
    </row>
    <row r="86" spans="1:67" x14ac:dyDescent="0.25">
      <c r="A86" s="3"/>
      <c r="B86" s="3"/>
      <c r="C86" t="s">
        <v>72</v>
      </c>
      <c r="D86" s="5">
        <v>1</v>
      </c>
      <c r="E86" s="9">
        <f t="shared" si="27"/>
        <v>20</v>
      </c>
      <c r="F86" s="9">
        <f t="shared" si="28"/>
        <v>0.90277777777777779</v>
      </c>
      <c r="G86">
        <v>8</v>
      </c>
      <c r="H86">
        <v>7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  <c r="O86">
        <v>15</v>
      </c>
      <c r="P86">
        <v>0</v>
      </c>
      <c r="Q86">
        <v>65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44</v>
      </c>
      <c r="AK86" t="s">
        <v>1</v>
      </c>
      <c r="AL86" t="s">
        <v>372</v>
      </c>
      <c r="AQ86" s="1">
        <f t="shared" si="49"/>
        <v>100</v>
      </c>
      <c r="AR86" s="1">
        <f t="shared" si="29"/>
        <v>0.15</v>
      </c>
      <c r="AS86" s="1">
        <f t="shared" si="30"/>
        <v>0.08</v>
      </c>
      <c r="AT86" s="1">
        <f t="shared" si="31"/>
        <v>7.0000000000000007E-2</v>
      </c>
      <c r="AU86" s="1">
        <f t="shared" si="32"/>
        <v>0.65</v>
      </c>
      <c r="AV86" s="1">
        <f t="shared" si="33"/>
        <v>0.44</v>
      </c>
      <c r="AX86" s="1">
        <f t="shared" si="34"/>
        <v>4.333333333333333</v>
      </c>
      <c r="AY86" s="1">
        <f t="shared" si="35"/>
        <v>0.99999999999999978</v>
      </c>
      <c r="AZ86" s="1">
        <f t="shared" si="36"/>
        <v>0.77083333333333326</v>
      </c>
      <c r="BA86" s="1">
        <f t="shared" si="37"/>
        <v>1.5833333333333333</v>
      </c>
      <c r="BB86" s="1">
        <f t="shared" si="38"/>
        <v>0.77083333333333326</v>
      </c>
      <c r="BC86" s="1">
        <f t="shared" si="39"/>
        <v>0.77083333333333326</v>
      </c>
      <c r="BD86" s="1">
        <f t="shared" si="40"/>
        <v>0.33083333333333326</v>
      </c>
      <c r="BF86">
        <f t="shared" si="41"/>
        <v>39</v>
      </c>
      <c r="BG86">
        <f t="shared" si="51"/>
        <v>17.5</v>
      </c>
      <c r="BH86" s="1">
        <f t="shared" si="42"/>
        <v>1.6666666666666667</v>
      </c>
      <c r="BI86" s="1">
        <f t="shared" si="43"/>
        <v>0.44871794871794873</v>
      </c>
      <c r="BJ86" s="1">
        <f t="shared" si="44"/>
        <v>0.62166666666666659</v>
      </c>
      <c r="BK86" s="1">
        <f t="shared" si="45"/>
        <v>0.93266666666666664</v>
      </c>
      <c r="BL86" s="1">
        <f t="shared" si="46"/>
        <v>0.44871794871794873</v>
      </c>
      <c r="BM86" s="1">
        <f t="shared" si="47"/>
        <v>0.44871794871794873</v>
      </c>
      <c r="BN86" s="1">
        <f t="shared" si="50"/>
        <v>7.6002629848783923E-5</v>
      </c>
      <c r="BO86" s="1">
        <f t="shared" si="48"/>
        <v>1.0471097398122534E-3</v>
      </c>
    </row>
    <row r="87" spans="1:67" x14ac:dyDescent="0.25">
      <c r="A87" s="3"/>
      <c r="B87" s="3"/>
      <c r="C87" t="s">
        <v>73</v>
      </c>
      <c r="D87" s="5">
        <v>1</v>
      </c>
      <c r="E87" s="9">
        <f t="shared" si="27"/>
        <v>20</v>
      </c>
      <c r="F87" s="9">
        <f t="shared" si="28"/>
        <v>0.90277777777777779</v>
      </c>
      <c r="G87">
        <v>8</v>
      </c>
      <c r="H87">
        <v>7</v>
      </c>
      <c r="I87">
        <v>10</v>
      </c>
      <c r="J87">
        <v>0</v>
      </c>
      <c r="K87">
        <v>0</v>
      </c>
      <c r="L87">
        <v>0</v>
      </c>
      <c r="M87">
        <v>0</v>
      </c>
      <c r="N87">
        <v>0</v>
      </c>
      <c r="O87">
        <v>10</v>
      </c>
      <c r="P87">
        <v>0</v>
      </c>
      <c r="Q87">
        <v>65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28</v>
      </c>
      <c r="AK87" t="s">
        <v>1</v>
      </c>
      <c r="AL87" t="s">
        <v>372</v>
      </c>
      <c r="AQ87" s="1">
        <f t="shared" si="49"/>
        <v>100</v>
      </c>
      <c r="AR87" s="1">
        <f t="shared" si="29"/>
        <v>0.1</v>
      </c>
      <c r="AS87" s="1">
        <f t="shared" si="30"/>
        <v>0.08</v>
      </c>
      <c r="AT87" s="1">
        <f t="shared" si="31"/>
        <v>7.0000000000000007E-2</v>
      </c>
      <c r="AU87" s="1">
        <f t="shared" si="32"/>
        <v>0.65</v>
      </c>
      <c r="AV87" s="1">
        <f t="shared" si="33"/>
        <v>0.28000000000000003</v>
      </c>
      <c r="AX87" s="1">
        <f t="shared" si="34"/>
        <v>4.333333333333333</v>
      </c>
      <c r="AY87" s="1">
        <f t="shared" si="35"/>
        <v>0.66666666666666663</v>
      </c>
      <c r="AZ87" s="1">
        <f t="shared" si="36"/>
        <v>0.77083333333333326</v>
      </c>
      <c r="BA87" s="1">
        <f t="shared" si="37"/>
        <v>1.5833333333333333</v>
      </c>
      <c r="BB87" s="1">
        <f t="shared" si="38"/>
        <v>0.66666666666666663</v>
      </c>
      <c r="BC87" s="1">
        <f t="shared" si="39"/>
        <v>0.66666666666666663</v>
      </c>
      <c r="BD87" s="1">
        <f t="shared" si="40"/>
        <v>0.3866666666666666</v>
      </c>
      <c r="BF87">
        <f t="shared" si="41"/>
        <v>39</v>
      </c>
      <c r="BG87">
        <f t="shared" si="51"/>
        <v>15</v>
      </c>
      <c r="BH87" s="1">
        <f t="shared" si="42"/>
        <v>1.6666666666666667</v>
      </c>
      <c r="BI87" s="1">
        <f t="shared" si="43"/>
        <v>0.38461538461538464</v>
      </c>
      <c r="BJ87" s="1">
        <f t="shared" si="44"/>
        <v>0.62166666666666659</v>
      </c>
      <c r="BK87" s="1">
        <f t="shared" si="45"/>
        <v>0.93266666666666664</v>
      </c>
      <c r="BL87" s="1">
        <f t="shared" si="46"/>
        <v>0.38461538461538464</v>
      </c>
      <c r="BM87" s="1">
        <f t="shared" si="47"/>
        <v>0.38461538461538464</v>
      </c>
      <c r="BN87" s="1">
        <f t="shared" si="50"/>
        <v>1.0944378698224851E-2</v>
      </c>
      <c r="BO87" s="1">
        <f t="shared" si="48"/>
        <v>1.6292205715304115E-2</v>
      </c>
    </row>
    <row r="88" spans="1:67" x14ac:dyDescent="0.25">
      <c r="A88" s="3"/>
      <c r="B88" s="3"/>
      <c r="C88" t="s">
        <v>75</v>
      </c>
      <c r="D88" s="5">
        <v>1</v>
      </c>
      <c r="E88" s="9">
        <f t="shared" si="27"/>
        <v>20</v>
      </c>
      <c r="F88" s="9">
        <f t="shared" si="28"/>
        <v>0.90277777777777779</v>
      </c>
      <c r="G88">
        <v>8</v>
      </c>
      <c r="H88">
        <v>7</v>
      </c>
      <c r="I88">
        <v>15</v>
      </c>
      <c r="J88">
        <v>0</v>
      </c>
      <c r="K88">
        <v>0</v>
      </c>
      <c r="L88">
        <v>0</v>
      </c>
      <c r="M88">
        <v>0</v>
      </c>
      <c r="N88">
        <v>0</v>
      </c>
      <c r="O88">
        <v>5</v>
      </c>
      <c r="P88">
        <v>0</v>
      </c>
      <c r="Q88">
        <v>65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19</v>
      </c>
      <c r="AK88" t="s">
        <v>1</v>
      </c>
      <c r="AL88" t="s">
        <v>372</v>
      </c>
      <c r="AQ88" s="1">
        <f t="shared" si="49"/>
        <v>100</v>
      </c>
      <c r="AR88" s="1">
        <f t="shared" si="29"/>
        <v>0.05</v>
      </c>
      <c r="AS88" s="1">
        <f t="shared" si="30"/>
        <v>0.08</v>
      </c>
      <c r="AT88" s="1">
        <f t="shared" si="31"/>
        <v>7.0000000000000007E-2</v>
      </c>
      <c r="AU88" s="1">
        <f t="shared" si="32"/>
        <v>0.65</v>
      </c>
      <c r="AV88" s="1">
        <f t="shared" si="33"/>
        <v>0.19</v>
      </c>
      <c r="AX88" s="1">
        <f t="shared" si="34"/>
        <v>4.333333333333333</v>
      </c>
      <c r="AY88" s="1">
        <f t="shared" si="35"/>
        <v>0.33333333333333331</v>
      </c>
      <c r="AZ88" s="1">
        <f t="shared" si="36"/>
        <v>0.77083333333333326</v>
      </c>
      <c r="BA88" s="1">
        <f t="shared" si="37"/>
        <v>1.5833333333333333</v>
      </c>
      <c r="BB88" s="1">
        <f t="shared" si="38"/>
        <v>0.33333333333333331</v>
      </c>
      <c r="BC88" s="1">
        <f t="shared" si="39"/>
        <v>0.33333333333333331</v>
      </c>
      <c r="BD88" s="1">
        <f t="shared" si="40"/>
        <v>0.14333333333333331</v>
      </c>
      <c r="BF88">
        <f t="shared" si="41"/>
        <v>39</v>
      </c>
      <c r="BG88">
        <f t="shared" si="51"/>
        <v>12.5</v>
      </c>
      <c r="BH88" s="1">
        <f t="shared" si="42"/>
        <v>1.6666666666666667</v>
      </c>
      <c r="BI88" s="1">
        <f t="shared" si="43"/>
        <v>0.32051282051282054</v>
      </c>
      <c r="BJ88" s="1">
        <f t="shared" si="44"/>
        <v>0.62166666666666659</v>
      </c>
      <c r="BK88" s="1">
        <f t="shared" si="45"/>
        <v>0.93266666666666664</v>
      </c>
      <c r="BL88" s="1">
        <f t="shared" si="46"/>
        <v>0.32051282051282054</v>
      </c>
      <c r="BM88" s="1">
        <f t="shared" si="47"/>
        <v>0.32051282051282054</v>
      </c>
      <c r="BN88" s="1">
        <f t="shared" si="50"/>
        <v>1.7033596318211709E-2</v>
      </c>
      <c r="BO88" s="1">
        <f t="shared" si="48"/>
        <v>4.7367572201518292E-2</v>
      </c>
    </row>
    <row r="89" spans="1:67" x14ac:dyDescent="0.25">
      <c r="A89" s="3"/>
      <c r="B89" s="3"/>
      <c r="C89" t="s">
        <v>74</v>
      </c>
      <c r="D89" s="5">
        <v>1</v>
      </c>
      <c r="E89" s="9">
        <f t="shared" si="27"/>
        <v>20</v>
      </c>
      <c r="F89" s="9">
        <f t="shared" si="28"/>
        <v>0.90277777777777779</v>
      </c>
      <c r="G89">
        <v>8</v>
      </c>
      <c r="H89">
        <v>7</v>
      </c>
      <c r="I89">
        <v>20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65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15</v>
      </c>
      <c r="AK89" t="s">
        <v>1</v>
      </c>
      <c r="AL89" t="s">
        <v>372</v>
      </c>
      <c r="AQ89" s="1">
        <f t="shared" si="49"/>
        <v>100</v>
      </c>
      <c r="AR89" s="1">
        <f t="shared" si="29"/>
        <v>0</v>
      </c>
      <c r="AS89" s="1">
        <f t="shared" si="30"/>
        <v>0.08</v>
      </c>
      <c r="AT89" s="1">
        <f t="shared" si="31"/>
        <v>7.0000000000000007E-2</v>
      </c>
      <c r="AU89" s="1">
        <f t="shared" si="32"/>
        <v>0.65</v>
      </c>
      <c r="AV89" s="1">
        <f t="shared" si="33"/>
        <v>0.15</v>
      </c>
      <c r="AX89" s="1">
        <f t="shared" si="34"/>
        <v>4.333333333333333</v>
      </c>
      <c r="AY89" s="1">
        <f t="shared" si="35"/>
        <v>0</v>
      </c>
      <c r="AZ89" s="1">
        <f t="shared" si="36"/>
        <v>0.77083333333333326</v>
      </c>
      <c r="BA89" s="1">
        <f t="shared" si="37"/>
        <v>1.5833333333333333</v>
      </c>
      <c r="BB89" s="1">
        <f t="shared" si="38"/>
        <v>0</v>
      </c>
      <c r="BC89" s="1">
        <f t="shared" si="39"/>
        <v>0</v>
      </c>
      <c r="BD89" s="1">
        <f t="shared" si="40"/>
        <v>0.15</v>
      </c>
      <c r="BF89">
        <f t="shared" si="41"/>
        <v>39</v>
      </c>
      <c r="BG89">
        <f t="shared" si="51"/>
        <v>10</v>
      </c>
      <c r="BH89" s="1">
        <f t="shared" si="42"/>
        <v>1.6666666666666667</v>
      </c>
      <c r="BI89" s="1">
        <f t="shared" si="43"/>
        <v>0.25641025641025639</v>
      </c>
      <c r="BJ89" s="1">
        <f t="shared" si="44"/>
        <v>0.62166666666666659</v>
      </c>
      <c r="BK89" s="1">
        <f t="shared" si="45"/>
        <v>0.93266666666666664</v>
      </c>
      <c r="BL89" s="1">
        <f t="shared" si="46"/>
        <v>0.25641025641025639</v>
      </c>
      <c r="BM89" s="1">
        <f t="shared" si="47"/>
        <v>0.25641025641025639</v>
      </c>
      <c r="BN89" s="1">
        <f t="shared" si="50"/>
        <v>1.1323142669296512E-2</v>
      </c>
      <c r="BO89" s="1">
        <f t="shared" si="48"/>
        <v>6.637884619539125E-2</v>
      </c>
    </row>
    <row r="90" spans="1:67" x14ac:dyDescent="0.25">
      <c r="A90" s="3"/>
      <c r="B90" s="3"/>
      <c r="C90" t="s">
        <v>76</v>
      </c>
      <c r="D90" s="5">
        <v>1</v>
      </c>
      <c r="E90" s="9">
        <f t="shared" si="27"/>
        <v>20</v>
      </c>
      <c r="F90" s="9">
        <f t="shared" si="28"/>
        <v>0.70833333333333337</v>
      </c>
      <c r="G90">
        <v>8</v>
      </c>
      <c r="H90">
        <v>21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20</v>
      </c>
      <c r="P90">
        <v>0</v>
      </c>
      <c r="Q90">
        <v>51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51</v>
      </c>
      <c r="AK90" t="s">
        <v>1</v>
      </c>
      <c r="AL90" t="s">
        <v>372</v>
      </c>
      <c r="AQ90" s="1">
        <f t="shared" si="49"/>
        <v>100</v>
      </c>
      <c r="AR90" s="1">
        <f t="shared" si="29"/>
        <v>0.2</v>
      </c>
      <c r="AS90" s="1">
        <f t="shared" si="30"/>
        <v>0.08</v>
      </c>
      <c r="AT90" s="1">
        <f t="shared" si="31"/>
        <v>0.21</v>
      </c>
      <c r="AU90" s="1">
        <f t="shared" si="32"/>
        <v>0.51</v>
      </c>
      <c r="AV90" s="1">
        <f t="shared" si="33"/>
        <v>0.51</v>
      </c>
      <c r="AX90" s="1">
        <f t="shared" si="34"/>
        <v>1.7586206896551726</v>
      </c>
      <c r="AY90" s="1">
        <f t="shared" si="35"/>
        <v>0.68965517241379315</v>
      </c>
      <c r="AZ90" s="1">
        <f t="shared" si="36"/>
        <v>0.60991379310344829</v>
      </c>
      <c r="BA90" s="1">
        <f t="shared" si="37"/>
        <v>0.93965517241379315</v>
      </c>
      <c r="BB90" s="1">
        <f t="shared" si="38"/>
        <v>0.60991379310344829</v>
      </c>
      <c r="BC90" s="1">
        <f t="shared" si="39"/>
        <v>0.60991379310344829</v>
      </c>
      <c r="BD90" s="1">
        <f t="shared" si="40"/>
        <v>9.9913793103448278E-2</v>
      </c>
      <c r="BF90">
        <f t="shared" si="41"/>
        <v>53</v>
      </c>
      <c r="BG90">
        <f t="shared" si="51"/>
        <v>20</v>
      </c>
      <c r="BH90" s="1">
        <f t="shared" si="42"/>
        <v>0.96226415094339623</v>
      </c>
      <c r="BI90" s="1">
        <f t="shared" si="43"/>
        <v>0.37735849056603776</v>
      </c>
      <c r="BJ90" s="1">
        <f t="shared" si="44"/>
        <v>0.60828301886792446</v>
      </c>
      <c r="BK90" s="1">
        <f t="shared" si="45"/>
        <v>0.57905660377358492</v>
      </c>
      <c r="BL90" s="1">
        <f t="shared" si="46"/>
        <v>0.37735849056603776</v>
      </c>
      <c r="BM90" s="1">
        <f t="shared" si="47"/>
        <v>0.37735849056603776</v>
      </c>
      <c r="BN90" s="1">
        <f t="shared" si="50"/>
        <v>1.7593770024919894E-2</v>
      </c>
      <c r="BO90" s="1">
        <f t="shared" si="48"/>
        <v>1.0477380250534563E-2</v>
      </c>
    </row>
    <row r="91" spans="1:67" x14ac:dyDescent="0.25">
      <c r="A91" s="3"/>
      <c r="B91" s="3"/>
      <c r="C91" t="s">
        <v>77</v>
      </c>
      <c r="D91" s="5">
        <v>1</v>
      </c>
      <c r="E91" s="9">
        <f t="shared" si="27"/>
        <v>20</v>
      </c>
      <c r="F91" s="9">
        <f t="shared" si="28"/>
        <v>0.70833333333333337</v>
      </c>
      <c r="G91">
        <v>8</v>
      </c>
      <c r="H91">
        <v>21</v>
      </c>
      <c r="I91">
        <v>5</v>
      </c>
      <c r="J91">
        <v>0</v>
      </c>
      <c r="K91">
        <v>0</v>
      </c>
      <c r="L91">
        <v>0</v>
      </c>
      <c r="M91">
        <v>0</v>
      </c>
      <c r="N91">
        <v>0</v>
      </c>
      <c r="O91">
        <v>15</v>
      </c>
      <c r="P91">
        <v>0</v>
      </c>
      <c r="Q91">
        <v>51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36</v>
      </c>
      <c r="AK91" t="s">
        <v>1</v>
      </c>
      <c r="AL91" t="s">
        <v>372</v>
      </c>
      <c r="AQ91" s="1">
        <f t="shared" si="49"/>
        <v>100</v>
      </c>
      <c r="AR91" s="1">
        <f t="shared" si="29"/>
        <v>0.15</v>
      </c>
      <c r="AS91" s="1">
        <f t="shared" si="30"/>
        <v>0.08</v>
      </c>
      <c r="AT91" s="1">
        <f t="shared" si="31"/>
        <v>0.21</v>
      </c>
      <c r="AU91" s="1">
        <f t="shared" si="32"/>
        <v>0.51</v>
      </c>
      <c r="AV91" s="1">
        <f t="shared" si="33"/>
        <v>0.36</v>
      </c>
      <c r="AX91" s="1">
        <f t="shared" si="34"/>
        <v>1.7586206896551726</v>
      </c>
      <c r="AY91" s="1">
        <f t="shared" si="35"/>
        <v>0.51724137931034486</v>
      </c>
      <c r="AZ91" s="1">
        <f t="shared" si="36"/>
        <v>0.60991379310344829</v>
      </c>
      <c r="BA91" s="1">
        <f t="shared" si="37"/>
        <v>0.93965517241379315</v>
      </c>
      <c r="BB91" s="1">
        <f t="shared" si="38"/>
        <v>0.51724137931034486</v>
      </c>
      <c r="BC91" s="1">
        <f t="shared" si="39"/>
        <v>0.51724137931034486</v>
      </c>
      <c r="BD91" s="1">
        <f t="shared" si="40"/>
        <v>0.15724137931034488</v>
      </c>
      <c r="BF91">
        <f t="shared" si="41"/>
        <v>53</v>
      </c>
      <c r="BG91">
        <f t="shared" si="51"/>
        <v>17.5</v>
      </c>
      <c r="BH91" s="1">
        <f t="shared" si="42"/>
        <v>0.96226415094339623</v>
      </c>
      <c r="BI91" s="1">
        <f t="shared" si="43"/>
        <v>0.330188679245283</v>
      </c>
      <c r="BJ91" s="1">
        <f t="shared" si="44"/>
        <v>0.60828301886792446</v>
      </c>
      <c r="BK91" s="1">
        <f t="shared" si="45"/>
        <v>0.57905660377358492</v>
      </c>
      <c r="BL91" s="1">
        <f t="shared" si="46"/>
        <v>0.330188679245283</v>
      </c>
      <c r="BM91" s="1">
        <f t="shared" si="47"/>
        <v>0.330188679245283</v>
      </c>
      <c r="BN91" s="1">
        <f t="shared" si="50"/>
        <v>8.8871484514061968E-4</v>
      </c>
      <c r="BO91" s="1">
        <f t="shared" si="48"/>
        <v>2.2696577275581882E-3</v>
      </c>
    </row>
    <row r="92" spans="1:67" x14ac:dyDescent="0.25">
      <c r="A92" s="3"/>
      <c r="B92" s="3"/>
      <c r="C92" t="s">
        <v>78</v>
      </c>
      <c r="D92" s="5">
        <v>1</v>
      </c>
      <c r="E92" s="9">
        <f t="shared" si="27"/>
        <v>20</v>
      </c>
      <c r="F92" s="9">
        <f t="shared" si="28"/>
        <v>0.70833333333333337</v>
      </c>
      <c r="G92">
        <v>8</v>
      </c>
      <c r="H92">
        <v>21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10</v>
      </c>
      <c r="P92">
        <v>0</v>
      </c>
      <c r="Q92">
        <v>51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32</v>
      </c>
      <c r="AK92" t="s">
        <v>1</v>
      </c>
      <c r="AL92" t="s">
        <v>372</v>
      </c>
      <c r="AQ92" s="1">
        <f t="shared" si="49"/>
        <v>100</v>
      </c>
      <c r="AR92" s="1">
        <f t="shared" si="29"/>
        <v>0.1</v>
      </c>
      <c r="AS92" s="1">
        <f t="shared" si="30"/>
        <v>0.08</v>
      </c>
      <c r="AT92" s="1">
        <f t="shared" si="31"/>
        <v>0.21</v>
      </c>
      <c r="AU92" s="1">
        <f t="shared" si="32"/>
        <v>0.51</v>
      </c>
      <c r="AV92" s="1">
        <f t="shared" si="33"/>
        <v>0.32</v>
      </c>
      <c r="AX92" s="1">
        <f t="shared" si="34"/>
        <v>1.7586206896551726</v>
      </c>
      <c r="AY92" s="1">
        <f t="shared" si="35"/>
        <v>0.34482758620689657</v>
      </c>
      <c r="AZ92" s="1">
        <f t="shared" si="36"/>
        <v>0.60991379310344829</v>
      </c>
      <c r="BA92" s="1">
        <f t="shared" si="37"/>
        <v>0.93965517241379315</v>
      </c>
      <c r="BB92" s="1">
        <f t="shared" si="38"/>
        <v>0.34482758620689657</v>
      </c>
      <c r="BC92" s="1">
        <f t="shared" si="39"/>
        <v>0.34482758620689657</v>
      </c>
      <c r="BD92" s="1">
        <f t="shared" si="40"/>
        <v>2.4827586206896568E-2</v>
      </c>
      <c r="BF92">
        <f t="shared" si="41"/>
        <v>53</v>
      </c>
      <c r="BG92">
        <f t="shared" si="51"/>
        <v>15</v>
      </c>
      <c r="BH92" s="1">
        <f t="shared" si="42"/>
        <v>0.96226415094339623</v>
      </c>
      <c r="BI92" s="1">
        <f t="shared" si="43"/>
        <v>0.28301886792452829</v>
      </c>
      <c r="BJ92" s="1">
        <f t="shared" si="44"/>
        <v>0.60828301886792446</v>
      </c>
      <c r="BK92" s="1">
        <f t="shared" si="45"/>
        <v>0.57905660377358492</v>
      </c>
      <c r="BL92" s="1">
        <f t="shared" si="46"/>
        <v>0.28301886792452829</v>
      </c>
      <c r="BM92" s="1">
        <f t="shared" si="47"/>
        <v>0.28301886792452829</v>
      </c>
      <c r="BN92" s="1">
        <f t="shared" si="50"/>
        <v>1.3676041295834827E-3</v>
      </c>
      <c r="BO92" s="1">
        <f t="shared" si="48"/>
        <v>7.680931721431152E-3</v>
      </c>
    </row>
    <row r="93" spans="1:67" x14ac:dyDescent="0.25">
      <c r="A93" s="3"/>
      <c r="B93" s="3"/>
      <c r="C93" t="s">
        <v>79</v>
      </c>
      <c r="D93" s="5">
        <v>1</v>
      </c>
      <c r="E93" s="9">
        <f t="shared" si="27"/>
        <v>20</v>
      </c>
      <c r="F93" s="9">
        <f t="shared" si="28"/>
        <v>0.70833333333333337</v>
      </c>
      <c r="G93">
        <v>8</v>
      </c>
      <c r="H93">
        <v>21</v>
      </c>
      <c r="I93">
        <v>15</v>
      </c>
      <c r="J93">
        <v>0</v>
      </c>
      <c r="K93">
        <v>0</v>
      </c>
      <c r="L93">
        <v>0</v>
      </c>
      <c r="M93">
        <v>0</v>
      </c>
      <c r="N93">
        <v>0</v>
      </c>
      <c r="O93">
        <v>5</v>
      </c>
      <c r="P93">
        <v>0</v>
      </c>
      <c r="Q93">
        <v>51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27</v>
      </c>
      <c r="AK93" t="s">
        <v>1</v>
      </c>
      <c r="AL93" t="s">
        <v>372</v>
      </c>
      <c r="AQ93" s="1">
        <f t="shared" si="49"/>
        <v>100</v>
      </c>
      <c r="AR93" s="1">
        <f t="shared" si="29"/>
        <v>0.05</v>
      </c>
      <c r="AS93" s="1">
        <f t="shared" si="30"/>
        <v>0.08</v>
      </c>
      <c r="AT93" s="1">
        <f t="shared" si="31"/>
        <v>0.21</v>
      </c>
      <c r="AU93" s="1">
        <f t="shared" si="32"/>
        <v>0.51</v>
      </c>
      <c r="AV93" s="1">
        <f t="shared" si="33"/>
        <v>0.27</v>
      </c>
      <c r="AX93" s="1">
        <f t="shared" si="34"/>
        <v>1.7586206896551726</v>
      </c>
      <c r="AY93" s="1">
        <f t="shared" si="35"/>
        <v>0.17241379310344829</v>
      </c>
      <c r="AZ93" s="1">
        <f t="shared" si="36"/>
        <v>0.60991379310344829</v>
      </c>
      <c r="BA93" s="1">
        <f t="shared" si="37"/>
        <v>0.93965517241379315</v>
      </c>
      <c r="BB93" s="1">
        <f t="shared" si="38"/>
        <v>0.17241379310344829</v>
      </c>
      <c r="BC93" s="1">
        <f t="shared" si="39"/>
        <v>0.17241379310344829</v>
      </c>
      <c r="BD93" s="1">
        <f t="shared" si="40"/>
        <v>9.758620689655173E-2</v>
      </c>
      <c r="BF93">
        <f t="shared" si="41"/>
        <v>53</v>
      </c>
      <c r="BG93">
        <f t="shared" si="51"/>
        <v>12.5</v>
      </c>
      <c r="BH93" s="1">
        <f t="shared" si="42"/>
        <v>0.96226415094339623</v>
      </c>
      <c r="BI93" s="1">
        <f t="shared" si="43"/>
        <v>0.23584905660377359</v>
      </c>
      <c r="BJ93" s="1">
        <f t="shared" si="44"/>
        <v>0.60828301886792446</v>
      </c>
      <c r="BK93" s="1">
        <f t="shared" si="45"/>
        <v>0.57905660377358492</v>
      </c>
      <c r="BL93" s="1">
        <f t="shared" si="46"/>
        <v>0.23584905660377359</v>
      </c>
      <c r="BM93" s="1">
        <f t="shared" si="47"/>
        <v>0.23584905660377359</v>
      </c>
      <c r="BN93" s="1">
        <f t="shared" si="50"/>
        <v>1.1662869348522617E-3</v>
      </c>
      <c r="BO93" s="1">
        <f t="shared" si="48"/>
        <v>1.8945024213772359E-2</v>
      </c>
    </row>
    <row r="94" spans="1:67" x14ac:dyDescent="0.25">
      <c r="A94" s="3"/>
      <c r="B94" s="3"/>
      <c r="C94" t="s">
        <v>80</v>
      </c>
      <c r="D94" s="5">
        <v>1</v>
      </c>
      <c r="E94" s="9">
        <f t="shared" si="27"/>
        <v>20</v>
      </c>
      <c r="F94" s="9">
        <f t="shared" si="28"/>
        <v>0.70833333333333337</v>
      </c>
      <c r="G94">
        <v>8</v>
      </c>
      <c r="H94">
        <v>21</v>
      </c>
      <c r="I94">
        <v>20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51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21</v>
      </c>
      <c r="AK94" t="s">
        <v>1</v>
      </c>
      <c r="AL94" t="s">
        <v>372</v>
      </c>
      <c r="AQ94" s="1">
        <f t="shared" si="49"/>
        <v>100</v>
      </c>
      <c r="AR94" s="1">
        <f t="shared" si="29"/>
        <v>0</v>
      </c>
      <c r="AS94" s="1">
        <f t="shared" si="30"/>
        <v>0.08</v>
      </c>
      <c r="AT94" s="1">
        <f t="shared" si="31"/>
        <v>0.21</v>
      </c>
      <c r="AU94" s="1">
        <f t="shared" si="32"/>
        <v>0.51</v>
      </c>
      <c r="AV94" s="1">
        <f t="shared" si="33"/>
        <v>0.21</v>
      </c>
      <c r="AX94" s="1">
        <f t="shared" si="34"/>
        <v>1.7586206896551726</v>
      </c>
      <c r="AY94" s="1">
        <f t="shared" si="35"/>
        <v>0</v>
      </c>
      <c r="AZ94" s="1">
        <f t="shared" si="36"/>
        <v>0.60991379310344829</v>
      </c>
      <c r="BA94" s="1">
        <f t="shared" si="37"/>
        <v>0.93965517241379315</v>
      </c>
      <c r="BB94" s="1">
        <f t="shared" si="38"/>
        <v>0</v>
      </c>
      <c r="BC94" s="1">
        <f t="shared" si="39"/>
        <v>0</v>
      </c>
      <c r="BD94" s="1">
        <f t="shared" si="40"/>
        <v>0.21</v>
      </c>
      <c r="BF94">
        <f t="shared" si="41"/>
        <v>53</v>
      </c>
      <c r="BG94">
        <f t="shared" si="51"/>
        <v>10</v>
      </c>
      <c r="BH94" s="1">
        <f t="shared" si="42"/>
        <v>0.96226415094339623</v>
      </c>
      <c r="BI94" s="1">
        <f t="shared" si="43"/>
        <v>0.18867924528301888</v>
      </c>
      <c r="BJ94" s="1">
        <f t="shared" si="44"/>
        <v>0.60828301886792446</v>
      </c>
      <c r="BK94" s="1">
        <f t="shared" si="45"/>
        <v>0.57905660377358492</v>
      </c>
      <c r="BL94" s="1">
        <f t="shared" si="46"/>
        <v>0.18867924528301888</v>
      </c>
      <c r="BM94" s="1">
        <f t="shared" si="47"/>
        <v>0.18867924528301888</v>
      </c>
      <c r="BN94" s="1">
        <f t="shared" si="50"/>
        <v>4.5457458170167231E-4</v>
      </c>
      <c r="BO94" s="1">
        <f t="shared" si="48"/>
        <v>3.9061935204581816E-2</v>
      </c>
    </row>
    <row r="95" spans="1:67" x14ac:dyDescent="0.25">
      <c r="A95" s="3"/>
      <c r="B95" s="3"/>
      <c r="C95" t="s">
        <v>81</v>
      </c>
      <c r="D95" s="5">
        <v>1</v>
      </c>
      <c r="E95" s="9">
        <f t="shared" si="27"/>
        <v>14.77</v>
      </c>
      <c r="F95" s="9">
        <f t="shared" si="28"/>
        <v>0.94300518134715017</v>
      </c>
      <c r="G95">
        <v>0.16</v>
      </c>
      <c r="H95">
        <v>4.84</v>
      </c>
      <c r="I95">
        <v>0</v>
      </c>
      <c r="J95">
        <v>0</v>
      </c>
      <c r="K95">
        <v>0.15</v>
      </c>
      <c r="L95">
        <v>0</v>
      </c>
      <c r="M95">
        <v>0</v>
      </c>
      <c r="N95">
        <v>0</v>
      </c>
      <c r="O95">
        <v>14.77</v>
      </c>
      <c r="P95">
        <v>0</v>
      </c>
      <c r="Q95">
        <v>80.08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94.9</v>
      </c>
      <c r="AK95" t="s">
        <v>1</v>
      </c>
      <c r="AL95" t="s">
        <v>374</v>
      </c>
      <c r="AM95" t="s">
        <v>394</v>
      </c>
      <c r="AN95" t="s">
        <v>373</v>
      </c>
      <c r="AO95" t="s">
        <v>375</v>
      </c>
      <c r="AQ95" s="1">
        <f t="shared" si="49"/>
        <v>100</v>
      </c>
      <c r="AR95" s="1">
        <f t="shared" si="29"/>
        <v>0.1477</v>
      </c>
      <c r="AS95" s="1">
        <f t="shared" si="30"/>
        <v>1.6000000000000001E-3</v>
      </c>
      <c r="AT95" s="1">
        <f t="shared" si="31"/>
        <v>4.8399999999999999E-2</v>
      </c>
      <c r="AU95" s="1">
        <f t="shared" si="32"/>
        <v>0.80079999999999996</v>
      </c>
      <c r="AV95" s="1">
        <f t="shared" si="33"/>
        <v>0.94900000000000007</v>
      </c>
      <c r="AX95" s="1">
        <f t="shared" si="34"/>
        <v>16.016000000000002</v>
      </c>
      <c r="AY95" s="1">
        <f t="shared" si="35"/>
        <v>2.9540000000000002</v>
      </c>
      <c r="AZ95" s="1">
        <f t="shared" si="36"/>
        <v>1.5010000000000001</v>
      </c>
      <c r="BA95" s="1">
        <f t="shared" si="37"/>
        <v>4.5040000000000004</v>
      </c>
      <c r="BB95" s="1">
        <f t="shared" si="38"/>
        <v>1.5010000000000001</v>
      </c>
      <c r="BC95" s="1">
        <f t="shared" si="39"/>
        <v>1</v>
      </c>
      <c r="BD95" s="1">
        <f t="shared" si="40"/>
        <v>5.0999999999999934E-2</v>
      </c>
      <c r="BF95">
        <f t="shared" si="41"/>
        <v>5.4799999999999995</v>
      </c>
      <c r="BG95">
        <f t="shared" si="51"/>
        <v>14.77</v>
      </c>
      <c r="BH95" s="1">
        <f t="shared" si="42"/>
        <v>14.613138686131387</v>
      </c>
      <c r="BI95" s="1">
        <f t="shared" si="43"/>
        <v>2.695255474452555</v>
      </c>
      <c r="BJ95" s="1">
        <f t="shared" si="44"/>
        <v>0.86764963503649639</v>
      </c>
      <c r="BK95" s="1">
        <f t="shared" si="45"/>
        <v>7.4317956204379563</v>
      </c>
      <c r="BL95" s="1">
        <f t="shared" si="46"/>
        <v>0.86764963503649639</v>
      </c>
      <c r="BM95" s="1">
        <f t="shared" si="47"/>
        <v>0.86764963503649639</v>
      </c>
      <c r="BN95" s="1">
        <f t="shared" si="50"/>
        <v>6.6178818796952463E-3</v>
      </c>
      <c r="BO95" s="1">
        <f t="shared" si="48"/>
        <v>0.29306964816777881</v>
      </c>
    </row>
    <row r="96" spans="1:67" x14ac:dyDescent="0.25">
      <c r="A96" s="3"/>
      <c r="B96" s="3"/>
      <c r="C96" t="s">
        <v>82</v>
      </c>
      <c r="D96" s="5">
        <v>1</v>
      </c>
      <c r="E96" s="9">
        <f t="shared" si="27"/>
        <v>14.6</v>
      </c>
      <c r="F96" s="9">
        <f t="shared" si="28"/>
        <v>0.94241956547548389</v>
      </c>
      <c r="G96">
        <v>1.1599999999999999</v>
      </c>
      <c r="H96">
        <v>4.8499999999999996</v>
      </c>
      <c r="I96">
        <v>0</v>
      </c>
      <c r="J96">
        <v>0</v>
      </c>
      <c r="K96">
        <v>0.14000000000000001</v>
      </c>
      <c r="L96">
        <v>0</v>
      </c>
      <c r="M96">
        <v>0</v>
      </c>
      <c r="N96">
        <v>0</v>
      </c>
      <c r="O96">
        <v>14.6</v>
      </c>
      <c r="P96">
        <v>0</v>
      </c>
      <c r="Q96">
        <v>79.38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93.2</v>
      </c>
      <c r="AK96" t="s">
        <v>1</v>
      </c>
      <c r="AL96" t="s">
        <v>374</v>
      </c>
      <c r="AQ96" s="1">
        <f t="shared" si="49"/>
        <v>100.13</v>
      </c>
      <c r="AR96" s="1">
        <f t="shared" si="29"/>
        <v>0.14599999999999999</v>
      </c>
      <c r="AS96" s="1">
        <f t="shared" si="30"/>
        <v>1.1599999999999999E-2</v>
      </c>
      <c r="AT96" s="1">
        <f t="shared" si="31"/>
        <v>4.8499999999999995E-2</v>
      </c>
      <c r="AU96" s="1">
        <f t="shared" si="32"/>
        <v>0.79379999999999995</v>
      </c>
      <c r="AV96" s="1">
        <f t="shared" si="33"/>
        <v>0.93200000000000005</v>
      </c>
      <c r="AX96" s="1">
        <f t="shared" si="34"/>
        <v>13.207986688851914</v>
      </c>
      <c r="AY96" s="1">
        <f t="shared" si="35"/>
        <v>2.4292845257903495</v>
      </c>
      <c r="AZ96" s="1">
        <f t="shared" si="36"/>
        <v>1.3254991680532446</v>
      </c>
      <c r="BA96" s="1">
        <f t="shared" si="37"/>
        <v>3.8019966722129785</v>
      </c>
      <c r="BB96" s="1">
        <f t="shared" si="38"/>
        <v>1.3254991680532446</v>
      </c>
      <c r="BC96" s="1">
        <f t="shared" si="39"/>
        <v>1</v>
      </c>
      <c r="BD96" s="1">
        <f t="shared" si="40"/>
        <v>6.7999999999999949E-2</v>
      </c>
      <c r="BF96">
        <f t="shared" si="41"/>
        <v>9.4899999999999984</v>
      </c>
      <c r="BG96">
        <f t="shared" si="51"/>
        <v>14.6</v>
      </c>
      <c r="BH96" s="1">
        <f t="shared" si="42"/>
        <v>8.3645943097997897</v>
      </c>
      <c r="BI96" s="1">
        <f t="shared" si="43"/>
        <v>1.5384615384615388</v>
      </c>
      <c r="BJ96" s="1">
        <f t="shared" si="44"/>
        <v>0.748927291886196</v>
      </c>
      <c r="BK96" s="1">
        <f t="shared" si="45"/>
        <v>4.2950263435194946</v>
      </c>
      <c r="BL96" s="1">
        <f t="shared" si="46"/>
        <v>0.748927291886196</v>
      </c>
      <c r="BM96" s="1">
        <f t="shared" si="47"/>
        <v>0.748927291886196</v>
      </c>
      <c r="BN96" s="1">
        <f t="shared" si="50"/>
        <v>3.3515616456122097E-2</v>
      </c>
      <c r="BO96" s="1">
        <f t="shared" si="48"/>
        <v>0.27495243961517479</v>
      </c>
    </row>
    <row r="97" spans="1:67" x14ac:dyDescent="0.25">
      <c r="A97" s="3"/>
      <c r="B97" s="3"/>
      <c r="C97" t="s">
        <v>85</v>
      </c>
      <c r="D97" s="5">
        <v>1</v>
      </c>
      <c r="E97" s="9">
        <f t="shared" si="27"/>
        <v>14.4</v>
      </c>
      <c r="F97" s="9">
        <f t="shared" si="28"/>
        <v>0.94371257485029936</v>
      </c>
      <c r="G97">
        <v>2</v>
      </c>
      <c r="H97">
        <v>4.7</v>
      </c>
      <c r="I97">
        <v>0</v>
      </c>
      <c r="J97">
        <v>0</v>
      </c>
      <c r="K97">
        <v>0.08</v>
      </c>
      <c r="L97">
        <v>0</v>
      </c>
      <c r="M97">
        <v>0</v>
      </c>
      <c r="N97">
        <v>0</v>
      </c>
      <c r="O97">
        <v>14.4</v>
      </c>
      <c r="P97">
        <v>0</v>
      </c>
      <c r="Q97">
        <v>78.8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94.6</v>
      </c>
      <c r="AK97" t="s">
        <v>1</v>
      </c>
      <c r="AL97" t="s">
        <v>374</v>
      </c>
      <c r="AQ97" s="1">
        <f t="shared" si="49"/>
        <v>99.97999999999999</v>
      </c>
      <c r="AR97" s="1">
        <f t="shared" si="29"/>
        <v>0.14400000000000002</v>
      </c>
      <c r="AS97" s="1">
        <f t="shared" si="30"/>
        <v>0.02</v>
      </c>
      <c r="AT97" s="1">
        <f t="shared" si="31"/>
        <v>4.7E-2</v>
      </c>
      <c r="AU97" s="1">
        <f t="shared" si="32"/>
        <v>0.78799999999999992</v>
      </c>
      <c r="AV97" s="1">
        <f t="shared" si="33"/>
        <v>0.94599999999999995</v>
      </c>
      <c r="AX97" s="1">
        <f t="shared" si="34"/>
        <v>11.761194029850744</v>
      </c>
      <c r="AY97" s="1">
        <f t="shared" si="35"/>
        <v>2.1492537313432836</v>
      </c>
      <c r="AZ97" s="1">
        <f t="shared" si="36"/>
        <v>1.2350746268656714</v>
      </c>
      <c r="BA97" s="1">
        <f t="shared" si="37"/>
        <v>3.440298507462686</v>
      </c>
      <c r="BB97" s="1">
        <f t="shared" si="38"/>
        <v>1.2350746268656714</v>
      </c>
      <c r="BC97" s="1">
        <f t="shared" si="39"/>
        <v>1</v>
      </c>
      <c r="BD97" s="1">
        <f t="shared" si="40"/>
        <v>5.4000000000000048E-2</v>
      </c>
      <c r="BF97">
        <f t="shared" si="41"/>
        <v>12.7</v>
      </c>
      <c r="BG97">
        <f t="shared" si="51"/>
        <v>14.4</v>
      </c>
      <c r="BH97" s="1">
        <f t="shared" si="42"/>
        <v>6.2047244094488194</v>
      </c>
      <c r="BI97" s="1">
        <f t="shared" si="43"/>
        <v>1.1338582677165354</v>
      </c>
      <c r="BJ97" s="1">
        <f t="shared" si="44"/>
        <v>0.7078897637795275</v>
      </c>
      <c r="BK97" s="1">
        <f t="shared" si="45"/>
        <v>3.2107716535433073</v>
      </c>
      <c r="BL97" s="1">
        <f t="shared" si="46"/>
        <v>0.7078897637795275</v>
      </c>
      <c r="BM97" s="1">
        <f t="shared" si="47"/>
        <v>0.7078897637795275</v>
      </c>
      <c r="BN97" s="1">
        <f t="shared" si="50"/>
        <v>5.6696484592969193E-2</v>
      </c>
      <c r="BO97" s="1">
        <f t="shared" si="48"/>
        <v>0.28983049371731917</v>
      </c>
    </row>
    <row r="98" spans="1:67" x14ac:dyDescent="0.25">
      <c r="A98" s="3"/>
      <c r="B98" s="3"/>
      <c r="C98" t="s">
        <v>83</v>
      </c>
      <c r="D98" s="5">
        <v>1</v>
      </c>
      <c r="E98" s="9">
        <f t="shared" si="27"/>
        <v>13.6</v>
      </c>
      <c r="F98" s="9">
        <f t="shared" si="28"/>
        <v>0.94896719319562572</v>
      </c>
      <c r="G98">
        <v>4</v>
      </c>
      <c r="H98">
        <v>4.2</v>
      </c>
      <c r="I98">
        <v>0</v>
      </c>
      <c r="J98">
        <v>0</v>
      </c>
      <c r="K98">
        <v>7.0000000000000007E-2</v>
      </c>
      <c r="L98">
        <v>0</v>
      </c>
      <c r="M98">
        <v>0</v>
      </c>
      <c r="N98">
        <v>0</v>
      </c>
      <c r="O98">
        <v>13.6</v>
      </c>
      <c r="P98">
        <v>0</v>
      </c>
      <c r="Q98">
        <v>78.099999999999994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91.6</v>
      </c>
      <c r="AK98" t="s">
        <v>1</v>
      </c>
      <c r="AL98" t="s">
        <v>374</v>
      </c>
      <c r="AQ98" s="1">
        <f t="shared" si="49"/>
        <v>99.97</v>
      </c>
      <c r="AR98" s="1">
        <f t="shared" si="29"/>
        <v>0.13600000000000001</v>
      </c>
      <c r="AS98" s="1">
        <f t="shared" si="30"/>
        <v>0.04</v>
      </c>
      <c r="AT98" s="1">
        <f t="shared" si="31"/>
        <v>4.2000000000000003E-2</v>
      </c>
      <c r="AU98" s="1">
        <f t="shared" si="32"/>
        <v>0.78099999999999992</v>
      </c>
      <c r="AV98" s="1">
        <f t="shared" si="33"/>
        <v>0.91599999999999993</v>
      </c>
      <c r="AX98" s="1">
        <f t="shared" si="34"/>
        <v>9.5243902439024382</v>
      </c>
      <c r="AY98" s="1">
        <f t="shared" si="35"/>
        <v>1.6585365853658538</v>
      </c>
      <c r="AZ98" s="1">
        <f t="shared" si="36"/>
        <v>1.0952743902439024</v>
      </c>
      <c r="BA98" s="1">
        <f t="shared" si="37"/>
        <v>2.8810975609756095</v>
      </c>
      <c r="BB98" s="1">
        <f t="shared" si="38"/>
        <v>1.0952743902439024</v>
      </c>
      <c r="BC98" s="1">
        <f t="shared" si="39"/>
        <v>1</v>
      </c>
      <c r="BD98" s="1">
        <f t="shared" si="40"/>
        <v>8.4000000000000075E-2</v>
      </c>
      <c r="BF98">
        <f t="shared" si="41"/>
        <v>20.2</v>
      </c>
      <c r="BG98">
        <f t="shared" si="51"/>
        <v>13.6</v>
      </c>
      <c r="BH98" s="1">
        <f t="shared" si="42"/>
        <v>3.8663366336633662</v>
      </c>
      <c r="BI98" s="1">
        <f t="shared" si="43"/>
        <v>0.67326732673267331</v>
      </c>
      <c r="BJ98" s="1">
        <f t="shared" si="44"/>
        <v>0.66346039603960394</v>
      </c>
      <c r="BK98" s="1">
        <f t="shared" si="45"/>
        <v>2.0369009900990096</v>
      </c>
      <c r="BL98" s="1">
        <f t="shared" si="46"/>
        <v>0.66346039603960394</v>
      </c>
      <c r="BM98" s="1">
        <f t="shared" si="47"/>
        <v>0.66346039603960394</v>
      </c>
      <c r="BN98" s="1">
        <f t="shared" si="50"/>
        <v>6.3776251568473649E-2</v>
      </c>
      <c r="BO98" s="1">
        <f t="shared" si="48"/>
        <v>0.25842894921272386</v>
      </c>
    </row>
    <row r="99" spans="1:67" x14ac:dyDescent="0.25">
      <c r="A99" s="3"/>
      <c r="B99" s="3"/>
      <c r="C99" t="s">
        <v>86</v>
      </c>
      <c r="D99" s="5">
        <v>1</v>
      </c>
      <c r="E99" s="9">
        <f t="shared" si="27"/>
        <v>13</v>
      </c>
      <c r="F99" s="9">
        <f t="shared" si="28"/>
        <v>0.94704433497536944</v>
      </c>
      <c r="G99">
        <v>5.7</v>
      </c>
      <c r="H99">
        <v>4.3</v>
      </c>
      <c r="I99">
        <v>0</v>
      </c>
      <c r="J99">
        <v>0</v>
      </c>
      <c r="K99">
        <v>0.06</v>
      </c>
      <c r="L99">
        <v>0</v>
      </c>
      <c r="M99">
        <v>0</v>
      </c>
      <c r="N99">
        <v>0</v>
      </c>
      <c r="O99">
        <v>13</v>
      </c>
      <c r="P99">
        <v>0</v>
      </c>
      <c r="Q99">
        <v>76.900000000000006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83.1</v>
      </c>
      <c r="AK99" t="s">
        <v>1</v>
      </c>
      <c r="AL99" t="s">
        <v>374</v>
      </c>
      <c r="AQ99" s="1">
        <f t="shared" si="49"/>
        <v>99.960000000000008</v>
      </c>
      <c r="AR99" s="1">
        <f t="shared" si="29"/>
        <v>0.13</v>
      </c>
      <c r="AS99" s="1">
        <f t="shared" si="30"/>
        <v>5.7000000000000002E-2</v>
      </c>
      <c r="AT99" s="1">
        <f t="shared" si="31"/>
        <v>4.2999999999999997E-2</v>
      </c>
      <c r="AU99" s="1">
        <f t="shared" si="32"/>
        <v>0.76900000000000002</v>
      </c>
      <c r="AV99" s="1">
        <f t="shared" si="33"/>
        <v>0.83099999999999996</v>
      </c>
      <c r="AX99" s="1">
        <f t="shared" si="34"/>
        <v>7.6899999999999995</v>
      </c>
      <c r="AY99" s="1">
        <f t="shared" si="35"/>
        <v>1.3</v>
      </c>
      <c r="AZ99" s="1">
        <f t="shared" si="36"/>
        <v>0.98062499999999997</v>
      </c>
      <c r="BA99" s="1">
        <f t="shared" si="37"/>
        <v>2.4224999999999999</v>
      </c>
      <c r="BB99" s="1">
        <f t="shared" si="38"/>
        <v>0.98062499999999997</v>
      </c>
      <c r="BC99" s="1">
        <f t="shared" si="39"/>
        <v>0.98062499999999997</v>
      </c>
      <c r="BD99" s="1">
        <f t="shared" si="40"/>
        <v>0.14962500000000001</v>
      </c>
      <c r="BF99">
        <f t="shared" si="41"/>
        <v>27.1</v>
      </c>
      <c r="BG99">
        <f t="shared" si="51"/>
        <v>13</v>
      </c>
      <c r="BH99" s="1">
        <f t="shared" si="42"/>
        <v>2.8376383763837638</v>
      </c>
      <c r="BI99" s="1">
        <f t="shared" si="43"/>
        <v>0.47970479704797048</v>
      </c>
      <c r="BJ99" s="1">
        <f t="shared" si="44"/>
        <v>0.64391512915129145</v>
      </c>
      <c r="BK99" s="1">
        <f t="shared" si="45"/>
        <v>1.5204944649446495</v>
      </c>
      <c r="BL99" s="1">
        <f t="shared" si="46"/>
        <v>0.47970479704797048</v>
      </c>
      <c r="BM99" s="1">
        <f t="shared" si="47"/>
        <v>0.47970479704797048</v>
      </c>
      <c r="BN99" s="1">
        <f t="shared" si="50"/>
        <v>0.12340831961710759</v>
      </c>
      <c r="BO99" s="1">
        <f t="shared" si="48"/>
        <v>0.17923290644970397</v>
      </c>
    </row>
    <row r="100" spans="1:67" x14ac:dyDescent="0.25">
      <c r="A100" s="3"/>
      <c r="B100" s="3"/>
      <c r="C100" t="s">
        <v>84</v>
      </c>
      <c r="D100" s="5">
        <v>1</v>
      </c>
      <c r="E100" s="9">
        <f t="shared" si="27"/>
        <v>12.3</v>
      </c>
      <c r="F100" s="9">
        <f t="shared" si="28"/>
        <v>0.94638403990024944</v>
      </c>
      <c r="G100">
        <v>7.5</v>
      </c>
      <c r="H100">
        <v>4.3</v>
      </c>
      <c r="I100">
        <v>0</v>
      </c>
      <c r="J100">
        <v>0</v>
      </c>
      <c r="K100">
        <v>7.0000000000000007E-2</v>
      </c>
      <c r="L100">
        <v>0</v>
      </c>
      <c r="M100">
        <v>0</v>
      </c>
      <c r="N100">
        <v>0</v>
      </c>
      <c r="O100">
        <v>12.3</v>
      </c>
      <c r="P100">
        <v>0</v>
      </c>
      <c r="Q100">
        <v>75.900000000000006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74.400000000000006</v>
      </c>
      <c r="AK100" t="s">
        <v>1</v>
      </c>
      <c r="AL100" t="s">
        <v>374</v>
      </c>
      <c r="AQ100" s="1">
        <f t="shared" si="49"/>
        <v>100.07000000000001</v>
      </c>
      <c r="AR100" s="1">
        <f t="shared" si="29"/>
        <v>0.12300000000000001</v>
      </c>
      <c r="AS100" s="1">
        <f t="shared" si="30"/>
        <v>7.4999999999999997E-2</v>
      </c>
      <c r="AT100" s="1">
        <f t="shared" si="31"/>
        <v>4.2999999999999997E-2</v>
      </c>
      <c r="AU100" s="1">
        <f t="shared" si="32"/>
        <v>0.75900000000000001</v>
      </c>
      <c r="AV100" s="1">
        <f t="shared" si="33"/>
        <v>0.74400000000000011</v>
      </c>
      <c r="AX100" s="1">
        <f t="shared" si="34"/>
        <v>6.4322033898305087</v>
      </c>
      <c r="AY100" s="1">
        <f t="shared" si="35"/>
        <v>1.0423728813559323</v>
      </c>
      <c r="AZ100" s="1">
        <f t="shared" si="36"/>
        <v>0.90201271186440679</v>
      </c>
      <c r="BA100" s="1">
        <f t="shared" si="37"/>
        <v>2.1080508474576272</v>
      </c>
      <c r="BB100" s="1">
        <f t="shared" si="38"/>
        <v>0.90201271186440679</v>
      </c>
      <c r="BC100" s="1">
        <f t="shared" si="39"/>
        <v>0.90201271186440679</v>
      </c>
      <c r="BD100" s="1">
        <f t="shared" si="40"/>
        <v>0.15801271186440669</v>
      </c>
      <c r="BF100">
        <f t="shared" si="41"/>
        <v>34.299999999999997</v>
      </c>
      <c r="BG100">
        <f t="shared" si="51"/>
        <v>12.3</v>
      </c>
      <c r="BH100" s="1">
        <f t="shared" si="42"/>
        <v>2.2128279883381929</v>
      </c>
      <c r="BI100" s="1">
        <f t="shared" si="43"/>
        <v>0.35860058309037907</v>
      </c>
      <c r="BJ100" s="1">
        <f t="shared" si="44"/>
        <v>0.63204373177842565</v>
      </c>
      <c r="BK100" s="1">
        <f t="shared" si="45"/>
        <v>1.206839650145773</v>
      </c>
      <c r="BL100" s="1">
        <f t="shared" si="46"/>
        <v>0.35860058309037907</v>
      </c>
      <c r="BM100" s="1">
        <f t="shared" si="47"/>
        <v>0.35860058309037907</v>
      </c>
      <c r="BN100" s="1">
        <f t="shared" si="50"/>
        <v>0.14853271055427589</v>
      </c>
      <c r="BO100" s="1">
        <f t="shared" si="48"/>
        <v>0.11313742738637778</v>
      </c>
    </row>
    <row r="101" spans="1:67" x14ac:dyDescent="0.25">
      <c r="A101" s="3"/>
      <c r="B101" s="3"/>
      <c r="C101" t="s">
        <v>87</v>
      </c>
      <c r="D101" s="5">
        <v>1</v>
      </c>
      <c r="E101" s="9">
        <f t="shared" si="27"/>
        <v>13.1</v>
      </c>
      <c r="F101" s="9">
        <f t="shared" si="28"/>
        <v>0.94240837696335067</v>
      </c>
      <c r="G101">
        <v>10.4</v>
      </c>
      <c r="H101">
        <v>4.4000000000000004</v>
      </c>
      <c r="I101">
        <v>0</v>
      </c>
      <c r="J101">
        <v>0</v>
      </c>
      <c r="K101">
        <v>7.0000000000000007E-2</v>
      </c>
      <c r="L101">
        <v>0</v>
      </c>
      <c r="M101">
        <v>0</v>
      </c>
      <c r="N101">
        <v>0</v>
      </c>
      <c r="O101">
        <v>13.1</v>
      </c>
      <c r="P101">
        <v>0</v>
      </c>
      <c r="Q101">
        <v>72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43.6</v>
      </c>
      <c r="AK101" t="s">
        <v>1</v>
      </c>
      <c r="AL101" t="s">
        <v>374</v>
      </c>
      <c r="AQ101" s="1">
        <f t="shared" si="49"/>
        <v>99.97</v>
      </c>
      <c r="AR101" s="1">
        <f t="shared" si="29"/>
        <v>0.13100000000000001</v>
      </c>
      <c r="AS101" s="1">
        <f t="shared" si="30"/>
        <v>0.10400000000000001</v>
      </c>
      <c r="AT101" s="1">
        <f t="shared" si="31"/>
        <v>4.4000000000000004E-2</v>
      </c>
      <c r="AU101" s="1">
        <f t="shared" si="32"/>
        <v>0.72</v>
      </c>
      <c r="AV101" s="1">
        <f t="shared" si="33"/>
        <v>0.436</v>
      </c>
      <c r="AX101" s="1">
        <f t="shared" si="34"/>
        <v>4.864864864864864</v>
      </c>
      <c r="AY101" s="1">
        <f t="shared" si="35"/>
        <v>0.88513513513513509</v>
      </c>
      <c r="AZ101" s="1">
        <f t="shared" si="36"/>
        <v>0.80405405405405395</v>
      </c>
      <c r="BA101" s="1">
        <f t="shared" si="37"/>
        <v>1.716216216216216</v>
      </c>
      <c r="BB101" s="1">
        <f t="shared" si="38"/>
        <v>0.80405405405405395</v>
      </c>
      <c r="BC101" s="1">
        <f t="shared" si="39"/>
        <v>0.80405405405405395</v>
      </c>
      <c r="BD101" s="1">
        <f t="shared" si="40"/>
        <v>0.36805405405405395</v>
      </c>
      <c r="BF101">
        <f t="shared" si="41"/>
        <v>46</v>
      </c>
      <c r="BG101">
        <f t="shared" si="51"/>
        <v>13.1</v>
      </c>
      <c r="BH101" s="1">
        <f t="shared" si="42"/>
        <v>1.5652173913043479</v>
      </c>
      <c r="BI101" s="1">
        <f t="shared" si="43"/>
        <v>0.28478260869565214</v>
      </c>
      <c r="BJ101" s="1">
        <f t="shared" si="44"/>
        <v>0.61973913043478257</v>
      </c>
      <c r="BK101" s="1">
        <f t="shared" si="45"/>
        <v>0.88173913043478258</v>
      </c>
      <c r="BL101" s="1">
        <f t="shared" si="46"/>
        <v>0.28478260869565214</v>
      </c>
      <c r="BM101" s="1">
        <f t="shared" si="47"/>
        <v>0.28478260869565214</v>
      </c>
      <c r="BN101" s="1">
        <f t="shared" si="50"/>
        <v>2.2866699432892261E-2</v>
      </c>
      <c r="BO101" s="1">
        <f t="shared" si="48"/>
        <v>8.0423713919954985E-4</v>
      </c>
    </row>
    <row r="102" spans="1:67" x14ac:dyDescent="0.25">
      <c r="A102" s="3"/>
      <c r="B102" s="3"/>
      <c r="C102" t="s">
        <v>88</v>
      </c>
      <c r="D102" s="5">
        <v>1</v>
      </c>
      <c r="E102" s="9">
        <f t="shared" si="27"/>
        <v>13.5</v>
      </c>
      <c r="F102" s="9">
        <f t="shared" si="28"/>
        <v>0.93766937669376704</v>
      </c>
      <c r="G102">
        <v>12.7</v>
      </c>
      <c r="H102">
        <v>4.5999999999999996</v>
      </c>
      <c r="I102">
        <v>0</v>
      </c>
      <c r="J102">
        <v>0</v>
      </c>
      <c r="K102">
        <v>7.0000000000000007E-2</v>
      </c>
      <c r="L102">
        <v>0</v>
      </c>
      <c r="M102">
        <v>0</v>
      </c>
      <c r="N102">
        <v>0</v>
      </c>
      <c r="O102">
        <v>13.5</v>
      </c>
      <c r="P102">
        <v>0</v>
      </c>
      <c r="Q102">
        <v>69.2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19.899999999999999</v>
      </c>
      <c r="AK102" t="s">
        <v>1</v>
      </c>
      <c r="AL102" t="s">
        <v>374</v>
      </c>
      <c r="AQ102" s="1">
        <f t="shared" si="49"/>
        <v>100.07</v>
      </c>
      <c r="AR102" s="1">
        <f t="shared" si="29"/>
        <v>0.13500000000000001</v>
      </c>
      <c r="AS102" s="1">
        <f t="shared" si="30"/>
        <v>0.127</v>
      </c>
      <c r="AT102" s="1">
        <f t="shared" si="31"/>
        <v>4.5999999999999999E-2</v>
      </c>
      <c r="AU102" s="1">
        <f t="shared" si="32"/>
        <v>0.69200000000000006</v>
      </c>
      <c r="AV102" s="1">
        <f t="shared" si="33"/>
        <v>0.19899999999999998</v>
      </c>
      <c r="AX102" s="1">
        <f t="shared" si="34"/>
        <v>4.0000000000000009</v>
      </c>
      <c r="AY102" s="1">
        <f t="shared" si="35"/>
        <v>0.78034682080924866</v>
      </c>
      <c r="AZ102" s="1">
        <f t="shared" si="36"/>
        <v>0.75</v>
      </c>
      <c r="BA102" s="1">
        <f t="shared" si="37"/>
        <v>1.5000000000000002</v>
      </c>
      <c r="BB102" s="1">
        <f t="shared" si="38"/>
        <v>0.75</v>
      </c>
      <c r="BC102" s="1">
        <f t="shared" si="39"/>
        <v>0.75</v>
      </c>
      <c r="BD102" s="1">
        <f t="shared" si="40"/>
        <v>0.55100000000000005</v>
      </c>
      <c r="BF102">
        <f t="shared" si="41"/>
        <v>55.4</v>
      </c>
      <c r="BG102">
        <f t="shared" si="51"/>
        <v>13.5</v>
      </c>
      <c r="BH102" s="1">
        <f t="shared" si="42"/>
        <v>1.2490974729241877</v>
      </c>
      <c r="BI102" s="1">
        <f t="shared" si="43"/>
        <v>0.24368231046931407</v>
      </c>
      <c r="BJ102" s="1">
        <f t="shared" si="44"/>
        <v>0.61373285198555949</v>
      </c>
      <c r="BK102" s="1">
        <f t="shared" si="45"/>
        <v>0.72304693140794218</v>
      </c>
      <c r="BL102" s="1">
        <f t="shared" si="46"/>
        <v>0.24368231046931407</v>
      </c>
      <c r="BM102" s="1">
        <f t="shared" si="47"/>
        <v>0.24368231046931407</v>
      </c>
      <c r="BN102" s="1">
        <f t="shared" si="50"/>
        <v>1.9965088688761756E-3</v>
      </c>
      <c r="BO102" s="1">
        <f t="shared" si="48"/>
        <v>4.3531035552896884E-2</v>
      </c>
    </row>
    <row r="103" spans="1:67" x14ac:dyDescent="0.25">
      <c r="A103" s="3"/>
      <c r="B103" s="3"/>
      <c r="C103" t="s">
        <v>89</v>
      </c>
      <c r="D103" s="5">
        <v>1</v>
      </c>
      <c r="E103" s="9">
        <f t="shared" si="27"/>
        <v>14.73</v>
      </c>
      <c r="F103" s="9">
        <f t="shared" si="28"/>
        <v>0.92657445556209539</v>
      </c>
      <c r="G103">
        <v>17.18</v>
      </c>
      <c r="H103">
        <v>4.99</v>
      </c>
      <c r="I103">
        <v>0</v>
      </c>
      <c r="J103">
        <v>0</v>
      </c>
      <c r="K103">
        <v>0.13</v>
      </c>
      <c r="L103">
        <v>0</v>
      </c>
      <c r="M103">
        <v>0</v>
      </c>
      <c r="N103">
        <v>0</v>
      </c>
      <c r="O103">
        <v>14.73</v>
      </c>
      <c r="P103">
        <v>0</v>
      </c>
      <c r="Q103">
        <v>62.97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 t="s">
        <v>1</v>
      </c>
      <c r="AL103" t="s">
        <v>374</v>
      </c>
      <c r="AQ103" s="1">
        <f t="shared" si="49"/>
        <v>100</v>
      </c>
      <c r="AR103" s="1">
        <f t="shared" si="29"/>
        <v>0.14730000000000001</v>
      </c>
      <c r="AS103" s="1">
        <f t="shared" si="30"/>
        <v>0.17180000000000001</v>
      </c>
      <c r="AT103" s="1">
        <f t="shared" si="31"/>
        <v>4.99E-2</v>
      </c>
      <c r="AU103" s="1">
        <f t="shared" si="32"/>
        <v>0.62970000000000004</v>
      </c>
      <c r="AV103" s="1">
        <f t="shared" si="33"/>
        <v>0.01</v>
      </c>
      <c r="AX103" s="1">
        <f t="shared" si="34"/>
        <v>2.8403247631935047</v>
      </c>
      <c r="AY103" s="1">
        <f t="shared" si="35"/>
        <v>0.6644113667117727</v>
      </c>
      <c r="AZ103" s="1">
        <f t="shared" si="36"/>
        <v>0.67752029769959399</v>
      </c>
      <c r="BA103" s="1">
        <f t="shared" si="37"/>
        <v>1.2100811907983762</v>
      </c>
      <c r="BB103" s="1">
        <f t="shared" si="38"/>
        <v>0.6644113667117727</v>
      </c>
      <c r="BC103" s="1">
        <f t="shared" si="39"/>
        <v>0.6644113667117727</v>
      </c>
      <c r="BD103" s="1">
        <f t="shared" si="40"/>
        <v>0.65441136671177269</v>
      </c>
      <c r="BF103">
        <f t="shared" si="41"/>
        <v>73.709999999999994</v>
      </c>
      <c r="BG103">
        <f t="shared" si="51"/>
        <v>14.73</v>
      </c>
      <c r="BH103" s="1">
        <f t="shared" si="42"/>
        <v>0.8542938542938544</v>
      </c>
      <c r="BI103" s="1">
        <f t="shared" si="43"/>
        <v>0.19983719983719986</v>
      </c>
      <c r="BJ103" s="1">
        <f t="shared" si="44"/>
        <v>0.60623158323158322</v>
      </c>
      <c r="BK103" s="1">
        <f t="shared" si="45"/>
        <v>0.52485551485551496</v>
      </c>
      <c r="BL103" s="1">
        <f t="shared" si="46"/>
        <v>0.19983719983719986</v>
      </c>
      <c r="BM103" s="1">
        <f t="shared" si="47"/>
        <v>0.19983719983719986</v>
      </c>
      <c r="BN103" s="1">
        <f t="shared" si="50"/>
        <v>3.6038162442028954E-2</v>
      </c>
      <c r="BO103" s="1">
        <f t="shared" si="48"/>
        <v>0.15811830517394665</v>
      </c>
    </row>
    <row r="104" spans="1:67" x14ac:dyDescent="0.25">
      <c r="A104" s="3"/>
      <c r="B104" s="3"/>
      <c r="C104" t="s">
        <v>90</v>
      </c>
      <c r="D104" s="5">
        <v>1</v>
      </c>
      <c r="E104" s="9">
        <f t="shared" si="27"/>
        <v>14.73</v>
      </c>
      <c r="F104" s="9">
        <f t="shared" si="28"/>
        <v>0.92368742368742363</v>
      </c>
      <c r="G104">
        <v>19.61</v>
      </c>
      <c r="H104">
        <v>5</v>
      </c>
      <c r="I104">
        <v>0</v>
      </c>
      <c r="J104">
        <v>0</v>
      </c>
      <c r="K104">
        <v>0.14000000000000001</v>
      </c>
      <c r="L104">
        <v>0</v>
      </c>
      <c r="M104">
        <v>0</v>
      </c>
      <c r="N104">
        <v>0</v>
      </c>
      <c r="O104">
        <v>14.73</v>
      </c>
      <c r="P104">
        <v>0</v>
      </c>
      <c r="Q104">
        <v>60.52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0.8</v>
      </c>
      <c r="AK104" t="s">
        <v>1</v>
      </c>
      <c r="AL104" t="s">
        <v>374</v>
      </c>
      <c r="AQ104" s="1">
        <f t="shared" si="49"/>
        <v>100</v>
      </c>
      <c r="AR104" s="1">
        <f t="shared" si="29"/>
        <v>0.14730000000000001</v>
      </c>
      <c r="AS104" s="1">
        <f t="shared" si="30"/>
        <v>0.1961</v>
      </c>
      <c r="AT104" s="1">
        <f t="shared" si="31"/>
        <v>0.05</v>
      </c>
      <c r="AU104" s="1">
        <f t="shared" si="32"/>
        <v>0.60520000000000007</v>
      </c>
      <c r="AV104" s="1">
        <f t="shared" si="33"/>
        <v>8.0000000000000002E-3</v>
      </c>
      <c r="AX104" s="1">
        <f t="shared" si="34"/>
        <v>2.4591629418935397</v>
      </c>
      <c r="AY104" s="1">
        <f t="shared" si="35"/>
        <v>0.59853718000812683</v>
      </c>
      <c r="AZ104" s="1">
        <f t="shared" si="36"/>
        <v>0.65369768386834626</v>
      </c>
      <c r="BA104" s="1">
        <f t="shared" si="37"/>
        <v>1.114790735473385</v>
      </c>
      <c r="BB104" s="1">
        <f t="shared" si="38"/>
        <v>0.59853718000812683</v>
      </c>
      <c r="BC104" s="1">
        <f t="shared" si="39"/>
        <v>0.59853718000812683</v>
      </c>
      <c r="BD104" s="1">
        <f t="shared" si="40"/>
        <v>0.59053718000812683</v>
      </c>
      <c r="BF104">
        <f t="shared" si="41"/>
        <v>83.44</v>
      </c>
      <c r="BG104">
        <f t="shared" si="51"/>
        <v>14.73</v>
      </c>
      <c r="BH104" s="1">
        <f t="shared" si="42"/>
        <v>0.7253116011505274</v>
      </c>
      <c r="BI104" s="1">
        <f t="shared" si="43"/>
        <v>0.17653403643336529</v>
      </c>
      <c r="BJ104" s="1">
        <f t="shared" si="44"/>
        <v>0.60378092042185993</v>
      </c>
      <c r="BK104" s="1">
        <f t="shared" si="45"/>
        <v>0.46010642377756472</v>
      </c>
      <c r="BL104" s="1">
        <f t="shared" si="46"/>
        <v>0.17653403643336529</v>
      </c>
      <c r="BM104" s="1">
        <f t="shared" si="47"/>
        <v>0.17653403643336529</v>
      </c>
      <c r="BN104" s="1">
        <f t="shared" si="50"/>
        <v>2.8403721436522898E-2</v>
      </c>
      <c r="BO104" s="1">
        <f t="shared" si="48"/>
        <v>0.15971286887364028</v>
      </c>
    </row>
    <row r="105" spans="1:67" x14ac:dyDescent="0.25">
      <c r="A105" s="3"/>
      <c r="B105" s="3"/>
      <c r="C105" t="s">
        <v>91</v>
      </c>
      <c r="D105" s="5">
        <v>1</v>
      </c>
      <c r="E105" s="9">
        <f t="shared" si="27"/>
        <v>37.1</v>
      </c>
      <c r="F105" s="9">
        <f t="shared" si="28"/>
        <v>0</v>
      </c>
      <c r="G105">
        <v>0</v>
      </c>
      <c r="H105">
        <v>62.9</v>
      </c>
      <c r="I105">
        <v>0</v>
      </c>
      <c r="J105">
        <v>0</v>
      </c>
      <c r="K105">
        <v>0</v>
      </c>
      <c r="L105">
        <v>0</v>
      </c>
      <c r="M105">
        <v>37.1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46</v>
      </c>
      <c r="AK105" t="s">
        <v>355</v>
      </c>
      <c r="AL105" t="s">
        <v>372</v>
      </c>
      <c r="AN105" t="s">
        <v>373</v>
      </c>
      <c r="AO105" t="s">
        <v>375</v>
      </c>
      <c r="AQ105" s="1">
        <f t="shared" si="49"/>
        <v>100</v>
      </c>
      <c r="AR105" s="1">
        <f t="shared" si="29"/>
        <v>0.371</v>
      </c>
      <c r="AS105" s="1">
        <f t="shared" si="30"/>
        <v>0</v>
      </c>
      <c r="AT105" s="1">
        <f t="shared" si="31"/>
        <v>0.629</v>
      </c>
      <c r="AU105" s="1">
        <f t="shared" si="32"/>
        <v>0</v>
      </c>
      <c r="AV105" s="1">
        <f t="shared" si="33"/>
        <v>0.46</v>
      </c>
      <c r="AX105" s="1">
        <f t="shared" si="34"/>
        <v>0</v>
      </c>
      <c r="AY105" s="1">
        <f t="shared" si="35"/>
        <v>0.58982511923688397</v>
      </c>
      <c r="AZ105" s="1">
        <f t="shared" si="36"/>
        <v>0.5</v>
      </c>
      <c r="BA105" s="1">
        <f t="shared" si="37"/>
        <v>0.5</v>
      </c>
      <c r="BB105" s="1">
        <f t="shared" si="38"/>
        <v>0.47005829358770534</v>
      </c>
      <c r="BC105" s="1">
        <f t="shared" si="39"/>
        <v>0.47005829358770534</v>
      </c>
      <c r="BD105" s="1">
        <f t="shared" si="40"/>
        <v>1.0058293587705325E-2</v>
      </c>
      <c r="BF105">
        <f t="shared" si="41"/>
        <v>62.9</v>
      </c>
      <c r="BG105">
        <f t="shared" si="51"/>
        <v>37.1</v>
      </c>
      <c r="BH105" s="1">
        <f t="shared" si="42"/>
        <v>0</v>
      </c>
      <c r="BI105" s="1">
        <f t="shared" si="43"/>
        <v>0.58982511923688397</v>
      </c>
      <c r="BJ105" s="1">
        <f t="shared" si="44"/>
        <v>0.59</v>
      </c>
      <c r="BK105" s="1">
        <f t="shared" si="45"/>
        <v>9.6000000000000002E-2</v>
      </c>
      <c r="BL105" s="1">
        <f t="shared" si="46"/>
        <v>0.58982511923688397</v>
      </c>
      <c r="BM105" s="1">
        <f t="shared" si="47"/>
        <v>0.58982511923688397</v>
      </c>
      <c r="BN105" s="1">
        <f t="shared" si="50"/>
        <v>1.6854561584871135E-2</v>
      </c>
      <c r="BO105" s="1">
        <f t="shared" si="48"/>
        <v>2.7414727428757718E-3</v>
      </c>
    </row>
    <row r="106" spans="1:67" x14ac:dyDescent="0.25">
      <c r="A106" s="3"/>
      <c r="B106" s="3"/>
      <c r="C106" t="s">
        <v>92</v>
      </c>
      <c r="D106" s="5">
        <v>1</v>
      </c>
      <c r="E106" s="9">
        <f t="shared" si="27"/>
        <v>35.799999999999997</v>
      </c>
      <c r="F106" s="9">
        <f t="shared" si="28"/>
        <v>0</v>
      </c>
      <c r="G106">
        <v>0</v>
      </c>
      <c r="H106">
        <v>64.2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35.799999999999997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43</v>
      </c>
      <c r="AK106" t="s">
        <v>355</v>
      </c>
      <c r="AL106" t="s">
        <v>372</v>
      </c>
      <c r="AQ106" s="1">
        <f t="shared" si="49"/>
        <v>100</v>
      </c>
      <c r="AR106" s="1">
        <f t="shared" si="29"/>
        <v>0.35799999999999998</v>
      </c>
      <c r="AS106" s="1">
        <f t="shared" si="30"/>
        <v>0</v>
      </c>
      <c r="AT106" s="1">
        <f t="shared" si="31"/>
        <v>0.64200000000000002</v>
      </c>
      <c r="AU106" s="1">
        <f t="shared" si="32"/>
        <v>0</v>
      </c>
      <c r="AV106" s="1">
        <f t="shared" si="33"/>
        <v>0.43</v>
      </c>
      <c r="AX106" s="1">
        <f t="shared" si="34"/>
        <v>0</v>
      </c>
      <c r="AY106" s="1">
        <f t="shared" si="35"/>
        <v>0.55763239875389403</v>
      </c>
      <c r="AZ106" s="1">
        <f t="shared" si="36"/>
        <v>0.5</v>
      </c>
      <c r="BA106" s="1">
        <f t="shared" si="37"/>
        <v>0.5</v>
      </c>
      <c r="BB106" s="1">
        <f t="shared" si="38"/>
        <v>0.48078920041536866</v>
      </c>
      <c r="BC106" s="1">
        <f t="shared" si="39"/>
        <v>0.48078920041536866</v>
      </c>
      <c r="BD106" s="1">
        <f t="shared" si="40"/>
        <v>5.0789200415368663E-2</v>
      </c>
      <c r="BF106">
        <f t="shared" si="41"/>
        <v>64.2</v>
      </c>
      <c r="BG106">
        <f t="shared" si="51"/>
        <v>35.799999999999997</v>
      </c>
      <c r="BH106" s="1">
        <f t="shared" si="42"/>
        <v>0</v>
      </c>
      <c r="BI106" s="1">
        <f t="shared" si="43"/>
        <v>0.55763239875389403</v>
      </c>
      <c r="BJ106" s="1">
        <f t="shared" si="44"/>
        <v>0.59</v>
      </c>
      <c r="BK106" s="1">
        <f t="shared" si="45"/>
        <v>9.6000000000000002E-2</v>
      </c>
      <c r="BL106" s="1">
        <f t="shared" si="46"/>
        <v>0.55763239875389403</v>
      </c>
      <c r="BM106" s="1">
        <f t="shared" si="47"/>
        <v>0.55763239875389403</v>
      </c>
      <c r="BN106" s="1">
        <f t="shared" si="50"/>
        <v>1.6290029211673013E-2</v>
      </c>
      <c r="BO106" s="1">
        <f t="shared" si="48"/>
        <v>4.9992823828049458E-4</v>
      </c>
    </row>
    <row r="107" spans="1:67" x14ac:dyDescent="0.25">
      <c r="A107" s="3"/>
      <c r="B107" s="3"/>
      <c r="C107" t="s">
        <v>93</v>
      </c>
      <c r="D107" s="5">
        <v>1</v>
      </c>
      <c r="E107" s="9">
        <f t="shared" si="27"/>
        <v>34.799999999999997</v>
      </c>
      <c r="F107" s="9">
        <f t="shared" si="28"/>
        <v>0</v>
      </c>
      <c r="G107">
        <v>0</v>
      </c>
      <c r="H107">
        <v>65.2</v>
      </c>
      <c r="I107">
        <v>0</v>
      </c>
      <c r="J107">
        <v>0</v>
      </c>
      <c r="K107">
        <v>0</v>
      </c>
      <c r="L107">
        <v>34.799999999999997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40</v>
      </c>
      <c r="AK107" t="s">
        <v>355</v>
      </c>
      <c r="AL107" t="s">
        <v>372</v>
      </c>
      <c r="AQ107" s="1">
        <f t="shared" si="49"/>
        <v>100</v>
      </c>
      <c r="AR107" s="1">
        <f t="shared" si="29"/>
        <v>0.34799999999999998</v>
      </c>
      <c r="AS107" s="1">
        <f t="shared" si="30"/>
        <v>0</v>
      </c>
      <c r="AT107" s="1">
        <f t="shared" si="31"/>
        <v>0.65200000000000002</v>
      </c>
      <c r="AU107" s="1">
        <f t="shared" si="32"/>
        <v>0</v>
      </c>
      <c r="AV107" s="1">
        <f t="shared" si="33"/>
        <v>0.4</v>
      </c>
      <c r="AX107" s="1">
        <f t="shared" si="34"/>
        <v>0</v>
      </c>
      <c r="AY107" s="1">
        <f t="shared" si="35"/>
        <v>0.53374233128834347</v>
      </c>
      <c r="AZ107" s="1">
        <f t="shared" si="36"/>
        <v>0.5</v>
      </c>
      <c r="BA107" s="1">
        <f t="shared" si="37"/>
        <v>0.5</v>
      </c>
      <c r="BB107" s="1">
        <f t="shared" si="38"/>
        <v>0.48875255623721886</v>
      </c>
      <c r="BC107" s="1">
        <f t="shared" si="39"/>
        <v>0.48875255623721886</v>
      </c>
      <c r="BD107" s="1">
        <f t="shared" si="40"/>
        <v>8.8752556237218838E-2</v>
      </c>
      <c r="BF107">
        <f t="shared" si="41"/>
        <v>65.2</v>
      </c>
      <c r="BG107">
        <f t="shared" si="51"/>
        <v>34.799999999999997</v>
      </c>
      <c r="BH107" s="1">
        <f t="shared" si="42"/>
        <v>0</v>
      </c>
      <c r="BI107" s="1">
        <f t="shared" si="43"/>
        <v>0.53374233128834347</v>
      </c>
      <c r="BJ107" s="1">
        <f t="shared" si="44"/>
        <v>0.59</v>
      </c>
      <c r="BK107" s="1">
        <f t="shared" si="45"/>
        <v>9.6000000000000002E-2</v>
      </c>
      <c r="BL107" s="1">
        <f t="shared" si="46"/>
        <v>0.53374233128834347</v>
      </c>
      <c r="BM107" s="1">
        <f t="shared" si="47"/>
        <v>0.53374233128834347</v>
      </c>
      <c r="BN107" s="1">
        <f t="shared" si="50"/>
        <v>1.7887011178441013E-2</v>
      </c>
      <c r="BO107" s="1">
        <f t="shared" si="48"/>
        <v>5.8383733685219634E-5</v>
      </c>
    </row>
    <row r="108" spans="1:67" x14ac:dyDescent="0.25">
      <c r="A108" s="3"/>
      <c r="B108" s="3"/>
      <c r="C108" t="s">
        <v>95</v>
      </c>
      <c r="D108" s="5">
        <v>1</v>
      </c>
      <c r="E108" s="9">
        <f t="shared" si="27"/>
        <v>25.7</v>
      </c>
      <c r="F108" s="9">
        <f t="shared" si="28"/>
        <v>0</v>
      </c>
      <c r="G108">
        <v>0</v>
      </c>
      <c r="H108">
        <v>74.3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25.7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35.1</v>
      </c>
      <c r="AK108" t="s">
        <v>1</v>
      </c>
      <c r="AL108" t="s">
        <v>372</v>
      </c>
      <c r="AO108" t="s">
        <v>375</v>
      </c>
      <c r="AQ108" s="1">
        <f t="shared" si="49"/>
        <v>100</v>
      </c>
      <c r="AR108" s="1">
        <f t="shared" si="29"/>
        <v>0.25700000000000001</v>
      </c>
      <c r="AS108" s="1">
        <f t="shared" si="30"/>
        <v>0</v>
      </c>
      <c r="AT108" s="1">
        <f t="shared" si="31"/>
        <v>0.74299999999999999</v>
      </c>
      <c r="AU108" s="1">
        <f t="shared" si="32"/>
        <v>0</v>
      </c>
      <c r="AV108" s="1">
        <f t="shared" si="33"/>
        <v>0.35100000000000003</v>
      </c>
      <c r="AX108" s="1">
        <f t="shared" si="34"/>
        <v>0</v>
      </c>
      <c r="AY108" s="1">
        <f t="shared" si="35"/>
        <v>0.34589502018842533</v>
      </c>
      <c r="AZ108" s="1">
        <f t="shared" si="36"/>
        <v>0.5</v>
      </c>
      <c r="BA108" s="1">
        <f t="shared" si="37"/>
        <v>0.5</v>
      </c>
      <c r="BB108" s="1">
        <f t="shared" si="38"/>
        <v>0.34589502018842533</v>
      </c>
      <c r="BC108" s="1">
        <f t="shared" si="39"/>
        <v>0.34589502018842533</v>
      </c>
      <c r="BD108" s="1">
        <f t="shared" si="40"/>
        <v>5.1049798115747058E-3</v>
      </c>
      <c r="BF108">
        <f t="shared" si="41"/>
        <v>74.3</v>
      </c>
      <c r="BG108">
        <f t="shared" si="51"/>
        <v>25.7</v>
      </c>
      <c r="BH108" s="1">
        <f t="shared" si="42"/>
        <v>0</v>
      </c>
      <c r="BI108" s="1">
        <f t="shared" si="43"/>
        <v>0.34589502018842533</v>
      </c>
      <c r="BJ108" s="1">
        <f t="shared" si="44"/>
        <v>0.59</v>
      </c>
      <c r="BK108" s="1">
        <f t="shared" si="45"/>
        <v>9.6000000000000002E-2</v>
      </c>
      <c r="BL108" s="1">
        <f t="shared" si="46"/>
        <v>0.34589502018842533</v>
      </c>
      <c r="BM108" s="1">
        <f t="shared" si="47"/>
        <v>0.34589502018842533</v>
      </c>
      <c r="BN108" s="1">
        <f t="shared" si="50"/>
        <v>2.6060818876585319E-5</v>
      </c>
      <c r="BO108" s="1">
        <f t="shared" si="48"/>
        <v>3.2081943761796002E-3</v>
      </c>
    </row>
    <row r="109" spans="1:67" x14ac:dyDescent="0.25">
      <c r="A109" s="3"/>
      <c r="B109" s="3"/>
      <c r="C109" t="s">
        <v>96</v>
      </c>
      <c r="D109" s="5">
        <v>1</v>
      </c>
      <c r="E109" s="9">
        <f t="shared" si="27"/>
        <v>29.1</v>
      </c>
      <c r="F109" s="9">
        <f t="shared" si="28"/>
        <v>0</v>
      </c>
      <c r="G109">
        <v>0</v>
      </c>
      <c r="H109">
        <v>70.900000000000006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29.1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41.6</v>
      </c>
      <c r="AK109" t="s">
        <v>1</v>
      </c>
      <c r="AL109" t="s">
        <v>372</v>
      </c>
      <c r="AQ109" s="1">
        <f t="shared" si="49"/>
        <v>100</v>
      </c>
      <c r="AR109" s="1">
        <f t="shared" si="29"/>
        <v>0.29100000000000004</v>
      </c>
      <c r="AS109" s="1">
        <f t="shared" si="30"/>
        <v>0</v>
      </c>
      <c r="AT109" s="1">
        <f t="shared" si="31"/>
        <v>0.70900000000000007</v>
      </c>
      <c r="AU109" s="1">
        <f t="shared" si="32"/>
        <v>0</v>
      </c>
      <c r="AV109" s="1">
        <f t="shared" si="33"/>
        <v>0.41600000000000004</v>
      </c>
      <c r="AX109" s="1">
        <f t="shared" si="34"/>
        <v>0</v>
      </c>
      <c r="AY109" s="1">
        <f t="shared" si="35"/>
        <v>0.41043723554301836</v>
      </c>
      <c r="AZ109" s="1">
        <f t="shared" si="36"/>
        <v>0.5</v>
      </c>
      <c r="BA109" s="1">
        <f t="shared" si="37"/>
        <v>0.5</v>
      </c>
      <c r="BB109" s="1">
        <f t="shared" si="38"/>
        <v>0.41043723554301836</v>
      </c>
      <c r="BC109" s="1">
        <f t="shared" si="39"/>
        <v>0.41043723554301836</v>
      </c>
      <c r="BD109" s="1">
        <f t="shared" si="40"/>
        <v>5.5627644569816725E-3</v>
      </c>
      <c r="BF109">
        <f t="shared" si="41"/>
        <v>70.900000000000006</v>
      </c>
      <c r="BG109">
        <f t="shared" si="51"/>
        <v>29.1</v>
      </c>
      <c r="BH109" s="1">
        <f t="shared" si="42"/>
        <v>0</v>
      </c>
      <c r="BI109" s="1">
        <f t="shared" si="43"/>
        <v>0.41043723554301831</v>
      </c>
      <c r="BJ109" s="1">
        <f t="shared" si="44"/>
        <v>0.59</v>
      </c>
      <c r="BK109" s="1">
        <f t="shared" si="45"/>
        <v>9.6000000000000002E-2</v>
      </c>
      <c r="BL109" s="1">
        <f t="shared" si="46"/>
        <v>0.41043723554301831</v>
      </c>
      <c r="BM109" s="1">
        <f t="shared" si="47"/>
        <v>0.41043723554301831</v>
      </c>
      <c r="BN109" s="1">
        <f t="shared" si="50"/>
        <v>3.0944348403859217E-5</v>
      </c>
      <c r="BO109" s="1">
        <f t="shared" si="48"/>
        <v>6.9874136136033872E-5</v>
      </c>
    </row>
    <row r="110" spans="1:67" x14ac:dyDescent="0.25">
      <c r="A110" s="3"/>
      <c r="B110" s="3"/>
      <c r="C110" t="s">
        <v>97</v>
      </c>
      <c r="D110" s="5">
        <v>1</v>
      </c>
      <c r="E110" s="9">
        <f t="shared" si="27"/>
        <v>33.700000000000003</v>
      </c>
      <c r="F110" s="9">
        <f t="shared" si="28"/>
        <v>0</v>
      </c>
      <c r="G110">
        <v>0</v>
      </c>
      <c r="H110">
        <v>66.3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33.700000000000003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43.4</v>
      </c>
      <c r="AK110" t="s">
        <v>1</v>
      </c>
      <c r="AL110" t="s">
        <v>372</v>
      </c>
      <c r="AQ110" s="1">
        <f t="shared" si="49"/>
        <v>100</v>
      </c>
      <c r="AR110" s="1">
        <f t="shared" si="29"/>
        <v>0.33700000000000002</v>
      </c>
      <c r="AS110" s="1">
        <f t="shared" si="30"/>
        <v>0</v>
      </c>
      <c r="AT110" s="1">
        <f t="shared" si="31"/>
        <v>0.66299999999999992</v>
      </c>
      <c r="AU110" s="1">
        <f t="shared" si="32"/>
        <v>0</v>
      </c>
      <c r="AV110" s="1">
        <f t="shared" si="33"/>
        <v>0.434</v>
      </c>
      <c r="AX110" s="1">
        <f t="shared" si="34"/>
        <v>0</v>
      </c>
      <c r="AY110" s="1">
        <f t="shared" si="35"/>
        <v>0.50829562594268485</v>
      </c>
      <c r="AZ110" s="1">
        <f t="shared" si="36"/>
        <v>0.5</v>
      </c>
      <c r="BA110" s="1">
        <f t="shared" si="37"/>
        <v>0.5</v>
      </c>
      <c r="BB110" s="1">
        <f t="shared" si="38"/>
        <v>0.49723479135243837</v>
      </c>
      <c r="BC110" s="1">
        <f t="shared" si="39"/>
        <v>0.49723479135243837</v>
      </c>
      <c r="BD110" s="1">
        <f t="shared" si="40"/>
        <v>6.3234791352438369E-2</v>
      </c>
      <c r="BF110">
        <f t="shared" si="41"/>
        <v>66.3</v>
      </c>
      <c r="BG110">
        <f t="shared" si="51"/>
        <v>33.700000000000003</v>
      </c>
      <c r="BH110" s="1">
        <f t="shared" si="42"/>
        <v>0</v>
      </c>
      <c r="BI110" s="1">
        <f t="shared" si="43"/>
        <v>0.50829562594268485</v>
      </c>
      <c r="BJ110" s="1">
        <f t="shared" si="44"/>
        <v>0.59</v>
      </c>
      <c r="BK110" s="1">
        <f t="shared" si="45"/>
        <v>9.6000000000000002E-2</v>
      </c>
      <c r="BL110" s="1">
        <f t="shared" si="46"/>
        <v>0.50829562594268485</v>
      </c>
      <c r="BM110" s="1">
        <f t="shared" si="47"/>
        <v>0.50829562594268485</v>
      </c>
      <c r="BN110" s="1">
        <f t="shared" si="50"/>
        <v>5.5198400342153465E-3</v>
      </c>
      <c r="BO110" s="1">
        <f t="shared" si="48"/>
        <v>6.9480083889319805E-4</v>
      </c>
    </row>
    <row r="111" spans="1:67" x14ac:dyDescent="0.25">
      <c r="A111" s="3"/>
      <c r="B111" s="3"/>
      <c r="C111" t="s">
        <v>98</v>
      </c>
      <c r="D111" s="5">
        <v>1</v>
      </c>
      <c r="E111" s="9">
        <f t="shared" si="27"/>
        <v>40.200000000000003</v>
      </c>
      <c r="F111" s="9">
        <f t="shared" si="28"/>
        <v>0</v>
      </c>
      <c r="G111">
        <v>0</v>
      </c>
      <c r="H111">
        <v>59.8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40.200000000000003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41.1</v>
      </c>
      <c r="AK111" t="s">
        <v>1</v>
      </c>
      <c r="AL111" t="s">
        <v>372</v>
      </c>
      <c r="AQ111" s="1">
        <f t="shared" si="49"/>
        <v>100</v>
      </c>
      <c r="AR111" s="1">
        <f t="shared" si="29"/>
        <v>0.40200000000000002</v>
      </c>
      <c r="AS111" s="1">
        <f t="shared" si="30"/>
        <v>0</v>
      </c>
      <c r="AT111" s="1">
        <f t="shared" si="31"/>
        <v>0.59799999999999998</v>
      </c>
      <c r="AU111" s="1">
        <f t="shared" si="32"/>
        <v>0</v>
      </c>
      <c r="AV111" s="1">
        <f t="shared" si="33"/>
        <v>0.41100000000000003</v>
      </c>
      <c r="AX111" s="1">
        <f t="shared" si="34"/>
        <v>0</v>
      </c>
      <c r="AY111" s="1">
        <f t="shared" si="35"/>
        <v>0.67224080267558539</v>
      </c>
      <c r="AZ111" s="1">
        <f t="shared" si="36"/>
        <v>0.5</v>
      </c>
      <c r="BA111" s="1">
        <f t="shared" si="37"/>
        <v>0.5</v>
      </c>
      <c r="BB111" s="1">
        <f t="shared" si="38"/>
        <v>0.44258639910813818</v>
      </c>
      <c r="BC111" s="1">
        <f t="shared" si="39"/>
        <v>0.44258639910813818</v>
      </c>
      <c r="BD111" s="1">
        <f t="shared" si="40"/>
        <v>3.1586399108138152E-2</v>
      </c>
      <c r="BF111">
        <f t="shared" si="41"/>
        <v>59.8</v>
      </c>
      <c r="BG111">
        <f t="shared" si="51"/>
        <v>40.200000000000003</v>
      </c>
      <c r="BH111" s="1">
        <f t="shared" si="42"/>
        <v>0</v>
      </c>
      <c r="BI111" s="1">
        <f t="shared" si="43"/>
        <v>0.67224080267558539</v>
      </c>
      <c r="BJ111" s="1">
        <f t="shared" si="44"/>
        <v>0.59</v>
      </c>
      <c r="BK111" s="1">
        <f t="shared" si="45"/>
        <v>9.6000000000000002E-2</v>
      </c>
      <c r="BL111" s="1">
        <f t="shared" si="46"/>
        <v>0.3979197324414715</v>
      </c>
      <c r="BM111" s="1">
        <f t="shared" si="47"/>
        <v>0.3979197324414715</v>
      </c>
      <c r="BN111" s="1">
        <f t="shared" si="50"/>
        <v>1.7109339940269406E-4</v>
      </c>
      <c r="BO111" s="1">
        <f t="shared" si="48"/>
        <v>1.1283385370154325E-5</v>
      </c>
    </row>
    <row r="112" spans="1:67" x14ac:dyDescent="0.25">
      <c r="A112" s="3"/>
      <c r="B112" s="3"/>
      <c r="C112" t="s">
        <v>99</v>
      </c>
      <c r="D112" s="5">
        <v>1</v>
      </c>
      <c r="E112" s="9">
        <f t="shared" si="27"/>
        <v>25.6</v>
      </c>
      <c r="F112" s="9">
        <f t="shared" si="28"/>
        <v>0</v>
      </c>
      <c r="G112">
        <v>0</v>
      </c>
      <c r="H112">
        <v>74.400000000000006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25.6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34.1</v>
      </c>
      <c r="AK112" t="s">
        <v>1</v>
      </c>
      <c r="AL112" t="s">
        <v>372</v>
      </c>
      <c r="AQ112" s="1">
        <f t="shared" si="49"/>
        <v>100</v>
      </c>
      <c r="AR112" s="1">
        <f t="shared" si="29"/>
        <v>0</v>
      </c>
      <c r="AS112" s="1">
        <f t="shared" si="30"/>
        <v>0</v>
      </c>
      <c r="AT112" s="1">
        <f t="shared" si="31"/>
        <v>0.74400000000000011</v>
      </c>
      <c r="AU112" s="1">
        <f t="shared" si="32"/>
        <v>0</v>
      </c>
      <c r="AV112" s="1">
        <f t="shared" si="33"/>
        <v>0.34100000000000003</v>
      </c>
      <c r="AX112" s="1">
        <f t="shared" si="34"/>
        <v>0</v>
      </c>
      <c r="AY112" s="1">
        <f t="shared" si="35"/>
        <v>0</v>
      </c>
      <c r="AZ112" s="1">
        <f t="shared" si="36"/>
        <v>0.5</v>
      </c>
      <c r="BA112" s="1">
        <f t="shared" si="37"/>
        <v>0.5</v>
      </c>
      <c r="BB112" s="1">
        <f t="shared" si="38"/>
        <v>0</v>
      </c>
      <c r="BC112" s="1">
        <f t="shared" si="39"/>
        <v>0</v>
      </c>
      <c r="BD112" s="1">
        <f t="shared" si="40"/>
        <v>0.34100000000000003</v>
      </c>
      <c r="BF112">
        <f t="shared" si="41"/>
        <v>74.400000000000006</v>
      </c>
      <c r="BG112">
        <f t="shared" si="51"/>
        <v>12.8</v>
      </c>
      <c r="BH112" s="1">
        <f t="shared" si="42"/>
        <v>0</v>
      </c>
      <c r="BI112" s="1">
        <f t="shared" si="43"/>
        <v>0.17204301075268816</v>
      </c>
      <c r="BJ112" s="1">
        <f t="shared" si="44"/>
        <v>0.59</v>
      </c>
      <c r="BK112" s="1">
        <f t="shared" si="45"/>
        <v>9.6000000000000002E-2</v>
      </c>
      <c r="BL112" s="1">
        <f t="shared" si="46"/>
        <v>0.17204301075268816</v>
      </c>
      <c r="BM112" s="1">
        <f t="shared" si="47"/>
        <v>0.17204301075268816</v>
      </c>
      <c r="BN112" s="1">
        <f t="shared" si="50"/>
        <v>2.8546464215516258E-2</v>
      </c>
      <c r="BO112" s="1">
        <f t="shared" si="48"/>
        <v>4.4410128746478423E-3</v>
      </c>
    </row>
    <row r="113" spans="1:67" x14ac:dyDescent="0.25">
      <c r="A113" s="3"/>
      <c r="B113" s="3"/>
      <c r="C113" t="s">
        <v>100</v>
      </c>
      <c r="D113" s="5">
        <v>1</v>
      </c>
      <c r="E113" s="9">
        <f t="shared" si="27"/>
        <v>29.6</v>
      </c>
      <c r="F113" s="9">
        <f t="shared" si="28"/>
        <v>0</v>
      </c>
      <c r="G113">
        <v>0</v>
      </c>
      <c r="H113">
        <v>70.400000000000006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29.6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39.5</v>
      </c>
      <c r="AK113" t="s">
        <v>1</v>
      </c>
      <c r="AL113" t="s">
        <v>372</v>
      </c>
      <c r="AQ113" s="1">
        <f t="shared" si="49"/>
        <v>100</v>
      </c>
      <c r="AR113" s="1">
        <f t="shared" si="29"/>
        <v>0</v>
      </c>
      <c r="AS113" s="1">
        <f t="shared" si="30"/>
        <v>0</v>
      </c>
      <c r="AT113" s="1">
        <f t="shared" si="31"/>
        <v>0.70400000000000007</v>
      </c>
      <c r="AU113" s="1">
        <f t="shared" si="32"/>
        <v>0</v>
      </c>
      <c r="AV113" s="1">
        <f t="shared" si="33"/>
        <v>0.39500000000000002</v>
      </c>
      <c r="AX113" s="1">
        <f t="shared" si="34"/>
        <v>0</v>
      </c>
      <c r="AY113" s="1">
        <f t="shared" si="35"/>
        <v>0</v>
      </c>
      <c r="AZ113" s="1">
        <f t="shared" si="36"/>
        <v>0.5</v>
      </c>
      <c r="BA113" s="1">
        <f t="shared" si="37"/>
        <v>0.5</v>
      </c>
      <c r="BB113" s="1">
        <f t="shared" si="38"/>
        <v>0</v>
      </c>
      <c r="BC113" s="1">
        <f t="shared" si="39"/>
        <v>0</v>
      </c>
      <c r="BD113" s="1">
        <f t="shared" si="40"/>
        <v>0.39500000000000002</v>
      </c>
      <c r="BF113">
        <f t="shared" si="41"/>
        <v>70.400000000000006</v>
      </c>
      <c r="BG113">
        <f t="shared" si="51"/>
        <v>14.8</v>
      </c>
      <c r="BH113" s="1">
        <f t="shared" si="42"/>
        <v>0</v>
      </c>
      <c r="BI113" s="1">
        <f t="shared" si="43"/>
        <v>0.21022727272727271</v>
      </c>
      <c r="BJ113" s="1">
        <f t="shared" si="44"/>
        <v>0.59</v>
      </c>
      <c r="BK113" s="1">
        <f t="shared" si="45"/>
        <v>9.6000000000000002E-2</v>
      </c>
      <c r="BL113" s="1">
        <f t="shared" si="46"/>
        <v>0.21022727272727271</v>
      </c>
      <c r="BM113" s="1">
        <f t="shared" si="47"/>
        <v>0.21022727272727271</v>
      </c>
      <c r="BN113" s="1">
        <f t="shared" si="50"/>
        <v>3.4140960743801664E-2</v>
      </c>
      <c r="BO113" s="1">
        <f t="shared" si="48"/>
        <v>1.5979298291934037E-4</v>
      </c>
    </row>
    <row r="114" spans="1:67" x14ac:dyDescent="0.25">
      <c r="A114" s="3"/>
      <c r="B114" s="3"/>
      <c r="C114" t="s">
        <v>108</v>
      </c>
      <c r="D114" s="5">
        <v>1</v>
      </c>
      <c r="E114" s="9">
        <f t="shared" si="27"/>
        <v>34.4</v>
      </c>
      <c r="F114" s="9">
        <f t="shared" si="28"/>
        <v>0</v>
      </c>
      <c r="G114">
        <v>0</v>
      </c>
      <c r="H114">
        <v>65.599999999999994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34.4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43.1</v>
      </c>
      <c r="AK114" t="s">
        <v>1</v>
      </c>
      <c r="AL114" t="s">
        <v>372</v>
      </c>
      <c r="AQ114" s="1">
        <f t="shared" si="49"/>
        <v>100</v>
      </c>
      <c r="AR114" s="1">
        <f t="shared" si="29"/>
        <v>0</v>
      </c>
      <c r="AS114" s="1">
        <f t="shared" si="30"/>
        <v>0</v>
      </c>
      <c r="AT114" s="1">
        <f t="shared" si="31"/>
        <v>0.65599999999999992</v>
      </c>
      <c r="AU114" s="1">
        <f t="shared" si="32"/>
        <v>0</v>
      </c>
      <c r="AV114" s="1">
        <f t="shared" si="33"/>
        <v>0.43099999999999999</v>
      </c>
      <c r="AX114" s="1">
        <f t="shared" si="34"/>
        <v>0</v>
      </c>
      <c r="AY114" s="1">
        <f t="shared" si="35"/>
        <v>0</v>
      </c>
      <c r="AZ114" s="1">
        <f t="shared" si="36"/>
        <v>0.5</v>
      </c>
      <c r="BA114" s="1">
        <f t="shared" si="37"/>
        <v>0.5</v>
      </c>
      <c r="BB114" s="1">
        <f t="shared" si="38"/>
        <v>0</v>
      </c>
      <c r="BC114" s="1">
        <f t="shared" si="39"/>
        <v>0</v>
      </c>
      <c r="BD114" s="1">
        <f t="shared" si="40"/>
        <v>0.43099999999999999</v>
      </c>
      <c r="BF114">
        <f t="shared" si="41"/>
        <v>65.599999999999994</v>
      </c>
      <c r="BG114">
        <f t="shared" si="51"/>
        <v>17.2</v>
      </c>
      <c r="BH114" s="1">
        <f t="shared" si="42"/>
        <v>0</v>
      </c>
      <c r="BI114" s="1">
        <f t="shared" si="43"/>
        <v>0.26219512195121952</v>
      </c>
      <c r="BJ114" s="1">
        <f t="shared" si="44"/>
        <v>0.59</v>
      </c>
      <c r="BK114" s="1">
        <f t="shared" si="45"/>
        <v>9.6000000000000002E-2</v>
      </c>
      <c r="BL114" s="1">
        <f t="shared" si="46"/>
        <v>0.26219512195121952</v>
      </c>
      <c r="BM114" s="1">
        <f t="shared" si="47"/>
        <v>0.26219512195121952</v>
      </c>
      <c r="BN114" s="1">
        <f t="shared" si="50"/>
        <v>2.8495086853063647E-2</v>
      </c>
      <c r="BO114" s="1">
        <f t="shared" si="48"/>
        <v>5.4564638843367043E-4</v>
      </c>
    </row>
    <row r="115" spans="1:67" x14ac:dyDescent="0.25">
      <c r="A115" s="3"/>
      <c r="B115" s="3"/>
      <c r="C115" t="s">
        <v>101</v>
      </c>
      <c r="D115" s="5">
        <v>1</v>
      </c>
      <c r="E115" s="9">
        <f t="shared" si="27"/>
        <v>39.6</v>
      </c>
      <c r="F115" s="9">
        <f t="shared" si="28"/>
        <v>0</v>
      </c>
      <c r="G115">
        <v>0</v>
      </c>
      <c r="H115">
        <v>60.4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39.6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44.5</v>
      </c>
      <c r="AK115" t="s">
        <v>1</v>
      </c>
      <c r="AL115" t="s">
        <v>372</v>
      </c>
      <c r="AQ115" s="1">
        <f t="shared" si="49"/>
        <v>100</v>
      </c>
      <c r="AR115" s="1">
        <f t="shared" si="29"/>
        <v>0</v>
      </c>
      <c r="AS115" s="1">
        <f t="shared" si="30"/>
        <v>0</v>
      </c>
      <c r="AT115" s="1">
        <f t="shared" si="31"/>
        <v>0.60399999999999998</v>
      </c>
      <c r="AU115" s="1">
        <f t="shared" si="32"/>
        <v>0</v>
      </c>
      <c r="AV115" s="1">
        <f t="shared" si="33"/>
        <v>0.44500000000000001</v>
      </c>
      <c r="AX115" s="1">
        <f t="shared" si="34"/>
        <v>0</v>
      </c>
      <c r="AY115" s="1">
        <f t="shared" si="35"/>
        <v>0</v>
      </c>
      <c r="AZ115" s="1">
        <f t="shared" si="36"/>
        <v>0.5</v>
      </c>
      <c r="BA115" s="1">
        <f t="shared" si="37"/>
        <v>0.5</v>
      </c>
      <c r="BB115" s="1">
        <f t="shared" si="38"/>
        <v>0</v>
      </c>
      <c r="BC115" s="1">
        <f t="shared" si="39"/>
        <v>0</v>
      </c>
      <c r="BD115" s="1">
        <f t="shared" si="40"/>
        <v>0.44500000000000001</v>
      </c>
      <c r="BF115">
        <f t="shared" si="41"/>
        <v>60.4</v>
      </c>
      <c r="BG115">
        <f t="shared" si="51"/>
        <v>19.8</v>
      </c>
      <c r="BH115" s="1">
        <f t="shared" si="42"/>
        <v>0</v>
      </c>
      <c r="BI115" s="1">
        <f t="shared" si="43"/>
        <v>0.32781456953642385</v>
      </c>
      <c r="BJ115" s="1">
        <f t="shared" si="44"/>
        <v>0.59</v>
      </c>
      <c r="BK115" s="1">
        <f t="shared" si="45"/>
        <v>9.6000000000000002E-2</v>
      </c>
      <c r="BL115" s="1">
        <f t="shared" si="46"/>
        <v>0.32781456953642385</v>
      </c>
      <c r="BM115" s="1">
        <f t="shared" si="47"/>
        <v>0.32781456953642385</v>
      </c>
      <c r="BN115" s="1">
        <f t="shared" si="50"/>
        <v>1.3732425112933643E-2</v>
      </c>
      <c r="BO115" s="1">
        <f t="shared" si="48"/>
        <v>1.395700490578133E-3</v>
      </c>
    </row>
    <row r="116" spans="1:67" x14ac:dyDescent="0.25">
      <c r="A116" s="3"/>
      <c r="B116" s="3"/>
      <c r="C116" t="s">
        <v>102</v>
      </c>
      <c r="D116" s="5">
        <v>1</v>
      </c>
      <c r="E116" s="9">
        <f t="shared" si="27"/>
        <v>50.4</v>
      </c>
      <c r="F116" s="9">
        <f t="shared" si="28"/>
        <v>0</v>
      </c>
      <c r="G116">
        <v>0</v>
      </c>
      <c r="H116">
        <v>49.6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50.4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35.9</v>
      </c>
      <c r="AK116" t="s">
        <v>1</v>
      </c>
      <c r="AL116" t="s">
        <v>372</v>
      </c>
      <c r="AQ116" s="1">
        <f t="shared" si="49"/>
        <v>100</v>
      </c>
      <c r="AR116" s="1">
        <f t="shared" si="29"/>
        <v>0</v>
      </c>
      <c r="AS116" s="1">
        <f t="shared" si="30"/>
        <v>0</v>
      </c>
      <c r="AT116" s="1">
        <f t="shared" si="31"/>
        <v>0.496</v>
      </c>
      <c r="AU116" s="1">
        <f t="shared" si="32"/>
        <v>0</v>
      </c>
      <c r="AV116" s="1">
        <f t="shared" si="33"/>
        <v>0.35899999999999999</v>
      </c>
      <c r="AX116" s="1">
        <f t="shared" si="34"/>
        <v>0</v>
      </c>
      <c r="AY116" s="1">
        <f t="shared" si="35"/>
        <v>0</v>
      </c>
      <c r="AZ116" s="1">
        <f t="shared" si="36"/>
        <v>0.5</v>
      </c>
      <c r="BA116" s="1">
        <f t="shared" si="37"/>
        <v>0.5</v>
      </c>
      <c r="BB116" s="1">
        <f t="shared" si="38"/>
        <v>0</v>
      </c>
      <c r="BC116" s="1">
        <f t="shared" si="39"/>
        <v>0</v>
      </c>
      <c r="BD116" s="1">
        <f t="shared" si="40"/>
        <v>0.35899999999999999</v>
      </c>
      <c r="BF116">
        <f t="shared" si="41"/>
        <v>49.6</v>
      </c>
      <c r="BG116">
        <f t="shared" si="51"/>
        <v>25.2</v>
      </c>
      <c r="BH116" s="1">
        <f t="shared" si="42"/>
        <v>0</v>
      </c>
      <c r="BI116" s="1">
        <f t="shared" si="43"/>
        <v>0.50806451612903225</v>
      </c>
      <c r="BJ116" s="1">
        <f t="shared" si="44"/>
        <v>0.59</v>
      </c>
      <c r="BK116" s="1">
        <f t="shared" si="45"/>
        <v>9.6000000000000002E-2</v>
      </c>
      <c r="BL116" s="1">
        <f t="shared" si="46"/>
        <v>0.50806451612903225</v>
      </c>
      <c r="BM116" s="1">
        <f t="shared" si="47"/>
        <v>0.50806451612903225</v>
      </c>
      <c r="BN116" s="1">
        <f t="shared" si="50"/>
        <v>2.2220229968782521E-2</v>
      </c>
      <c r="BO116" s="1">
        <f t="shared" si="48"/>
        <v>2.3659395774050123E-3</v>
      </c>
    </row>
    <row r="117" spans="1:67" x14ac:dyDescent="0.25">
      <c r="A117" s="3"/>
      <c r="B117" s="3"/>
      <c r="C117" t="s">
        <v>103</v>
      </c>
      <c r="D117" s="5">
        <v>1</v>
      </c>
      <c r="E117" s="9">
        <f t="shared" si="27"/>
        <v>26.3</v>
      </c>
      <c r="F117" s="9">
        <f t="shared" si="28"/>
        <v>0</v>
      </c>
      <c r="G117">
        <v>0</v>
      </c>
      <c r="H117">
        <v>73.7</v>
      </c>
      <c r="I117">
        <v>26.3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32.9</v>
      </c>
      <c r="AK117" t="s">
        <v>1</v>
      </c>
      <c r="AL117" t="s">
        <v>372</v>
      </c>
      <c r="AQ117" s="1">
        <f t="shared" si="49"/>
        <v>100</v>
      </c>
      <c r="AR117" s="1">
        <f t="shared" si="29"/>
        <v>0</v>
      </c>
      <c r="AS117" s="1">
        <f t="shared" si="30"/>
        <v>0</v>
      </c>
      <c r="AT117" s="1">
        <f t="shared" si="31"/>
        <v>0.73699999999999999</v>
      </c>
      <c r="AU117" s="1">
        <f t="shared" si="32"/>
        <v>0</v>
      </c>
      <c r="AV117" s="1">
        <f t="shared" si="33"/>
        <v>0.32899999999999996</v>
      </c>
      <c r="AX117" s="1">
        <f t="shared" si="34"/>
        <v>0</v>
      </c>
      <c r="AY117" s="1">
        <f t="shared" si="35"/>
        <v>0</v>
      </c>
      <c r="AZ117" s="1">
        <f t="shared" si="36"/>
        <v>0.5</v>
      </c>
      <c r="BA117" s="1">
        <f t="shared" si="37"/>
        <v>0.5</v>
      </c>
      <c r="BB117" s="1">
        <f t="shared" si="38"/>
        <v>0</v>
      </c>
      <c r="BC117" s="1">
        <f t="shared" si="39"/>
        <v>0</v>
      </c>
      <c r="BD117" s="1">
        <f t="shared" si="40"/>
        <v>0.32899999999999996</v>
      </c>
      <c r="BF117">
        <f t="shared" si="41"/>
        <v>73.7</v>
      </c>
      <c r="BG117">
        <f t="shared" si="51"/>
        <v>13.15</v>
      </c>
      <c r="BH117" s="1">
        <f t="shared" si="42"/>
        <v>0</v>
      </c>
      <c r="BI117" s="1">
        <f t="shared" si="43"/>
        <v>0.17842605156037991</v>
      </c>
      <c r="BJ117" s="1">
        <f t="shared" si="44"/>
        <v>0.59</v>
      </c>
      <c r="BK117" s="1">
        <f t="shared" si="45"/>
        <v>9.6000000000000002E-2</v>
      </c>
      <c r="BL117" s="1">
        <f t="shared" si="46"/>
        <v>0.17842605156037991</v>
      </c>
      <c r="BM117" s="1">
        <f t="shared" si="47"/>
        <v>0.17842605156037991</v>
      </c>
      <c r="BN117" s="1">
        <f t="shared" si="50"/>
        <v>2.2672513948697355E-2</v>
      </c>
      <c r="BO117" s="1">
        <f t="shared" si="48"/>
        <v>6.1843950728097423E-3</v>
      </c>
    </row>
    <row r="118" spans="1:67" x14ac:dyDescent="0.25">
      <c r="A118" s="3"/>
      <c r="B118" s="3"/>
      <c r="C118" t="s">
        <v>104</v>
      </c>
      <c r="D118" s="5">
        <v>1</v>
      </c>
      <c r="E118" s="9">
        <f t="shared" si="27"/>
        <v>29.8</v>
      </c>
      <c r="F118" s="9">
        <f t="shared" si="28"/>
        <v>0</v>
      </c>
      <c r="G118">
        <v>0</v>
      </c>
      <c r="H118">
        <v>70.2</v>
      </c>
      <c r="I118">
        <v>29.8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36.700000000000003</v>
      </c>
      <c r="AK118" t="s">
        <v>1</v>
      </c>
      <c r="AL118" t="s">
        <v>372</v>
      </c>
      <c r="AQ118" s="1">
        <f t="shared" si="49"/>
        <v>100</v>
      </c>
      <c r="AR118" s="1">
        <f t="shared" si="29"/>
        <v>0</v>
      </c>
      <c r="AS118" s="1">
        <f t="shared" si="30"/>
        <v>0</v>
      </c>
      <c r="AT118" s="1">
        <f t="shared" si="31"/>
        <v>0.70200000000000007</v>
      </c>
      <c r="AU118" s="1">
        <f t="shared" si="32"/>
        <v>0</v>
      </c>
      <c r="AV118" s="1">
        <f t="shared" si="33"/>
        <v>0.36700000000000005</v>
      </c>
      <c r="AX118" s="1">
        <f t="shared" si="34"/>
        <v>0</v>
      </c>
      <c r="AY118" s="1">
        <f t="shared" si="35"/>
        <v>0</v>
      </c>
      <c r="AZ118" s="1">
        <f t="shared" si="36"/>
        <v>0.5</v>
      </c>
      <c r="BA118" s="1">
        <f t="shared" si="37"/>
        <v>0.5</v>
      </c>
      <c r="BB118" s="1">
        <f t="shared" si="38"/>
        <v>0</v>
      </c>
      <c r="BC118" s="1">
        <f t="shared" si="39"/>
        <v>0</v>
      </c>
      <c r="BD118" s="1">
        <f t="shared" si="40"/>
        <v>0.36700000000000005</v>
      </c>
      <c r="BF118">
        <f t="shared" si="41"/>
        <v>70.2</v>
      </c>
      <c r="BG118">
        <f t="shared" si="51"/>
        <v>14.9</v>
      </c>
      <c r="BH118" s="1">
        <f t="shared" si="42"/>
        <v>0</v>
      </c>
      <c r="BI118" s="1">
        <f t="shared" si="43"/>
        <v>0.21225071225071224</v>
      </c>
      <c r="BJ118" s="1">
        <f t="shared" si="44"/>
        <v>0.59</v>
      </c>
      <c r="BK118" s="1">
        <f t="shared" si="45"/>
        <v>9.6000000000000002E-2</v>
      </c>
      <c r="BL118" s="1">
        <f t="shared" si="46"/>
        <v>0.21225071225071224</v>
      </c>
      <c r="BM118" s="1">
        <f t="shared" si="47"/>
        <v>0.21225071225071224</v>
      </c>
      <c r="BN118" s="1">
        <f t="shared" si="50"/>
        <v>2.3947342058911879E-2</v>
      </c>
      <c r="BO118" s="1">
        <f t="shared" si="48"/>
        <v>1.6516847786304137E-3</v>
      </c>
    </row>
    <row r="119" spans="1:67" x14ac:dyDescent="0.25">
      <c r="A119" s="3"/>
      <c r="B119" s="3"/>
      <c r="C119" t="s">
        <v>105</v>
      </c>
      <c r="D119" s="5">
        <v>1</v>
      </c>
      <c r="E119" s="9">
        <f t="shared" si="27"/>
        <v>33.5</v>
      </c>
      <c r="F119" s="9">
        <f t="shared" si="28"/>
        <v>0</v>
      </c>
      <c r="G119">
        <v>0</v>
      </c>
      <c r="H119">
        <v>66.5</v>
      </c>
      <c r="I119">
        <v>33.5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39.4</v>
      </c>
      <c r="AK119" t="s">
        <v>1</v>
      </c>
      <c r="AL119" t="s">
        <v>372</v>
      </c>
      <c r="AQ119" s="1">
        <f t="shared" si="49"/>
        <v>100</v>
      </c>
      <c r="AR119" s="1">
        <f t="shared" si="29"/>
        <v>0</v>
      </c>
      <c r="AS119" s="1">
        <f t="shared" si="30"/>
        <v>0</v>
      </c>
      <c r="AT119" s="1">
        <f t="shared" si="31"/>
        <v>0.66500000000000004</v>
      </c>
      <c r="AU119" s="1">
        <f t="shared" si="32"/>
        <v>0</v>
      </c>
      <c r="AV119" s="1">
        <f t="shared" si="33"/>
        <v>0.39399999999999996</v>
      </c>
      <c r="AX119" s="1">
        <f t="shared" si="34"/>
        <v>0</v>
      </c>
      <c r="AY119" s="1">
        <f t="shared" si="35"/>
        <v>0</v>
      </c>
      <c r="AZ119" s="1">
        <f t="shared" si="36"/>
        <v>0.5</v>
      </c>
      <c r="BA119" s="1">
        <f t="shared" si="37"/>
        <v>0.5</v>
      </c>
      <c r="BB119" s="1">
        <f t="shared" si="38"/>
        <v>0</v>
      </c>
      <c r="BC119" s="1">
        <f t="shared" si="39"/>
        <v>0</v>
      </c>
      <c r="BD119" s="1">
        <f t="shared" si="40"/>
        <v>0.39399999999999996</v>
      </c>
      <c r="BF119">
        <f t="shared" si="41"/>
        <v>66.5</v>
      </c>
      <c r="BG119">
        <f t="shared" si="51"/>
        <v>16.75</v>
      </c>
      <c r="BH119" s="1">
        <f t="shared" si="42"/>
        <v>0</v>
      </c>
      <c r="BI119" s="1">
        <f t="shared" si="43"/>
        <v>0.25187969924812031</v>
      </c>
      <c r="BJ119" s="1">
        <f t="shared" si="44"/>
        <v>0.59</v>
      </c>
      <c r="BK119" s="1">
        <f t="shared" si="45"/>
        <v>9.6000000000000002E-2</v>
      </c>
      <c r="BL119" s="1">
        <f t="shared" si="46"/>
        <v>0.25187969924812031</v>
      </c>
      <c r="BM119" s="1">
        <f t="shared" si="47"/>
        <v>0.25187969924812031</v>
      </c>
      <c r="BN119" s="1">
        <f t="shared" si="50"/>
        <v>2.0198179885804721E-2</v>
      </c>
      <c r="BO119" s="1">
        <f t="shared" si="48"/>
        <v>1.8607483276616605E-4</v>
      </c>
    </row>
    <row r="120" spans="1:67" x14ac:dyDescent="0.25">
      <c r="A120" s="3"/>
      <c r="B120" s="3"/>
      <c r="C120" t="s">
        <v>106</v>
      </c>
      <c r="D120" s="5">
        <v>1</v>
      </c>
      <c r="E120" s="9">
        <f t="shared" si="27"/>
        <v>38.6</v>
      </c>
      <c r="F120" s="9">
        <f t="shared" si="28"/>
        <v>0</v>
      </c>
      <c r="G120">
        <v>0</v>
      </c>
      <c r="H120">
        <v>61.4</v>
      </c>
      <c r="I120">
        <v>38.6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41.9</v>
      </c>
      <c r="AK120" t="s">
        <v>1</v>
      </c>
      <c r="AL120" t="s">
        <v>372</v>
      </c>
      <c r="AQ120" s="1">
        <f t="shared" si="49"/>
        <v>100</v>
      </c>
      <c r="AR120" s="1">
        <f t="shared" si="29"/>
        <v>0</v>
      </c>
      <c r="AS120" s="1">
        <f t="shared" si="30"/>
        <v>0</v>
      </c>
      <c r="AT120" s="1">
        <f t="shared" si="31"/>
        <v>0.61399999999999999</v>
      </c>
      <c r="AU120" s="1">
        <f t="shared" si="32"/>
        <v>0</v>
      </c>
      <c r="AV120" s="1">
        <f t="shared" si="33"/>
        <v>0.41899999999999998</v>
      </c>
      <c r="AX120" s="1">
        <f t="shared" si="34"/>
        <v>0</v>
      </c>
      <c r="AY120" s="1">
        <f t="shared" si="35"/>
        <v>0</v>
      </c>
      <c r="AZ120" s="1">
        <f t="shared" si="36"/>
        <v>0.5</v>
      </c>
      <c r="BA120" s="1">
        <f t="shared" si="37"/>
        <v>0.5</v>
      </c>
      <c r="BB120" s="1">
        <f t="shared" si="38"/>
        <v>0</v>
      </c>
      <c r="BC120" s="1">
        <f t="shared" si="39"/>
        <v>0</v>
      </c>
      <c r="BD120" s="1">
        <f t="shared" si="40"/>
        <v>0.41899999999999998</v>
      </c>
      <c r="BF120">
        <f t="shared" si="41"/>
        <v>61.4</v>
      </c>
      <c r="BG120">
        <f t="shared" si="51"/>
        <v>19.3</v>
      </c>
      <c r="BH120" s="1">
        <f t="shared" si="42"/>
        <v>0</v>
      </c>
      <c r="BI120" s="1">
        <f t="shared" si="43"/>
        <v>0.31433224755700329</v>
      </c>
      <c r="BJ120" s="1">
        <f t="shared" si="44"/>
        <v>0.59</v>
      </c>
      <c r="BK120" s="1">
        <f t="shared" si="45"/>
        <v>9.6000000000000002E-2</v>
      </c>
      <c r="BL120" s="1">
        <f t="shared" si="46"/>
        <v>0.31433224755700329</v>
      </c>
      <c r="BM120" s="1">
        <f t="shared" si="47"/>
        <v>0.31433224755700329</v>
      </c>
      <c r="BN120" s="1">
        <f t="shared" si="50"/>
        <v>1.095533840146844E-2</v>
      </c>
      <c r="BO120" s="1">
        <f t="shared" si="48"/>
        <v>1.2902858659556037E-4</v>
      </c>
    </row>
    <row r="121" spans="1:67" x14ac:dyDescent="0.25">
      <c r="A121" s="3"/>
      <c r="B121" s="3"/>
      <c r="C121" t="s">
        <v>107</v>
      </c>
      <c r="D121" s="5">
        <v>1</v>
      </c>
      <c r="E121" s="9">
        <f t="shared" si="27"/>
        <v>50</v>
      </c>
      <c r="F121" s="9">
        <f t="shared" si="28"/>
        <v>0</v>
      </c>
      <c r="G121">
        <v>0</v>
      </c>
      <c r="H121">
        <v>50</v>
      </c>
      <c r="I121">
        <v>50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38.299999999999997</v>
      </c>
      <c r="AK121" t="s">
        <v>1</v>
      </c>
      <c r="AL121" t="s">
        <v>372</v>
      </c>
      <c r="AQ121" s="1">
        <f t="shared" si="49"/>
        <v>100</v>
      </c>
      <c r="AR121" s="1">
        <f t="shared" si="29"/>
        <v>0</v>
      </c>
      <c r="AS121" s="1">
        <f t="shared" si="30"/>
        <v>0</v>
      </c>
      <c r="AT121" s="1">
        <f t="shared" si="31"/>
        <v>0.5</v>
      </c>
      <c r="AU121" s="1">
        <f t="shared" si="32"/>
        <v>0</v>
      </c>
      <c r="AV121" s="1">
        <f t="shared" si="33"/>
        <v>0.38299999999999995</v>
      </c>
      <c r="AX121" s="1">
        <f t="shared" si="34"/>
        <v>0</v>
      </c>
      <c r="AY121" s="1">
        <f t="shared" si="35"/>
        <v>0</v>
      </c>
      <c r="AZ121" s="1">
        <f t="shared" si="36"/>
        <v>0.5</v>
      </c>
      <c r="BA121" s="1">
        <f t="shared" si="37"/>
        <v>0.5</v>
      </c>
      <c r="BB121" s="1">
        <f t="shared" si="38"/>
        <v>0</v>
      </c>
      <c r="BC121" s="1">
        <f t="shared" si="39"/>
        <v>0</v>
      </c>
      <c r="BD121" s="1">
        <f t="shared" si="40"/>
        <v>0.38299999999999995</v>
      </c>
      <c r="BF121">
        <f t="shared" si="41"/>
        <v>50</v>
      </c>
      <c r="BG121">
        <f t="shared" si="51"/>
        <v>25</v>
      </c>
      <c r="BH121" s="1">
        <f t="shared" si="42"/>
        <v>0</v>
      </c>
      <c r="BI121" s="1">
        <f t="shared" si="43"/>
        <v>0.5</v>
      </c>
      <c r="BJ121" s="1">
        <f t="shared" si="44"/>
        <v>0.59</v>
      </c>
      <c r="BK121" s="1">
        <f t="shared" si="45"/>
        <v>9.6000000000000002E-2</v>
      </c>
      <c r="BL121" s="1">
        <f t="shared" si="46"/>
        <v>0.5</v>
      </c>
      <c r="BM121" s="1">
        <f t="shared" si="47"/>
        <v>0.5</v>
      </c>
      <c r="BN121" s="1">
        <f t="shared" si="50"/>
        <v>1.3689000000000012E-2</v>
      </c>
      <c r="BO121" s="1">
        <f t="shared" si="48"/>
        <v>6.0717518108123329E-4</v>
      </c>
    </row>
    <row r="122" spans="1:67" x14ac:dyDescent="0.25">
      <c r="A122" s="3"/>
      <c r="B122" s="3"/>
      <c r="C122" t="s">
        <v>109</v>
      </c>
      <c r="D122" s="5">
        <v>1</v>
      </c>
      <c r="E122" s="9">
        <f t="shared" si="27"/>
        <v>25.9</v>
      </c>
      <c r="F122" s="9">
        <f t="shared" si="28"/>
        <v>0</v>
      </c>
      <c r="G122">
        <v>0</v>
      </c>
      <c r="H122">
        <v>74.099999999999994</v>
      </c>
      <c r="I122">
        <v>10.5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15.4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39.9</v>
      </c>
      <c r="AK122" t="s">
        <v>1</v>
      </c>
      <c r="AL122" t="s">
        <v>372</v>
      </c>
      <c r="AM122" t="s">
        <v>379</v>
      </c>
      <c r="AN122" t="s">
        <v>373</v>
      </c>
      <c r="AO122" t="s">
        <v>375</v>
      </c>
      <c r="AQ122" s="1">
        <f t="shared" si="49"/>
        <v>100</v>
      </c>
      <c r="AR122" s="1">
        <f t="shared" si="29"/>
        <v>0.154</v>
      </c>
      <c r="AS122" s="1">
        <f t="shared" si="30"/>
        <v>0</v>
      </c>
      <c r="AT122" s="1">
        <f t="shared" si="31"/>
        <v>0.74099999999999999</v>
      </c>
      <c r="AU122" s="1">
        <f t="shared" si="32"/>
        <v>0</v>
      </c>
      <c r="AV122" s="1">
        <f t="shared" si="33"/>
        <v>0.39899999999999997</v>
      </c>
      <c r="AX122" s="1">
        <f t="shared" si="34"/>
        <v>0</v>
      </c>
      <c r="AY122" s="1">
        <f t="shared" si="35"/>
        <v>0.2078272604588394</v>
      </c>
      <c r="AZ122" s="1">
        <f t="shared" si="36"/>
        <v>0.5</v>
      </c>
      <c r="BA122" s="1">
        <f t="shared" si="37"/>
        <v>0.5</v>
      </c>
      <c r="BB122" s="1">
        <f t="shared" si="38"/>
        <v>0.2078272604588394</v>
      </c>
      <c r="BC122" s="1">
        <f t="shared" si="39"/>
        <v>0.2078272604588394</v>
      </c>
      <c r="BD122" s="1">
        <f t="shared" si="40"/>
        <v>0.19117273954116057</v>
      </c>
      <c r="BF122">
        <f t="shared" si="41"/>
        <v>74.099999999999994</v>
      </c>
      <c r="BG122">
        <f t="shared" si="51"/>
        <v>20.65</v>
      </c>
      <c r="BH122" s="1">
        <f t="shared" si="42"/>
        <v>0</v>
      </c>
      <c r="BI122" s="1">
        <f t="shared" si="43"/>
        <v>0.27867746288798922</v>
      </c>
      <c r="BJ122" s="1">
        <f t="shared" si="44"/>
        <v>0.59</v>
      </c>
      <c r="BK122" s="1">
        <f t="shared" si="45"/>
        <v>9.6000000000000002E-2</v>
      </c>
      <c r="BL122" s="1">
        <f t="shared" si="46"/>
        <v>0.27867746288798922</v>
      </c>
      <c r="BM122" s="1">
        <f t="shared" si="47"/>
        <v>0.27867746288798922</v>
      </c>
      <c r="BN122" s="1">
        <f t="shared" si="50"/>
        <v>1.4477512937071202E-2</v>
      </c>
      <c r="BO122" s="1">
        <f t="shared" si="48"/>
        <v>7.4665583532044737E-5</v>
      </c>
    </row>
    <row r="123" spans="1:67" x14ac:dyDescent="0.25">
      <c r="A123" s="3"/>
      <c r="B123" s="3"/>
      <c r="C123" t="s">
        <v>110</v>
      </c>
      <c r="D123" s="5">
        <v>1</v>
      </c>
      <c r="E123" s="9">
        <f t="shared" si="27"/>
        <v>25.3</v>
      </c>
      <c r="F123" s="9">
        <f t="shared" si="28"/>
        <v>0.17001338688085674</v>
      </c>
      <c r="G123">
        <v>0</v>
      </c>
      <c r="H123">
        <v>62</v>
      </c>
      <c r="I123">
        <v>10.4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14.9</v>
      </c>
      <c r="P123">
        <v>0</v>
      </c>
      <c r="Q123">
        <v>12.7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45.3</v>
      </c>
      <c r="AK123" t="s">
        <v>1</v>
      </c>
      <c r="AL123" t="s">
        <v>372</v>
      </c>
      <c r="AQ123" s="1">
        <f t="shared" si="49"/>
        <v>100.00000000000001</v>
      </c>
      <c r="AR123" s="1">
        <f t="shared" si="29"/>
        <v>0.14899999999999999</v>
      </c>
      <c r="AS123" s="1">
        <f t="shared" si="30"/>
        <v>0</v>
      </c>
      <c r="AT123" s="1">
        <f t="shared" si="31"/>
        <v>0.62</v>
      </c>
      <c r="AU123" s="1">
        <f t="shared" si="32"/>
        <v>0.127</v>
      </c>
      <c r="AV123" s="1">
        <f t="shared" si="33"/>
        <v>0.45299999999999996</v>
      </c>
      <c r="AX123" s="1">
        <f t="shared" si="34"/>
        <v>0.20483870967741935</v>
      </c>
      <c r="AY123" s="1">
        <f t="shared" si="35"/>
        <v>0.24032258064516129</v>
      </c>
      <c r="AZ123" s="1">
        <f t="shared" si="36"/>
        <v>0.51280241935483872</v>
      </c>
      <c r="BA123" s="1">
        <f t="shared" si="37"/>
        <v>0.55120967741935489</v>
      </c>
      <c r="BB123" s="1">
        <f t="shared" si="38"/>
        <v>0.24032258064516129</v>
      </c>
      <c r="BC123" s="1">
        <f t="shared" si="39"/>
        <v>0.24032258064516129</v>
      </c>
      <c r="BD123" s="1">
        <f t="shared" si="40"/>
        <v>0.21267741935483866</v>
      </c>
      <c r="BF123">
        <f t="shared" si="41"/>
        <v>62</v>
      </c>
      <c r="BG123">
        <f t="shared" si="51"/>
        <v>20.100000000000001</v>
      </c>
      <c r="BH123" s="1">
        <f t="shared" si="42"/>
        <v>0.20483870967741935</v>
      </c>
      <c r="BI123" s="1">
        <f t="shared" si="43"/>
        <v>0.3241935483870968</v>
      </c>
      <c r="BJ123" s="1">
        <f t="shared" si="44"/>
        <v>0.59389193548387098</v>
      </c>
      <c r="BK123" s="1">
        <f t="shared" si="45"/>
        <v>0.19882903225806453</v>
      </c>
      <c r="BL123" s="1">
        <f t="shared" si="46"/>
        <v>0.3241935483870968</v>
      </c>
      <c r="BM123" s="1">
        <f t="shared" si="47"/>
        <v>0.3241935483870968</v>
      </c>
      <c r="BN123" s="1">
        <f t="shared" si="50"/>
        <v>1.6591101977107163E-2</v>
      </c>
      <c r="BO123" s="1">
        <f t="shared" si="48"/>
        <v>2.0574456918035352E-3</v>
      </c>
    </row>
    <row r="124" spans="1:67" x14ac:dyDescent="0.25">
      <c r="A124" s="3"/>
      <c r="B124" s="3"/>
      <c r="C124" t="s">
        <v>111</v>
      </c>
      <c r="D124" s="5">
        <v>1</v>
      </c>
      <c r="E124" s="9">
        <f t="shared" si="27"/>
        <v>25.8</v>
      </c>
      <c r="F124" s="9">
        <f t="shared" si="28"/>
        <v>0.33557951482479786</v>
      </c>
      <c r="G124">
        <v>0</v>
      </c>
      <c r="H124">
        <v>49.3</v>
      </c>
      <c r="I124">
        <v>10.8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15</v>
      </c>
      <c r="P124">
        <v>0</v>
      </c>
      <c r="Q124">
        <v>24.9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48.9</v>
      </c>
      <c r="AK124" t="s">
        <v>1</v>
      </c>
      <c r="AL124" t="s">
        <v>372</v>
      </c>
      <c r="AQ124" s="1">
        <f t="shared" si="49"/>
        <v>100</v>
      </c>
      <c r="AR124" s="1">
        <f t="shared" si="29"/>
        <v>0.15</v>
      </c>
      <c r="AS124" s="1">
        <f t="shared" si="30"/>
        <v>0</v>
      </c>
      <c r="AT124" s="1">
        <f t="shared" si="31"/>
        <v>0.49299999999999999</v>
      </c>
      <c r="AU124" s="1">
        <f t="shared" si="32"/>
        <v>0.249</v>
      </c>
      <c r="AV124" s="1">
        <f t="shared" si="33"/>
        <v>0.48899999999999999</v>
      </c>
      <c r="AX124" s="1">
        <f t="shared" si="34"/>
        <v>0.50507099391480725</v>
      </c>
      <c r="AY124" s="1">
        <f t="shared" si="35"/>
        <v>0.3042596348884381</v>
      </c>
      <c r="AZ124" s="1">
        <f t="shared" si="36"/>
        <v>0.5315669371196754</v>
      </c>
      <c r="BA124" s="1">
        <f t="shared" si="37"/>
        <v>0.62626774847870181</v>
      </c>
      <c r="BB124" s="1">
        <f t="shared" si="38"/>
        <v>0.3042596348884381</v>
      </c>
      <c r="BC124" s="1">
        <f t="shared" si="39"/>
        <v>0.3042596348884381</v>
      </c>
      <c r="BD124" s="1">
        <f t="shared" si="40"/>
        <v>0.18474036511156189</v>
      </c>
      <c r="BF124">
        <f t="shared" si="41"/>
        <v>49.3</v>
      </c>
      <c r="BG124">
        <f t="shared" si="51"/>
        <v>20.399999999999999</v>
      </c>
      <c r="BH124" s="1">
        <f t="shared" si="42"/>
        <v>0.50507099391480725</v>
      </c>
      <c r="BI124" s="1">
        <f t="shared" si="43"/>
        <v>0.41379310344827586</v>
      </c>
      <c r="BJ124" s="1">
        <f t="shared" si="44"/>
        <v>0.59959634888438129</v>
      </c>
      <c r="BK124" s="1">
        <f t="shared" si="45"/>
        <v>0.34954563894523327</v>
      </c>
      <c r="BL124" s="1">
        <f t="shared" si="46"/>
        <v>0.41379310344827586</v>
      </c>
      <c r="BM124" s="1">
        <f t="shared" si="47"/>
        <v>0.41379310344827586</v>
      </c>
      <c r="BN124" s="1">
        <f t="shared" si="50"/>
        <v>5.6560772889417358E-3</v>
      </c>
      <c r="BO124" s="1">
        <f t="shared" si="48"/>
        <v>6.6192990973178677E-3</v>
      </c>
    </row>
    <row r="125" spans="1:67" x14ac:dyDescent="0.25">
      <c r="A125" s="3"/>
      <c r="B125" s="3"/>
      <c r="C125" t="s">
        <v>112</v>
      </c>
      <c r="D125" s="5">
        <v>1</v>
      </c>
      <c r="E125" s="9">
        <f t="shared" si="27"/>
        <v>24.7</v>
      </c>
      <c r="F125" s="9">
        <f t="shared" si="28"/>
        <v>0.49003984063745021</v>
      </c>
      <c r="G125">
        <v>0</v>
      </c>
      <c r="H125">
        <v>38.4</v>
      </c>
      <c r="I125">
        <v>10.6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14.1</v>
      </c>
      <c r="P125">
        <v>0</v>
      </c>
      <c r="Q125">
        <v>36.9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53.5</v>
      </c>
      <c r="AK125" t="s">
        <v>1</v>
      </c>
      <c r="AL125" t="s">
        <v>372</v>
      </c>
      <c r="AQ125" s="1">
        <f t="shared" si="49"/>
        <v>100</v>
      </c>
      <c r="AR125" s="1">
        <f t="shared" si="29"/>
        <v>0.14099999999999999</v>
      </c>
      <c r="AS125" s="1">
        <f t="shared" si="30"/>
        <v>0</v>
      </c>
      <c r="AT125" s="1">
        <f t="shared" si="31"/>
        <v>0.38400000000000001</v>
      </c>
      <c r="AU125" s="1">
        <f t="shared" si="32"/>
        <v>0.36899999999999999</v>
      </c>
      <c r="AV125" s="1">
        <f t="shared" si="33"/>
        <v>0.53500000000000003</v>
      </c>
      <c r="AX125" s="1">
        <f t="shared" si="34"/>
        <v>0.9609375</v>
      </c>
      <c r="AY125" s="1">
        <f t="shared" si="35"/>
        <v>0.36718749999999994</v>
      </c>
      <c r="AZ125" s="1">
        <f t="shared" si="36"/>
        <v>0.56005859375</v>
      </c>
      <c r="BA125" s="1">
        <f t="shared" si="37"/>
        <v>0.740234375</v>
      </c>
      <c r="BB125" s="1">
        <f t="shared" si="38"/>
        <v>0.36718749999999994</v>
      </c>
      <c r="BC125" s="1">
        <f t="shared" si="39"/>
        <v>0.36718749999999994</v>
      </c>
      <c r="BD125" s="1">
        <f t="shared" si="40"/>
        <v>0.16781250000000009</v>
      </c>
      <c r="BF125">
        <f t="shared" si="41"/>
        <v>38.4</v>
      </c>
      <c r="BG125">
        <f t="shared" si="51"/>
        <v>19.399999999999999</v>
      </c>
      <c r="BH125" s="1">
        <f t="shared" si="42"/>
        <v>0.9609375</v>
      </c>
      <c r="BI125" s="1">
        <f t="shared" si="43"/>
        <v>0.50520833333333337</v>
      </c>
      <c r="BJ125" s="1">
        <f t="shared" si="44"/>
        <v>0.60825781249999999</v>
      </c>
      <c r="BK125" s="1">
        <f t="shared" si="45"/>
        <v>0.57839062500000005</v>
      </c>
      <c r="BL125" s="1">
        <f t="shared" si="46"/>
        <v>0.50520833333333337</v>
      </c>
      <c r="BM125" s="1">
        <f t="shared" si="47"/>
        <v>0.50520833333333337</v>
      </c>
      <c r="BN125" s="1">
        <f t="shared" si="50"/>
        <v>8.8754340277777746E-4</v>
      </c>
      <c r="BO125" s="1">
        <f t="shared" si="48"/>
        <v>1.6220334004363963E-2</v>
      </c>
    </row>
    <row r="126" spans="1:67" x14ac:dyDescent="0.25">
      <c r="A126" s="3"/>
      <c r="B126" s="3"/>
      <c r="C126" t="s">
        <v>113</v>
      </c>
      <c r="D126" s="5">
        <v>1</v>
      </c>
      <c r="E126" s="9">
        <f t="shared" si="27"/>
        <v>26.5</v>
      </c>
      <c r="F126" s="9">
        <f t="shared" si="28"/>
        <v>0.70204081632653059</v>
      </c>
      <c r="G126">
        <v>0</v>
      </c>
      <c r="H126">
        <v>21.9</v>
      </c>
      <c r="I126">
        <v>11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15.5</v>
      </c>
      <c r="P126">
        <v>0</v>
      </c>
      <c r="Q126">
        <v>51.6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65.5</v>
      </c>
      <c r="AK126" t="s">
        <v>1</v>
      </c>
      <c r="AL126" t="s">
        <v>372</v>
      </c>
      <c r="AQ126" s="1">
        <f t="shared" si="49"/>
        <v>100</v>
      </c>
      <c r="AR126" s="1">
        <f t="shared" si="29"/>
        <v>0.155</v>
      </c>
      <c r="AS126" s="1">
        <f t="shared" si="30"/>
        <v>0</v>
      </c>
      <c r="AT126" s="1">
        <f t="shared" si="31"/>
        <v>0.21899999999999997</v>
      </c>
      <c r="AU126" s="1">
        <f t="shared" si="32"/>
        <v>0.51600000000000001</v>
      </c>
      <c r="AV126" s="1">
        <f t="shared" si="33"/>
        <v>0.65500000000000003</v>
      </c>
      <c r="AX126" s="1">
        <f t="shared" si="34"/>
        <v>2.3561643835616444</v>
      </c>
      <c r="AY126" s="1">
        <f t="shared" si="35"/>
        <v>0.7077625570776257</v>
      </c>
      <c r="AZ126" s="1">
        <f t="shared" si="36"/>
        <v>0.64726027397260277</v>
      </c>
      <c r="BA126" s="1">
        <f t="shared" si="37"/>
        <v>1.0890410958904111</v>
      </c>
      <c r="BB126" s="1">
        <f t="shared" si="38"/>
        <v>0.64726027397260277</v>
      </c>
      <c r="BC126" s="1">
        <f t="shared" si="39"/>
        <v>0.64726027397260277</v>
      </c>
      <c r="BD126" s="1">
        <f t="shared" si="40"/>
        <v>7.7397260273972535E-3</v>
      </c>
      <c r="BF126">
        <f t="shared" si="41"/>
        <v>21.9</v>
      </c>
      <c r="BG126">
        <f t="shared" si="51"/>
        <v>21</v>
      </c>
      <c r="BH126" s="1">
        <f t="shared" si="42"/>
        <v>2.3561643835616439</v>
      </c>
      <c r="BI126" s="1">
        <f t="shared" si="43"/>
        <v>0.95890410958904115</v>
      </c>
      <c r="BJ126" s="1">
        <f t="shared" si="44"/>
        <v>0.63476712328767115</v>
      </c>
      <c r="BK126" s="1">
        <f t="shared" si="45"/>
        <v>1.2787945205479454</v>
      </c>
      <c r="BL126" s="1">
        <f t="shared" si="46"/>
        <v>0.63476712328767115</v>
      </c>
      <c r="BM126" s="1">
        <f t="shared" si="47"/>
        <v>0.63476712328767115</v>
      </c>
      <c r="BN126" s="1">
        <f t="shared" si="50"/>
        <v>4.0936930005630004E-4</v>
      </c>
      <c r="BO126" s="1">
        <f t="shared" si="48"/>
        <v>6.1186512022745068E-2</v>
      </c>
    </row>
    <row r="127" spans="1:67" x14ac:dyDescent="0.25">
      <c r="A127" s="3"/>
      <c r="B127" s="3"/>
      <c r="C127" t="s">
        <v>114</v>
      </c>
      <c r="D127" s="5">
        <v>1</v>
      </c>
      <c r="E127" s="9">
        <f t="shared" si="27"/>
        <v>25.4</v>
      </c>
      <c r="F127" s="9">
        <f t="shared" si="28"/>
        <v>0.85522788203753353</v>
      </c>
      <c r="G127">
        <v>0</v>
      </c>
      <c r="H127">
        <v>10.8</v>
      </c>
      <c r="I127">
        <v>10.6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14.8</v>
      </c>
      <c r="P127">
        <v>0</v>
      </c>
      <c r="Q127">
        <v>63.8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75.8</v>
      </c>
      <c r="AK127" t="s">
        <v>1</v>
      </c>
      <c r="AL127" t="s">
        <v>372</v>
      </c>
      <c r="AQ127" s="1">
        <f t="shared" si="49"/>
        <v>100</v>
      </c>
      <c r="AR127" s="1">
        <f t="shared" si="29"/>
        <v>0.14800000000000002</v>
      </c>
      <c r="AS127" s="1">
        <f t="shared" si="30"/>
        <v>0</v>
      </c>
      <c r="AT127" s="1">
        <f t="shared" si="31"/>
        <v>0.10800000000000001</v>
      </c>
      <c r="AU127" s="1">
        <f t="shared" si="32"/>
        <v>0.63800000000000001</v>
      </c>
      <c r="AV127" s="1">
        <f t="shared" si="33"/>
        <v>0.75800000000000001</v>
      </c>
      <c r="AX127" s="1">
        <f t="shared" si="34"/>
        <v>5.9074074074074066</v>
      </c>
      <c r="AY127" s="1">
        <f t="shared" si="35"/>
        <v>1.3703703703703705</v>
      </c>
      <c r="AZ127" s="1">
        <f t="shared" si="36"/>
        <v>0.86921296296296291</v>
      </c>
      <c r="BA127" s="1">
        <f t="shared" si="37"/>
        <v>1.9768518518518516</v>
      </c>
      <c r="BB127" s="1">
        <f t="shared" si="38"/>
        <v>0.86921296296296291</v>
      </c>
      <c r="BC127" s="1">
        <f t="shared" si="39"/>
        <v>0.86921296296296291</v>
      </c>
      <c r="BD127" s="1">
        <f t="shared" si="40"/>
        <v>0.1112129629629629</v>
      </c>
      <c r="BF127">
        <f t="shared" si="41"/>
        <v>10.8</v>
      </c>
      <c r="BG127">
        <f t="shared" si="51"/>
        <v>20.100000000000001</v>
      </c>
      <c r="BH127" s="1">
        <f t="shared" si="42"/>
        <v>5.9074074074074066</v>
      </c>
      <c r="BI127" s="1">
        <f t="shared" si="43"/>
        <v>1.8611111111111112</v>
      </c>
      <c r="BJ127" s="1">
        <f t="shared" si="44"/>
        <v>0.70224074074074072</v>
      </c>
      <c r="BK127" s="1">
        <f t="shared" si="45"/>
        <v>3.0615185185185183</v>
      </c>
      <c r="BL127" s="1">
        <f t="shared" si="46"/>
        <v>0.70224074074074072</v>
      </c>
      <c r="BM127" s="1">
        <f t="shared" si="47"/>
        <v>0.70224074074074072</v>
      </c>
      <c r="BN127" s="1">
        <f t="shared" si="50"/>
        <v>3.1090949931412925E-3</v>
      </c>
      <c r="BO127" s="1">
        <f t="shared" si="48"/>
        <v>0.12275148148852218</v>
      </c>
    </row>
    <row r="128" spans="1:67" x14ac:dyDescent="0.25">
      <c r="A128" s="3"/>
      <c r="B128" s="3"/>
      <c r="C128" t="s">
        <v>115</v>
      </c>
      <c r="D128" s="5">
        <v>1</v>
      </c>
      <c r="E128" s="9">
        <f t="shared" si="27"/>
        <v>25.900000000000002</v>
      </c>
      <c r="F128" s="9">
        <f t="shared" si="28"/>
        <v>0.9339622641509433</v>
      </c>
      <c r="G128">
        <v>0</v>
      </c>
      <c r="H128">
        <v>4.9000000000000004</v>
      </c>
      <c r="I128">
        <v>9.8000000000000007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16.100000000000001</v>
      </c>
      <c r="P128">
        <v>0</v>
      </c>
      <c r="Q128">
        <v>69.3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80.8</v>
      </c>
      <c r="AK128" t="s">
        <v>1</v>
      </c>
      <c r="AL128" t="s">
        <v>372</v>
      </c>
      <c r="AQ128" s="1">
        <f t="shared" si="49"/>
        <v>100.1</v>
      </c>
      <c r="AR128" s="1">
        <f t="shared" si="29"/>
        <v>0.161</v>
      </c>
      <c r="AS128" s="1">
        <f t="shared" si="30"/>
        <v>0</v>
      </c>
      <c r="AT128" s="1">
        <f t="shared" si="31"/>
        <v>4.9000000000000002E-2</v>
      </c>
      <c r="AU128" s="1">
        <f t="shared" si="32"/>
        <v>0.69299999999999995</v>
      </c>
      <c r="AV128" s="1">
        <f t="shared" si="33"/>
        <v>0.80799999999999994</v>
      </c>
      <c r="AX128" s="1">
        <f t="shared" si="34"/>
        <v>14.142857142857141</v>
      </c>
      <c r="AY128" s="1">
        <f t="shared" si="35"/>
        <v>3.2857142857142856</v>
      </c>
      <c r="AZ128" s="1">
        <f t="shared" si="36"/>
        <v>1.3839285714285712</v>
      </c>
      <c r="BA128" s="1">
        <f t="shared" si="37"/>
        <v>4.0357142857142847</v>
      </c>
      <c r="BB128" s="1">
        <f t="shared" si="38"/>
        <v>1.3839285714285712</v>
      </c>
      <c r="BC128" s="1">
        <f t="shared" si="39"/>
        <v>1</v>
      </c>
      <c r="BD128" s="1">
        <f t="shared" si="40"/>
        <v>0.19200000000000006</v>
      </c>
      <c r="BF128">
        <f t="shared" si="41"/>
        <v>4.9000000000000004</v>
      </c>
      <c r="BG128">
        <f t="shared" si="51"/>
        <v>21</v>
      </c>
      <c r="BH128" s="1">
        <f t="shared" si="42"/>
        <v>14.142857142857141</v>
      </c>
      <c r="BI128" s="1">
        <f t="shared" si="43"/>
        <v>4.2857142857142856</v>
      </c>
      <c r="BJ128" s="1">
        <f t="shared" si="44"/>
        <v>0.85871428571428565</v>
      </c>
      <c r="BK128" s="1">
        <f t="shared" si="45"/>
        <v>7.1957142857142848</v>
      </c>
      <c r="BL128" s="1">
        <f t="shared" si="46"/>
        <v>0.85871428571428565</v>
      </c>
      <c r="BM128" s="1">
        <f t="shared" si="47"/>
        <v>0.85871428571428565</v>
      </c>
      <c r="BN128" s="1">
        <f t="shared" si="50"/>
        <v>2.571938775510204E-3</v>
      </c>
      <c r="BO128" s="1">
        <f t="shared" si="48"/>
        <v>0.16028738899618092</v>
      </c>
    </row>
    <row r="129" spans="1:67" x14ac:dyDescent="0.25">
      <c r="A129" s="3"/>
      <c r="B129" s="3"/>
      <c r="C129" t="s">
        <v>116</v>
      </c>
      <c r="D129" s="5">
        <v>1</v>
      </c>
      <c r="E129" s="9">
        <f t="shared" si="27"/>
        <v>9.6</v>
      </c>
      <c r="F129" s="9">
        <f t="shared" si="28"/>
        <v>0</v>
      </c>
      <c r="G129">
        <v>0</v>
      </c>
      <c r="H129">
        <v>90.4</v>
      </c>
      <c r="I129">
        <v>0</v>
      </c>
      <c r="J129">
        <v>0</v>
      </c>
      <c r="K129">
        <v>0</v>
      </c>
      <c r="L129">
        <v>0</v>
      </c>
      <c r="M129">
        <v>9.6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11.2</v>
      </c>
      <c r="AK129" t="s">
        <v>1</v>
      </c>
      <c r="AL129" t="s">
        <v>374</v>
      </c>
      <c r="AO129" t="s">
        <v>375</v>
      </c>
      <c r="AQ129" s="1">
        <f t="shared" si="49"/>
        <v>100</v>
      </c>
      <c r="AR129" s="1">
        <f t="shared" si="29"/>
        <v>9.6000000000000002E-2</v>
      </c>
      <c r="AS129" s="1">
        <f t="shared" si="30"/>
        <v>0</v>
      </c>
      <c r="AT129" s="1">
        <f t="shared" si="31"/>
        <v>0.90400000000000003</v>
      </c>
      <c r="AU129" s="1">
        <f t="shared" si="32"/>
        <v>0</v>
      </c>
      <c r="AV129" s="1">
        <f t="shared" si="33"/>
        <v>0.11199999999999999</v>
      </c>
      <c r="AX129" s="1">
        <f t="shared" si="34"/>
        <v>0</v>
      </c>
      <c r="AY129" s="1">
        <f t="shared" si="35"/>
        <v>0.10619469026548672</v>
      </c>
      <c r="AZ129" s="1">
        <f t="shared" si="36"/>
        <v>0.5</v>
      </c>
      <c r="BA129" s="1">
        <f t="shared" si="37"/>
        <v>0.5</v>
      </c>
      <c r="BB129" s="1">
        <f t="shared" si="38"/>
        <v>0.10619469026548672</v>
      </c>
      <c r="BC129" s="1">
        <f t="shared" si="39"/>
        <v>0.10619469026548672</v>
      </c>
      <c r="BD129" s="1">
        <f t="shared" si="40"/>
        <v>5.8053097345132643E-3</v>
      </c>
      <c r="BF129">
        <f t="shared" si="41"/>
        <v>90.4</v>
      </c>
      <c r="BG129">
        <f t="shared" si="51"/>
        <v>9.6</v>
      </c>
      <c r="BH129" s="1">
        <f t="shared" si="42"/>
        <v>0</v>
      </c>
      <c r="BI129" s="1">
        <f t="shared" si="43"/>
        <v>0.10619469026548671</v>
      </c>
      <c r="BJ129" s="1">
        <f t="shared" si="44"/>
        <v>0.59</v>
      </c>
      <c r="BK129" s="1">
        <f t="shared" si="45"/>
        <v>9.6000000000000002E-2</v>
      </c>
      <c r="BL129" s="1">
        <f t="shared" si="46"/>
        <v>0.10619469026548671</v>
      </c>
      <c r="BM129" s="1">
        <f t="shared" si="47"/>
        <v>0.10619469026548671</v>
      </c>
      <c r="BN129" s="1">
        <f t="shared" si="50"/>
        <v>3.3701621113634627E-5</v>
      </c>
      <c r="BO129" s="1">
        <f t="shared" si="48"/>
        <v>8.7403556489570586E-2</v>
      </c>
    </row>
    <row r="130" spans="1:67" x14ac:dyDescent="0.25">
      <c r="A130" s="3"/>
      <c r="B130" s="3"/>
      <c r="C130" t="s">
        <v>117</v>
      </c>
      <c r="D130" s="5">
        <v>1</v>
      </c>
      <c r="E130" s="9">
        <f t="shared" ref="E130:E193" si="52">I130+L130+M130+N130+O130+V130+X130+AB130+AD130</f>
        <v>14.6</v>
      </c>
      <c r="F130" s="9">
        <f t="shared" ref="F130:F193" si="53">Q130/(H130+P130+Q130+AC130)</f>
        <v>0</v>
      </c>
      <c r="G130">
        <v>0</v>
      </c>
      <c r="H130">
        <v>85.4</v>
      </c>
      <c r="I130">
        <v>0</v>
      </c>
      <c r="J130">
        <v>0</v>
      </c>
      <c r="K130">
        <v>0</v>
      </c>
      <c r="L130">
        <v>0</v>
      </c>
      <c r="M130">
        <v>14.6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17.7</v>
      </c>
      <c r="AK130" t="s">
        <v>1</v>
      </c>
      <c r="AL130" t="s">
        <v>374</v>
      </c>
      <c r="AQ130" s="1">
        <f t="shared" si="49"/>
        <v>100</v>
      </c>
      <c r="AR130" s="1">
        <f t="shared" ref="AR130:AR193" si="54">(L130+M130+O130+X130)/100</f>
        <v>0.14599999999999999</v>
      </c>
      <c r="AS130" s="1">
        <f t="shared" ref="AS130:AS193" si="55">G130/100</f>
        <v>0</v>
      </c>
      <c r="AT130" s="1">
        <f t="shared" ref="AT130:AT193" si="56">H130/100</f>
        <v>0.85400000000000009</v>
      </c>
      <c r="AU130" s="1">
        <f t="shared" ref="AU130:AU193" si="57">Q130/100</f>
        <v>0</v>
      </c>
      <c r="AV130" s="1">
        <f t="shared" ref="AV130:AV193" si="58">AJ130/100</f>
        <v>0.17699999999999999</v>
      </c>
      <c r="AX130" s="1">
        <f t="shared" ref="AX130:AX193" si="59">AU130/(AT130+AS130)</f>
        <v>0</v>
      </c>
      <c r="AY130" s="1">
        <f t="shared" ref="AY130:AY193" si="60">AR130/(AS130+AT130)</f>
        <v>0.17096018735362994</v>
      </c>
      <c r="AZ130" s="1">
        <f t="shared" ref="AZ130:AZ193" si="61">0.5+AX130/16</f>
        <v>0.5</v>
      </c>
      <c r="BA130" s="1">
        <f t="shared" ref="BA130:BA193" si="62">0.5+AX130/4</f>
        <v>0.5</v>
      </c>
      <c r="BB130" s="1">
        <f t="shared" ref="BB130:BB193" si="63">IF(AY130&lt;=AZ130,AY130,IF(AY130&lt;=BA130,AZ130,AZ130-(AY130-BA130)*(8+AX130)/(12*(2+AX130))))</f>
        <v>0.17096018735362994</v>
      </c>
      <c r="BC130" s="1">
        <f t="shared" ref="BC130:BC193" si="64">IF(BB130&lt;1,BB130,1)</f>
        <v>0.17096018735362994</v>
      </c>
      <c r="BD130" s="1">
        <f t="shared" ref="BD130:BD193" si="65">ABS(BC130-AV130)</f>
        <v>6.0398126463700463E-3</v>
      </c>
      <c r="BF130">
        <f t="shared" ref="BF130:BF193" si="66">$BR$3*H130+$BR$4*G130+$BR$5*P130+$BR$6*K130+$BR$7*S130+$BR$8*U130+$BR$9*Y130+$BR$10*J130+$BR$11*AC130+$BR$12*AG130+$BR$13*AH130+$BR$14*R130+$BR$15*AE130</f>
        <v>85.4</v>
      </c>
      <c r="BG130">
        <f t="shared" si="51"/>
        <v>14.6</v>
      </c>
      <c r="BH130" s="1">
        <f t="shared" ref="BH130:BH193" si="67">(Q130)/BF130</f>
        <v>0</v>
      </c>
      <c r="BI130" s="1">
        <f t="shared" ref="BI130:BI193" si="68">BG130/BF130</f>
        <v>0.17096018735362997</v>
      </c>
      <c r="BJ130" s="1">
        <f t="shared" ref="BJ130:BJ193" si="69">$BR$32+BH130*$BR$33</f>
        <v>0.59</v>
      </c>
      <c r="BK130" s="1">
        <f t="shared" ref="BK130:BK193" si="70">$BR$34+BH130*$BR$35</f>
        <v>9.6000000000000002E-2</v>
      </c>
      <c r="BL130" s="1">
        <f t="shared" ref="BL130:BL193" si="71">IF(BI130&lt;=BJ130,BI130,IF(BI130&lt;=BK130,BJ130,BJ130-(BI130-BK130)*(8+BH130)/(12*(2+BH130))))</f>
        <v>0.17096018735362997</v>
      </c>
      <c r="BM130" s="1">
        <f t="shared" ref="BM130:BM193" si="72">IF(BL130&lt;1,IF(BL130&gt;0,BL130,0),1)</f>
        <v>0.17096018735362997</v>
      </c>
      <c r="BN130" s="1">
        <f t="shared" si="50"/>
        <v>3.647933680325121E-5</v>
      </c>
      <c r="BO130" s="1">
        <f t="shared" ref="BO130:BO193" si="73">(AV130-AVERAGE($AV$2:$AV$638))^2</f>
        <v>5.3195236249527017E-2</v>
      </c>
    </row>
    <row r="131" spans="1:67" x14ac:dyDescent="0.25">
      <c r="A131" s="3"/>
      <c r="B131" s="3"/>
      <c r="C131" t="s">
        <v>118</v>
      </c>
      <c r="D131" s="5">
        <v>1</v>
      </c>
      <c r="E131" s="9">
        <f t="shared" si="52"/>
        <v>19.899999999999999</v>
      </c>
      <c r="F131" s="9">
        <f t="shared" si="53"/>
        <v>0</v>
      </c>
      <c r="G131">
        <v>0</v>
      </c>
      <c r="H131">
        <v>80.099999999999994</v>
      </c>
      <c r="I131">
        <v>0</v>
      </c>
      <c r="J131">
        <v>0</v>
      </c>
      <c r="K131">
        <v>0</v>
      </c>
      <c r="L131">
        <v>0</v>
      </c>
      <c r="M131">
        <v>19.899999999999999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25</v>
      </c>
      <c r="AK131" t="s">
        <v>1</v>
      </c>
      <c r="AL131" t="s">
        <v>374</v>
      </c>
      <c r="AQ131" s="1">
        <f t="shared" ref="AQ131:AQ194" si="74">SUM(G131:AI131)</f>
        <v>100</v>
      </c>
      <c r="AR131" s="1">
        <f t="shared" si="54"/>
        <v>0.19899999999999998</v>
      </c>
      <c r="AS131" s="1">
        <f t="shared" si="55"/>
        <v>0</v>
      </c>
      <c r="AT131" s="1">
        <f t="shared" si="56"/>
        <v>0.80099999999999993</v>
      </c>
      <c r="AU131" s="1">
        <f t="shared" si="57"/>
        <v>0</v>
      </c>
      <c r="AV131" s="1">
        <f t="shared" si="58"/>
        <v>0.25</v>
      </c>
      <c r="AX131" s="1">
        <f t="shared" si="59"/>
        <v>0</v>
      </c>
      <c r="AY131" s="1">
        <f t="shared" si="60"/>
        <v>0.24843945068664169</v>
      </c>
      <c r="AZ131" s="1">
        <f t="shared" si="61"/>
        <v>0.5</v>
      </c>
      <c r="BA131" s="1">
        <f t="shared" si="62"/>
        <v>0.5</v>
      </c>
      <c r="BB131" s="1">
        <f t="shared" si="63"/>
        <v>0.24843945068664169</v>
      </c>
      <c r="BC131" s="1">
        <f t="shared" si="64"/>
        <v>0.24843945068664169</v>
      </c>
      <c r="BD131" s="1">
        <f t="shared" si="65"/>
        <v>1.5605493133583059E-3</v>
      </c>
      <c r="BF131">
        <f t="shared" si="66"/>
        <v>80.099999999999994</v>
      </c>
      <c r="BG131">
        <f t="shared" si="51"/>
        <v>19.899999999999999</v>
      </c>
      <c r="BH131" s="1">
        <f t="shared" si="67"/>
        <v>0</v>
      </c>
      <c r="BI131" s="1">
        <f t="shared" si="68"/>
        <v>0.24843945068664169</v>
      </c>
      <c r="BJ131" s="1">
        <f t="shared" si="69"/>
        <v>0.59</v>
      </c>
      <c r="BK131" s="1">
        <f t="shared" si="70"/>
        <v>9.6000000000000002E-2</v>
      </c>
      <c r="BL131" s="1">
        <f t="shared" si="71"/>
        <v>0.24843945068664169</v>
      </c>
      <c r="BM131" s="1">
        <f t="shared" si="72"/>
        <v>0.24843945068664169</v>
      </c>
      <c r="BN131" s="1">
        <f t="shared" ref="BN131:BN194" si="75">(BM131-AV131)^2</f>
        <v>2.4353141594230803E-6</v>
      </c>
      <c r="BO131" s="1">
        <f t="shared" si="73"/>
        <v>2.4850661210708846E-2</v>
      </c>
    </row>
    <row r="132" spans="1:67" x14ac:dyDescent="0.25">
      <c r="A132" s="3"/>
      <c r="B132" s="3"/>
      <c r="C132" t="s">
        <v>119</v>
      </c>
      <c r="D132" s="5">
        <v>1</v>
      </c>
      <c r="E132" s="9">
        <f t="shared" si="52"/>
        <v>24.7</v>
      </c>
      <c r="F132" s="9">
        <f t="shared" si="53"/>
        <v>0</v>
      </c>
      <c r="G132">
        <v>0</v>
      </c>
      <c r="H132">
        <v>75.3</v>
      </c>
      <c r="I132">
        <v>0</v>
      </c>
      <c r="J132">
        <v>0</v>
      </c>
      <c r="K132">
        <v>0</v>
      </c>
      <c r="L132">
        <v>0</v>
      </c>
      <c r="M132">
        <v>24.7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32.9</v>
      </c>
      <c r="AK132" t="s">
        <v>1</v>
      </c>
      <c r="AL132" t="s">
        <v>374</v>
      </c>
      <c r="AQ132" s="1">
        <f t="shared" si="74"/>
        <v>100</v>
      </c>
      <c r="AR132" s="1">
        <f t="shared" si="54"/>
        <v>0.247</v>
      </c>
      <c r="AS132" s="1">
        <f t="shared" si="55"/>
        <v>0</v>
      </c>
      <c r="AT132" s="1">
        <f t="shared" si="56"/>
        <v>0.753</v>
      </c>
      <c r="AU132" s="1">
        <f t="shared" si="57"/>
        <v>0</v>
      </c>
      <c r="AV132" s="1">
        <f t="shared" si="58"/>
        <v>0.32899999999999996</v>
      </c>
      <c r="AX132" s="1">
        <f t="shared" si="59"/>
        <v>0</v>
      </c>
      <c r="AY132" s="1">
        <f t="shared" si="60"/>
        <v>0.32802124833997343</v>
      </c>
      <c r="AZ132" s="1">
        <f t="shared" si="61"/>
        <v>0.5</v>
      </c>
      <c r="BA132" s="1">
        <f t="shared" si="62"/>
        <v>0.5</v>
      </c>
      <c r="BB132" s="1">
        <f t="shared" si="63"/>
        <v>0.32802124833997343</v>
      </c>
      <c r="BC132" s="1">
        <f t="shared" si="64"/>
        <v>0.32802124833997343</v>
      </c>
      <c r="BD132" s="1">
        <f t="shared" si="65"/>
        <v>9.7875166002653335E-4</v>
      </c>
      <c r="BF132">
        <f t="shared" si="66"/>
        <v>75.3</v>
      </c>
      <c r="BG132">
        <f t="shared" si="51"/>
        <v>24.7</v>
      </c>
      <c r="BH132" s="1">
        <f t="shared" si="67"/>
        <v>0</v>
      </c>
      <c r="BI132" s="1">
        <f t="shared" si="68"/>
        <v>0.32802124833997343</v>
      </c>
      <c r="BJ132" s="1">
        <f t="shared" si="69"/>
        <v>0.59</v>
      </c>
      <c r="BK132" s="1">
        <f t="shared" si="70"/>
        <v>9.6000000000000002E-2</v>
      </c>
      <c r="BL132" s="1">
        <f t="shared" si="71"/>
        <v>0.32802124833997343</v>
      </c>
      <c r="BM132" s="1">
        <f t="shared" si="72"/>
        <v>0.32802124833997343</v>
      </c>
      <c r="BN132" s="1">
        <f t="shared" si="75"/>
        <v>9.5795481200469464E-7</v>
      </c>
      <c r="BO132" s="1">
        <f t="shared" si="73"/>
        <v>6.1843950728097423E-3</v>
      </c>
    </row>
    <row r="133" spans="1:67" x14ac:dyDescent="0.25">
      <c r="A133" s="3"/>
      <c r="B133" s="3"/>
      <c r="C133" t="s">
        <v>120</v>
      </c>
      <c r="D133" s="5">
        <v>1</v>
      </c>
      <c r="E133" s="9">
        <f t="shared" si="52"/>
        <v>29.5</v>
      </c>
      <c r="F133" s="9">
        <f t="shared" si="53"/>
        <v>0</v>
      </c>
      <c r="G133">
        <v>0</v>
      </c>
      <c r="H133">
        <v>70.5</v>
      </c>
      <c r="I133">
        <v>0</v>
      </c>
      <c r="J133">
        <v>0</v>
      </c>
      <c r="K133">
        <v>0</v>
      </c>
      <c r="L133">
        <v>0</v>
      </c>
      <c r="M133">
        <v>29.5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39.700000000000003</v>
      </c>
      <c r="AK133" t="s">
        <v>1</v>
      </c>
      <c r="AL133" t="s">
        <v>374</v>
      </c>
      <c r="AQ133" s="1">
        <f t="shared" si="74"/>
        <v>100</v>
      </c>
      <c r="AR133" s="1">
        <f t="shared" si="54"/>
        <v>0.29499999999999998</v>
      </c>
      <c r="AS133" s="1">
        <f t="shared" si="55"/>
        <v>0</v>
      </c>
      <c r="AT133" s="1">
        <f t="shared" si="56"/>
        <v>0.70499999999999996</v>
      </c>
      <c r="AU133" s="1">
        <f t="shared" si="57"/>
        <v>0</v>
      </c>
      <c r="AV133" s="1">
        <f t="shared" si="58"/>
        <v>0.39700000000000002</v>
      </c>
      <c r="AX133" s="1">
        <f t="shared" si="59"/>
        <v>0</v>
      </c>
      <c r="AY133" s="1">
        <f t="shared" si="60"/>
        <v>0.41843971631205673</v>
      </c>
      <c r="AZ133" s="1">
        <f t="shared" si="61"/>
        <v>0.5</v>
      </c>
      <c r="BA133" s="1">
        <f t="shared" si="62"/>
        <v>0.5</v>
      </c>
      <c r="BB133" s="1">
        <f t="shared" si="63"/>
        <v>0.41843971631205673</v>
      </c>
      <c r="BC133" s="1">
        <f t="shared" si="64"/>
        <v>0.41843971631205673</v>
      </c>
      <c r="BD133" s="1">
        <f t="shared" si="65"/>
        <v>2.1439716312056711E-2</v>
      </c>
      <c r="BF133">
        <f t="shared" si="66"/>
        <v>70.5</v>
      </c>
      <c r="BG133">
        <f t="shared" ref="BG133:BG196" si="76">O133+$BR$17*M133+$BR$18*L133+$BR$19*X133+$BR$20*AD133+$BR$21*I133+$BR$22*N133+$BR$23*AB133+$BR$24*V133+$BR$25*T133+$BR$26*AA133+$BR$28*Z133+$BR$29*AF133+$BR$30*W133+$BR$27*AI133</f>
        <v>29.5</v>
      </c>
      <c r="BH133" s="1">
        <f t="shared" si="67"/>
        <v>0</v>
      </c>
      <c r="BI133" s="1">
        <f t="shared" si="68"/>
        <v>0.41843971631205673</v>
      </c>
      <c r="BJ133" s="1">
        <f t="shared" si="69"/>
        <v>0.59</v>
      </c>
      <c r="BK133" s="1">
        <f t="shared" si="70"/>
        <v>9.6000000000000002E-2</v>
      </c>
      <c r="BL133" s="1">
        <f t="shared" si="71"/>
        <v>0.41843971631205673</v>
      </c>
      <c r="BM133" s="1">
        <f t="shared" si="72"/>
        <v>0.41843971631205673</v>
      </c>
      <c r="BN133" s="1">
        <f t="shared" si="75"/>
        <v>4.5966143554147061E-4</v>
      </c>
      <c r="BO133" s="1">
        <f t="shared" si="73"/>
        <v>1.1322928322569207E-4</v>
      </c>
    </row>
    <row r="134" spans="1:67" x14ac:dyDescent="0.25">
      <c r="A134" s="3"/>
      <c r="B134" s="3"/>
      <c r="C134" t="s">
        <v>121</v>
      </c>
      <c r="D134" s="5">
        <v>1</v>
      </c>
      <c r="E134" s="9">
        <f t="shared" si="52"/>
        <v>34.5</v>
      </c>
      <c r="F134" s="9">
        <f t="shared" si="53"/>
        <v>0</v>
      </c>
      <c r="G134">
        <v>0</v>
      </c>
      <c r="H134">
        <v>65.5</v>
      </c>
      <c r="I134">
        <v>0</v>
      </c>
      <c r="J134">
        <v>0</v>
      </c>
      <c r="K134">
        <v>0</v>
      </c>
      <c r="L134">
        <v>0</v>
      </c>
      <c r="M134">
        <v>34.5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42.9</v>
      </c>
      <c r="AK134" t="s">
        <v>1</v>
      </c>
      <c r="AL134" t="s">
        <v>374</v>
      </c>
      <c r="AQ134" s="1">
        <f t="shared" si="74"/>
        <v>100</v>
      </c>
      <c r="AR134" s="1">
        <f t="shared" si="54"/>
        <v>0.34499999999999997</v>
      </c>
      <c r="AS134" s="1">
        <f t="shared" si="55"/>
        <v>0</v>
      </c>
      <c r="AT134" s="1">
        <f t="shared" si="56"/>
        <v>0.65500000000000003</v>
      </c>
      <c r="AU134" s="1">
        <f t="shared" si="57"/>
        <v>0</v>
      </c>
      <c r="AV134" s="1">
        <f t="shared" si="58"/>
        <v>0.42899999999999999</v>
      </c>
      <c r="AX134" s="1">
        <f t="shared" si="59"/>
        <v>0</v>
      </c>
      <c r="AY134" s="1">
        <f t="shared" si="60"/>
        <v>0.52671755725190839</v>
      </c>
      <c r="AZ134" s="1">
        <f t="shared" si="61"/>
        <v>0.5</v>
      </c>
      <c r="BA134" s="1">
        <f t="shared" si="62"/>
        <v>0.5</v>
      </c>
      <c r="BB134" s="1">
        <f t="shared" si="63"/>
        <v>0.4910941475826972</v>
      </c>
      <c r="BC134" s="1">
        <f t="shared" si="64"/>
        <v>0.4910941475826972</v>
      </c>
      <c r="BD134" s="1">
        <f t="shared" si="65"/>
        <v>6.2094147582697212E-2</v>
      </c>
      <c r="BF134">
        <f t="shared" si="66"/>
        <v>65.5</v>
      </c>
      <c r="BG134">
        <f t="shared" si="76"/>
        <v>34.5</v>
      </c>
      <c r="BH134" s="1">
        <f t="shared" si="67"/>
        <v>0</v>
      </c>
      <c r="BI134" s="1">
        <f t="shared" si="68"/>
        <v>0.52671755725190839</v>
      </c>
      <c r="BJ134" s="1">
        <f t="shared" si="69"/>
        <v>0.59</v>
      </c>
      <c r="BK134" s="1">
        <f t="shared" si="70"/>
        <v>9.6000000000000002E-2</v>
      </c>
      <c r="BL134" s="1">
        <f t="shared" si="71"/>
        <v>0.52671755725190839</v>
      </c>
      <c r="BM134" s="1">
        <f t="shared" si="72"/>
        <v>0.52671755725190839</v>
      </c>
      <c r="BN134" s="1">
        <f t="shared" si="75"/>
        <v>9.548720995279994E-3</v>
      </c>
      <c r="BO134" s="1">
        <f t="shared" si="73"/>
        <v>4.5621008812731873E-4</v>
      </c>
    </row>
    <row r="135" spans="1:67" x14ac:dyDescent="0.25">
      <c r="A135" s="3"/>
      <c r="B135" s="3"/>
      <c r="C135" t="s">
        <v>122</v>
      </c>
      <c r="D135" s="5">
        <v>1</v>
      </c>
      <c r="E135" s="9">
        <f t="shared" si="52"/>
        <v>39.9</v>
      </c>
      <c r="F135" s="9">
        <f t="shared" si="53"/>
        <v>0</v>
      </c>
      <c r="G135">
        <v>0</v>
      </c>
      <c r="H135">
        <v>60.1</v>
      </c>
      <c r="I135">
        <v>0</v>
      </c>
      <c r="J135">
        <v>0</v>
      </c>
      <c r="K135">
        <v>0</v>
      </c>
      <c r="L135">
        <v>0</v>
      </c>
      <c r="M135">
        <v>39.9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43.4</v>
      </c>
      <c r="AK135" t="s">
        <v>1</v>
      </c>
      <c r="AL135" t="s">
        <v>374</v>
      </c>
      <c r="AQ135" s="1">
        <f t="shared" si="74"/>
        <v>100</v>
      </c>
      <c r="AR135" s="1">
        <f t="shared" si="54"/>
        <v>0.39899999999999997</v>
      </c>
      <c r="AS135" s="1">
        <f t="shared" si="55"/>
        <v>0</v>
      </c>
      <c r="AT135" s="1">
        <f t="shared" si="56"/>
        <v>0.60099999999999998</v>
      </c>
      <c r="AU135" s="1">
        <f t="shared" si="57"/>
        <v>0</v>
      </c>
      <c r="AV135" s="1">
        <f t="shared" si="58"/>
        <v>0.434</v>
      </c>
      <c r="AX135" s="1">
        <f t="shared" si="59"/>
        <v>0</v>
      </c>
      <c r="AY135" s="1">
        <f t="shared" si="60"/>
        <v>0.66389351081530779</v>
      </c>
      <c r="AZ135" s="1">
        <f t="shared" si="61"/>
        <v>0.5</v>
      </c>
      <c r="BA135" s="1">
        <f t="shared" si="62"/>
        <v>0.5</v>
      </c>
      <c r="BB135" s="1">
        <f t="shared" si="63"/>
        <v>0.44536882972823072</v>
      </c>
      <c r="BC135" s="1">
        <f t="shared" si="64"/>
        <v>0.44536882972823072</v>
      </c>
      <c r="BD135" s="1">
        <f t="shared" si="65"/>
        <v>1.1368829728230723E-2</v>
      </c>
      <c r="BF135">
        <f t="shared" si="66"/>
        <v>60.1</v>
      </c>
      <c r="BG135">
        <f t="shared" si="76"/>
        <v>39.9</v>
      </c>
      <c r="BH135" s="1">
        <f t="shared" si="67"/>
        <v>0</v>
      </c>
      <c r="BI135" s="1">
        <f t="shared" si="68"/>
        <v>0.66389351081530779</v>
      </c>
      <c r="BJ135" s="1">
        <f t="shared" si="69"/>
        <v>0.59</v>
      </c>
      <c r="BK135" s="1">
        <f t="shared" si="70"/>
        <v>9.6000000000000002E-2</v>
      </c>
      <c r="BL135" s="1">
        <f t="shared" si="71"/>
        <v>0.40070216306156403</v>
      </c>
      <c r="BM135" s="1">
        <f t="shared" si="72"/>
        <v>0.40070216306156403</v>
      </c>
      <c r="BN135" s="1">
        <f t="shared" si="75"/>
        <v>1.1087459447786706E-3</v>
      </c>
      <c r="BO135" s="1">
        <f t="shared" si="73"/>
        <v>6.9480083889319805E-4</v>
      </c>
    </row>
    <row r="136" spans="1:67" x14ac:dyDescent="0.25">
      <c r="A136" s="3"/>
      <c r="B136" s="3"/>
      <c r="C136" t="s">
        <v>123</v>
      </c>
      <c r="D136" s="5">
        <v>1</v>
      </c>
      <c r="E136" s="9">
        <f t="shared" si="52"/>
        <v>47.7</v>
      </c>
      <c r="F136" s="9">
        <f t="shared" si="53"/>
        <v>0</v>
      </c>
      <c r="G136">
        <v>0</v>
      </c>
      <c r="H136">
        <v>52.3</v>
      </c>
      <c r="I136">
        <v>0</v>
      </c>
      <c r="J136">
        <v>0</v>
      </c>
      <c r="K136">
        <v>0</v>
      </c>
      <c r="L136">
        <v>0</v>
      </c>
      <c r="M136">
        <v>47.7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38.4</v>
      </c>
      <c r="AK136" t="s">
        <v>1</v>
      </c>
      <c r="AL136" t="s">
        <v>374</v>
      </c>
      <c r="AQ136" s="1">
        <f t="shared" si="74"/>
        <v>100</v>
      </c>
      <c r="AR136" s="1">
        <f t="shared" si="54"/>
        <v>0.47700000000000004</v>
      </c>
      <c r="AS136" s="1">
        <f t="shared" si="55"/>
        <v>0</v>
      </c>
      <c r="AT136" s="1">
        <f t="shared" si="56"/>
        <v>0.52300000000000002</v>
      </c>
      <c r="AU136" s="1">
        <f t="shared" si="57"/>
        <v>0</v>
      </c>
      <c r="AV136" s="1">
        <f t="shared" si="58"/>
        <v>0.38400000000000001</v>
      </c>
      <c r="AX136" s="1">
        <f t="shared" si="59"/>
        <v>0</v>
      </c>
      <c r="AY136" s="1">
        <f t="shared" si="60"/>
        <v>0.91204588910133844</v>
      </c>
      <c r="AZ136" s="1">
        <f t="shared" si="61"/>
        <v>0.5</v>
      </c>
      <c r="BA136" s="1">
        <f t="shared" si="62"/>
        <v>0.5</v>
      </c>
      <c r="BB136" s="1">
        <f t="shared" si="63"/>
        <v>0.36265137029955385</v>
      </c>
      <c r="BC136" s="1">
        <f t="shared" si="64"/>
        <v>0.36265137029955385</v>
      </c>
      <c r="BD136" s="1">
        <f t="shared" si="65"/>
        <v>2.1348629700446153E-2</v>
      </c>
      <c r="BF136">
        <f t="shared" si="66"/>
        <v>52.3</v>
      </c>
      <c r="BG136">
        <f t="shared" si="76"/>
        <v>47.7</v>
      </c>
      <c r="BH136" s="1">
        <f t="shared" si="67"/>
        <v>0</v>
      </c>
      <c r="BI136" s="1">
        <f t="shared" si="68"/>
        <v>0.91204588910133855</v>
      </c>
      <c r="BJ136" s="1">
        <f t="shared" si="69"/>
        <v>0.59</v>
      </c>
      <c r="BK136" s="1">
        <f t="shared" si="70"/>
        <v>9.6000000000000002E-2</v>
      </c>
      <c r="BL136" s="1">
        <f t="shared" si="71"/>
        <v>0.31798470363288711</v>
      </c>
      <c r="BM136" s="1">
        <f t="shared" si="72"/>
        <v>0.31798470363288711</v>
      </c>
      <c r="BN136" s="1">
        <f t="shared" si="75"/>
        <v>4.3580193544377494E-3</v>
      </c>
      <c r="BO136" s="1">
        <f t="shared" si="73"/>
        <v>5.5889333123440631E-4</v>
      </c>
    </row>
    <row r="137" spans="1:67" x14ac:dyDescent="0.25">
      <c r="A137" s="3"/>
      <c r="B137" s="3"/>
      <c r="C137" t="s">
        <v>124</v>
      </c>
      <c r="D137" s="5">
        <v>1</v>
      </c>
      <c r="E137" s="9">
        <f t="shared" si="52"/>
        <v>18.690000000000001</v>
      </c>
      <c r="F137" s="9">
        <f t="shared" si="53"/>
        <v>0.90911553569009895</v>
      </c>
      <c r="G137">
        <v>7.48</v>
      </c>
      <c r="H137">
        <v>6.71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67.12</v>
      </c>
      <c r="R137">
        <v>0</v>
      </c>
      <c r="S137">
        <v>0</v>
      </c>
      <c r="T137">
        <v>0</v>
      </c>
      <c r="U137">
        <v>0</v>
      </c>
      <c r="V137">
        <v>18.690000000000001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27</v>
      </c>
      <c r="AK137" t="s">
        <v>1</v>
      </c>
      <c r="AL137" t="s">
        <v>380</v>
      </c>
      <c r="AO137" t="s">
        <v>375</v>
      </c>
      <c r="AQ137" s="1">
        <f t="shared" si="74"/>
        <v>100</v>
      </c>
      <c r="AR137" s="1">
        <f t="shared" si="54"/>
        <v>0</v>
      </c>
      <c r="AS137" s="1">
        <f t="shared" si="55"/>
        <v>7.4800000000000005E-2</v>
      </c>
      <c r="AT137" s="1">
        <f t="shared" si="56"/>
        <v>6.7099999999999993E-2</v>
      </c>
      <c r="AU137" s="1">
        <f t="shared" si="57"/>
        <v>0.67120000000000002</v>
      </c>
      <c r="AV137" s="1">
        <f t="shared" si="58"/>
        <v>0.27</v>
      </c>
      <c r="AX137" s="1">
        <f t="shared" si="59"/>
        <v>4.7300916138125446</v>
      </c>
      <c r="AY137" s="1">
        <f t="shared" si="60"/>
        <v>0</v>
      </c>
      <c r="AZ137" s="1">
        <f t="shared" si="61"/>
        <v>0.79563072586328398</v>
      </c>
      <c r="BA137" s="1">
        <f t="shared" si="62"/>
        <v>1.6825229034531362</v>
      </c>
      <c r="BB137" s="1">
        <f t="shared" si="63"/>
        <v>0</v>
      </c>
      <c r="BC137" s="1">
        <f t="shared" si="64"/>
        <v>0</v>
      </c>
      <c r="BD137" s="1">
        <f t="shared" si="65"/>
        <v>0.27</v>
      </c>
      <c r="BF137">
        <f t="shared" si="66"/>
        <v>36.630000000000003</v>
      </c>
      <c r="BG137">
        <f t="shared" si="76"/>
        <v>9.3450000000000006</v>
      </c>
      <c r="BH137" s="1">
        <f t="shared" si="67"/>
        <v>1.8323778323778324</v>
      </c>
      <c r="BI137" s="1">
        <f t="shared" si="68"/>
        <v>0.25511875511875509</v>
      </c>
      <c r="BJ137" s="1">
        <f t="shared" si="69"/>
        <v>0.62481517881517878</v>
      </c>
      <c r="BK137" s="1">
        <f t="shared" si="70"/>
        <v>1.0158536718536719</v>
      </c>
      <c r="BL137" s="1">
        <f t="shared" si="71"/>
        <v>0.25511875511875509</v>
      </c>
      <c r="BM137" s="1">
        <f t="shared" si="72"/>
        <v>0.25511875511875509</v>
      </c>
      <c r="BN137" s="1">
        <f t="shared" si="75"/>
        <v>2.2145144921557831E-4</v>
      </c>
      <c r="BO137" s="1">
        <f t="shared" si="73"/>
        <v>1.8945024213772359E-2</v>
      </c>
    </row>
    <row r="138" spans="1:67" x14ac:dyDescent="0.25">
      <c r="A138" s="3"/>
      <c r="B138" s="3"/>
      <c r="C138" t="s">
        <v>382</v>
      </c>
      <c r="D138" s="5">
        <v>1</v>
      </c>
      <c r="E138" s="9">
        <f t="shared" si="52"/>
        <v>18.690000000000001</v>
      </c>
      <c r="F138" s="9">
        <f t="shared" si="53"/>
        <v>0.90911553569009895</v>
      </c>
      <c r="G138">
        <v>7.48</v>
      </c>
      <c r="H138">
        <v>6.71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67.12</v>
      </c>
      <c r="R138">
        <v>0</v>
      </c>
      <c r="S138">
        <v>0</v>
      </c>
      <c r="T138">
        <v>0</v>
      </c>
      <c r="U138">
        <v>0</v>
      </c>
      <c r="V138">
        <v>18.690000000000001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30.4</v>
      </c>
      <c r="AK138" t="s">
        <v>1</v>
      </c>
      <c r="AL138" t="s">
        <v>372</v>
      </c>
      <c r="AO138" t="s">
        <v>375</v>
      </c>
      <c r="AQ138" s="1">
        <f t="shared" si="74"/>
        <v>100</v>
      </c>
      <c r="AR138" s="1">
        <f t="shared" si="54"/>
        <v>0</v>
      </c>
      <c r="AS138" s="1">
        <f t="shared" si="55"/>
        <v>7.4800000000000005E-2</v>
      </c>
      <c r="AT138" s="1">
        <f t="shared" si="56"/>
        <v>6.7099999999999993E-2</v>
      </c>
      <c r="AU138" s="1">
        <f t="shared" si="57"/>
        <v>0.67120000000000002</v>
      </c>
      <c r="AV138" s="1">
        <f t="shared" si="58"/>
        <v>0.30399999999999999</v>
      </c>
      <c r="AX138" s="1">
        <f t="shared" si="59"/>
        <v>4.7300916138125446</v>
      </c>
      <c r="AY138" s="1">
        <f t="shared" si="60"/>
        <v>0</v>
      </c>
      <c r="AZ138" s="1">
        <f t="shared" si="61"/>
        <v>0.79563072586328398</v>
      </c>
      <c r="BA138" s="1">
        <f t="shared" si="62"/>
        <v>1.6825229034531362</v>
      </c>
      <c r="BB138" s="1">
        <f t="shared" si="63"/>
        <v>0</v>
      </c>
      <c r="BC138" s="1">
        <f t="shared" si="64"/>
        <v>0</v>
      </c>
      <c r="BD138" s="1">
        <f t="shared" si="65"/>
        <v>0.30399999999999999</v>
      </c>
      <c r="BF138">
        <f t="shared" si="66"/>
        <v>36.630000000000003</v>
      </c>
      <c r="BG138">
        <f t="shared" si="76"/>
        <v>9.3450000000000006</v>
      </c>
      <c r="BH138" s="1">
        <f t="shared" si="67"/>
        <v>1.8323778323778324</v>
      </c>
      <c r="BI138" s="1">
        <f t="shared" si="68"/>
        <v>0.25511875511875509</v>
      </c>
      <c r="BJ138" s="1">
        <f t="shared" si="69"/>
        <v>0.62481517881517878</v>
      </c>
      <c r="BK138" s="1">
        <f t="shared" si="70"/>
        <v>1.0158536718536719</v>
      </c>
      <c r="BL138" s="1">
        <f t="shared" si="71"/>
        <v>0.25511875511875509</v>
      </c>
      <c r="BM138" s="1">
        <f t="shared" si="72"/>
        <v>0.25511875511875509</v>
      </c>
      <c r="BN138" s="1">
        <f t="shared" si="75"/>
        <v>2.3893761011402307E-3</v>
      </c>
      <c r="BO138" s="1">
        <f t="shared" si="73"/>
        <v>1.0741441318980341E-2</v>
      </c>
    </row>
    <row r="139" spans="1:67" x14ac:dyDescent="0.25">
      <c r="A139" s="3"/>
      <c r="B139" s="3"/>
      <c r="C139" t="s">
        <v>383</v>
      </c>
      <c r="D139" s="5">
        <v>1</v>
      </c>
      <c r="E139" s="9">
        <f t="shared" si="52"/>
        <v>18.690000000000001</v>
      </c>
      <c r="F139" s="9">
        <f t="shared" si="53"/>
        <v>0.90911553569009895</v>
      </c>
      <c r="G139">
        <v>7.48</v>
      </c>
      <c r="H139">
        <v>6.71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67.12</v>
      </c>
      <c r="R139">
        <v>0</v>
      </c>
      <c r="S139">
        <v>0</v>
      </c>
      <c r="T139">
        <v>0</v>
      </c>
      <c r="U139">
        <v>0</v>
      </c>
      <c r="V139">
        <v>18.690000000000001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40.700000000000003</v>
      </c>
      <c r="AK139" t="s">
        <v>1</v>
      </c>
      <c r="AL139" t="s">
        <v>381</v>
      </c>
      <c r="AM139" t="s">
        <v>377</v>
      </c>
      <c r="AO139" t="s">
        <v>375</v>
      </c>
      <c r="AQ139" s="1">
        <f t="shared" si="74"/>
        <v>100</v>
      </c>
      <c r="AR139" s="1">
        <f t="shared" si="54"/>
        <v>0</v>
      </c>
      <c r="AS139" s="1">
        <f t="shared" si="55"/>
        <v>7.4800000000000005E-2</v>
      </c>
      <c r="AT139" s="1">
        <f t="shared" si="56"/>
        <v>6.7099999999999993E-2</v>
      </c>
      <c r="AU139" s="1">
        <f t="shared" si="57"/>
        <v>0.67120000000000002</v>
      </c>
      <c r="AV139" s="1">
        <f t="shared" si="58"/>
        <v>0.40700000000000003</v>
      </c>
      <c r="AX139" s="1">
        <f t="shared" si="59"/>
        <v>4.7300916138125446</v>
      </c>
      <c r="AY139" s="1">
        <f t="shared" si="60"/>
        <v>0</v>
      </c>
      <c r="AZ139" s="1">
        <f t="shared" si="61"/>
        <v>0.79563072586328398</v>
      </c>
      <c r="BA139" s="1">
        <f t="shared" si="62"/>
        <v>1.6825229034531362</v>
      </c>
      <c r="BB139" s="1">
        <f t="shared" si="63"/>
        <v>0</v>
      </c>
      <c r="BC139" s="1">
        <f t="shared" si="64"/>
        <v>0</v>
      </c>
      <c r="BD139" s="1">
        <f t="shared" si="65"/>
        <v>0.40700000000000003</v>
      </c>
      <c r="BF139">
        <f t="shared" si="66"/>
        <v>36.630000000000003</v>
      </c>
      <c r="BG139">
        <f t="shared" si="76"/>
        <v>9.3450000000000006</v>
      </c>
      <c r="BH139" s="1">
        <f t="shared" si="67"/>
        <v>1.8323778323778324</v>
      </c>
      <c r="BI139" s="1">
        <f t="shared" si="68"/>
        <v>0.25511875511875509</v>
      </c>
      <c r="BJ139" s="1">
        <f t="shared" si="69"/>
        <v>0.62481517881517878</v>
      </c>
      <c r="BK139" s="1">
        <f t="shared" si="70"/>
        <v>1.0158536718536719</v>
      </c>
      <c r="BL139" s="1">
        <f t="shared" si="71"/>
        <v>0.25511875511875509</v>
      </c>
      <c r="BM139" s="1">
        <f t="shared" si="72"/>
        <v>0.25511875511875509</v>
      </c>
      <c r="BN139" s="1">
        <f t="shared" si="75"/>
        <v>2.3067912546676693E-2</v>
      </c>
      <c r="BO139" s="1">
        <f t="shared" si="73"/>
        <v>4.1078475745075009E-7</v>
      </c>
    </row>
    <row r="140" spans="1:67" x14ac:dyDescent="0.25">
      <c r="A140" s="3"/>
      <c r="B140" s="3"/>
      <c r="C140" t="s">
        <v>125</v>
      </c>
      <c r="D140" s="5">
        <v>1</v>
      </c>
      <c r="E140" s="9">
        <f t="shared" si="52"/>
        <v>18.29</v>
      </c>
      <c r="F140" s="9">
        <f t="shared" si="53"/>
        <v>0.73745954692556637</v>
      </c>
      <c r="G140">
        <v>7.55</v>
      </c>
      <c r="H140">
        <v>19.47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54.69</v>
      </c>
      <c r="R140">
        <v>0</v>
      </c>
      <c r="S140">
        <v>0</v>
      </c>
      <c r="T140">
        <v>0</v>
      </c>
      <c r="U140">
        <v>0</v>
      </c>
      <c r="V140">
        <v>18.29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28.8</v>
      </c>
      <c r="AK140" t="s">
        <v>1</v>
      </c>
      <c r="AL140" t="s">
        <v>380</v>
      </c>
      <c r="AO140" t="s">
        <v>375</v>
      </c>
      <c r="AQ140" s="1">
        <f t="shared" si="74"/>
        <v>100</v>
      </c>
      <c r="AR140" s="1">
        <f t="shared" si="54"/>
        <v>0</v>
      </c>
      <c r="AS140" s="1">
        <f t="shared" si="55"/>
        <v>7.5499999999999998E-2</v>
      </c>
      <c r="AT140" s="1">
        <f t="shared" si="56"/>
        <v>0.19469999999999998</v>
      </c>
      <c r="AU140" s="1">
        <f t="shared" si="57"/>
        <v>0.54689999999999994</v>
      </c>
      <c r="AV140" s="1">
        <f t="shared" si="58"/>
        <v>0.28800000000000003</v>
      </c>
      <c r="AX140" s="1">
        <f t="shared" si="59"/>
        <v>2.0240562546262026</v>
      </c>
      <c r="AY140" s="1">
        <f t="shared" si="60"/>
        <v>0</v>
      </c>
      <c r="AZ140" s="1">
        <f t="shared" si="61"/>
        <v>0.62650351591413767</v>
      </c>
      <c r="BA140" s="1">
        <f t="shared" si="62"/>
        <v>1.0060140636565507</v>
      </c>
      <c r="BB140" s="1">
        <f t="shared" si="63"/>
        <v>0</v>
      </c>
      <c r="BC140" s="1">
        <f t="shared" si="64"/>
        <v>0</v>
      </c>
      <c r="BD140" s="1">
        <f t="shared" si="65"/>
        <v>0.28800000000000003</v>
      </c>
      <c r="BF140">
        <f t="shared" si="66"/>
        <v>49.67</v>
      </c>
      <c r="BG140">
        <f t="shared" si="76"/>
        <v>9.1449999999999996</v>
      </c>
      <c r="BH140" s="1">
        <f t="shared" si="67"/>
        <v>1.1010670424803704</v>
      </c>
      <c r="BI140" s="1">
        <f t="shared" si="68"/>
        <v>0.18411516005637205</v>
      </c>
      <c r="BJ140" s="1">
        <f t="shared" si="69"/>
        <v>0.61092027380712699</v>
      </c>
      <c r="BK140" s="1">
        <f t="shared" si="70"/>
        <v>0.64873565532514588</v>
      </c>
      <c r="BL140" s="1">
        <f t="shared" si="71"/>
        <v>0.18411516005637205</v>
      </c>
      <c r="BM140" s="1">
        <f t="shared" si="72"/>
        <v>0.18411516005637205</v>
      </c>
      <c r="BN140" s="1">
        <f t="shared" si="75"/>
        <v>1.0792059970113205E-2</v>
      </c>
      <c r="BO140" s="1">
        <f t="shared" si="73"/>
        <v>1.431395091652952E-2</v>
      </c>
    </row>
    <row r="141" spans="1:67" x14ac:dyDescent="0.25">
      <c r="A141" s="3"/>
      <c r="B141" s="3"/>
      <c r="C141" t="s">
        <v>384</v>
      </c>
      <c r="D141" s="5">
        <v>1</v>
      </c>
      <c r="E141" s="9">
        <f t="shared" si="52"/>
        <v>18.29</v>
      </c>
      <c r="F141" s="9">
        <f t="shared" si="53"/>
        <v>0.73745954692556637</v>
      </c>
      <c r="G141">
        <v>7.55</v>
      </c>
      <c r="H141">
        <v>19.47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54.69</v>
      </c>
      <c r="R141">
        <v>0</v>
      </c>
      <c r="S141">
        <v>0</v>
      </c>
      <c r="T141">
        <v>0</v>
      </c>
      <c r="U141">
        <v>0</v>
      </c>
      <c r="V141">
        <v>18.29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32</v>
      </c>
      <c r="AK141" t="s">
        <v>1</v>
      </c>
      <c r="AL141" t="s">
        <v>372</v>
      </c>
      <c r="AO141" t="s">
        <v>375</v>
      </c>
      <c r="AQ141" s="1">
        <f t="shared" si="74"/>
        <v>100</v>
      </c>
      <c r="AR141" s="1">
        <f t="shared" si="54"/>
        <v>0</v>
      </c>
      <c r="AS141" s="1">
        <f t="shared" si="55"/>
        <v>7.5499999999999998E-2</v>
      </c>
      <c r="AT141" s="1">
        <f t="shared" si="56"/>
        <v>0.19469999999999998</v>
      </c>
      <c r="AU141" s="1">
        <f t="shared" si="57"/>
        <v>0.54689999999999994</v>
      </c>
      <c r="AV141" s="1">
        <f t="shared" si="58"/>
        <v>0.32</v>
      </c>
      <c r="AX141" s="1">
        <f t="shared" si="59"/>
        <v>2.0240562546262026</v>
      </c>
      <c r="AY141" s="1">
        <f t="shared" si="60"/>
        <v>0</v>
      </c>
      <c r="AZ141" s="1">
        <f t="shared" si="61"/>
        <v>0.62650351591413767</v>
      </c>
      <c r="BA141" s="1">
        <f t="shared" si="62"/>
        <v>1.0060140636565507</v>
      </c>
      <c r="BB141" s="1">
        <f t="shared" si="63"/>
        <v>0</v>
      </c>
      <c r="BC141" s="1">
        <f t="shared" si="64"/>
        <v>0</v>
      </c>
      <c r="BD141" s="1">
        <f t="shared" si="65"/>
        <v>0.32</v>
      </c>
      <c r="BF141">
        <f t="shared" si="66"/>
        <v>49.67</v>
      </c>
      <c r="BG141">
        <f t="shared" si="76"/>
        <v>9.1449999999999996</v>
      </c>
      <c r="BH141" s="1">
        <f t="shared" si="67"/>
        <v>1.1010670424803704</v>
      </c>
      <c r="BI141" s="1">
        <f t="shared" si="68"/>
        <v>0.18411516005637205</v>
      </c>
      <c r="BJ141" s="1">
        <f t="shared" si="69"/>
        <v>0.61092027380712699</v>
      </c>
      <c r="BK141" s="1">
        <f t="shared" si="70"/>
        <v>0.64873565532514588</v>
      </c>
      <c r="BL141" s="1">
        <f t="shared" si="71"/>
        <v>0.18411516005637205</v>
      </c>
      <c r="BM141" s="1">
        <f t="shared" si="72"/>
        <v>0.18411516005637205</v>
      </c>
      <c r="BN141" s="1">
        <f t="shared" si="75"/>
        <v>1.846468972650539E-2</v>
      </c>
      <c r="BO141" s="1">
        <f t="shared" si="73"/>
        <v>7.680931721431152E-3</v>
      </c>
    </row>
    <row r="142" spans="1:67" x14ac:dyDescent="0.25">
      <c r="A142" s="3"/>
      <c r="B142" s="3"/>
      <c r="C142" t="s">
        <v>385</v>
      </c>
      <c r="D142" s="5">
        <v>1</v>
      </c>
      <c r="E142" s="9">
        <f t="shared" si="52"/>
        <v>18.29</v>
      </c>
      <c r="F142" s="9">
        <f t="shared" si="53"/>
        <v>0.73745954692556637</v>
      </c>
      <c r="G142">
        <v>7.55</v>
      </c>
      <c r="H142">
        <v>19.47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54.69</v>
      </c>
      <c r="R142">
        <v>0</v>
      </c>
      <c r="S142">
        <v>0</v>
      </c>
      <c r="T142">
        <v>0</v>
      </c>
      <c r="U142">
        <v>0</v>
      </c>
      <c r="V142">
        <v>18.29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35.6</v>
      </c>
      <c r="AK142" t="s">
        <v>1</v>
      </c>
      <c r="AL142" t="s">
        <v>381</v>
      </c>
      <c r="AM142" t="s">
        <v>377</v>
      </c>
      <c r="AO142" t="s">
        <v>375</v>
      </c>
      <c r="AQ142" s="1">
        <f t="shared" si="74"/>
        <v>100</v>
      </c>
      <c r="AR142" s="1">
        <f t="shared" si="54"/>
        <v>0</v>
      </c>
      <c r="AS142" s="1">
        <f t="shared" si="55"/>
        <v>7.5499999999999998E-2</v>
      </c>
      <c r="AT142" s="1">
        <f t="shared" si="56"/>
        <v>0.19469999999999998</v>
      </c>
      <c r="AU142" s="1">
        <f t="shared" si="57"/>
        <v>0.54689999999999994</v>
      </c>
      <c r="AV142" s="1">
        <f t="shared" si="58"/>
        <v>0.35600000000000004</v>
      </c>
      <c r="AX142" s="1">
        <f t="shared" si="59"/>
        <v>2.0240562546262026</v>
      </c>
      <c r="AY142" s="1">
        <f t="shared" si="60"/>
        <v>0</v>
      </c>
      <c r="AZ142" s="1">
        <f t="shared" si="61"/>
        <v>0.62650351591413767</v>
      </c>
      <c r="BA142" s="1">
        <f t="shared" si="62"/>
        <v>1.0060140636565507</v>
      </c>
      <c r="BB142" s="1">
        <f t="shared" si="63"/>
        <v>0</v>
      </c>
      <c r="BC142" s="1">
        <f t="shared" si="64"/>
        <v>0</v>
      </c>
      <c r="BD142" s="1">
        <f t="shared" si="65"/>
        <v>0.35600000000000004</v>
      </c>
      <c r="BF142">
        <f t="shared" si="66"/>
        <v>49.67</v>
      </c>
      <c r="BG142">
        <f t="shared" si="76"/>
        <v>9.1449999999999996</v>
      </c>
      <c r="BH142" s="1">
        <f t="shared" si="67"/>
        <v>1.1010670424803704</v>
      </c>
      <c r="BI142" s="1">
        <f t="shared" si="68"/>
        <v>0.18411516005637205</v>
      </c>
      <c r="BJ142" s="1">
        <f t="shared" si="69"/>
        <v>0.61092027380712699</v>
      </c>
      <c r="BK142" s="1">
        <f t="shared" si="70"/>
        <v>0.64873565532514588</v>
      </c>
      <c r="BL142" s="1">
        <f t="shared" si="71"/>
        <v>0.18411516005637205</v>
      </c>
      <c r="BM142" s="1">
        <f t="shared" si="72"/>
        <v>0.18411516005637205</v>
      </c>
      <c r="BN142" s="1">
        <f t="shared" si="75"/>
        <v>2.9544398202446615E-2</v>
      </c>
      <c r="BO142" s="1">
        <f t="shared" si="73"/>
        <v>2.6667851269454794E-3</v>
      </c>
    </row>
    <row r="143" spans="1:67" x14ac:dyDescent="0.25">
      <c r="A143" s="3"/>
      <c r="B143" s="3"/>
      <c r="C143" t="s">
        <v>126</v>
      </c>
      <c r="D143" s="5">
        <v>1</v>
      </c>
      <c r="E143" s="9">
        <f t="shared" si="52"/>
        <v>18.3</v>
      </c>
      <c r="F143" s="9">
        <f t="shared" si="53"/>
        <v>0.78994472229534085</v>
      </c>
      <c r="G143">
        <v>3.81</v>
      </c>
      <c r="H143">
        <v>15.96</v>
      </c>
      <c r="I143">
        <v>5.69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12.61</v>
      </c>
      <c r="P143">
        <v>0</v>
      </c>
      <c r="Q143">
        <v>60.02</v>
      </c>
      <c r="R143">
        <v>0</v>
      </c>
      <c r="S143">
        <v>0</v>
      </c>
      <c r="T143">
        <v>0</v>
      </c>
      <c r="U143">
        <v>1.71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58</v>
      </c>
      <c r="AK143" t="s">
        <v>1</v>
      </c>
      <c r="AL143" t="s">
        <v>381</v>
      </c>
      <c r="AN143" t="s">
        <v>373</v>
      </c>
      <c r="AO143" t="s">
        <v>375</v>
      </c>
      <c r="AP143" t="s">
        <v>386</v>
      </c>
      <c r="AQ143" s="1">
        <f t="shared" si="74"/>
        <v>99.8</v>
      </c>
      <c r="AR143" s="1">
        <f t="shared" si="54"/>
        <v>0.12609999999999999</v>
      </c>
      <c r="AS143" s="1">
        <f t="shared" si="55"/>
        <v>3.8100000000000002E-2</v>
      </c>
      <c r="AT143" s="1">
        <f t="shared" si="56"/>
        <v>0.15960000000000002</v>
      </c>
      <c r="AU143" s="1">
        <f t="shared" si="57"/>
        <v>0.60020000000000007</v>
      </c>
      <c r="AV143" s="1">
        <f t="shared" si="58"/>
        <v>0.57999999999999996</v>
      </c>
      <c r="AX143" s="1">
        <f t="shared" si="59"/>
        <v>3.0359129994941831</v>
      </c>
      <c r="AY143" s="1">
        <f t="shared" si="60"/>
        <v>0.63783510369246321</v>
      </c>
      <c r="AZ143" s="1">
        <f t="shared" si="61"/>
        <v>0.68974456246838645</v>
      </c>
      <c r="BA143" s="1">
        <f t="shared" si="62"/>
        <v>1.2589782498735458</v>
      </c>
      <c r="BB143" s="1">
        <f t="shared" si="63"/>
        <v>0.63783510369246321</v>
      </c>
      <c r="BC143" s="1">
        <f t="shared" si="64"/>
        <v>0.63783510369246321</v>
      </c>
      <c r="BD143" s="1">
        <f t="shared" si="65"/>
        <v>5.7835103692463252E-2</v>
      </c>
      <c r="BF143">
        <f t="shared" si="66"/>
        <v>36.330000000000005</v>
      </c>
      <c r="BG143">
        <f t="shared" si="76"/>
        <v>15.455</v>
      </c>
      <c r="BH143" s="1">
        <f t="shared" si="67"/>
        <v>1.652078172309386</v>
      </c>
      <c r="BI143" s="1">
        <f t="shared" si="68"/>
        <v>0.42540600055050914</v>
      </c>
      <c r="BJ143" s="1">
        <f t="shared" si="69"/>
        <v>0.62138948527387827</v>
      </c>
      <c r="BK143" s="1">
        <f t="shared" si="70"/>
        <v>0.92534324249931177</v>
      </c>
      <c r="BL143" s="1">
        <f t="shared" si="71"/>
        <v>0.42540600055050914</v>
      </c>
      <c r="BM143" s="1">
        <f t="shared" si="72"/>
        <v>0.42540600055050914</v>
      </c>
      <c r="BN143" s="1">
        <f t="shared" si="75"/>
        <v>2.3899304665789167E-2</v>
      </c>
      <c r="BO143" s="1">
        <f t="shared" si="73"/>
        <v>2.9707650761256855E-2</v>
      </c>
    </row>
    <row r="144" spans="1:67" x14ac:dyDescent="0.25">
      <c r="A144" s="3"/>
      <c r="B144" s="3"/>
      <c r="C144" t="s">
        <v>127</v>
      </c>
      <c r="D144" s="5">
        <v>1</v>
      </c>
      <c r="E144" s="9">
        <f t="shared" si="52"/>
        <v>13.66406779650104</v>
      </c>
      <c r="F144" s="9">
        <f t="shared" si="53"/>
        <v>0.80015633413620701</v>
      </c>
      <c r="G144">
        <v>0</v>
      </c>
      <c r="H144">
        <v>17.253689187315128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13.66406779650104</v>
      </c>
      <c r="P144">
        <v>0</v>
      </c>
      <c r="Q144">
        <v>69.082243016183824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71</v>
      </c>
      <c r="AK144" t="s">
        <v>401</v>
      </c>
      <c r="AL144" t="s">
        <v>374</v>
      </c>
      <c r="AN144" t="s">
        <v>387</v>
      </c>
      <c r="AO144" t="s">
        <v>375</v>
      </c>
      <c r="AP144" t="s">
        <v>403</v>
      </c>
      <c r="AQ144" s="1">
        <f t="shared" si="74"/>
        <v>100</v>
      </c>
      <c r="AR144" s="1">
        <f t="shared" si="54"/>
        <v>0.13664067796501039</v>
      </c>
      <c r="AS144" s="1">
        <f t="shared" si="55"/>
        <v>0</v>
      </c>
      <c r="AT144" s="1">
        <f t="shared" si="56"/>
        <v>0.17253689187315127</v>
      </c>
      <c r="AU144" s="1">
        <f t="shared" si="57"/>
        <v>0.6908224301618382</v>
      </c>
      <c r="AV144" s="1">
        <f t="shared" si="58"/>
        <v>0.71</v>
      </c>
      <c r="AX144" s="1">
        <f t="shared" si="59"/>
        <v>4.0039114108403506</v>
      </c>
      <c r="AY144" s="1">
        <f t="shared" si="60"/>
        <v>0.7919505010294744</v>
      </c>
      <c r="AZ144" s="1">
        <f t="shared" si="61"/>
        <v>0.75024446317752191</v>
      </c>
      <c r="BA144" s="1">
        <f t="shared" si="62"/>
        <v>1.5009778527100877</v>
      </c>
      <c r="BB144" s="1">
        <f t="shared" si="63"/>
        <v>0.75024446317752191</v>
      </c>
      <c r="BC144" s="1">
        <f t="shared" si="64"/>
        <v>0.75024446317752191</v>
      </c>
      <c r="BD144" s="1">
        <f t="shared" si="65"/>
        <v>4.024446317752195E-2</v>
      </c>
      <c r="BF144">
        <f t="shared" si="66"/>
        <v>17.253689187315128</v>
      </c>
      <c r="BG144">
        <f t="shared" si="76"/>
        <v>13.66406779650104</v>
      </c>
      <c r="BH144" s="1">
        <f t="shared" si="67"/>
        <v>4.0039114108403506</v>
      </c>
      <c r="BI144" s="1">
        <f t="shared" si="68"/>
        <v>0.7919505010294744</v>
      </c>
      <c r="BJ144" s="1">
        <f t="shared" si="69"/>
        <v>0.66607431680596663</v>
      </c>
      <c r="BK144" s="1">
        <f t="shared" si="70"/>
        <v>2.1059635282418561</v>
      </c>
      <c r="BL144" s="1">
        <f t="shared" si="71"/>
        <v>0.66607431680596663</v>
      </c>
      <c r="BM144" s="1">
        <f t="shared" si="72"/>
        <v>0.66607431680596663</v>
      </c>
      <c r="BN144" s="1">
        <f t="shared" si="75"/>
        <v>1.9294656440625828E-3</v>
      </c>
      <c r="BO144" s="1">
        <f t="shared" si="73"/>
        <v>9.142101028116971E-2</v>
      </c>
    </row>
    <row r="145" spans="1:67" x14ac:dyDescent="0.25">
      <c r="A145" s="3"/>
      <c r="B145" s="3"/>
      <c r="C145" t="s">
        <v>128</v>
      </c>
      <c r="D145" s="5">
        <v>1</v>
      </c>
      <c r="E145" s="9">
        <f t="shared" si="52"/>
        <v>12.666904684848349</v>
      </c>
      <c r="F145" s="9">
        <f t="shared" si="53"/>
        <v>0.7930526522713236</v>
      </c>
      <c r="G145">
        <v>0</v>
      </c>
      <c r="H145">
        <v>17.854740777118121</v>
      </c>
      <c r="I145">
        <v>0</v>
      </c>
      <c r="J145">
        <v>0</v>
      </c>
      <c r="K145">
        <v>1.0563637064574529</v>
      </c>
      <c r="L145">
        <v>0</v>
      </c>
      <c r="M145">
        <v>0</v>
      </c>
      <c r="N145">
        <v>0</v>
      </c>
      <c r="O145">
        <v>12.666904684848349</v>
      </c>
      <c r="P145">
        <v>0</v>
      </c>
      <c r="Q145">
        <v>68.421990831576068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70</v>
      </c>
      <c r="AK145" t="s">
        <v>401</v>
      </c>
      <c r="AL145" t="s">
        <v>374</v>
      </c>
      <c r="AQ145" s="1">
        <f t="shared" si="74"/>
        <v>100</v>
      </c>
      <c r="AR145" s="1">
        <f t="shared" si="54"/>
        <v>0.12666904684848349</v>
      </c>
      <c r="AS145" s="1">
        <f t="shared" si="55"/>
        <v>0</v>
      </c>
      <c r="AT145" s="1">
        <f t="shared" si="56"/>
        <v>0.17854740777118119</v>
      </c>
      <c r="AU145" s="1">
        <f t="shared" si="57"/>
        <v>0.68421990831576063</v>
      </c>
      <c r="AV145" s="1">
        <f t="shared" si="58"/>
        <v>0.7</v>
      </c>
      <c r="AX145" s="1">
        <f t="shared" si="59"/>
        <v>3.8321469734952855</v>
      </c>
      <c r="AY145" s="1">
        <f t="shared" si="60"/>
        <v>0.70944209400573977</v>
      </c>
      <c r="AZ145" s="1">
        <f t="shared" si="61"/>
        <v>0.73950918584345537</v>
      </c>
      <c r="BA145" s="1">
        <f t="shared" si="62"/>
        <v>1.4580367433738215</v>
      </c>
      <c r="BB145" s="1">
        <f t="shared" si="63"/>
        <v>0.70944209400573977</v>
      </c>
      <c r="BC145" s="1">
        <f t="shared" si="64"/>
        <v>0.70944209400573977</v>
      </c>
      <c r="BD145" s="1">
        <f t="shared" si="65"/>
        <v>9.4420940057398095E-3</v>
      </c>
      <c r="BF145">
        <f t="shared" si="66"/>
        <v>17.854740777118121</v>
      </c>
      <c r="BG145">
        <f t="shared" si="76"/>
        <v>12.666904684848349</v>
      </c>
      <c r="BH145" s="1">
        <f t="shared" si="67"/>
        <v>3.8321469734952855</v>
      </c>
      <c r="BI145" s="1">
        <f t="shared" si="68"/>
        <v>0.70944209400573977</v>
      </c>
      <c r="BJ145" s="1">
        <f t="shared" si="69"/>
        <v>0.66281079249641039</v>
      </c>
      <c r="BK145" s="1">
        <f t="shared" si="70"/>
        <v>2.0197377806946335</v>
      </c>
      <c r="BL145" s="1">
        <f t="shared" si="71"/>
        <v>0.66281079249641039</v>
      </c>
      <c r="BM145" s="1">
        <f t="shared" si="72"/>
        <v>0.66281079249641039</v>
      </c>
      <c r="BN145" s="1">
        <f t="shared" si="75"/>
        <v>1.383037154745042E-3</v>
      </c>
      <c r="BO145" s="1">
        <f t="shared" si="73"/>
        <v>8.5473828779637939E-2</v>
      </c>
    </row>
    <row r="146" spans="1:67" x14ac:dyDescent="0.25">
      <c r="A146" s="3"/>
      <c r="B146" s="3"/>
      <c r="C146" t="s">
        <v>129</v>
      </c>
      <c r="D146" s="5">
        <v>1</v>
      </c>
      <c r="E146" s="9">
        <f t="shared" si="52"/>
        <v>13.109737010193591</v>
      </c>
      <c r="F146" s="9">
        <f t="shared" si="53"/>
        <v>0.7877479765980957</v>
      </c>
      <c r="G146">
        <v>0</v>
      </c>
      <c r="H146">
        <v>18.224578670715822</v>
      </c>
      <c r="I146">
        <v>0</v>
      </c>
      <c r="J146">
        <v>0</v>
      </c>
      <c r="K146">
        <v>1.027342209978789</v>
      </c>
      <c r="L146">
        <v>0</v>
      </c>
      <c r="M146">
        <v>0</v>
      </c>
      <c r="N146">
        <v>0</v>
      </c>
      <c r="O146">
        <v>13.109737010193591</v>
      </c>
      <c r="P146">
        <v>0</v>
      </c>
      <c r="Q146">
        <v>67.638342109111818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75</v>
      </c>
      <c r="AK146" t="s">
        <v>401</v>
      </c>
      <c r="AL146" t="s">
        <v>374</v>
      </c>
      <c r="AQ146" s="1">
        <f t="shared" si="74"/>
        <v>100.00000000000003</v>
      </c>
      <c r="AR146" s="1">
        <f t="shared" si="54"/>
        <v>0.1310973701019359</v>
      </c>
      <c r="AS146" s="1">
        <f t="shared" si="55"/>
        <v>0</v>
      </c>
      <c r="AT146" s="1">
        <f t="shared" si="56"/>
        <v>0.18224578670715821</v>
      </c>
      <c r="AU146" s="1">
        <f t="shared" si="57"/>
        <v>0.67638342109111815</v>
      </c>
      <c r="AV146" s="1">
        <f t="shared" si="58"/>
        <v>0.75</v>
      </c>
      <c r="AX146" s="1">
        <f t="shared" si="59"/>
        <v>3.7113802920336667</v>
      </c>
      <c r="AY146" s="1">
        <f t="shared" si="60"/>
        <v>0.71934376355481844</v>
      </c>
      <c r="AZ146" s="1">
        <f t="shared" si="61"/>
        <v>0.73196126825210417</v>
      </c>
      <c r="BA146" s="1">
        <f t="shared" si="62"/>
        <v>1.4278450730084167</v>
      </c>
      <c r="BB146" s="1">
        <f t="shared" si="63"/>
        <v>0.71934376355481844</v>
      </c>
      <c r="BC146" s="1">
        <f t="shared" si="64"/>
        <v>0.71934376355481844</v>
      </c>
      <c r="BD146" s="1">
        <f t="shared" si="65"/>
        <v>3.0656236445181562E-2</v>
      </c>
      <c r="BF146">
        <f t="shared" si="66"/>
        <v>18.224578670715822</v>
      </c>
      <c r="BG146">
        <f t="shared" si="76"/>
        <v>13.109737010193591</v>
      </c>
      <c r="BH146" s="1">
        <f t="shared" si="67"/>
        <v>3.7113802920336667</v>
      </c>
      <c r="BI146" s="1">
        <f t="shared" si="68"/>
        <v>0.71934376355481855</v>
      </c>
      <c r="BJ146" s="1">
        <f t="shared" si="69"/>
        <v>0.66051622554863965</v>
      </c>
      <c r="BK146" s="1">
        <f t="shared" si="70"/>
        <v>1.9591129066009008</v>
      </c>
      <c r="BL146" s="1">
        <f t="shared" si="71"/>
        <v>0.66051622554863965</v>
      </c>
      <c r="BM146" s="1">
        <f t="shared" si="72"/>
        <v>0.66051622554863965</v>
      </c>
      <c r="BN146" s="1">
        <f t="shared" si="75"/>
        <v>8.0073458900619312E-3</v>
      </c>
      <c r="BO146" s="1">
        <f t="shared" si="73"/>
        <v>0.11720973628729676</v>
      </c>
    </row>
    <row r="147" spans="1:67" x14ac:dyDescent="0.25">
      <c r="A147" s="3"/>
      <c r="B147" s="3"/>
      <c r="C147" t="s">
        <v>130</v>
      </c>
      <c r="D147" s="5">
        <v>1</v>
      </c>
      <c r="E147" s="9">
        <f t="shared" si="52"/>
        <v>13.008034313257641</v>
      </c>
      <c r="F147" s="9">
        <f t="shared" si="53"/>
        <v>0.7830974015020854</v>
      </c>
      <c r="G147">
        <v>0</v>
      </c>
      <c r="H147">
        <v>17.838845295064381</v>
      </c>
      <c r="I147">
        <v>0</v>
      </c>
      <c r="J147">
        <v>0</v>
      </c>
      <c r="K147">
        <v>4.7483899130943614</v>
      </c>
      <c r="L147">
        <v>0</v>
      </c>
      <c r="M147">
        <v>0</v>
      </c>
      <c r="N147">
        <v>0</v>
      </c>
      <c r="O147">
        <v>13.008034313257641</v>
      </c>
      <c r="P147">
        <v>0</v>
      </c>
      <c r="Q147">
        <v>64.40473047858363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70</v>
      </c>
      <c r="AK147" t="s">
        <v>401</v>
      </c>
      <c r="AL147" t="s">
        <v>374</v>
      </c>
      <c r="AQ147" s="1">
        <f t="shared" si="74"/>
        <v>100.00000000000001</v>
      </c>
      <c r="AR147" s="1">
        <f t="shared" si="54"/>
        <v>0.13008034313257641</v>
      </c>
      <c r="AS147" s="1">
        <f t="shared" si="55"/>
        <v>0</v>
      </c>
      <c r="AT147" s="1">
        <f t="shared" si="56"/>
        <v>0.17838845295064382</v>
      </c>
      <c r="AU147" s="1">
        <f t="shared" si="57"/>
        <v>0.64404730478583627</v>
      </c>
      <c r="AV147" s="1">
        <f t="shared" si="58"/>
        <v>0.7</v>
      </c>
      <c r="AX147" s="1">
        <f t="shared" si="59"/>
        <v>3.6103643152509992</v>
      </c>
      <c r="AY147" s="1">
        <f t="shared" si="60"/>
        <v>0.72919710318115039</v>
      </c>
      <c r="AZ147" s="1">
        <f t="shared" si="61"/>
        <v>0.72564776970318745</v>
      </c>
      <c r="BA147" s="1">
        <f t="shared" si="62"/>
        <v>1.4025910788127498</v>
      </c>
      <c r="BB147" s="1">
        <f t="shared" si="63"/>
        <v>0.72564776970318745</v>
      </c>
      <c r="BC147" s="1">
        <f t="shared" si="64"/>
        <v>0.72564776970318745</v>
      </c>
      <c r="BD147" s="1">
        <f t="shared" si="65"/>
        <v>2.5647769703187495E-2</v>
      </c>
      <c r="BF147">
        <f t="shared" si="66"/>
        <v>17.838845295064381</v>
      </c>
      <c r="BG147">
        <f t="shared" si="76"/>
        <v>13.008034313257641</v>
      </c>
      <c r="BH147" s="1">
        <f t="shared" si="67"/>
        <v>3.6103643152509997</v>
      </c>
      <c r="BI147" s="1">
        <f t="shared" si="68"/>
        <v>0.72919710318115039</v>
      </c>
      <c r="BJ147" s="1">
        <f t="shared" si="69"/>
        <v>0.65859692198976894</v>
      </c>
      <c r="BK147" s="1">
        <f t="shared" si="70"/>
        <v>1.9084028862560019</v>
      </c>
      <c r="BL147" s="1">
        <f t="shared" si="71"/>
        <v>0.65859692198976894</v>
      </c>
      <c r="BM147" s="1">
        <f t="shared" si="72"/>
        <v>0.65859692198976894</v>
      </c>
      <c r="BN147" s="1">
        <f t="shared" si="75"/>
        <v>1.7142148687212754E-3</v>
      </c>
      <c r="BO147" s="1">
        <f t="shared" si="73"/>
        <v>8.5473828779637939E-2</v>
      </c>
    </row>
    <row r="148" spans="1:67" x14ac:dyDescent="0.25">
      <c r="A148" s="3"/>
      <c r="B148" s="3"/>
      <c r="C148" t="s">
        <v>131</v>
      </c>
      <c r="D148" s="5">
        <v>1</v>
      </c>
      <c r="E148" s="9">
        <f t="shared" si="52"/>
        <v>12.97180400811752</v>
      </c>
      <c r="F148" s="9">
        <f t="shared" si="53"/>
        <v>0.79343234347712877</v>
      </c>
      <c r="G148">
        <v>0</v>
      </c>
      <c r="H148">
        <v>16.95183598454928</v>
      </c>
      <c r="I148">
        <v>0</v>
      </c>
      <c r="J148">
        <v>0</v>
      </c>
      <c r="K148">
        <v>4.9638676749643791</v>
      </c>
      <c r="L148">
        <v>0</v>
      </c>
      <c r="M148">
        <v>0</v>
      </c>
      <c r="N148">
        <v>0</v>
      </c>
      <c r="O148">
        <v>12.97180400811752</v>
      </c>
      <c r="P148">
        <v>0</v>
      </c>
      <c r="Q148">
        <v>65.112492332368817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72</v>
      </c>
      <c r="AK148" t="s">
        <v>401</v>
      </c>
      <c r="AL148" t="s">
        <v>374</v>
      </c>
      <c r="AQ148" s="1">
        <f t="shared" si="74"/>
        <v>100</v>
      </c>
      <c r="AR148" s="1">
        <f t="shared" si="54"/>
        <v>0.12971804008117518</v>
      </c>
      <c r="AS148" s="1">
        <f t="shared" si="55"/>
        <v>0</v>
      </c>
      <c r="AT148" s="1">
        <f t="shared" si="56"/>
        <v>0.16951835984549279</v>
      </c>
      <c r="AU148" s="1">
        <f t="shared" si="57"/>
        <v>0.65112492332368821</v>
      </c>
      <c r="AV148" s="1">
        <f t="shared" si="58"/>
        <v>0.72</v>
      </c>
      <c r="AX148" s="1">
        <f t="shared" si="59"/>
        <v>3.8410289240478428</v>
      </c>
      <c r="AY148" s="1">
        <f t="shared" si="60"/>
        <v>0.76521528523167914</v>
      </c>
      <c r="AZ148" s="1">
        <f t="shared" si="61"/>
        <v>0.74006430775299015</v>
      </c>
      <c r="BA148" s="1">
        <f t="shared" si="62"/>
        <v>1.4602572310119606</v>
      </c>
      <c r="BB148" s="1">
        <f t="shared" si="63"/>
        <v>0.74006430775299015</v>
      </c>
      <c r="BC148" s="1">
        <f t="shared" si="64"/>
        <v>0.74006430775299015</v>
      </c>
      <c r="BD148" s="1">
        <f t="shared" si="65"/>
        <v>2.0064307752990174E-2</v>
      </c>
      <c r="BF148">
        <f t="shared" si="66"/>
        <v>16.95183598454928</v>
      </c>
      <c r="BG148">
        <f t="shared" si="76"/>
        <v>12.97180400811752</v>
      </c>
      <c r="BH148" s="1">
        <f t="shared" si="67"/>
        <v>3.8410289240478424</v>
      </c>
      <c r="BI148" s="1">
        <f t="shared" si="68"/>
        <v>0.76521528523167914</v>
      </c>
      <c r="BJ148" s="1">
        <f t="shared" si="69"/>
        <v>0.66297954955690896</v>
      </c>
      <c r="BK148" s="1">
        <f t="shared" si="70"/>
        <v>2.0241965198720169</v>
      </c>
      <c r="BL148" s="1">
        <f t="shared" si="71"/>
        <v>0.66297954955690896</v>
      </c>
      <c r="BM148" s="1">
        <f t="shared" si="72"/>
        <v>0.66297954955690896</v>
      </c>
      <c r="BN148" s="1">
        <f t="shared" si="75"/>
        <v>3.2513317687329975E-3</v>
      </c>
      <c r="BO148" s="1">
        <f t="shared" si="73"/>
        <v>9.7568191782701472E-2</v>
      </c>
    </row>
    <row r="149" spans="1:67" x14ac:dyDescent="0.25">
      <c r="A149" s="3"/>
      <c r="B149" s="3"/>
      <c r="C149" t="s">
        <v>132</v>
      </c>
      <c r="D149" s="5">
        <v>1</v>
      </c>
      <c r="E149" s="9">
        <f t="shared" si="52"/>
        <v>12.903439503729921</v>
      </c>
      <c r="F149" s="9">
        <f t="shared" si="53"/>
        <v>0.79237146795563607</v>
      </c>
      <c r="G149">
        <v>0</v>
      </c>
      <c r="H149">
        <v>17.074924309360298</v>
      </c>
      <c r="I149">
        <v>0</v>
      </c>
      <c r="J149">
        <v>0</v>
      </c>
      <c r="K149">
        <v>4.8587093626315356</v>
      </c>
      <c r="L149">
        <v>0</v>
      </c>
      <c r="M149">
        <v>0</v>
      </c>
      <c r="N149">
        <v>0</v>
      </c>
      <c r="O149">
        <v>12.903439503729921</v>
      </c>
      <c r="P149">
        <v>0</v>
      </c>
      <c r="Q149">
        <v>65.162926824278244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76</v>
      </c>
      <c r="AK149" t="s">
        <v>401</v>
      </c>
      <c r="AL149" t="s">
        <v>374</v>
      </c>
      <c r="AQ149" s="1">
        <f t="shared" si="74"/>
        <v>100</v>
      </c>
      <c r="AR149" s="1">
        <f t="shared" si="54"/>
        <v>0.12903439503729922</v>
      </c>
      <c r="AS149" s="1">
        <f t="shared" si="55"/>
        <v>0</v>
      </c>
      <c r="AT149" s="1">
        <f t="shared" si="56"/>
        <v>0.17074924309360298</v>
      </c>
      <c r="AU149" s="1">
        <f t="shared" si="57"/>
        <v>0.65162926824278244</v>
      </c>
      <c r="AV149" s="1">
        <f t="shared" si="58"/>
        <v>0.76</v>
      </c>
      <c r="AX149" s="1">
        <f t="shared" si="59"/>
        <v>3.8162937441870004</v>
      </c>
      <c r="AY149" s="1">
        <f t="shared" si="60"/>
        <v>0.75569526809886878</v>
      </c>
      <c r="AZ149" s="1">
        <f t="shared" si="61"/>
        <v>0.7385183590116875</v>
      </c>
      <c r="BA149" s="1">
        <f t="shared" si="62"/>
        <v>1.45407343604675</v>
      </c>
      <c r="BB149" s="1">
        <f t="shared" si="63"/>
        <v>0.7385183590116875</v>
      </c>
      <c r="BC149" s="1">
        <f t="shared" si="64"/>
        <v>0.7385183590116875</v>
      </c>
      <c r="BD149" s="1">
        <f t="shared" si="65"/>
        <v>2.1481640988312511E-2</v>
      </c>
      <c r="BF149">
        <f t="shared" si="66"/>
        <v>17.074924309360298</v>
      </c>
      <c r="BG149">
        <f t="shared" si="76"/>
        <v>12.903439503729921</v>
      </c>
      <c r="BH149" s="1">
        <f t="shared" si="67"/>
        <v>3.8162937441870004</v>
      </c>
      <c r="BI149" s="1">
        <f t="shared" si="68"/>
        <v>0.75569526809886867</v>
      </c>
      <c r="BJ149" s="1">
        <f t="shared" si="69"/>
        <v>0.66250958113955294</v>
      </c>
      <c r="BK149" s="1">
        <f t="shared" si="70"/>
        <v>2.0117794595818741</v>
      </c>
      <c r="BL149" s="1">
        <f t="shared" si="71"/>
        <v>0.66250958113955294</v>
      </c>
      <c r="BM149" s="1">
        <f t="shared" si="72"/>
        <v>0.66250958113955294</v>
      </c>
      <c r="BN149" s="1">
        <f t="shared" si="75"/>
        <v>9.5043817695854137E-3</v>
      </c>
      <c r="BO149" s="1">
        <f t="shared" si="73"/>
        <v>0.12415691778882852</v>
      </c>
    </row>
    <row r="150" spans="1:67" x14ac:dyDescent="0.25">
      <c r="A150" s="3"/>
      <c r="B150" s="3"/>
      <c r="C150" t="s">
        <v>133</v>
      </c>
      <c r="D150" s="5">
        <v>1</v>
      </c>
      <c r="E150" s="9">
        <f t="shared" si="52"/>
        <v>11.981991996923989</v>
      </c>
      <c r="F150" s="9">
        <f t="shared" si="53"/>
        <v>0.79271573797784534</v>
      </c>
      <c r="G150">
        <v>0</v>
      </c>
      <c r="H150">
        <v>16.236932861952699</v>
      </c>
      <c r="I150">
        <v>0</v>
      </c>
      <c r="J150">
        <v>0</v>
      </c>
      <c r="K150">
        <v>9.6862875745502439</v>
      </c>
      <c r="L150">
        <v>0</v>
      </c>
      <c r="M150">
        <v>0</v>
      </c>
      <c r="N150">
        <v>0</v>
      </c>
      <c r="O150">
        <v>11.981991996923989</v>
      </c>
      <c r="P150">
        <v>0</v>
      </c>
      <c r="Q150">
        <v>62.094787566573068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68</v>
      </c>
      <c r="AK150" t="s">
        <v>401</v>
      </c>
      <c r="AL150" t="s">
        <v>374</v>
      </c>
      <c r="AQ150" s="1">
        <f t="shared" si="74"/>
        <v>100</v>
      </c>
      <c r="AR150" s="1">
        <f t="shared" si="54"/>
        <v>0.11981991996923989</v>
      </c>
      <c r="AS150" s="1">
        <f t="shared" si="55"/>
        <v>0</v>
      </c>
      <c r="AT150" s="1">
        <f t="shared" si="56"/>
        <v>0.16236932861952699</v>
      </c>
      <c r="AU150" s="1">
        <f t="shared" si="57"/>
        <v>0.62094787566573073</v>
      </c>
      <c r="AV150" s="1">
        <f t="shared" si="58"/>
        <v>0.68</v>
      </c>
      <c r="AX150" s="1">
        <f t="shared" si="59"/>
        <v>3.8242929310915055</v>
      </c>
      <c r="AY150" s="1">
        <f t="shared" si="60"/>
        <v>0.73794675994509229</v>
      </c>
      <c r="AZ150" s="1">
        <f t="shared" si="61"/>
        <v>0.73901830819321912</v>
      </c>
      <c r="BA150" s="1">
        <f t="shared" si="62"/>
        <v>1.4560732327728765</v>
      </c>
      <c r="BB150" s="1">
        <f t="shared" si="63"/>
        <v>0.73794675994509229</v>
      </c>
      <c r="BC150" s="1">
        <f t="shared" si="64"/>
        <v>0.73794675994509229</v>
      </c>
      <c r="BD150" s="1">
        <f t="shared" si="65"/>
        <v>5.7946759945092241E-2</v>
      </c>
      <c r="BF150">
        <f t="shared" si="66"/>
        <v>16.236932861952699</v>
      </c>
      <c r="BG150">
        <f t="shared" si="76"/>
        <v>11.981991996923989</v>
      </c>
      <c r="BH150" s="1">
        <f t="shared" si="67"/>
        <v>3.824292931091505</v>
      </c>
      <c r="BI150" s="1">
        <f t="shared" si="68"/>
        <v>0.73794675994509229</v>
      </c>
      <c r="BJ150" s="1">
        <f t="shared" si="69"/>
        <v>0.66266156569073853</v>
      </c>
      <c r="BK150" s="1">
        <f t="shared" si="70"/>
        <v>2.0157950514079355</v>
      </c>
      <c r="BL150" s="1">
        <f t="shared" si="71"/>
        <v>0.66266156569073853</v>
      </c>
      <c r="BM150" s="1">
        <f t="shared" si="72"/>
        <v>0.66266156569073853</v>
      </c>
      <c r="BN150" s="1">
        <f t="shared" si="75"/>
        <v>3.0062130429657697E-4</v>
      </c>
      <c r="BO150" s="1">
        <f t="shared" si="73"/>
        <v>7.4179465776574485E-2</v>
      </c>
    </row>
    <row r="151" spans="1:67" x14ac:dyDescent="0.25">
      <c r="A151" s="3"/>
      <c r="B151" s="3"/>
      <c r="C151" t="s">
        <v>134</v>
      </c>
      <c r="D151" s="5">
        <v>1</v>
      </c>
      <c r="E151" s="9">
        <f t="shared" si="52"/>
        <v>11.778755559438251</v>
      </c>
      <c r="F151" s="9">
        <f t="shared" si="53"/>
        <v>0.79108729356138341</v>
      </c>
      <c r="G151">
        <v>0</v>
      </c>
      <c r="H151">
        <v>16.353444720578651</v>
      </c>
      <c r="I151">
        <v>0</v>
      </c>
      <c r="J151">
        <v>0</v>
      </c>
      <c r="K151">
        <v>9.9424025292217255</v>
      </c>
      <c r="L151">
        <v>0</v>
      </c>
      <c r="M151">
        <v>0</v>
      </c>
      <c r="N151">
        <v>0</v>
      </c>
      <c r="O151">
        <v>11.778755559438251</v>
      </c>
      <c r="P151">
        <v>0</v>
      </c>
      <c r="Q151">
        <v>61.92539719076138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74</v>
      </c>
      <c r="AK151" t="s">
        <v>401</v>
      </c>
      <c r="AL151" t="s">
        <v>374</v>
      </c>
      <c r="AQ151" s="1">
        <f t="shared" si="74"/>
        <v>100</v>
      </c>
      <c r="AR151" s="1">
        <f t="shared" si="54"/>
        <v>0.1177875555943825</v>
      </c>
      <c r="AS151" s="1">
        <f t="shared" si="55"/>
        <v>0</v>
      </c>
      <c r="AT151" s="1">
        <f t="shared" si="56"/>
        <v>0.1635344472057865</v>
      </c>
      <c r="AU151" s="1">
        <f t="shared" si="57"/>
        <v>0.61925397190761378</v>
      </c>
      <c r="AV151" s="1">
        <f t="shared" si="58"/>
        <v>0.74</v>
      </c>
      <c r="AX151" s="1">
        <f t="shared" si="59"/>
        <v>3.786688263472493</v>
      </c>
      <c r="AY151" s="1">
        <f t="shared" si="60"/>
        <v>0.72026143486553895</v>
      </c>
      <c r="AZ151" s="1">
        <f t="shared" si="61"/>
        <v>0.73666801646703084</v>
      </c>
      <c r="BA151" s="1">
        <f t="shared" si="62"/>
        <v>1.4466720658681234</v>
      </c>
      <c r="BB151" s="1">
        <f t="shared" si="63"/>
        <v>0.72026143486553895</v>
      </c>
      <c r="BC151" s="1">
        <f t="shared" si="64"/>
        <v>0.72026143486553895</v>
      </c>
      <c r="BD151" s="1">
        <f t="shared" si="65"/>
        <v>1.9738565134461039E-2</v>
      </c>
      <c r="BF151">
        <f t="shared" si="66"/>
        <v>16.353444720578651</v>
      </c>
      <c r="BG151">
        <f t="shared" si="76"/>
        <v>11.778755559438251</v>
      </c>
      <c r="BH151" s="1">
        <f t="shared" si="67"/>
        <v>3.786688263472493</v>
      </c>
      <c r="BI151" s="1">
        <f t="shared" si="68"/>
        <v>0.72026143486553884</v>
      </c>
      <c r="BJ151" s="1">
        <f t="shared" si="69"/>
        <v>0.66194707700597732</v>
      </c>
      <c r="BK151" s="1">
        <f t="shared" si="70"/>
        <v>1.9969175082631916</v>
      </c>
      <c r="BL151" s="1">
        <f t="shared" si="71"/>
        <v>0.66194707700597732</v>
      </c>
      <c r="BM151" s="1">
        <f t="shared" si="72"/>
        <v>0.66194707700597732</v>
      </c>
      <c r="BN151" s="1">
        <f t="shared" si="75"/>
        <v>6.0922587879108326E-3</v>
      </c>
      <c r="BO151" s="1">
        <f t="shared" si="73"/>
        <v>0.110462554785765</v>
      </c>
    </row>
    <row r="152" spans="1:67" x14ac:dyDescent="0.25">
      <c r="A152" s="3"/>
      <c r="B152" s="3"/>
      <c r="C152" t="s">
        <v>135</v>
      </c>
      <c r="D152" s="5">
        <v>1</v>
      </c>
      <c r="E152" s="9">
        <f t="shared" si="52"/>
        <v>21.98</v>
      </c>
      <c r="F152" s="9">
        <f t="shared" si="53"/>
        <v>0.8885101548075558</v>
      </c>
      <c r="G152">
        <v>3.5</v>
      </c>
      <c r="H152">
        <v>7.85</v>
      </c>
      <c r="I152">
        <v>7.07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14.91</v>
      </c>
      <c r="P152">
        <v>0</v>
      </c>
      <c r="Q152">
        <v>62.56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4.0999999999999996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46.6</v>
      </c>
      <c r="AK152" t="s">
        <v>1</v>
      </c>
      <c r="AL152" t="s">
        <v>374</v>
      </c>
      <c r="AO152" t="s">
        <v>375</v>
      </c>
      <c r="AQ152" s="1">
        <f t="shared" si="74"/>
        <v>99.99</v>
      </c>
      <c r="AR152" s="1">
        <f t="shared" si="54"/>
        <v>0.14910000000000001</v>
      </c>
      <c r="AS152" s="1">
        <f t="shared" si="55"/>
        <v>3.5000000000000003E-2</v>
      </c>
      <c r="AT152" s="1">
        <f t="shared" si="56"/>
        <v>7.85E-2</v>
      </c>
      <c r="AU152" s="1">
        <f t="shared" si="57"/>
        <v>0.62560000000000004</v>
      </c>
      <c r="AV152" s="1">
        <f t="shared" si="58"/>
        <v>0.46600000000000003</v>
      </c>
      <c r="AX152" s="1">
        <f t="shared" si="59"/>
        <v>5.5118942731277532</v>
      </c>
      <c r="AY152" s="1">
        <f t="shared" si="60"/>
        <v>1.3136563876651983</v>
      </c>
      <c r="AZ152" s="1">
        <f t="shared" si="61"/>
        <v>0.84449339207048457</v>
      </c>
      <c r="BA152" s="1">
        <f t="shared" si="62"/>
        <v>1.8779735682819383</v>
      </c>
      <c r="BB152" s="1">
        <f t="shared" si="63"/>
        <v>0.84449339207048457</v>
      </c>
      <c r="BC152" s="1">
        <f t="shared" si="64"/>
        <v>0.84449339207048457</v>
      </c>
      <c r="BD152" s="1">
        <f t="shared" si="65"/>
        <v>0.37849339207048455</v>
      </c>
      <c r="BF152">
        <f t="shared" si="66"/>
        <v>21.85</v>
      </c>
      <c r="BG152">
        <f t="shared" si="76"/>
        <v>19.811666666666667</v>
      </c>
      <c r="BH152" s="1">
        <f t="shared" si="67"/>
        <v>2.8631578947368421</v>
      </c>
      <c r="BI152" s="1">
        <f t="shared" si="68"/>
        <v>0.90671243325705564</v>
      </c>
      <c r="BJ152" s="1">
        <f t="shared" si="69"/>
        <v>0.64439999999999997</v>
      </c>
      <c r="BK152" s="1">
        <f t="shared" si="70"/>
        <v>1.5333052631578947</v>
      </c>
      <c r="BL152" s="1">
        <f t="shared" si="71"/>
        <v>0.64439999999999997</v>
      </c>
      <c r="BM152" s="1">
        <f t="shared" si="72"/>
        <v>0.64439999999999997</v>
      </c>
      <c r="BN152" s="1">
        <f t="shared" si="75"/>
        <v>3.1826559999999983E-2</v>
      </c>
      <c r="BO152" s="1">
        <f t="shared" si="73"/>
        <v>3.4057816437948279E-3</v>
      </c>
    </row>
    <row r="153" spans="1:67" x14ac:dyDescent="0.25">
      <c r="A153" s="3"/>
      <c r="B153" s="3"/>
      <c r="C153" t="s">
        <v>136</v>
      </c>
      <c r="D153" s="5">
        <v>1</v>
      </c>
      <c r="E153" s="9">
        <f t="shared" si="52"/>
        <v>21.38</v>
      </c>
      <c r="F153" s="9">
        <f t="shared" si="53"/>
        <v>0.87589876330169691</v>
      </c>
      <c r="G153">
        <v>3.14</v>
      </c>
      <c r="H153">
        <v>8.6300000000000008</v>
      </c>
      <c r="I153">
        <v>6.88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14.5</v>
      </c>
      <c r="P153">
        <v>0</v>
      </c>
      <c r="Q153">
        <v>60.91</v>
      </c>
      <c r="R153">
        <v>0</v>
      </c>
      <c r="S153">
        <v>0</v>
      </c>
      <c r="T153">
        <v>0</v>
      </c>
      <c r="U153">
        <v>1.93</v>
      </c>
      <c r="V153">
        <v>0</v>
      </c>
      <c r="W153">
        <v>0</v>
      </c>
      <c r="X153">
        <v>0</v>
      </c>
      <c r="Y153">
        <v>0</v>
      </c>
      <c r="Z153">
        <v>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41.6</v>
      </c>
      <c r="AK153" t="s">
        <v>1</v>
      </c>
      <c r="AL153" t="s">
        <v>374</v>
      </c>
      <c r="AQ153" s="1">
        <f t="shared" si="74"/>
        <v>99.990000000000009</v>
      </c>
      <c r="AR153" s="1">
        <f t="shared" si="54"/>
        <v>0.14499999999999999</v>
      </c>
      <c r="AS153" s="1">
        <f t="shared" si="55"/>
        <v>3.1400000000000004E-2</v>
      </c>
      <c r="AT153" s="1">
        <f t="shared" si="56"/>
        <v>8.6300000000000002E-2</v>
      </c>
      <c r="AU153" s="1">
        <f t="shared" si="57"/>
        <v>0.60909999999999997</v>
      </c>
      <c r="AV153" s="1">
        <f t="shared" si="58"/>
        <v>0.41600000000000004</v>
      </c>
      <c r="AX153" s="1">
        <f t="shared" si="59"/>
        <v>5.1750212404418008</v>
      </c>
      <c r="AY153" s="1">
        <f t="shared" si="60"/>
        <v>1.2319456244689888</v>
      </c>
      <c r="AZ153" s="1">
        <f t="shared" si="61"/>
        <v>0.82343882752761255</v>
      </c>
      <c r="BA153" s="1">
        <f t="shared" si="62"/>
        <v>1.7937553101104502</v>
      </c>
      <c r="BB153" s="1">
        <f t="shared" si="63"/>
        <v>0.82343882752761255</v>
      </c>
      <c r="BC153" s="1">
        <f t="shared" si="64"/>
        <v>0.82343882752761255</v>
      </c>
      <c r="BD153" s="1">
        <f t="shared" si="65"/>
        <v>0.40743882752761251</v>
      </c>
      <c r="BF153">
        <f t="shared" si="66"/>
        <v>26.98</v>
      </c>
      <c r="BG153">
        <f t="shared" si="76"/>
        <v>19.273333333333333</v>
      </c>
      <c r="BH153" s="1">
        <f t="shared" si="67"/>
        <v>2.2575982209043732</v>
      </c>
      <c r="BI153" s="1">
        <f t="shared" si="68"/>
        <v>0.71435631331850757</v>
      </c>
      <c r="BJ153" s="1">
        <f t="shared" si="69"/>
        <v>0.63289436619718309</v>
      </c>
      <c r="BK153" s="1">
        <f t="shared" si="70"/>
        <v>1.2293143068939953</v>
      </c>
      <c r="BL153" s="1">
        <f t="shared" si="71"/>
        <v>0.63289436619718309</v>
      </c>
      <c r="BM153" s="1">
        <f t="shared" si="72"/>
        <v>0.63289436619718309</v>
      </c>
      <c r="BN153" s="1">
        <f t="shared" si="75"/>
        <v>4.7043166088077744E-2</v>
      </c>
      <c r="BO153" s="1">
        <f t="shared" si="73"/>
        <v>6.9874136136033872E-5</v>
      </c>
    </row>
    <row r="154" spans="1:67" x14ac:dyDescent="0.25">
      <c r="A154" s="3"/>
      <c r="B154" s="3"/>
      <c r="C154" t="s">
        <v>137</v>
      </c>
      <c r="D154" s="5">
        <v>1</v>
      </c>
      <c r="E154" s="9">
        <f t="shared" si="52"/>
        <v>20.78</v>
      </c>
      <c r="F154" s="9">
        <f t="shared" si="53"/>
        <v>0.8898866480200206</v>
      </c>
      <c r="G154">
        <v>3.27</v>
      </c>
      <c r="H154">
        <v>7.48</v>
      </c>
      <c r="I154">
        <v>6.78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14</v>
      </c>
      <c r="P154">
        <v>0</v>
      </c>
      <c r="Q154">
        <v>60.45</v>
      </c>
      <c r="R154">
        <v>0</v>
      </c>
      <c r="S154">
        <v>0</v>
      </c>
      <c r="T154">
        <v>0</v>
      </c>
      <c r="U154">
        <v>4.17</v>
      </c>
      <c r="V154">
        <v>0</v>
      </c>
      <c r="W154">
        <v>0</v>
      </c>
      <c r="X154">
        <v>0</v>
      </c>
      <c r="Y154">
        <v>0</v>
      </c>
      <c r="Z154">
        <v>3.83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37</v>
      </c>
      <c r="AK154" t="s">
        <v>1</v>
      </c>
      <c r="AL154" t="s">
        <v>374</v>
      </c>
      <c r="AQ154" s="1">
        <f t="shared" si="74"/>
        <v>99.98</v>
      </c>
      <c r="AR154" s="1">
        <f t="shared" si="54"/>
        <v>0.14000000000000001</v>
      </c>
      <c r="AS154" s="1">
        <f t="shared" si="55"/>
        <v>3.27E-2</v>
      </c>
      <c r="AT154" s="1">
        <f t="shared" si="56"/>
        <v>7.4800000000000005E-2</v>
      </c>
      <c r="AU154" s="1">
        <f t="shared" si="57"/>
        <v>0.60450000000000004</v>
      </c>
      <c r="AV154" s="1">
        <f t="shared" si="58"/>
        <v>0.37</v>
      </c>
      <c r="AX154" s="1">
        <f t="shared" si="59"/>
        <v>5.6232558139534881</v>
      </c>
      <c r="AY154" s="1">
        <f t="shared" si="60"/>
        <v>1.3023255813953487</v>
      </c>
      <c r="AZ154" s="1">
        <f t="shared" si="61"/>
        <v>0.851453488372093</v>
      </c>
      <c r="BA154" s="1">
        <f t="shared" si="62"/>
        <v>1.905813953488372</v>
      </c>
      <c r="BB154" s="1">
        <f t="shared" si="63"/>
        <v>0.851453488372093</v>
      </c>
      <c r="BC154" s="1">
        <f t="shared" si="64"/>
        <v>0.851453488372093</v>
      </c>
      <c r="BD154" s="1">
        <f t="shared" si="65"/>
        <v>0.48145348837209301</v>
      </c>
      <c r="BF154">
        <f t="shared" si="66"/>
        <v>33.07</v>
      </c>
      <c r="BG154">
        <f t="shared" si="76"/>
        <v>18.666666666666668</v>
      </c>
      <c r="BH154" s="1">
        <f t="shared" si="67"/>
        <v>1.8279407317810705</v>
      </c>
      <c r="BI154" s="1">
        <f t="shared" si="68"/>
        <v>0.56445922790041325</v>
      </c>
      <c r="BJ154" s="1">
        <f t="shared" si="69"/>
        <v>0.6247308739038403</v>
      </c>
      <c r="BK154" s="1">
        <f t="shared" si="70"/>
        <v>1.0136262473540973</v>
      </c>
      <c r="BL154" s="1">
        <f t="shared" si="71"/>
        <v>0.56445922790041325</v>
      </c>
      <c r="BM154" s="1">
        <f t="shared" si="72"/>
        <v>0.56445922790041325</v>
      </c>
      <c r="BN154" s="1">
        <f t="shared" si="75"/>
        <v>3.7814391315624862E-2</v>
      </c>
      <c r="BO154" s="1">
        <f t="shared" si="73"/>
        <v>1.4168392290899454E-3</v>
      </c>
    </row>
    <row r="155" spans="1:67" x14ac:dyDescent="0.25">
      <c r="A155" s="3"/>
      <c r="B155" s="3"/>
      <c r="C155" t="s">
        <v>138</v>
      </c>
      <c r="D155" s="5">
        <v>1</v>
      </c>
      <c r="E155" s="9">
        <f t="shared" si="52"/>
        <v>21.3</v>
      </c>
      <c r="F155" s="9">
        <f t="shared" si="53"/>
        <v>0.88671091217780518</v>
      </c>
      <c r="G155">
        <v>3.4</v>
      </c>
      <c r="H155">
        <v>7.34</v>
      </c>
      <c r="I155">
        <v>6.96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14.34</v>
      </c>
      <c r="P155">
        <v>0</v>
      </c>
      <c r="Q155">
        <v>57.45</v>
      </c>
      <c r="R155">
        <v>0</v>
      </c>
      <c r="S155">
        <v>0</v>
      </c>
      <c r="T155">
        <v>0</v>
      </c>
      <c r="U155">
        <v>6.57</v>
      </c>
      <c r="V155">
        <v>0</v>
      </c>
      <c r="W155">
        <v>0</v>
      </c>
      <c r="X155">
        <v>0</v>
      </c>
      <c r="Y155">
        <v>0</v>
      </c>
      <c r="Z155">
        <v>3.91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29.2</v>
      </c>
      <c r="AK155" t="s">
        <v>1</v>
      </c>
      <c r="AL155" t="s">
        <v>374</v>
      </c>
      <c r="AQ155" s="1">
        <f t="shared" si="74"/>
        <v>99.97</v>
      </c>
      <c r="AR155" s="1">
        <f t="shared" si="54"/>
        <v>0.1434</v>
      </c>
      <c r="AS155" s="1">
        <f t="shared" si="55"/>
        <v>3.4000000000000002E-2</v>
      </c>
      <c r="AT155" s="1">
        <f t="shared" si="56"/>
        <v>7.3399999999999993E-2</v>
      </c>
      <c r="AU155" s="1">
        <f t="shared" si="57"/>
        <v>0.57450000000000001</v>
      </c>
      <c r="AV155" s="1">
        <f t="shared" si="58"/>
        <v>0.29199999999999998</v>
      </c>
      <c r="AX155" s="1">
        <f t="shared" si="59"/>
        <v>5.3491620111731848</v>
      </c>
      <c r="AY155" s="1">
        <f t="shared" si="60"/>
        <v>1.3351955307262571</v>
      </c>
      <c r="AZ155" s="1">
        <f t="shared" si="61"/>
        <v>0.83432262569832405</v>
      </c>
      <c r="BA155" s="1">
        <f t="shared" si="62"/>
        <v>1.8372905027932962</v>
      </c>
      <c r="BB155" s="1">
        <f t="shared" si="63"/>
        <v>0.83432262569832405</v>
      </c>
      <c r="BC155" s="1">
        <f t="shared" si="64"/>
        <v>0.83432262569832405</v>
      </c>
      <c r="BD155" s="1">
        <f t="shared" si="65"/>
        <v>0.54232262569832401</v>
      </c>
      <c r="BF155">
        <f t="shared" si="66"/>
        <v>40.65</v>
      </c>
      <c r="BG155">
        <f t="shared" si="76"/>
        <v>19.123333333333335</v>
      </c>
      <c r="BH155" s="1">
        <f t="shared" si="67"/>
        <v>1.4132841328413286</v>
      </c>
      <c r="BI155" s="1">
        <f t="shared" si="68"/>
        <v>0.47043870438704394</v>
      </c>
      <c r="BJ155" s="1">
        <f t="shared" si="69"/>
        <v>0.61685239852398521</v>
      </c>
      <c r="BK155" s="1">
        <f t="shared" si="70"/>
        <v>0.80546863468634688</v>
      </c>
      <c r="BL155" s="1">
        <f t="shared" si="71"/>
        <v>0.47043870438704394</v>
      </c>
      <c r="BM155" s="1">
        <f t="shared" si="72"/>
        <v>0.47043870438704394</v>
      </c>
      <c r="BN155" s="1">
        <f t="shared" si="75"/>
        <v>3.1840371223326863E-2</v>
      </c>
      <c r="BO155" s="1">
        <f t="shared" si="73"/>
        <v>1.3372823517142234E-2</v>
      </c>
    </row>
    <row r="156" spans="1:67" x14ac:dyDescent="0.25">
      <c r="A156" s="3"/>
      <c r="B156" s="3"/>
      <c r="C156" t="s">
        <v>478</v>
      </c>
      <c r="D156" s="5">
        <v>1</v>
      </c>
      <c r="E156" s="9">
        <f t="shared" si="52"/>
        <v>20</v>
      </c>
      <c r="F156" s="9">
        <f t="shared" si="53"/>
        <v>0.67500000000000004</v>
      </c>
      <c r="G156">
        <v>0</v>
      </c>
      <c r="H156">
        <v>26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20</v>
      </c>
      <c r="P156">
        <v>0</v>
      </c>
      <c r="Q156">
        <v>54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64</v>
      </c>
      <c r="AK156" t="s">
        <v>1</v>
      </c>
      <c r="AL156" t="s">
        <v>374</v>
      </c>
      <c r="AQ156" s="1">
        <f t="shared" si="74"/>
        <v>100</v>
      </c>
      <c r="AR156" s="1">
        <f t="shared" si="54"/>
        <v>0.2</v>
      </c>
      <c r="AS156" s="1">
        <f t="shared" si="55"/>
        <v>0</v>
      </c>
      <c r="AT156" s="1">
        <f t="shared" si="56"/>
        <v>0.26</v>
      </c>
      <c r="AU156" s="1">
        <f t="shared" si="57"/>
        <v>0.54</v>
      </c>
      <c r="AV156" s="1">
        <f t="shared" si="58"/>
        <v>0.64</v>
      </c>
      <c r="AX156" s="1">
        <f t="shared" si="59"/>
        <v>2.0769230769230771</v>
      </c>
      <c r="AY156" s="1">
        <f t="shared" si="60"/>
        <v>0.76923076923076927</v>
      </c>
      <c r="AZ156" s="1">
        <f t="shared" si="61"/>
        <v>0.62980769230769229</v>
      </c>
      <c r="BA156" s="1">
        <f t="shared" si="62"/>
        <v>1.0192307692307692</v>
      </c>
      <c r="BB156" s="1">
        <f t="shared" si="63"/>
        <v>0.62980769230769229</v>
      </c>
      <c r="BC156" s="1">
        <f t="shared" si="64"/>
        <v>0.62980769230769229</v>
      </c>
      <c r="BD156" s="1">
        <f t="shared" si="65"/>
        <v>1.0192307692307723E-2</v>
      </c>
      <c r="BF156">
        <f t="shared" si="66"/>
        <v>26</v>
      </c>
      <c r="BG156">
        <f t="shared" si="76"/>
        <v>20</v>
      </c>
      <c r="BH156" s="1">
        <f t="shared" si="67"/>
        <v>2.0769230769230771</v>
      </c>
      <c r="BI156" s="1">
        <f t="shared" si="68"/>
        <v>0.76923076923076927</v>
      </c>
      <c r="BJ156" s="1">
        <f t="shared" si="69"/>
        <v>0.62946153846153841</v>
      </c>
      <c r="BK156" s="1">
        <f t="shared" si="70"/>
        <v>1.1386153846153848</v>
      </c>
      <c r="BL156" s="1">
        <f t="shared" si="71"/>
        <v>0.62946153846153841</v>
      </c>
      <c r="BM156" s="1">
        <f t="shared" si="72"/>
        <v>0.62946153846153841</v>
      </c>
      <c r="BN156" s="1">
        <f t="shared" si="75"/>
        <v>1.1105917159763459E-4</v>
      </c>
      <c r="BO156" s="1">
        <f t="shared" si="73"/>
        <v>5.3990739770447424E-2</v>
      </c>
    </row>
    <row r="157" spans="1:67" x14ac:dyDescent="0.25">
      <c r="A157" s="3"/>
      <c r="B157" s="3"/>
      <c r="C157" t="s">
        <v>479</v>
      </c>
      <c r="D157" s="5">
        <v>1</v>
      </c>
      <c r="E157" s="9">
        <f t="shared" si="52"/>
        <v>18.899999999999999</v>
      </c>
      <c r="F157" s="9">
        <f t="shared" si="53"/>
        <v>0.66707768187422944</v>
      </c>
      <c r="G157">
        <v>0</v>
      </c>
      <c r="H157">
        <v>27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18.899999999999999</v>
      </c>
      <c r="P157">
        <v>0</v>
      </c>
      <c r="Q157">
        <v>54.1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61</v>
      </c>
      <c r="AK157" t="s">
        <v>1</v>
      </c>
      <c r="AL157" t="s">
        <v>374</v>
      </c>
      <c r="AQ157" s="1">
        <f t="shared" si="74"/>
        <v>100</v>
      </c>
      <c r="AR157" s="1">
        <f t="shared" si="54"/>
        <v>0.18899999999999997</v>
      </c>
      <c r="AS157" s="1">
        <f t="shared" si="55"/>
        <v>0</v>
      </c>
      <c r="AT157" s="1">
        <f t="shared" si="56"/>
        <v>0.27</v>
      </c>
      <c r="AU157" s="1">
        <f t="shared" si="57"/>
        <v>0.54100000000000004</v>
      </c>
      <c r="AV157" s="1">
        <f t="shared" si="58"/>
        <v>0.61</v>
      </c>
      <c r="AX157" s="1">
        <f t="shared" si="59"/>
        <v>2.0037037037037035</v>
      </c>
      <c r="AY157" s="1">
        <f t="shared" si="60"/>
        <v>0.69999999999999984</v>
      </c>
      <c r="AZ157" s="1">
        <f t="shared" si="61"/>
        <v>0.62523148148148144</v>
      </c>
      <c r="BA157" s="1">
        <f t="shared" si="62"/>
        <v>1.0009259259259258</v>
      </c>
      <c r="BB157" s="1">
        <f t="shared" si="63"/>
        <v>0.62523148148148144</v>
      </c>
      <c r="BC157" s="1">
        <f t="shared" si="64"/>
        <v>0.62523148148148144</v>
      </c>
      <c r="BD157" s="1">
        <f t="shared" si="65"/>
        <v>1.5231481481481457E-2</v>
      </c>
      <c r="BF157">
        <f t="shared" si="66"/>
        <v>27</v>
      </c>
      <c r="BG157">
        <f t="shared" si="76"/>
        <v>18.899999999999999</v>
      </c>
      <c r="BH157" s="1">
        <f t="shared" si="67"/>
        <v>2.0037037037037035</v>
      </c>
      <c r="BI157" s="1">
        <f t="shared" si="68"/>
        <v>0.7</v>
      </c>
      <c r="BJ157" s="1">
        <f t="shared" si="69"/>
        <v>0.62807037037037028</v>
      </c>
      <c r="BK157" s="1">
        <f t="shared" si="70"/>
        <v>1.1018592592592593</v>
      </c>
      <c r="BL157" s="1">
        <f t="shared" si="71"/>
        <v>0.62807037037037028</v>
      </c>
      <c r="BM157" s="1">
        <f t="shared" si="72"/>
        <v>0.62807037037037028</v>
      </c>
      <c r="BN157" s="1">
        <f t="shared" si="75"/>
        <v>3.2653828532235659E-4</v>
      </c>
      <c r="BO157" s="1">
        <f t="shared" si="73"/>
        <v>4.094919526585214E-2</v>
      </c>
    </row>
    <row r="158" spans="1:67" x14ac:dyDescent="0.25">
      <c r="A158" s="3"/>
      <c r="B158" s="3"/>
      <c r="C158" t="s">
        <v>480</v>
      </c>
      <c r="D158" s="5">
        <v>1</v>
      </c>
      <c r="E158" s="9">
        <f t="shared" si="52"/>
        <v>21.1</v>
      </c>
      <c r="F158" s="9">
        <f t="shared" si="53"/>
        <v>0.66666666666666663</v>
      </c>
      <c r="G158">
        <v>0</v>
      </c>
      <c r="H158">
        <v>26.3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21.1</v>
      </c>
      <c r="P158">
        <v>0</v>
      </c>
      <c r="Q158">
        <v>52.6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60</v>
      </c>
      <c r="AK158" t="s">
        <v>1</v>
      </c>
      <c r="AL158" t="s">
        <v>374</v>
      </c>
      <c r="AQ158" s="1">
        <f t="shared" si="74"/>
        <v>100</v>
      </c>
      <c r="AR158" s="1">
        <f t="shared" si="54"/>
        <v>0.21100000000000002</v>
      </c>
      <c r="AS158" s="1">
        <f t="shared" si="55"/>
        <v>0</v>
      </c>
      <c r="AT158" s="1">
        <f t="shared" si="56"/>
        <v>0.26300000000000001</v>
      </c>
      <c r="AU158" s="1">
        <f t="shared" si="57"/>
        <v>0.52600000000000002</v>
      </c>
      <c r="AV158" s="1">
        <f t="shared" si="58"/>
        <v>0.6</v>
      </c>
      <c r="AX158" s="1">
        <f t="shared" si="59"/>
        <v>2</v>
      </c>
      <c r="AY158" s="1">
        <f t="shared" si="60"/>
        <v>0.80228136882129286</v>
      </c>
      <c r="AZ158" s="1">
        <f t="shared" si="61"/>
        <v>0.625</v>
      </c>
      <c r="BA158" s="1">
        <f t="shared" si="62"/>
        <v>1</v>
      </c>
      <c r="BB158" s="1">
        <f t="shared" si="63"/>
        <v>0.625</v>
      </c>
      <c r="BC158" s="1">
        <f t="shared" si="64"/>
        <v>0.625</v>
      </c>
      <c r="BD158" s="1">
        <f t="shared" si="65"/>
        <v>2.5000000000000022E-2</v>
      </c>
      <c r="BF158">
        <f t="shared" si="66"/>
        <v>26.3</v>
      </c>
      <c r="BG158">
        <f t="shared" si="76"/>
        <v>21.1</v>
      </c>
      <c r="BH158" s="1">
        <f t="shared" si="67"/>
        <v>2</v>
      </c>
      <c r="BI158" s="1">
        <f t="shared" si="68"/>
        <v>0.80228136882129286</v>
      </c>
      <c r="BJ158" s="1">
        <f t="shared" si="69"/>
        <v>0.628</v>
      </c>
      <c r="BK158" s="1">
        <f t="shared" si="70"/>
        <v>1.1000000000000001</v>
      </c>
      <c r="BL158" s="1">
        <f t="shared" si="71"/>
        <v>0.628</v>
      </c>
      <c r="BM158" s="1">
        <f t="shared" si="72"/>
        <v>0.628</v>
      </c>
      <c r="BN158" s="1">
        <f t="shared" si="75"/>
        <v>7.8400000000000138E-4</v>
      </c>
      <c r="BO158" s="1">
        <f t="shared" si="73"/>
        <v>3.7002013764320378E-2</v>
      </c>
    </row>
    <row r="159" spans="1:67" x14ac:dyDescent="0.25">
      <c r="A159" s="3"/>
      <c r="B159" s="3"/>
      <c r="C159" t="s">
        <v>481</v>
      </c>
      <c r="D159" s="5">
        <v>1</v>
      </c>
      <c r="E159" s="9">
        <f t="shared" si="52"/>
        <v>20.6</v>
      </c>
      <c r="F159" s="9">
        <f t="shared" si="53"/>
        <v>0.66372795969773302</v>
      </c>
      <c r="G159">
        <v>0</v>
      </c>
      <c r="H159">
        <v>26.7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20.6</v>
      </c>
      <c r="P159">
        <v>0</v>
      </c>
      <c r="Q159">
        <v>52.7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66</v>
      </c>
      <c r="AK159" t="s">
        <v>1</v>
      </c>
      <c r="AL159" t="s">
        <v>374</v>
      </c>
      <c r="AQ159" s="1">
        <f t="shared" si="74"/>
        <v>100</v>
      </c>
      <c r="AR159" s="1">
        <f t="shared" si="54"/>
        <v>0.20600000000000002</v>
      </c>
      <c r="AS159" s="1">
        <f t="shared" si="55"/>
        <v>0</v>
      </c>
      <c r="AT159" s="1">
        <f t="shared" si="56"/>
        <v>0.26700000000000002</v>
      </c>
      <c r="AU159" s="1">
        <f t="shared" si="57"/>
        <v>0.52700000000000002</v>
      </c>
      <c r="AV159" s="1">
        <f t="shared" si="58"/>
        <v>0.66</v>
      </c>
      <c r="AX159" s="1">
        <f t="shared" si="59"/>
        <v>1.9737827715355805</v>
      </c>
      <c r="AY159" s="1">
        <f t="shared" si="60"/>
        <v>0.77153558052434457</v>
      </c>
      <c r="AZ159" s="1">
        <f t="shared" si="61"/>
        <v>0.62336142322097376</v>
      </c>
      <c r="BA159" s="1">
        <f t="shared" si="62"/>
        <v>0.99344569288389506</v>
      </c>
      <c r="BB159" s="1">
        <f t="shared" si="63"/>
        <v>0.62336142322097376</v>
      </c>
      <c r="BC159" s="1">
        <f t="shared" si="64"/>
        <v>0.62336142322097376</v>
      </c>
      <c r="BD159" s="1">
        <f t="shared" si="65"/>
        <v>3.6638576779026266E-2</v>
      </c>
      <c r="BF159">
        <f t="shared" si="66"/>
        <v>26.7</v>
      </c>
      <c r="BG159">
        <f t="shared" si="76"/>
        <v>20.6</v>
      </c>
      <c r="BH159" s="1">
        <f t="shared" si="67"/>
        <v>1.9737827715355807</v>
      </c>
      <c r="BI159" s="1">
        <f t="shared" si="68"/>
        <v>0.77153558052434468</v>
      </c>
      <c r="BJ159" s="1">
        <f t="shared" si="69"/>
        <v>0.62750187265917601</v>
      </c>
      <c r="BK159" s="1">
        <f t="shared" si="70"/>
        <v>1.0868389513108616</v>
      </c>
      <c r="BL159" s="1">
        <f t="shared" si="71"/>
        <v>0.62750187265917601</v>
      </c>
      <c r="BM159" s="1">
        <f t="shared" si="72"/>
        <v>0.62750187265917601</v>
      </c>
      <c r="BN159" s="1">
        <f t="shared" si="75"/>
        <v>1.0561282806604139E-3</v>
      </c>
      <c r="BO159" s="1">
        <f t="shared" si="73"/>
        <v>6.3685102773510957E-2</v>
      </c>
    </row>
    <row r="160" spans="1:67" x14ac:dyDescent="0.25">
      <c r="A160" s="3"/>
      <c r="B160" s="3"/>
      <c r="C160" t="s">
        <v>144</v>
      </c>
      <c r="D160" s="5">
        <v>1</v>
      </c>
      <c r="E160" s="9">
        <f t="shared" si="52"/>
        <v>25</v>
      </c>
      <c r="F160" s="9">
        <f t="shared" si="53"/>
        <v>0.66666666666666663</v>
      </c>
      <c r="G160">
        <v>0</v>
      </c>
      <c r="H160">
        <v>25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25</v>
      </c>
      <c r="P160">
        <v>0</v>
      </c>
      <c r="Q160">
        <v>50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64</v>
      </c>
      <c r="AK160" t="s">
        <v>1</v>
      </c>
      <c r="AL160" t="s">
        <v>374</v>
      </c>
      <c r="AO160" t="s">
        <v>378</v>
      </c>
      <c r="AQ160" s="1">
        <f t="shared" si="74"/>
        <v>100</v>
      </c>
      <c r="AR160" s="1">
        <f t="shared" si="54"/>
        <v>0.25</v>
      </c>
      <c r="AS160" s="1">
        <f t="shared" si="55"/>
        <v>0</v>
      </c>
      <c r="AT160" s="1">
        <f t="shared" si="56"/>
        <v>0.25</v>
      </c>
      <c r="AU160" s="1">
        <f t="shared" si="57"/>
        <v>0.5</v>
      </c>
      <c r="AV160" s="1">
        <f t="shared" si="58"/>
        <v>0.64</v>
      </c>
      <c r="AX160" s="1">
        <f t="shared" si="59"/>
        <v>2</v>
      </c>
      <c r="AY160" s="1">
        <f t="shared" si="60"/>
        <v>1</v>
      </c>
      <c r="AZ160" s="1">
        <f t="shared" si="61"/>
        <v>0.625</v>
      </c>
      <c r="BA160" s="1">
        <f t="shared" si="62"/>
        <v>1</v>
      </c>
      <c r="BB160" s="1">
        <f t="shared" si="63"/>
        <v>0.625</v>
      </c>
      <c r="BC160" s="1">
        <f t="shared" si="64"/>
        <v>0.625</v>
      </c>
      <c r="BD160" s="1">
        <f t="shared" si="65"/>
        <v>1.5000000000000013E-2</v>
      </c>
      <c r="BF160">
        <f t="shared" si="66"/>
        <v>25</v>
      </c>
      <c r="BG160">
        <f t="shared" si="76"/>
        <v>25</v>
      </c>
      <c r="BH160" s="1">
        <f t="shared" si="67"/>
        <v>2</v>
      </c>
      <c r="BI160" s="1">
        <f t="shared" si="68"/>
        <v>1</v>
      </c>
      <c r="BJ160" s="1">
        <f t="shared" si="69"/>
        <v>0.628</v>
      </c>
      <c r="BK160" s="1">
        <f t="shared" si="70"/>
        <v>1.1000000000000001</v>
      </c>
      <c r="BL160" s="1">
        <f t="shared" si="71"/>
        <v>0.628</v>
      </c>
      <c r="BM160" s="1">
        <f t="shared" si="72"/>
        <v>0.628</v>
      </c>
      <c r="BN160" s="1">
        <f t="shared" si="75"/>
        <v>1.4400000000000025E-4</v>
      </c>
      <c r="BO160" s="1">
        <f t="shared" si="73"/>
        <v>5.3990739770447424E-2</v>
      </c>
    </row>
    <row r="161" spans="1:67" x14ac:dyDescent="0.25">
      <c r="A161" s="3"/>
      <c r="B161" s="3"/>
      <c r="C161" t="s">
        <v>145</v>
      </c>
      <c r="D161" s="5">
        <v>1</v>
      </c>
      <c r="E161" s="9">
        <f t="shared" si="52"/>
        <v>25</v>
      </c>
      <c r="F161" s="9">
        <f t="shared" si="53"/>
        <v>0.66666666666666663</v>
      </c>
      <c r="G161">
        <v>0</v>
      </c>
      <c r="H161">
        <v>25</v>
      </c>
      <c r="I161">
        <v>12.5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12.5</v>
      </c>
      <c r="P161">
        <v>0</v>
      </c>
      <c r="Q161">
        <v>50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61</v>
      </c>
      <c r="AK161" t="s">
        <v>1</v>
      </c>
      <c r="AL161" t="s">
        <v>374</v>
      </c>
      <c r="AQ161" s="1">
        <f t="shared" si="74"/>
        <v>100</v>
      </c>
      <c r="AR161" s="1">
        <f t="shared" si="54"/>
        <v>0.125</v>
      </c>
      <c r="AS161" s="1">
        <f t="shared" si="55"/>
        <v>0</v>
      </c>
      <c r="AT161" s="1">
        <f t="shared" si="56"/>
        <v>0.25</v>
      </c>
      <c r="AU161" s="1">
        <f t="shared" si="57"/>
        <v>0.5</v>
      </c>
      <c r="AV161" s="1">
        <f t="shared" si="58"/>
        <v>0.61</v>
      </c>
      <c r="AX161" s="1">
        <f t="shared" si="59"/>
        <v>2</v>
      </c>
      <c r="AY161" s="1">
        <f t="shared" si="60"/>
        <v>0.5</v>
      </c>
      <c r="AZ161" s="1">
        <f t="shared" si="61"/>
        <v>0.625</v>
      </c>
      <c r="BA161" s="1">
        <f t="shared" si="62"/>
        <v>1</v>
      </c>
      <c r="BB161" s="1">
        <f t="shared" si="63"/>
        <v>0.5</v>
      </c>
      <c r="BC161" s="1">
        <f t="shared" si="64"/>
        <v>0.5</v>
      </c>
      <c r="BD161" s="1">
        <f t="shared" si="65"/>
        <v>0.10999999999999999</v>
      </c>
      <c r="BF161">
        <f t="shared" si="66"/>
        <v>25</v>
      </c>
      <c r="BG161">
        <f t="shared" si="76"/>
        <v>18.75</v>
      </c>
      <c r="BH161" s="1">
        <f t="shared" si="67"/>
        <v>2</v>
      </c>
      <c r="BI161" s="1">
        <f t="shared" si="68"/>
        <v>0.75</v>
      </c>
      <c r="BJ161" s="1">
        <f t="shared" si="69"/>
        <v>0.628</v>
      </c>
      <c r="BK161" s="1">
        <f t="shared" si="70"/>
        <v>1.1000000000000001</v>
      </c>
      <c r="BL161" s="1">
        <f t="shared" si="71"/>
        <v>0.628</v>
      </c>
      <c r="BM161" s="1">
        <f t="shared" si="72"/>
        <v>0.628</v>
      </c>
      <c r="BN161" s="1">
        <f t="shared" si="75"/>
        <v>3.2400000000000056E-4</v>
      </c>
      <c r="BO161" s="1">
        <f t="shared" si="73"/>
        <v>4.094919526585214E-2</v>
      </c>
    </row>
    <row r="162" spans="1:67" x14ac:dyDescent="0.25">
      <c r="A162" s="3"/>
      <c r="B162" s="3"/>
      <c r="C162" t="s">
        <v>146</v>
      </c>
      <c r="D162" s="5">
        <v>1</v>
      </c>
      <c r="E162" s="9">
        <f t="shared" si="52"/>
        <v>25</v>
      </c>
      <c r="F162" s="9">
        <f t="shared" si="53"/>
        <v>0.66666666666666663</v>
      </c>
      <c r="G162">
        <v>0</v>
      </c>
      <c r="H162">
        <v>25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12.5</v>
      </c>
      <c r="P162">
        <v>0</v>
      </c>
      <c r="Q162">
        <v>50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12.5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62</v>
      </c>
      <c r="AK162" t="s">
        <v>1</v>
      </c>
      <c r="AL162" t="s">
        <v>374</v>
      </c>
      <c r="AQ162" s="1">
        <f t="shared" si="74"/>
        <v>100</v>
      </c>
      <c r="AR162" s="1">
        <f t="shared" si="54"/>
        <v>0.125</v>
      </c>
      <c r="AS162" s="1">
        <f t="shared" si="55"/>
        <v>0</v>
      </c>
      <c r="AT162" s="1">
        <f t="shared" si="56"/>
        <v>0.25</v>
      </c>
      <c r="AU162" s="1">
        <f t="shared" si="57"/>
        <v>0.5</v>
      </c>
      <c r="AV162" s="1">
        <f t="shared" si="58"/>
        <v>0.62</v>
      </c>
      <c r="AX162" s="1">
        <f t="shared" si="59"/>
        <v>2</v>
      </c>
      <c r="AY162" s="1">
        <f t="shared" si="60"/>
        <v>0.5</v>
      </c>
      <c r="AZ162" s="1">
        <f t="shared" si="61"/>
        <v>0.625</v>
      </c>
      <c r="BA162" s="1">
        <f t="shared" si="62"/>
        <v>1</v>
      </c>
      <c r="BB162" s="1">
        <f t="shared" si="63"/>
        <v>0.5</v>
      </c>
      <c r="BC162" s="1">
        <f t="shared" si="64"/>
        <v>0.5</v>
      </c>
      <c r="BD162" s="1">
        <f t="shared" si="65"/>
        <v>0.12</v>
      </c>
      <c r="BF162">
        <f t="shared" si="66"/>
        <v>25</v>
      </c>
      <c r="BG162">
        <f t="shared" si="76"/>
        <v>18.75</v>
      </c>
      <c r="BH162" s="1">
        <f t="shared" si="67"/>
        <v>2</v>
      </c>
      <c r="BI162" s="1">
        <f t="shared" si="68"/>
        <v>0.75</v>
      </c>
      <c r="BJ162" s="1">
        <f t="shared" si="69"/>
        <v>0.628</v>
      </c>
      <c r="BK162" s="1">
        <f t="shared" si="70"/>
        <v>1.1000000000000001</v>
      </c>
      <c r="BL162" s="1">
        <f t="shared" si="71"/>
        <v>0.628</v>
      </c>
      <c r="BM162" s="1">
        <f t="shared" si="72"/>
        <v>0.628</v>
      </c>
      <c r="BN162" s="1">
        <f t="shared" si="75"/>
        <v>6.4000000000000119E-5</v>
      </c>
      <c r="BO162" s="1">
        <f t="shared" si="73"/>
        <v>4.50963767673839E-2</v>
      </c>
    </row>
    <row r="163" spans="1:67" x14ac:dyDescent="0.25">
      <c r="A163" s="3"/>
      <c r="B163" s="3"/>
      <c r="C163" t="s">
        <v>147</v>
      </c>
      <c r="D163" s="5">
        <v>1</v>
      </c>
      <c r="E163" s="9">
        <f t="shared" si="52"/>
        <v>12.5</v>
      </c>
      <c r="F163" s="9">
        <f t="shared" si="53"/>
        <v>0.66666666666666663</v>
      </c>
      <c r="G163">
        <v>0</v>
      </c>
      <c r="H163">
        <v>25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12.5</v>
      </c>
      <c r="P163">
        <v>0</v>
      </c>
      <c r="Q163">
        <v>50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12.5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63</v>
      </c>
      <c r="AK163" t="s">
        <v>1</v>
      </c>
      <c r="AL163" t="s">
        <v>374</v>
      </c>
      <c r="AQ163" s="1">
        <f t="shared" si="74"/>
        <v>100</v>
      </c>
      <c r="AR163" s="1">
        <f t="shared" si="54"/>
        <v>0.125</v>
      </c>
      <c r="AS163" s="1">
        <f t="shared" si="55"/>
        <v>0</v>
      </c>
      <c r="AT163" s="1">
        <f t="shared" si="56"/>
        <v>0.25</v>
      </c>
      <c r="AU163" s="1">
        <f t="shared" si="57"/>
        <v>0.5</v>
      </c>
      <c r="AV163" s="1">
        <f t="shared" si="58"/>
        <v>0.63</v>
      </c>
      <c r="AX163" s="1">
        <f t="shared" si="59"/>
        <v>2</v>
      </c>
      <c r="AY163" s="1">
        <f t="shared" si="60"/>
        <v>0.5</v>
      </c>
      <c r="AZ163" s="1">
        <f t="shared" si="61"/>
        <v>0.625</v>
      </c>
      <c r="BA163" s="1">
        <f t="shared" si="62"/>
        <v>1</v>
      </c>
      <c r="BB163" s="1">
        <f t="shared" si="63"/>
        <v>0.5</v>
      </c>
      <c r="BC163" s="1">
        <f t="shared" si="64"/>
        <v>0.5</v>
      </c>
      <c r="BD163" s="1">
        <f t="shared" si="65"/>
        <v>0.13</v>
      </c>
      <c r="BF163">
        <f t="shared" si="66"/>
        <v>25</v>
      </c>
      <c r="BG163">
        <f t="shared" si="76"/>
        <v>12.5</v>
      </c>
      <c r="BH163" s="1">
        <f t="shared" si="67"/>
        <v>2</v>
      </c>
      <c r="BI163" s="1">
        <f t="shared" si="68"/>
        <v>0.5</v>
      </c>
      <c r="BJ163" s="1">
        <f t="shared" si="69"/>
        <v>0.628</v>
      </c>
      <c r="BK163" s="1">
        <f t="shared" si="70"/>
        <v>1.1000000000000001</v>
      </c>
      <c r="BL163" s="1">
        <f t="shared" si="71"/>
        <v>0.5</v>
      </c>
      <c r="BM163" s="1">
        <f t="shared" si="72"/>
        <v>0.5</v>
      </c>
      <c r="BN163" s="1">
        <f t="shared" si="75"/>
        <v>1.6900000000000002E-2</v>
      </c>
      <c r="BO163" s="1">
        <f t="shared" si="73"/>
        <v>4.9443558268915666E-2</v>
      </c>
    </row>
    <row r="164" spans="1:67" x14ac:dyDescent="0.25">
      <c r="A164" s="3"/>
      <c r="B164" s="3"/>
      <c r="C164" t="s">
        <v>149</v>
      </c>
      <c r="D164" s="5">
        <v>1</v>
      </c>
      <c r="E164" s="9">
        <f t="shared" si="52"/>
        <v>15</v>
      </c>
      <c r="F164" s="9">
        <f t="shared" si="53"/>
        <v>0.70833333333333337</v>
      </c>
      <c r="G164">
        <v>8</v>
      </c>
      <c r="H164">
        <v>21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15</v>
      </c>
      <c r="P164">
        <v>0</v>
      </c>
      <c r="Q164">
        <v>51</v>
      </c>
      <c r="R164">
        <v>0</v>
      </c>
      <c r="S164">
        <v>0</v>
      </c>
      <c r="T164">
        <v>0</v>
      </c>
      <c r="U164">
        <v>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22</v>
      </c>
      <c r="AK164" t="s">
        <v>1</v>
      </c>
      <c r="AL164" t="s">
        <v>372</v>
      </c>
      <c r="AO164" t="s">
        <v>378</v>
      </c>
      <c r="AP164" t="s">
        <v>404</v>
      </c>
      <c r="AQ164" s="1">
        <f t="shared" si="74"/>
        <v>100</v>
      </c>
      <c r="AR164" s="1">
        <f t="shared" si="54"/>
        <v>0.15</v>
      </c>
      <c r="AS164" s="1">
        <f t="shared" si="55"/>
        <v>0.08</v>
      </c>
      <c r="AT164" s="1">
        <f t="shared" si="56"/>
        <v>0.21</v>
      </c>
      <c r="AU164" s="1">
        <f t="shared" si="57"/>
        <v>0.51</v>
      </c>
      <c r="AV164" s="1">
        <f t="shared" si="58"/>
        <v>0.22</v>
      </c>
      <c r="AX164" s="1">
        <f t="shared" si="59"/>
        <v>1.7586206896551726</v>
      </c>
      <c r="AY164" s="1">
        <f t="shared" si="60"/>
        <v>0.51724137931034486</v>
      </c>
      <c r="AZ164" s="1">
        <f t="shared" si="61"/>
        <v>0.60991379310344829</v>
      </c>
      <c r="BA164" s="1">
        <f t="shared" si="62"/>
        <v>0.93965517241379315</v>
      </c>
      <c r="BB164" s="1">
        <f t="shared" si="63"/>
        <v>0.51724137931034486</v>
      </c>
      <c r="BC164" s="1">
        <f t="shared" si="64"/>
        <v>0.51724137931034486</v>
      </c>
      <c r="BD164" s="1">
        <f t="shared" si="65"/>
        <v>0.29724137931034489</v>
      </c>
      <c r="BF164">
        <f t="shared" si="66"/>
        <v>68</v>
      </c>
      <c r="BG164">
        <f t="shared" si="76"/>
        <v>15</v>
      </c>
      <c r="BH164" s="1">
        <f t="shared" si="67"/>
        <v>0.75</v>
      </c>
      <c r="BI164" s="1">
        <f t="shared" si="68"/>
        <v>0.22058823529411764</v>
      </c>
      <c r="BJ164" s="1">
        <f t="shared" si="69"/>
        <v>0.60424999999999995</v>
      </c>
      <c r="BK164" s="1">
        <f t="shared" si="70"/>
        <v>0.47250000000000003</v>
      </c>
      <c r="BL164" s="1">
        <f t="shared" si="71"/>
        <v>0.22058823529411764</v>
      </c>
      <c r="BM164" s="1">
        <f t="shared" si="72"/>
        <v>0.22058823529411764</v>
      </c>
      <c r="BN164" s="1">
        <f t="shared" si="75"/>
        <v>3.4602076124566574E-7</v>
      </c>
      <c r="BO164" s="1">
        <f t="shared" si="73"/>
        <v>3.5209116706113569E-2</v>
      </c>
    </row>
    <row r="165" spans="1:67" x14ac:dyDescent="0.25">
      <c r="A165" s="3"/>
      <c r="B165" s="3"/>
      <c r="C165" t="s">
        <v>150</v>
      </c>
      <c r="D165" s="5">
        <v>1</v>
      </c>
      <c r="E165" s="9">
        <f t="shared" si="52"/>
        <v>20</v>
      </c>
      <c r="F165" s="9">
        <f t="shared" si="53"/>
        <v>0.70833333333333337</v>
      </c>
      <c r="G165">
        <v>8</v>
      </c>
      <c r="H165">
        <v>21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20</v>
      </c>
      <c r="P165">
        <v>0</v>
      </c>
      <c r="Q165">
        <v>51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45</v>
      </c>
      <c r="AK165" t="s">
        <v>1</v>
      </c>
      <c r="AL165" t="s">
        <v>372</v>
      </c>
      <c r="AQ165" s="1">
        <f t="shared" si="74"/>
        <v>100</v>
      </c>
      <c r="AR165" s="1">
        <f t="shared" si="54"/>
        <v>0.2</v>
      </c>
      <c r="AS165" s="1">
        <f t="shared" si="55"/>
        <v>0.08</v>
      </c>
      <c r="AT165" s="1">
        <f t="shared" si="56"/>
        <v>0.21</v>
      </c>
      <c r="AU165" s="1">
        <f t="shared" si="57"/>
        <v>0.51</v>
      </c>
      <c r="AV165" s="1">
        <f t="shared" si="58"/>
        <v>0.45</v>
      </c>
      <c r="AX165" s="1">
        <f t="shared" si="59"/>
        <v>1.7586206896551726</v>
      </c>
      <c r="AY165" s="1">
        <f t="shared" si="60"/>
        <v>0.68965517241379315</v>
      </c>
      <c r="AZ165" s="1">
        <f t="shared" si="61"/>
        <v>0.60991379310344829</v>
      </c>
      <c r="BA165" s="1">
        <f t="shared" si="62"/>
        <v>0.93965517241379315</v>
      </c>
      <c r="BB165" s="1">
        <f t="shared" si="63"/>
        <v>0.60991379310344829</v>
      </c>
      <c r="BC165" s="1">
        <f t="shared" si="64"/>
        <v>0.60991379310344829</v>
      </c>
      <c r="BD165" s="1">
        <f t="shared" si="65"/>
        <v>0.15991379310344828</v>
      </c>
      <c r="BF165">
        <f t="shared" si="66"/>
        <v>53</v>
      </c>
      <c r="BG165">
        <f t="shared" si="76"/>
        <v>20</v>
      </c>
      <c r="BH165" s="1">
        <f t="shared" si="67"/>
        <v>0.96226415094339623</v>
      </c>
      <c r="BI165" s="1">
        <f t="shared" si="68"/>
        <v>0.37735849056603776</v>
      </c>
      <c r="BJ165" s="1">
        <f t="shared" si="69"/>
        <v>0.60828301886792446</v>
      </c>
      <c r="BK165" s="1">
        <f t="shared" si="70"/>
        <v>0.57905660377358492</v>
      </c>
      <c r="BL165" s="1">
        <f t="shared" si="71"/>
        <v>0.37735849056603776</v>
      </c>
      <c r="BM165" s="1">
        <f t="shared" si="72"/>
        <v>0.37735849056603776</v>
      </c>
      <c r="BN165" s="1">
        <f t="shared" si="75"/>
        <v>5.2767888928444261E-3</v>
      </c>
      <c r="BO165" s="1">
        <f t="shared" si="73"/>
        <v>1.7942912413440124E-3</v>
      </c>
    </row>
    <row r="166" spans="1:67" x14ac:dyDescent="0.25">
      <c r="A166" s="3"/>
      <c r="B166" s="3"/>
      <c r="C166" t="s">
        <v>151</v>
      </c>
      <c r="D166" s="5">
        <v>1</v>
      </c>
      <c r="E166" s="9">
        <f t="shared" si="52"/>
        <v>14.23</v>
      </c>
      <c r="F166" s="9">
        <f t="shared" si="53"/>
        <v>0.7896700478022618</v>
      </c>
      <c r="G166">
        <v>0</v>
      </c>
      <c r="H166">
        <v>18.04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14.23</v>
      </c>
      <c r="P166">
        <v>0</v>
      </c>
      <c r="Q166">
        <v>67.73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73.7</v>
      </c>
      <c r="AK166" t="s">
        <v>1</v>
      </c>
      <c r="AL166" t="s">
        <v>374</v>
      </c>
      <c r="AM166" t="s">
        <v>388</v>
      </c>
      <c r="AQ166" s="1">
        <f t="shared" si="74"/>
        <v>100</v>
      </c>
      <c r="AR166" s="1">
        <f t="shared" si="54"/>
        <v>0.14230000000000001</v>
      </c>
      <c r="AS166" s="1">
        <f t="shared" si="55"/>
        <v>0</v>
      </c>
      <c r="AT166" s="1">
        <f t="shared" si="56"/>
        <v>0.1804</v>
      </c>
      <c r="AU166" s="1">
        <f t="shared" si="57"/>
        <v>0.67730000000000001</v>
      </c>
      <c r="AV166" s="1">
        <f t="shared" si="58"/>
        <v>0.73699999999999999</v>
      </c>
      <c r="AX166" s="1">
        <f t="shared" si="59"/>
        <v>3.7544345898004434</v>
      </c>
      <c r="AY166" s="1">
        <f t="shared" si="60"/>
        <v>0.78880266075388028</v>
      </c>
      <c r="AZ166" s="1">
        <f t="shared" si="61"/>
        <v>0.73465216186252769</v>
      </c>
      <c r="BA166" s="1">
        <f t="shared" si="62"/>
        <v>1.4386086474501107</v>
      </c>
      <c r="BB166" s="1">
        <f t="shared" si="63"/>
        <v>0.73465216186252769</v>
      </c>
      <c r="BC166" s="1">
        <f t="shared" si="64"/>
        <v>0.73465216186252769</v>
      </c>
      <c r="BD166" s="1">
        <f t="shared" si="65"/>
        <v>2.3478381374723023E-3</v>
      </c>
      <c r="BF166">
        <f t="shared" si="66"/>
        <v>18.04</v>
      </c>
      <c r="BG166">
        <f t="shared" si="76"/>
        <v>14.23</v>
      </c>
      <c r="BH166" s="1">
        <f t="shared" si="67"/>
        <v>3.7544345898004439</v>
      </c>
      <c r="BI166" s="1">
        <f t="shared" si="68"/>
        <v>0.78880266075388028</v>
      </c>
      <c r="BJ166" s="1">
        <f t="shared" si="69"/>
        <v>0.66133425720620842</v>
      </c>
      <c r="BK166" s="1">
        <f t="shared" si="70"/>
        <v>1.9807261640798228</v>
      </c>
      <c r="BL166" s="1">
        <f t="shared" si="71"/>
        <v>0.66133425720620842</v>
      </c>
      <c r="BM166" s="1">
        <f t="shared" si="72"/>
        <v>0.66133425720620842</v>
      </c>
      <c r="BN166" s="1">
        <f t="shared" si="75"/>
        <v>5.725304632536221E-3</v>
      </c>
      <c r="BO166" s="1">
        <f t="shared" si="73"/>
        <v>0.10847740033530547</v>
      </c>
    </row>
    <row r="167" spans="1:67" x14ac:dyDescent="0.25">
      <c r="A167" s="3"/>
      <c r="B167" s="3"/>
      <c r="C167" t="s">
        <v>152</v>
      </c>
      <c r="D167" s="5">
        <v>1</v>
      </c>
      <c r="E167" s="9">
        <f t="shared" si="52"/>
        <v>16.45</v>
      </c>
      <c r="F167" s="9">
        <f t="shared" si="53"/>
        <v>0.78970182582424797</v>
      </c>
      <c r="G167">
        <v>5.71</v>
      </c>
      <c r="H167">
        <v>16.010000000000002</v>
      </c>
      <c r="I167">
        <v>3.82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12.63</v>
      </c>
      <c r="P167">
        <v>0</v>
      </c>
      <c r="Q167">
        <v>60.12</v>
      </c>
      <c r="R167">
        <v>0</v>
      </c>
      <c r="S167">
        <v>0</v>
      </c>
      <c r="T167">
        <v>0</v>
      </c>
      <c r="U167">
        <v>1.71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49.4</v>
      </c>
      <c r="AK167" t="s">
        <v>1</v>
      </c>
      <c r="AL167" t="s">
        <v>374</v>
      </c>
      <c r="AQ167" s="1">
        <f t="shared" si="74"/>
        <v>99.999999999999986</v>
      </c>
      <c r="AR167" s="1">
        <f t="shared" si="54"/>
        <v>0.1263</v>
      </c>
      <c r="AS167" s="1">
        <f t="shared" si="55"/>
        <v>5.7099999999999998E-2</v>
      </c>
      <c r="AT167" s="1">
        <f t="shared" si="56"/>
        <v>0.16010000000000002</v>
      </c>
      <c r="AU167" s="1">
        <f t="shared" si="57"/>
        <v>0.60119999999999996</v>
      </c>
      <c r="AV167" s="1">
        <f t="shared" si="58"/>
        <v>0.49399999999999999</v>
      </c>
      <c r="AX167" s="1">
        <f t="shared" si="59"/>
        <v>2.7679558011049723</v>
      </c>
      <c r="AY167" s="1">
        <f t="shared" si="60"/>
        <v>0.58149171270718225</v>
      </c>
      <c r="AZ167" s="1">
        <f t="shared" si="61"/>
        <v>0.67299723756906071</v>
      </c>
      <c r="BA167" s="1">
        <f t="shared" si="62"/>
        <v>1.1919889502762431</v>
      </c>
      <c r="BB167" s="1">
        <f t="shared" si="63"/>
        <v>0.58149171270718225</v>
      </c>
      <c r="BC167" s="1">
        <f t="shared" si="64"/>
        <v>0.58149171270718225</v>
      </c>
      <c r="BD167" s="1">
        <f t="shared" si="65"/>
        <v>8.7491712707182256E-2</v>
      </c>
      <c r="BF167">
        <f t="shared" si="66"/>
        <v>43.980000000000004</v>
      </c>
      <c r="BG167">
        <f t="shared" si="76"/>
        <v>14.540000000000001</v>
      </c>
      <c r="BH167" s="1">
        <f t="shared" si="67"/>
        <v>1.3669849931787175</v>
      </c>
      <c r="BI167" s="1">
        <f t="shared" si="68"/>
        <v>0.33060482037289673</v>
      </c>
      <c r="BJ167" s="1">
        <f t="shared" si="69"/>
        <v>0.61597271487039562</v>
      </c>
      <c r="BK167" s="1">
        <f t="shared" si="70"/>
        <v>0.78222646657571615</v>
      </c>
      <c r="BL167" s="1">
        <f t="shared" si="71"/>
        <v>0.33060482037289673</v>
      </c>
      <c r="BM167" s="1">
        <f t="shared" si="72"/>
        <v>0.33060482037289673</v>
      </c>
      <c r="BN167" s="1">
        <f t="shared" si="75"/>
        <v>2.6697984725373339E-2</v>
      </c>
      <c r="BO167" s="1">
        <f t="shared" si="73"/>
        <v>7.457889848083747E-3</v>
      </c>
    </row>
    <row r="168" spans="1:67" x14ac:dyDescent="0.25">
      <c r="A168" s="3"/>
      <c r="B168" s="3"/>
      <c r="C168">
        <v>1</v>
      </c>
      <c r="D168" s="5">
        <v>1</v>
      </c>
      <c r="E168" s="9">
        <f t="shared" si="52"/>
        <v>1.5</v>
      </c>
      <c r="F168" s="9">
        <f t="shared" si="53"/>
        <v>7.6142131979695438E-2</v>
      </c>
      <c r="G168">
        <v>0</v>
      </c>
      <c r="H168">
        <v>91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1.5</v>
      </c>
      <c r="P168">
        <v>0</v>
      </c>
      <c r="Q168">
        <v>7.5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 t="s">
        <v>1</v>
      </c>
      <c r="AL168" t="s">
        <v>372</v>
      </c>
      <c r="AO168" t="s">
        <v>378</v>
      </c>
      <c r="AQ168" s="1">
        <f t="shared" si="74"/>
        <v>100</v>
      </c>
      <c r="AR168" s="1">
        <f t="shared" si="54"/>
        <v>1.4999999999999999E-2</v>
      </c>
      <c r="AS168" s="1">
        <f t="shared" si="55"/>
        <v>0</v>
      </c>
      <c r="AT168" s="1">
        <f t="shared" si="56"/>
        <v>0.91</v>
      </c>
      <c r="AU168" s="1">
        <f t="shared" si="57"/>
        <v>7.4999999999999997E-2</v>
      </c>
      <c r="AV168" s="1">
        <f t="shared" si="58"/>
        <v>0.01</v>
      </c>
      <c r="AX168" s="1">
        <f t="shared" si="59"/>
        <v>8.2417582417582416E-2</v>
      </c>
      <c r="AY168" s="1">
        <f t="shared" si="60"/>
        <v>1.6483516483516484E-2</v>
      </c>
      <c r="AZ168" s="1">
        <f t="shared" si="61"/>
        <v>0.50515109890109888</v>
      </c>
      <c r="BA168" s="1">
        <f t="shared" si="62"/>
        <v>0.52060439560439564</v>
      </c>
      <c r="BB168" s="1">
        <f t="shared" si="63"/>
        <v>1.6483516483516484E-2</v>
      </c>
      <c r="BC168" s="1">
        <f t="shared" si="64"/>
        <v>1.6483516483516484E-2</v>
      </c>
      <c r="BD168" s="1">
        <f t="shared" si="65"/>
        <v>6.4835164835164837E-3</v>
      </c>
      <c r="BF168">
        <f t="shared" si="66"/>
        <v>91</v>
      </c>
      <c r="BG168">
        <f t="shared" si="76"/>
        <v>1.5</v>
      </c>
      <c r="BH168" s="1">
        <f t="shared" si="67"/>
        <v>8.2417582417582416E-2</v>
      </c>
      <c r="BI168" s="1">
        <f t="shared" si="68"/>
        <v>1.6483516483516484E-2</v>
      </c>
      <c r="BJ168" s="1">
        <f t="shared" si="69"/>
        <v>0.59156593406593405</v>
      </c>
      <c r="BK168" s="1">
        <f t="shared" si="70"/>
        <v>0.13737362637362638</v>
      </c>
      <c r="BL168" s="1">
        <f t="shared" si="71"/>
        <v>1.6483516483516484E-2</v>
      </c>
      <c r="BM168" s="1">
        <f t="shared" si="72"/>
        <v>1.6483516483516484E-2</v>
      </c>
      <c r="BN168" s="1">
        <f t="shared" si="75"/>
        <v>4.2035985992029952E-5</v>
      </c>
      <c r="BO168" s="1">
        <f t="shared" si="73"/>
        <v>0.15811830517394665</v>
      </c>
    </row>
    <row r="169" spans="1:67" x14ac:dyDescent="0.25">
      <c r="A169" s="3"/>
      <c r="B169" s="3"/>
      <c r="C169">
        <v>2</v>
      </c>
      <c r="D169" s="5">
        <v>1</v>
      </c>
      <c r="E169" s="9">
        <f t="shared" si="52"/>
        <v>3</v>
      </c>
      <c r="F169" s="9">
        <f t="shared" si="53"/>
        <v>0.5</v>
      </c>
      <c r="G169">
        <v>0</v>
      </c>
      <c r="H169">
        <v>48.5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</v>
      </c>
      <c r="P169">
        <v>0</v>
      </c>
      <c r="Q169">
        <v>48.5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</v>
      </c>
      <c r="AK169" t="s">
        <v>1</v>
      </c>
      <c r="AL169" t="s">
        <v>372</v>
      </c>
      <c r="AQ169" s="1">
        <f t="shared" si="74"/>
        <v>100</v>
      </c>
      <c r="AR169" s="1">
        <f t="shared" si="54"/>
        <v>0.03</v>
      </c>
      <c r="AS169" s="1">
        <f t="shared" si="55"/>
        <v>0</v>
      </c>
      <c r="AT169" s="1">
        <f t="shared" si="56"/>
        <v>0.48499999999999999</v>
      </c>
      <c r="AU169" s="1">
        <f t="shared" si="57"/>
        <v>0.48499999999999999</v>
      </c>
      <c r="AV169" s="1">
        <f t="shared" si="58"/>
        <v>0.05</v>
      </c>
      <c r="AX169" s="1">
        <f t="shared" si="59"/>
        <v>1</v>
      </c>
      <c r="AY169" s="1">
        <f t="shared" si="60"/>
        <v>6.1855670103092786E-2</v>
      </c>
      <c r="AZ169" s="1">
        <f t="shared" si="61"/>
        <v>0.5625</v>
      </c>
      <c r="BA169" s="1">
        <f t="shared" si="62"/>
        <v>0.75</v>
      </c>
      <c r="BB169" s="1">
        <f t="shared" si="63"/>
        <v>6.1855670103092786E-2</v>
      </c>
      <c r="BC169" s="1">
        <f t="shared" si="64"/>
        <v>6.1855670103092786E-2</v>
      </c>
      <c r="BD169" s="1">
        <f t="shared" si="65"/>
        <v>1.1855670103092783E-2</v>
      </c>
      <c r="BF169">
        <f t="shared" si="66"/>
        <v>48.5</v>
      </c>
      <c r="BG169">
        <f t="shared" si="76"/>
        <v>3</v>
      </c>
      <c r="BH169" s="1">
        <f t="shared" si="67"/>
        <v>1</v>
      </c>
      <c r="BI169" s="1">
        <f t="shared" si="68"/>
        <v>6.1855670103092786E-2</v>
      </c>
      <c r="BJ169" s="1">
        <f t="shared" si="69"/>
        <v>0.60899999999999999</v>
      </c>
      <c r="BK169" s="1">
        <f t="shared" si="70"/>
        <v>0.59799999999999998</v>
      </c>
      <c r="BL169" s="1">
        <f t="shared" si="71"/>
        <v>6.1855670103092786E-2</v>
      </c>
      <c r="BM169" s="1">
        <f t="shared" si="72"/>
        <v>6.1855670103092786E-2</v>
      </c>
      <c r="BN169" s="1">
        <f t="shared" si="75"/>
        <v>1.4055691359336804E-4</v>
      </c>
      <c r="BO169" s="1">
        <f t="shared" si="73"/>
        <v>0.12790703118007368</v>
      </c>
    </row>
    <row r="170" spans="1:67" x14ac:dyDescent="0.25">
      <c r="A170" s="3"/>
      <c r="B170" s="3"/>
      <c r="C170">
        <v>3</v>
      </c>
      <c r="D170" s="5">
        <v>1</v>
      </c>
      <c r="E170" s="9">
        <f t="shared" si="52"/>
        <v>5</v>
      </c>
      <c r="F170" s="9">
        <f t="shared" si="53"/>
        <v>0.10526315789473684</v>
      </c>
      <c r="G170">
        <v>0</v>
      </c>
      <c r="H170">
        <v>85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5</v>
      </c>
      <c r="P170">
        <v>0</v>
      </c>
      <c r="Q170">
        <v>10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</v>
      </c>
      <c r="AK170" t="s">
        <v>1</v>
      </c>
      <c r="AL170" t="s">
        <v>372</v>
      </c>
      <c r="AQ170" s="1">
        <f t="shared" si="74"/>
        <v>100</v>
      </c>
      <c r="AR170" s="1">
        <f t="shared" si="54"/>
        <v>0.05</v>
      </c>
      <c r="AS170" s="1">
        <f t="shared" si="55"/>
        <v>0</v>
      </c>
      <c r="AT170" s="1">
        <f t="shared" si="56"/>
        <v>0.85</v>
      </c>
      <c r="AU170" s="1">
        <f t="shared" si="57"/>
        <v>0.1</v>
      </c>
      <c r="AV170" s="1">
        <f t="shared" si="58"/>
        <v>0.02</v>
      </c>
      <c r="AX170" s="1">
        <f t="shared" si="59"/>
        <v>0.11764705882352942</v>
      </c>
      <c r="AY170" s="1">
        <f t="shared" si="60"/>
        <v>5.8823529411764712E-2</v>
      </c>
      <c r="AZ170" s="1">
        <f t="shared" si="61"/>
        <v>0.50735294117647056</v>
      </c>
      <c r="BA170" s="1">
        <f t="shared" si="62"/>
        <v>0.52941176470588236</v>
      </c>
      <c r="BB170" s="1">
        <f t="shared" si="63"/>
        <v>5.8823529411764712E-2</v>
      </c>
      <c r="BC170" s="1">
        <f t="shared" si="64"/>
        <v>5.8823529411764712E-2</v>
      </c>
      <c r="BD170" s="1">
        <f t="shared" si="65"/>
        <v>3.8823529411764715E-2</v>
      </c>
      <c r="BF170">
        <f t="shared" si="66"/>
        <v>85</v>
      </c>
      <c r="BG170">
        <f t="shared" si="76"/>
        <v>5</v>
      </c>
      <c r="BH170" s="1">
        <f t="shared" si="67"/>
        <v>0.11764705882352941</v>
      </c>
      <c r="BI170" s="1">
        <f t="shared" si="68"/>
        <v>5.8823529411764705E-2</v>
      </c>
      <c r="BJ170" s="1">
        <f t="shared" si="69"/>
        <v>0.59223529411764708</v>
      </c>
      <c r="BK170" s="1">
        <f t="shared" si="70"/>
        <v>0.15505882352941175</v>
      </c>
      <c r="BL170" s="1">
        <f t="shared" si="71"/>
        <v>5.8823529411764705E-2</v>
      </c>
      <c r="BM170" s="1">
        <f t="shared" si="72"/>
        <v>5.8823529411764705E-2</v>
      </c>
      <c r="BN170" s="1">
        <f t="shared" si="75"/>
        <v>1.5072664359861588E-3</v>
      </c>
      <c r="BO170" s="1">
        <f t="shared" si="73"/>
        <v>0.1502654866754784</v>
      </c>
    </row>
    <row r="171" spans="1:67" x14ac:dyDescent="0.25">
      <c r="A171" s="3"/>
      <c r="B171" s="3"/>
      <c r="C171">
        <v>4</v>
      </c>
      <c r="D171" s="5">
        <v>1</v>
      </c>
      <c r="E171" s="9">
        <f t="shared" si="52"/>
        <v>6.5</v>
      </c>
      <c r="F171" s="9">
        <f t="shared" si="53"/>
        <v>0.64171122994652408</v>
      </c>
      <c r="G171">
        <v>0</v>
      </c>
      <c r="H171">
        <v>33.5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6.5</v>
      </c>
      <c r="P171">
        <v>0</v>
      </c>
      <c r="Q171">
        <v>60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16</v>
      </c>
      <c r="AK171" t="s">
        <v>1</v>
      </c>
      <c r="AL171" t="s">
        <v>372</v>
      </c>
      <c r="AQ171" s="1">
        <f t="shared" si="74"/>
        <v>100</v>
      </c>
      <c r="AR171" s="1">
        <f t="shared" si="54"/>
        <v>6.5000000000000002E-2</v>
      </c>
      <c r="AS171" s="1">
        <f t="shared" si="55"/>
        <v>0</v>
      </c>
      <c r="AT171" s="1">
        <f t="shared" si="56"/>
        <v>0.33500000000000002</v>
      </c>
      <c r="AU171" s="1">
        <f t="shared" si="57"/>
        <v>0.6</v>
      </c>
      <c r="AV171" s="1">
        <f t="shared" si="58"/>
        <v>0.16</v>
      </c>
      <c r="AX171" s="1">
        <f t="shared" si="59"/>
        <v>1.7910447761194028</v>
      </c>
      <c r="AY171" s="1">
        <f t="shared" si="60"/>
        <v>0.19402985074626866</v>
      </c>
      <c r="AZ171" s="1">
        <f t="shared" si="61"/>
        <v>0.61194029850746268</v>
      </c>
      <c r="BA171" s="1">
        <f t="shared" si="62"/>
        <v>0.94776119402985071</v>
      </c>
      <c r="BB171" s="1">
        <f t="shared" si="63"/>
        <v>0.19402985074626866</v>
      </c>
      <c r="BC171" s="1">
        <f t="shared" si="64"/>
        <v>0.19402985074626866</v>
      </c>
      <c r="BD171" s="1">
        <f t="shared" si="65"/>
        <v>3.4029850746268658E-2</v>
      </c>
      <c r="BF171">
        <f t="shared" si="66"/>
        <v>33.5</v>
      </c>
      <c r="BG171">
        <f t="shared" si="76"/>
        <v>6.5</v>
      </c>
      <c r="BH171" s="1">
        <f t="shared" si="67"/>
        <v>1.791044776119403</v>
      </c>
      <c r="BI171" s="1">
        <f t="shared" si="68"/>
        <v>0.19402985074626866</v>
      </c>
      <c r="BJ171" s="1">
        <f t="shared" si="69"/>
        <v>0.6240298507462686</v>
      </c>
      <c r="BK171" s="1">
        <f t="shared" si="70"/>
        <v>0.99510447761194032</v>
      </c>
      <c r="BL171" s="1">
        <f t="shared" si="71"/>
        <v>0.19402985074626866</v>
      </c>
      <c r="BM171" s="1">
        <f t="shared" si="72"/>
        <v>0.19402985074626866</v>
      </c>
      <c r="BN171" s="1">
        <f t="shared" si="75"/>
        <v>1.1580307418133215E-3</v>
      </c>
      <c r="BO171" s="1">
        <f t="shared" si="73"/>
        <v>6.1326027696923018E-2</v>
      </c>
    </row>
    <row r="172" spans="1:67" x14ac:dyDescent="0.25">
      <c r="A172" s="3"/>
      <c r="B172" s="3"/>
      <c r="C172">
        <v>5</v>
      </c>
      <c r="D172" s="5">
        <v>1</v>
      </c>
      <c r="E172" s="9">
        <f t="shared" si="52"/>
        <v>11.8</v>
      </c>
      <c r="F172" s="9">
        <f t="shared" si="53"/>
        <v>0.93669527896995697</v>
      </c>
      <c r="G172">
        <v>0</v>
      </c>
      <c r="H172">
        <v>5.9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11.8</v>
      </c>
      <c r="P172">
        <v>0</v>
      </c>
      <c r="Q172">
        <v>87.3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67</v>
      </c>
      <c r="AK172" t="s">
        <v>1</v>
      </c>
      <c r="AL172" t="s">
        <v>372</v>
      </c>
      <c r="AQ172" s="1">
        <f t="shared" si="74"/>
        <v>105</v>
      </c>
      <c r="AR172" s="1">
        <f t="shared" si="54"/>
        <v>0.11800000000000001</v>
      </c>
      <c r="AS172" s="1">
        <f t="shared" si="55"/>
        <v>0</v>
      </c>
      <c r="AT172" s="1">
        <f t="shared" si="56"/>
        <v>5.9000000000000004E-2</v>
      </c>
      <c r="AU172" s="1">
        <f t="shared" si="57"/>
        <v>0.873</v>
      </c>
      <c r="AV172" s="1">
        <f t="shared" si="58"/>
        <v>0.67</v>
      </c>
      <c r="AX172" s="1">
        <f t="shared" si="59"/>
        <v>14.796610169491524</v>
      </c>
      <c r="AY172" s="1">
        <f t="shared" si="60"/>
        <v>2</v>
      </c>
      <c r="AZ172" s="1">
        <f t="shared" si="61"/>
        <v>1.4247881355932202</v>
      </c>
      <c r="BA172" s="1">
        <f t="shared" si="62"/>
        <v>4.1991525423728806</v>
      </c>
      <c r="BB172" s="1">
        <f t="shared" si="63"/>
        <v>1.4247881355932202</v>
      </c>
      <c r="BC172" s="1">
        <f t="shared" si="64"/>
        <v>1</v>
      </c>
      <c r="BD172" s="1">
        <f t="shared" si="65"/>
        <v>0.32999999999999996</v>
      </c>
      <c r="BF172">
        <f t="shared" si="66"/>
        <v>5.9</v>
      </c>
      <c r="BG172">
        <f t="shared" si="76"/>
        <v>11.8</v>
      </c>
      <c r="BH172" s="1">
        <f t="shared" si="67"/>
        <v>14.796610169491524</v>
      </c>
      <c r="BI172" s="1">
        <f t="shared" si="68"/>
        <v>2</v>
      </c>
      <c r="BJ172" s="1">
        <f t="shared" si="69"/>
        <v>0.87113559322033884</v>
      </c>
      <c r="BK172" s="1">
        <f t="shared" si="70"/>
        <v>7.523898305084745</v>
      </c>
      <c r="BL172" s="1">
        <f t="shared" si="71"/>
        <v>0.87113559322033884</v>
      </c>
      <c r="BM172" s="1">
        <f t="shared" si="72"/>
        <v>0.87113559322033884</v>
      </c>
      <c r="BN172" s="1">
        <f t="shared" si="75"/>
        <v>4.0455526860097603E-2</v>
      </c>
      <c r="BO172" s="1">
        <f t="shared" si="73"/>
        <v>6.8832284275042718E-2</v>
      </c>
    </row>
    <row r="173" spans="1:67" x14ac:dyDescent="0.25">
      <c r="A173" s="3"/>
      <c r="B173" s="3"/>
      <c r="C173">
        <v>6</v>
      </c>
      <c r="D173" s="5">
        <v>1</v>
      </c>
      <c r="E173" s="9">
        <f t="shared" si="52"/>
        <v>12.5</v>
      </c>
      <c r="F173" s="9">
        <f t="shared" si="53"/>
        <v>0.2857142857142857</v>
      </c>
      <c r="G173">
        <v>0</v>
      </c>
      <c r="H173">
        <v>62.5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12.5</v>
      </c>
      <c r="P173">
        <v>0</v>
      </c>
      <c r="Q173">
        <v>25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24</v>
      </c>
      <c r="AK173" t="s">
        <v>1</v>
      </c>
      <c r="AL173" t="s">
        <v>372</v>
      </c>
      <c r="AQ173" s="1">
        <f t="shared" si="74"/>
        <v>100</v>
      </c>
      <c r="AR173" s="1">
        <f t="shared" si="54"/>
        <v>0.125</v>
      </c>
      <c r="AS173" s="1">
        <f t="shared" si="55"/>
        <v>0</v>
      </c>
      <c r="AT173" s="1">
        <f t="shared" si="56"/>
        <v>0.625</v>
      </c>
      <c r="AU173" s="1">
        <f t="shared" si="57"/>
        <v>0.25</v>
      </c>
      <c r="AV173" s="1">
        <f t="shared" si="58"/>
        <v>0.24</v>
      </c>
      <c r="AX173" s="1">
        <f t="shared" si="59"/>
        <v>0.4</v>
      </c>
      <c r="AY173" s="1">
        <f t="shared" si="60"/>
        <v>0.2</v>
      </c>
      <c r="AZ173" s="1">
        <f t="shared" si="61"/>
        <v>0.52500000000000002</v>
      </c>
      <c r="BA173" s="1">
        <f t="shared" si="62"/>
        <v>0.6</v>
      </c>
      <c r="BB173" s="1">
        <f t="shared" si="63"/>
        <v>0.2</v>
      </c>
      <c r="BC173" s="1">
        <f t="shared" si="64"/>
        <v>0.2</v>
      </c>
      <c r="BD173" s="1">
        <f t="shared" si="65"/>
        <v>3.999999999999998E-2</v>
      </c>
      <c r="BF173">
        <f t="shared" si="66"/>
        <v>62.5</v>
      </c>
      <c r="BG173">
        <f t="shared" si="76"/>
        <v>12.5</v>
      </c>
      <c r="BH173" s="1">
        <f t="shared" si="67"/>
        <v>0.4</v>
      </c>
      <c r="BI173" s="1">
        <f t="shared" si="68"/>
        <v>0.2</v>
      </c>
      <c r="BJ173" s="1">
        <f t="shared" si="69"/>
        <v>0.59760000000000002</v>
      </c>
      <c r="BK173" s="1">
        <f t="shared" si="70"/>
        <v>0.29680000000000001</v>
      </c>
      <c r="BL173" s="1">
        <f t="shared" si="71"/>
        <v>0.2</v>
      </c>
      <c r="BM173" s="1">
        <f t="shared" si="72"/>
        <v>0.2</v>
      </c>
      <c r="BN173" s="1">
        <f t="shared" si="75"/>
        <v>1.5999999999999983E-3</v>
      </c>
      <c r="BO173" s="1">
        <f t="shared" si="73"/>
        <v>2.8103479709177089E-2</v>
      </c>
    </row>
    <row r="174" spans="1:67" x14ac:dyDescent="0.25">
      <c r="A174" s="3"/>
      <c r="B174" s="3"/>
      <c r="C174">
        <v>7</v>
      </c>
      <c r="D174" s="5">
        <v>1</v>
      </c>
      <c r="E174" s="9">
        <f t="shared" si="52"/>
        <v>12.5</v>
      </c>
      <c r="F174" s="9">
        <f t="shared" si="53"/>
        <v>0.8571428571428571</v>
      </c>
      <c r="G174">
        <v>0</v>
      </c>
      <c r="H174">
        <v>12.5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12.5</v>
      </c>
      <c r="P174">
        <v>0</v>
      </c>
      <c r="Q174">
        <v>75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85</v>
      </c>
      <c r="AK174" t="s">
        <v>1</v>
      </c>
      <c r="AL174" t="s">
        <v>372</v>
      </c>
      <c r="AQ174" s="1">
        <f t="shared" si="74"/>
        <v>100</v>
      </c>
      <c r="AR174" s="1">
        <f t="shared" si="54"/>
        <v>0.125</v>
      </c>
      <c r="AS174" s="1">
        <f t="shared" si="55"/>
        <v>0</v>
      </c>
      <c r="AT174" s="1">
        <f t="shared" si="56"/>
        <v>0.125</v>
      </c>
      <c r="AU174" s="1">
        <f t="shared" si="57"/>
        <v>0.75</v>
      </c>
      <c r="AV174" s="1">
        <f t="shared" si="58"/>
        <v>0.85</v>
      </c>
      <c r="AX174" s="1">
        <f t="shared" si="59"/>
        <v>6</v>
      </c>
      <c r="AY174" s="1">
        <f t="shared" si="60"/>
        <v>1</v>
      </c>
      <c r="AZ174" s="1">
        <f t="shared" si="61"/>
        <v>0.875</v>
      </c>
      <c r="BA174" s="1">
        <f t="shared" si="62"/>
        <v>2</v>
      </c>
      <c r="BB174" s="1">
        <f t="shared" si="63"/>
        <v>0.875</v>
      </c>
      <c r="BC174" s="1">
        <f t="shared" si="64"/>
        <v>0.875</v>
      </c>
      <c r="BD174" s="1">
        <f t="shared" si="65"/>
        <v>2.5000000000000022E-2</v>
      </c>
      <c r="BF174">
        <f t="shared" si="66"/>
        <v>12.5</v>
      </c>
      <c r="BG174">
        <f t="shared" si="76"/>
        <v>12.5</v>
      </c>
      <c r="BH174" s="1">
        <f t="shared" si="67"/>
        <v>6</v>
      </c>
      <c r="BI174" s="1">
        <f t="shared" si="68"/>
        <v>1</v>
      </c>
      <c r="BJ174" s="1">
        <f t="shared" si="69"/>
        <v>0.70399999999999996</v>
      </c>
      <c r="BK174" s="1">
        <f t="shared" si="70"/>
        <v>3.1080000000000001</v>
      </c>
      <c r="BL174" s="1">
        <f t="shared" si="71"/>
        <v>0.70399999999999996</v>
      </c>
      <c r="BM174" s="1">
        <f t="shared" si="72"/>
        <v>0.70399999999999996</v>
      </c>
      <c r="BN174" s="1">
        <f t="shared" si="75"/>
        <v>2.1316000000000005E-2</v>
      </c>
      <c r="BO174" s="1">
        <f t="shared" si="73"/>
        <v>0.19568155130261433</v>
      </c>
    </row>
    <row r="175" spans="1:67" x14ac:dyDescent="0.25">
      <c r="A175" s="3"/>
      <c r="B175" s="3"/>
      <c r="C175">
        <v>8</v>
      </c>
      <c r="D175" s="5">
        <v>1</v>
      </c>
      <c r="E175" s="9">
        <f t="shared" si="52"/>
        <v>13.3</v>
      </c>
      <c r="F175" s="9">
        <f t="shared" si="53"/>
        <v>0.76931949250288356</v>
      </c>
      <c r="G175">
        <v>0</v>
      </c>
      <c r="H175">
        <v>20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13.3</v>
      </c>
      <c r="P175">
        <v>0</v>
      </c>
      <c r="Q175">
        <v>66.7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50</v>
      </c>
      <c r="AK175" t="s">
        <v>1</v>
      </c>
      <c r="AL175" t="s">
        <v>372</v>
      </c>
      <c r="AQ175" s="1">
        <f t="shared" si="74"/>
        <v>100</v>
      </c>
      <c r="AR175" s="1">
        <f t="shared" si="54"/>
        <v>0.13300000000000001</v>
      </c>
      <c r="AS175" s="1">
        <f t="shared" si="55"/>
        <v>0</v>
      </c>
      <c r="AT175" s="1">
        <f t="shared" si="56"/>
        <v>0.2</v>
      </c>
      <c r="AU175" s="1">
        <f t="shared" si="57"/>
        <v>0.66700000000000004</v>
      </c>
      <c r="AV175" s="1">
        <f t="shared" si="58"/>
        <v>0.5</v>
      </c>
      <c r="AX175" s="1">
        <f t="shared" si="59"/>
        <v>3.335</v>
      </c>
      <c r="AY175" s="1">
        <f t="shared" si="60"/>
        <v>0.66500000000000004</v>
      </c>
      <c r="AZ175" s="1">
        <f t="shared" si="61"/>
        <v>0.70843750000000005</v>
      </c>
      <c r="BA175" s="1">
        <f t="shared" si="62"/>
        <v>1.33375</v>
      </c>
      <c r="BB175" s="1">
        <f t="shared" si="63"/>
        <v>0.66500000000000004</v>
      </c>
      <c r="BC175" s="1">
        <f t="shared" si="64"/>
        <v>0.66500000000000004</v>
      </c>
      <c r="BD175" s="1">
        <f t="shared" si="65"/>
        <v>0.16500000000000004</v>
      </c>
      <c r="BF175">
        <f t="shared" si="66"/>
        <v>20</v>
      </c>
      <c r="BG175">
        <f t="shared" si="76"/>
        <v>13.3</v>
      </c>
      <c r="BH175" s="1">
        <f t="shared" si="67"/>
        <v>3.335</v>
      </c>
      <c r="BI175" s="1">
        <f t="shared" si="68"/>
        <v>0.66500000000000004</v>
      </c>
      <c r="BJ175" s="1">
        <f t="shared" si="69"/>
        <v>0.65336499999999997</v>
      </c>
      <c r="BK175" s="1">
        <f t="shared" si="70"/>
        <v>1.77017</v>
      </c>
      <c r="BL175" s="1">
        <f t="shared" si="71"/>
        <v>0.65336499999999997</v>
      </c>
      <c r="BM175" s="1">
        <f t="shared" si="72"/>
        <v>0.65336499999999997</v>
      </c>
      <c r="BN175" s="1">
        <f t="shared" si="75"/>
        <v>2.3520823224999991E-2</v>
      </c>
      <c r="BO175" s="1">
        <f t="shared" si="73"/>
        <v>8.5301987490028035E-3</v>
      </c>
    </row>
    <row r="176" spans="1:67" x14ac:dyDescent="0.25">
      <c r="A176" s="3"/>
      <c r="B176" s="3"/>
      <c r="C176">
        <v>9</v>
      </c>
      <c r="D176" s="5">
        <v>1</v>
      </c>
      <c r="E176" s="9">
        <f t="shared" si="52"/>
        <v>15</v>
      </c>
      <c r="F176" s="9">
        <f t="shared" si="53"/>
        <v>0.5</v>
      </c>
      <c r="G176">
        <v>0</v>
      </c>
      <c r="H176">
        <v>42.5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</v>
      </c>
      <c r="P176">
        <v>0</v>
      </c>
      <c r="Q176">
        <v>42.5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39</v>
      </c>
      <c r="AK176" t="s">
        <v>1</v>
      </c>
      <c r="AL176" t="s">
        <v>372</v>
      </c>
      <c r="AQ176" s="1">
        <f t="shared" si="74"/>
        <v>100</v>
      </c>
      <c r="AR176" s="1">
        <f t="shared" si="54"/>
        <v>0.15</v>
      </c>
      <c r="AS176" s="1">
        <f t="shared" si="55"/>
        <v>0</v>
      </c>
      <c r="AT176" s="1">
        <f t="shared" si="56"/>
        <v>0.42499999999999999</v>
      </c>
      <c r="AU176" s="1">
        <f t="shared" si="57"/>
        <v>0.42499999999999999</v>
      </c>
      <c r="AV176" s="1">
        <f t="shared" si="58"/>
        <v>0.39</v>
      </c>
      <c r="AX176" s="1">
        <f t="shared" si="59"/>
        <v>1</v>
      </c>
      <c r="AY176" s="1">
        <f t="shared" si="60"/>
        <v>0.35294117647058826</v>
      </c>
      <c r="AZ176" s="1">
        <f t="shared" si="61"/>
        <v>0.5625</v>
      </c>
      <c r="BA176" s="1">
        <f t="shared" si="62"/>
        <v>0.75</v>
      </c>
      <c r="BB176" s="1">
        <f t="shared" si="63"/>
        <v>0.35294117647058826</v>
      </c>
      <c r="BC176" s="1">
        <f t="shared" si="64"/>
        <v>0.35294117647058826</v>
      </c>
      <c r="BD176" s="1">
        <f t="shared" si="65"/>
        <v>3.7058823529411755E-2</v>
      </c>
      <c r="BF176">
        <f t="shared" si="66"/>
        <v>42.5</v>
      </c>
      <c r="BG176">
        <f t="shared" si="76"/>
        <v>15</v>
      </c>
      <c r="BH176" s="1">
        <f t="shared" si="67"/>
        <v>1</v>
      </c>
      <c r="BI176" s="1">
        <f t="shared" si="68"/>
        <v>0.35294117647058826</v>
      </c>
      <c r="BJ176" s="1">
        <f t="shared" si="69"/>
        <v>0.60899999999999999</v>
      </c>
      <c r="BK176" s="1">
        <f t="shared" si="70"/>
        <v>0.59799999999999998</v>
      </c>
      <c r="BL176" s="1">
        <f t="shared" si="71"/>
        <v>0.35294117647058826</v>
      </c>
      <c r="BM176" s="1">
        <f t="shared" si="72"/>
        <v>0.35294117647058826</v>
      </c>
      <c r="BN176" s="1">
        <f t="shared" si="75"/>
        <v>1.3733564013840823E-3</v>
      </c>
      <c r="BO176" s="1">
        <f t="shared" si="73"/>
        <v>3.1120223215346117E-4</v>
      </c>
    </row>
    <row r="177" spans="1:67" x14ac:dyDescent="0.25">
      <c r="A177" s="3"/>
      <c r="B177" s="3"/>
      <c r="C177">
        <v>10</v>
      </c>
      <c r="D177" s="5">
        <v>1</v>
      </c>
      <c r="E177" s="9">
        <f t="shared" si="52"/>
        <v>16.600000000000001</v>
      </c>
      <c r="F177" s="9">
        <f t="shared" si="53"/>
        <v>0.80095923261390878</v>
      </c>
      <c r="G177">
        <v>0</v>
      </c>
      <c r="H177">
        <v>16.600000000000001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16.600000000000001</v>
      </c>
      <c r="P177">
        <v>0</v>
      </c>
      <c r="Q177">
        <v>66.8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64</v>
      </c>
      <c r="AK177" t="s">
        <v>1</v>
      </c>
      <c r="AL177" t="s">
        <v>372</v>
      </c>
      <c r="AQ177" s="1">
        <f t="shared" si="74"/>
        <v>100</v>
      </c>
      <c r="AR177" s="1">
        <f t="shared" si="54"/>
        <v>0.16600000000000001</v>
      </c>
      <c r="AS177" s="1">
        <f t="shared" si="55"/>
        <v>0</v>
      </c>
      <c r="AT177" s="1">
        <f t="shared" si="56"/>
        <v>0.16600000000000001</v>
      </c>
      <c r="AU177" s="1">
        <f t="shared" si="57"/>
        <v>0.66799999999999993</v>
      </c>
      <c r="AV177" s="1">
        <f t="shared" si="58"/>
        <v>0.64</v>
      </c>
      <c r="AX177" s="1">
        <f t="shared" si="59"/>
        <v>4.0240963855421681</v>
      </c>
      <c r="AY177" s="1">
        <f t="shared" si="60"/>
        <v>1</v>
      </c>
      <c r="AZ177" s="1">
        <f t="shared" si="61"/>
        <v>0.75150602409638556</v>
      </c>
      <c r="BA177" s="1">
        <f t="shared" si="62"/>
        <v>1.506024096385542</v>
      </c>
      <c r="BB177" s="1">
        <f t="shared" si="63"/>
        <v>0.75150602409638556</v>
      </c>
      <c r="BC177" s="1">
        <f t="shared" si="64"/>
        <v>0.75150602409638556</v>
      </c>
      <c r="BD177" s="1">
        <f t="shared" si="65"/>
        <v>0.11150602409638555</v>
      </c>
      <c r="BF177">
        <f t="shared" si="66"/>
        <v>16.600000000000001</v>
      </c>
      <c r="BG177">
        <f t="shared" si="76"/>
        <v>16.600000000000001</v>
      </c>
      <c r="BH177" s="1">
        <f t="shared" si="67"/>
        <v>4.0240963855421681</v>
      </c>
      <c r="BI177" s="1">
        <f t="shared" si="68"/>
        <v>1</v>
      </c>
      <c r="BJ177" s="1">
        <f t="shared" si="69"/>
        <v>0.66645783132530112</v>
      </c>
      <c r="BK177" s="1">
        <f t="shared" si="70"/>
        <v>2.1160963855421686</v>
      </c>
      <c r="BL177" s="1">
        <f t="shared" si="71"/>
        <v>0.66645783132530112</v>
      </c>
      <c r="BM177" s="1">
        <f t="shared" si="72"/>
        <v>0.66645783132530112</v>
      </c>
      <c r="BN177" s="1">
        <f t="shared" si="75"/>
        <v>7.0001683843808451E-4</v>
      </c>
      <c r="BO177" s="1">
        <f t="shared" si="73"/>
        <v>5.3990739770447424E-2</v>
      </c>
    </row>
    <row r="178" spans="1:67" x14ac:dyDescent="0.25">
      <c r="A178" s="3"/>
      <c r="B178" s="3"/>
      <c r="C178">
        <v>11</v>
      </c>
      <c r="D178" s="5">
        <v>1</v>
      </c>
      <c r="E178" s="9">
        <f t="shared" si="52"/>
        <v>16.600000000000001</v>
      </c>
      <c r="F178" s="9">
        <f t="shared" si="53"/>
        <v>0.80095923261390878</v>
      </c>
      <c r="G178">
        <v>0</v>
      </c>
      <c r="H178">
        <v>16.600000000000001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16.600000000000001</v>
      </c>
      <c r="P178">
        <v>0</v>
      </c>
      <c r="Q178">
        <v>66.8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77</v>
      </c>
      <c r="AK178" t="s">
        <v>1</v>
      </c>
      <c r="AL178" t="s">
        <v>372</v>
      </c>
      <c r="AQ178" s="1">
        <f t="shared" si="74"/>
        <v>100</v>
      </c>
      <c r="AR178" s="1">
        <f t="shared" si="54"/>
        <v>0.16600000000000001</v>
      </c>
      <c r="AS178" s="1">
        <f t="shared" si="55"/>
        <v>0</v>
      </c>
      <c r="AT178" s="1">
        <f t="shared" si="56"/>
        <v>0.16600000000000001</v>
      </c>
      <c r="AU178" s="1">
        <f t="shared" si="57"/>
        <v>0.66799999999999993</v>
      </c>
      <c r="AV178" s="1">
        <f t="shared" si="58"/>
        <v>0.77</v>
      </c>
      <c r="AX178" s="1">
        <f t="shared" si="59"/>
        <v>4.0240963855421681</v>
      </c>
      <c r="AY178" s="1">
        <f t="shared" si="60"/>
        <v>1</v>
      </c>
      <c r="AZ178" s="1">
        <f t="shared" si="61"/>
        <v>0.75150602409638556</v>
      </c>
      <c r="BA178" s="1">
        <f t="shared" si="62"/>
        <v>1.506024096385542</v>
      </c>
      <c r="BB178" s="1">
        <f t="shared" si="63"/>
        <v>0.75150602409638556</v>
      </c>
      <c r="BC178" s="1">
        <f t="shared" si="64"/>
        <v>0.75150602409638556</v>
      </c>
      <c r="BD178" s="1">
        <f t="shared" si="65"/>
        <v>1.8493975903614457E-2</v>
      </c>
      <c r="BF178">
        <f t="shared" si="66"/>
        <v>16.600000000000001</v>
      </c>
      <c r="BG178">
        <f t="shared" si="76"/>
        <v>16.600000000000001</v>
      </c>
      <c r="BH178" s="1">
        <f t="shared" si="67"/>
        <v>4.0240963855421681</v>
      </c>
      <c r="BI178" s="1">
        <f t="shared" si="68"/>
        <v>1</v>
      </c>
      <c r="BJ178" s="1">
        <f t="shared" si="69"/>
        <v>0.66645783132530112</v>
      </c>
      <c r="BK178" s="1">
        <f t="shared" si="70"/>
        <v>2.1160963855421686</v>
      </c>
      <c r="BL178" s="1">
        <f t="shared" si="71"/>
        <v>0.66645783132530112</v>
      </c>
      <c r="BM178" s="1">
        <f t="shared" si="72"/>
        <v>0.66645783132530112</v>
      </c>
      <c r="BN178" s="1">
        <f t="shared" si="75"/>
        <v>1.0720980693859797E-2</v>
      </c>
      <c r="BO178" s="1">
        <f t="shared" si="73"/>
        <v>0.1313040992903603</v>
      </c>
    </row>
    <row r="179" spans="1:67" x14ac:dyDescent="0.25">
      <c r="A179" s="3"/>
      <c r="B179" s="3"/>
      <c r="C179">
        <v>12</v>
      </c>
      <c r="D179" s="5">
        <v>1</v>
      </c>
      <c r="E179" s="9">
        <f t="shared" si="52"/>
        <v>18.8</v>
      </c>
      <c r="F179" s="9">
        <f t="shared" si="53"/>
        <v>0.92364532019704426</v>
      </c>
      <c r="G179">
        <v>0</v>
      </c>
      <c r="H179">
        <v>6.2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18.8</v>
      </c>
      <c r="P179">
        <v>0</v>
      </c>
      <c r="Q179">
        <v>75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70</v>
      </c>
      <c r="AK179" t="s">
        <v>1</v>
      </c>
      <c r="AL179" t="s">
        <v>372</v>
      </c>
      <c r="AQ179" s="1">
        <f t="shared" si="74"/>
        <v>100</v>
      </c>
      <c r="AR179" s="1">
        <f t="shared" si="54"/>
        <v>0.188</v>
      </c>
      <c r="AS179" s="1">
        <f t="shared" si="55"/>
        <v>0</v>
      </c>
      <c r="AT179" s="1">
        <f t="shared" si="56"/>
        <v>6.2E-2</v>
      </c>
      <c r="AU179" s="1">
        <f t="shared" si="57"/>
        <v>0.75</v>
      </c>
      <c r="AV179" s="1">
        <f t="shared" si="58"/>
        <v>0.7</v>
      </c>
      <c r="AX179" s="1">
        <f t="shared" si="59"/>
        <v>12.096774193548388</v>
      </c>
      <c r="AY179" s="1">
        <f t="shared" si="60"/>
        <v>3.032258064516129</v>
      </c>
      <c r="AZ179" s="1">
        <f t="shared" si="61"/>
        <v>1.2560483870967742</v>
      </c>
      <c r="BA179" s="1">
        <f t="shared" si="62"/>
        <v>3.524193548387097</v>
      </c>
      <c r="BB179" s="1">
        <f t="shared" si="63"/>
        <v>1.2560483870967742</v>
      </c>
      <c r="BC179" s="1">
        <f t="shared" si="64"/>
        <v>1</v>
      </c>
      <c r="BD179" s="1">
        <f t="shared" si="65"/>
        <v>0.30000000000000004</v>
      </c>
      <c r="BF179">
        <f t="shared" si="66"/>
        <v>6.2</v>
      </c>
      <c r="BG179">
        <f t="shared" si="76"/>
        <v>18.8</v>
      </c>
      <c r="BH179" s="1">
        <f t="shared" si="67"/>
        <v>12.096774193548386</v>
      </c>
      <c r="BI179" s="1">
        <f t="shared" si="68"/>
        <v>3.032258064516129</v>
      </c>
      <c r="BJ179" s="1">
        <f t="shared" si="69"/>
        <v>0.81983870967741934</v>
      </c>
      <c r="BK179" s="1">
        <f t="shared" si="70"/>
        <v>6.1685806451612901</v>
      </c>
      <c r="BL179" s="1">
        <f t="shared" si="71"/>
        <v>0.81983870967741934</v>
      </c>
      <c r="BM179" s="1">
        <f t="shared" si="72"/>
        <v>0.81983870967741934</v>
      </c>
      <c r="BN179" s="1">
        <f t="shared" si="75"/>
        <v>1.4361316337148811E-2</v>
      </c>
      <c r="BO179" s="1">
        <f t="shared" si="73"/>
        <v>8.5473828779637939E-2</v>
      </c>
    </row>
    <row r="180" spans="1:67" x14ac:dyDescent="0.25">
      <c r="A180" s="3"/>
      <c r="B180" s="3"/>
      <c r="C180">
        <v>13</v>
      </c>
      <c r="D180" s="5">
        <v>1</v>
      </c>
      <c r="E180" s="9">
        <f t="shared" si="52"/>
        <v>18.8</v>
      </c>
      <c r="F180" s="9">
        <f t="shared" si="53"/>
        <v>0.92364532019704426</v>
      </c>
      <c r="G180">
        <v>0</v>
      </c>
      <c r="H180">
        <v>6.2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18.8</v>
      </c>
      <c r="P180">
        <v>0</v>
      </c>
      <c r="Q180">
        <v>75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72</v>
      </c>
      <c r="AK180" t="s">
        <v>1</v>
      </c>
      <c r="AL180" t="s">
        <v>372</v>
      </c>
      <c r="AQ180" s="1">
        <f t="shared" si="74"/>
        <v>100</v>
      </c>
      <c r="AR180" s="1">
        <f t="shared" si="54"/>
        <v>0.188</v>
      </c>
      <c r="AS180" s="1">
        <f t="shared" si="55"/>
        <v>0</v>
      </c>
      <c r="AT180" s="1">
        <f t="shared" si="56"/>
        <v>6.2E-2</v>
      </c>
      <c r="AU180" s="1">
        <f t="shared" si="57"/>
        <v>0.75</v>
      </c>
      <c r="AV180" s="1">
        <f t="shared" si="58"/>
        <v>0.72</v>
      </c>
      <c r="AX180" s="1">
        <f t="shared" si="59"/>
        <v>12.096774193548388</v>
      </c>
      <c r="AY180" s="1">
        <f t="shared" si="60"/>
        <v>3.032258064516129</v>
      </c>
      <c r="AZ180" s="1">
        <f t="shared" si="61"/>
        <v>1.2560483870967742</v>
      </c>
      <c r="BA180" s="1">
        <f t="shared" si="62"/>
        <v>3.524193548387097</v>
      </c>
      <c r="BB180" s="1">
        <f t="shared" si="63"/>
        <v>1.2560483870967742</v>
      </c>
      <c r="BC180" s="1">
        <f t="shared" si="64"/>
        <v>1</v>
      </c>
      <c r="BD180" s="1">
        <f t="shared" si="65"/>
        <v>0.28000000000000003</v>
      </c>
      <c r="BF180">
        <f t="shared" si="66"/>
        <v>6.2</v>
      </c>
      <c r="BG180">
        <f t="shared" si="76"/>
        <v>18.8</v>
      </c>
      <c r="BH180" s="1">
        <f t="shared" si="67"/>
        <v>12.096774193548386</v>
      </c>
      <c r="BI180" s="1">
        <f t="shared" si="68"/>
        <v>3.032258064516129</v>
      </c>
      <c r="BJ180" s="1">
        <f t="shared" si="69"/>
        <v>0.81983870967741934</v>
      </c>
      <c r="BK180" s="1">
        <f t="shared" si="70"/>
        <v>6.1685806451612901</v>
      </c>
      <c r="BL180" s="1">
        <f t="shared" si="71"/>
        <v>0.81983870967741934</v>
      </c>
      <c r="BM180" s="1">
        <f t="shared" si="72"/>
        <v>0.81983870967741934</v>
      </c>
      <c r="BN180" s="1">
        <f t="shared" si="75"/>
        <v>9.9677679500520325E-3</v>
      </c>
      <c r="BO180" s="1">
        <f t="shared" si="73"/>
        <v>9.7568191782701472E-2</v>
      </c>
    </row>
    <row r="181" spans="1:67" x14ac:dyDescent="0.25">
      <c r="A181" s="3"/>
      <c r="B181" s="3"/>
      <c r="C181">
        <v>14</v>
      </c>
      <c r="D181" s="5">
        <v>1</v>
      </c>
      <c r="E181" s="9">
        <f t="shared" si="52"/>
        <v>19.5</v>
      </c>
      <c r="F181" s="9">
        <f t="shared" si="53"/>
        <v>0.72298136645962741</v>
      </c>
      <c r="G181">
        <v>0</v>
      </c>
      <c r="H181">
        <v>22.3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19.5</v>
      </c>
      <c r="P181">
        <v>0</v>
      </c>
      <c r="Q181">
        <v>58.2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42</v>
      </c>
      <c r="AK181" t="s">
        <v>1</v>
      </c>
      <c r="AL181" t="s">
        <v>372</v>
      </c>
      <c r="AQ181" s="1">
        <f t="shared" si="74"/>
        <v>100</v>
      </c>
      <c r="AR181" s="1">
        <f t="shared" si="54"/>
        <v>0.19500000000000001</v>
      </c>
      <c r="AS181" s="1">
        <f t="shared" si="55"/>
        <v>0</v>
      </c>
      <c r="AT181" s="1">
        <f t="shared" si="56"/>
        <v>0.223</v>
      </c>
      <c r="AU181" s="1">
        <f t="shared" si="57"/>
        <v>0.58200000000000007</v>
      </c>
      <c r="AV181" s="1">
        <f t="shared" si="58"/>
        <v>0.42</v>
      </c>
      <c r="AX181" s="1">
        <f t="shared" si="59"/>
        <v>2.6098654708520184</v>
      </c>
      <c r="AY181" s="1">
        <f t="shared" si="60"/>
        <v>0.87443946188340804</v>
      </c>
      <c r="AZ181" s="1">
        <f t="shared" si="61"/>
        <v>0.66311659192825112</v>
      </c>
      <c r="BA181" s="1">
        <f t="shared" si="62"/>
        <v>1.1524663677130045</v>
      </c>
      <c r="BB181" s="1">
        <f t="shared" si="63"/>
        <v>0.66311659192825112</v>
      </c>
      <c r="BC181" s="1">
        <f t="shared" si="64"/>
        <v>0.66311659192825112</v>
      </c>
      <c r="BD181" s="1">
        <f t="shared" si="65"/>
        <v>0.24311659192825114</v>
      </c>
      <c r="BF181">
        <f t="shared" si="66"/>
        <v>22.3</v>
      </c>
      <c r="BG181">
        <f t="shared" si="76"/>
        <v>19.5</v>
      </c>
      <c r="BH181" s="1">
        <f t="shared" si="67"/>
        <v>2.6098654708520179</v>
      </c>
      <c r="BI181" s="1">
        <f t="shared" si="68"/>
        <v>0.87443946188340804</v>
      </c>
      <c r="BJ181" s="1">
        <f t="shared" si="69"/>
        <v>0.63958744394618827</v>
      </c>
      <c r="BK181" s="1">
        <f t="shared" si="70"/>
        <v>1.4061524663677132</v>
      </c>
      <c r="BL181" s="1">
        <f t="shared" si="71"/>
        <v>0.63958744394618827</v>
      </c>
      <c r="BM181" s="1">
        <f t="shared" si="72"/>
        <v>0.63958744394618827</v>
      </c>
      <c r="BN181" s="1">
        <f t="shared" si="75"/>
        <v>4.8218645538820382E-2</v>
      </c>
      <c r="BO181" s="1">
        <f t="shared" si="73"/>
        <v>1.527467367487362E-4</v>
      </c>
    </row>
    <row r="182" spans="1:67" x14ac:dyDescent="0.25">
      <c r="A182" s="3"/>
      <c r="B182" s="3"/>
      <c r="C182">
        <v>15</v>
      </c>
      <c r="D182" s="5">
        <v>1</v>
      </c>
      <c r="E182" s="9">
        <f t="shared" si="52"/>
        <v>19.5</v>
      </c>
      <c r="F182" s="9">
        <f t="shared" si="53"/>
        <v>0.72298136645962741</v>
      </c>
      <c r="G182">
        <v>0</v>
      </c>
      <c r="H182">
        <v>22.3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19.5</v>
      </c>
      <c r="P182">
        <v>0</v>
      </c>
      <c r="Q182">
        <v>58.2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51</v>
      </c>
      <c r="AK182" t="s">
        <v>1</v>
      </c>
      <c r="AL182" t="s">
        <v>372</v>
      </c>
      <c r="AQ182" s="1">
        <f t="shared" si="74"/>
        <v>100</v>
      </c>
      <c r="AR182" s="1">
        <f t="shared" si="54"/>
        <v>0.19500000000000001</v>
      </c>
      <c r="AS182" s="1">
        <f t="shared" si="55"/>
        <v>0</v>
      </c>
      <c r="AT182" s="1">
        <f t="shared" si="56"/>
        <v>0.223</v>
      </c>
      <c r="AU182" s="1">
        <f t="shared" si="57"/>
        <v>0.58200000000000007</v>
      </c>
      <c r="AV182" s="1">
        <f t="shared" si="58"/>
        <v>0.51</v>
      </c>
      <c r="AX182" s="1">
        <f t="shared" si="59"/>
        <v>2.6098654708520184</v>
      </c>
      <c r="AY182" s="1">
        <f t="shared" si="60"/>
        <v>0.87443946188340804</v>
      </c>
      <c r="AZ182" s="1">
        <f t="shared" si="61"/>
        <v>0.66311659192825112</v>
      </c>
      <c r="BA182" s="1">
        <f t="shared" si="62"/>
        <v>1.1524663677130045</v>
      </c>
      <c r="BB182" s="1">
        <f t="shared" si="63"/>
        <v>0.66311659192825112</v>
      </c>
      <c r="BC182" s="1">
        <f t="shared" si="64"/>
        <v>0.66311659192825112</v>
      </c>
      <c r="BD182" s="1">
        <f t="shared" si="65"/>
        <v>0.15311659192825111</v>
      </c>
      <c r="BF182">
        <f t="shared" si="66"/>
        <v>22.3</v>
      </c>
      <c r="BG182">
        <f t="shared" si="76"/>
        <v>19.5</v>
      </c>
      <c r="BH182" s="1">
        <f t="shared" si="67"/>
        <v>2.6098654708520179</v>
      </c>
      <c r="BI182" s="1">
        <f t="shared" si="68"/>
        <v>0.87443946188340804</v>
      </c>
      <c r="BJ182" s="1">
        <f t="shared" si="69"/>
        <v>0.63958744394618827</v>
      </c>
      <c r="BK182" s="1">
        <f t="shared" si="70"/>
        <v>1.4061524663677132</v>
      </c>
      <c r="BL182" s="1">
        <f t="shared" si="71"/>
        <v>0.63958744394618827</v>
      </c>
      <c r="BM182" s="1">
        <f t="shared" si="72"/>
        <v>0.63958744394618827</v>
      </c>
      <c r="BN182" s="1">
        <f t="shared" si="75"/>
        <v>1.6792905628506487E-2</v>
      </c>
      <c r="BO182" s="1">
        <f t="shared" si="73"/>
        <v>1.0477380250534563E-2</v>
      </c>
    </row>
    <row r="183" spans="1:67" x14ac:dyDescent="0.25">
      <c r="A183" s="3"/>
      <c r="B183" s="3"/>
      <c r="C183">
        <v>16</v>
      </c>
      <c r="D183" s="5">
        <v>1</v>
      </c>
      <c r="E183" s="9">
        <f t="shared" si="52"/>
        <v>20</v>
      </c>
      <c r="F183" s="9">
        <f t="shared" si="53"/>
        <v>0.125</v>
      </c>
      <c r="G183">
        <v>0</v>
      </c>
      <c r="H183">
        <v>70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20</v>
      </c>
      <c r="P183">
        <v>0</v>
      </c>
      <c r="Q183">
        <v>10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28</v>
      </c>
      <c r="AK183" t="s">
        <v>1</v>
      </c>
      <c r="AL183" t="s">
        <v>372</v>
      </c>
      <c r="AQ183" s="1">
        <f t="shared" si="74"/>
        <v>100</v>
      </c>
      <c r="AR183" s="1">
        <f t="shared" si="54"/>
        <v>0.2</v>
      </c>
      <c r="AS183" s="1">
        <f t="shared" si="55"/>
        <v>0</v>
      </c>
      <c r="AT183" s="1">
        <f t="shared" si="56"/>
        <v>0.7</v>
      </c>
      <c r="AU183" s="1">
        <f t="shared" si="57"/>
        <v>0.1</v>
      </c>
      <c r="AV183" s="1">
        <f t="shared" si="58"/>
        <v>0.28000000000000003</v>
      </c>
      <c r="AX183" s="1">
        <f t="shared" si="59"/>
        <v>0.14285714285714288</v>
      </c>
      <c r="AY183" s="1">
        <f t="shared" si="60"/>
        <v>0.28571428571428575</v>
      </c>
      <c r="AZ183" s="1">
        <f t="shared" si="61"/>
        <v>0.5089285714285714</v>
      </c>
      <c r="BA183" s="1">
        <f t="shared" si="62"/>
        <v>0.5357142857142857</v>
      </c>
      <c r="BB183" s="1">
        <f t="shared" si="63"/>
        <v>0.28571428571428575</v>
      </c>
      <c r="BC183" s="1">
        <f t="shared" si="64"/>
        <v>0.28571428571428575</v>
      </c>
      <c r="BD183" s="1">
        <f t="shared" si="65"/>
        <v>5.7142857142857273E-3</v>
      </c>
      <c r="BF183">
        <f t="shared" si="66"/>
        <v>70</v>
      </c>
      <c r="BG183">
        <f t="shared" si="76"/>
        <v>20</v>
      </c>
      <c r="BH183" s="1">
        <f t="shared" si="67"/>
        <v>0.14285714285714285</v>
      </c>
      <c r="BI183" s="1">
        <f t="shared" si="68"/>
        <v>0.2857142857142857</v>
      </c>
      <c r="BJ183" s="1">
        <f t="shared" si="69"/>
        <v>0.59271428571428564</v>
      </c>
      <c r="BK183" s="1">
        <f t="shared" si="70"/>
        <v>0.1677142857142857</v>
      </c>
      <c r="BL183" s="1">
        <f t="shared" si="71"/>
        <v>0.2857142857142857</v>
      </c>
      <c r="BM183" s="1">
        <f t="shared" si="72"/>
        <v>0.2857142857142857</v>
      </c>
      <c r="BN183" s="1">
        <f t="shared" si="75"/>
        <v>3.2653061224489312E-5</v>
      </c>
      <c r="BO183" s="1">
        <f t="shared" si="73"/>
        <v>1.6292205715304115E-2</v>
      </c>
    </row>
    <row r="184" spans="1:67" x14ac:dyDescent="0.25">
      <c r="A184" s="3"/>
      <c r="B184" s="3"/>
      <c r="C184">
        <v>17</v>
      </c>
      <c r="D184" s="5">
        <v>1</v>
      </c>
      <c r="E184" s="9">
        <f t="shared" si="52"/>
        <v>20</v>
      </c>
      <c r="F184" s="9">
        <f t="shared" si="53"/>
        <v>0.1875</v>
      </c>
      <c r="G184">
        <v>0</v>
      </c>
      <c r="H184">
        <v>65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20</v>
      </c>
      <c r="P184">
        <v>0</v>
      </c>
      <c r="Q184">
        <v>15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28</v>
      </c>
      <c r="AK184" t="s">
        <v>1</v>
      </c>
      <c r="AL184" t="s">
        <v>372</v>
      </c>
      <c r="AQ184" s="1">
        <f t="shared" si="74"/>
        <v>100</v>
      </c>
      <c r="AR184" s="1">
        <f t="shared" si="54"/>
        <v>0.2</v>
      </c>
      <c r="AS184" s="1">
        <f t="shared" si="55"/>
        <v>0</v>
      </c>
      <c r="AT184" s="1">
        <f t="shared" si="56"/>
        <v>0.65</v>
      </c>
      <c r="AU184" s="1">
        <f t="shared" si="57"/>
        <v>0.15</v>
      </c>
      <c r="AV184" s="1">
        <f t="shared" si="58"/>
        <v>0.28000000000000003</v>
      </c>
      <c r="AX184" s="1">
        <f t="shared" si="59"/>
        <v>0.23076923076923075</v>
      </c>
      <c r="AY184" s="1">
        <f t="shared" si="60"/>
        <v>0.30769230769230771</v>
      </c>
      <c r="AZ184" s="1">
        <f t="shared" si="61"/>
        <v>0.51442307692307687</v>
      </c>
      <c r="BA184" s="1">
        <f t="shared" si="62"/>
        <v>0.55769230769230771</v>
      </c>
      <c r="BB184" s="1">
        <f t="shared" si="63"/>
        <v>0.30769230769230771</v>
      </c>
      <c r="BC184" s="1">
        <f t="shared" si="64"/>
        <v>0.30769230769230771</v>
      </c>
      <c r="BD184" s="1">
        <f t="shared" si="65"/>
        <v>2.7692307692307683E-2</v>
      </c>
      <c r="BF184">
        <f t="shared" si="66"/>
        <v>65</v>
      </c>
      <c r="BG184">
        <f t="shared" si="76"/>
        <v>20</v>
      </c>
      <c r="BH184" s="1">
        <f t="shared" si="67"/>
        <v>0.23076923076923078</v>
      </c>
      <c r="BI184" s="1">
        <f t="shared" si="68"/>
        <v>0.30769230769230771</v>
      </c>
      <c r="BJ184" s="1">
        <f t="shared" si="69"/>
        <v>0.5943846153846154</v>
      </c>
      <c r="BK184" s="1">
        <f t="shared" si="70"/>
        <v>0.21184615384615385</v>
      </c>
      <c r="BL184" s="1">
        <f t="shared" si="71"/>
        <v>0.30769230769230771</v>
      </c>
      <c r="BM184" s="1">
        <f t="shared" si="72"/>
        <v>0.30769230769230771</v>
      </c>
      <c r="BN184" s="1">
        <f t="shared" si="75"/>
        <v>7.6686390532544331E-4</v>
      </c>
      <c r="BO184" s="1">
        <f t="shared" si="73"/>
        <v>1.6292205715304115E-2</v>
      </c>
    </row>
    <row r="185" spans="1:67" x14ac:dyDescent="0.25">
      <c r="A185" s="3"/>
      <c r="B185" s="3"/>
      <c r="C185">
        <v>18</v>
      </c>
      <c r="D185" s="5">
        <v>1</v>
      </c>
      <c r="E185" s="9">
        <f t="shared" si="52"/>
        <v>20</v>
      </c>
      <c r="F185" s="9">
        <f t="shared" si="53"/>
        <v>0.25</v>
      </c>
      <c r="G185">
        <v>0</v>
      </c>
      <c r="H185">
        <v>60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20</v>
      </c>
      <c r="P185">
        <v>0</v>
      </c>
      <c r="Q185">
        <v>20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34</v>
      </c>
      <c r="AK185" t="s">
        <v>1</v>
      </c>
      <c r="AL185" t="s">
        <v>372</v>
      </c>
      <c r="AQ185" s="1">
        <f t="shared" si="74"/>
        <v>100</v>
      </c>
      <c r="AR185" s="1">
        <f t="shared" si="54"/>
        <v>0.2</v>
      </c>
      <c r="AS185" s="1">
        <f t="shared" si="55"/>
        <v>0</v>
      </c>
      <c r="AT185" s="1">
        <f t="shared" si="56"/>
        <v>0.6</v>
      </c>
      <c r="AU185" s="1">
        <f t="shared" si="57"/>
        <v>0.2</v>
      </c>
      <c r="AV185" s="1">
        <f t="shared" si="58"/>
        <v>0.34</v>
      </c>
      <c r="AX185" s="1">
        <f t="shared" si="59"/>
        <v>0.33333333333333337</v>
      </c>
      <c r="AY185" s="1">
        <f t="shared" si="60"/>
        <v>0.33333333333333337</v>
      </c>
      <c r="AZ185" s="1">
        <f t="shared" si="61"/>
        <v>0.52083333333333337</v>
      </c>
      <c r="BA185" s="1">
        <f t="shared" si="62"/>
        <v>0.58333333333333337</v>
      </c>
      <c r="BB185" s="1">
        <f t="shared" si="63"/>
        <v>0.33333333333333337</v>
      </c>
      <c r="BC185" s="1">
        <f t="shared" si="64"/>
        <v>0.33333333333333337</v>
      </c>
      <c r="BD185" s="1">
        <f t="shared" si="65"/>
        <v>6.6666666666666541E-3</v>
      </c>
      <c r="BF185">
        <f t="shared" si="66"/>
        <v>60</v>
      </c>
      <c r="BG185">
        <f t="shared" si="76"/>
        <v>20</v>
      </c>
      <c r="BH185" s="1">
        <f t="shared" si="67"/>
        <v>0.33333333333333331</v>
      </c>
      <c r="BI185" s="1">
        <f t="shared" si="68"/>
        <v>0.33333333333333331</v>
      </c>
      <c r="BJ185" s="1">
        <f t="shared" si="69"/>
        <v>0.59633333333333327</v>
      </c>
      <c r="BK185" s="1">
        <f t="shared" si="70"/>
        <v>0.26333333333333331</v>
      </c>
      <c r="BL185" s="1">
        <f t="shared" si="71"/>
        <v>0.33333333333333331</v>
      </c>
      <c r="BM185" s="1">
        <f t="shared" si="72"/>
        <v>0.33333333333333331</v>
      </c>
      <c r="BN185" s="1">
        <f t="shared" si="75"/>
        <v>4.4444444444445016E-5</v>
      </c>
      <c r="BO185" s="1">
        <f t="shared" si="73"/>
        <v>4.5752947244946671E-3</v>
      </c>
    </row>
    <row r="186" spans="1:67" x14ac:dyDescent="0.25">
      <c r="A186" s="3"/>
      <c r="B186" s="3"/>
      <c r="C186">
        <v>19</v>
      </c>
      <c r="D186" s="5">
        <v>1</v>
      </c>
      <c r="E186" s="9">
        <f t="shared" si="52"/>
        <v>20</v>
      </c>
      <c r="F186" s="9">
        <f t="shared" si="53"/>
        <v>0.375</v>
      </c>
      <c r="G186">
        <v>0</v>
      </c>
      <c r="H186">
        <v>50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20</v>
      </c>
      <c r="P186">
        <v>0</v>
      </c>
      <c r="Q186">
        <v>30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28</v>
      </c>
      <c r="AK186" t="s">
        <v>1</v>
      </c>
      <c r="AL186" t="s">
        <v>372</v>
      </c>
      <c r="AQ186" s="1">
        <f t="shared" si="74"/>
        <v>100</v>
      </c>
      <c r="AR186" s="1">
        <f t="shared" si="54"/>
        <v>0.2</v>
      </c>
      <c r="AS186" s="1">
        <f t="shared" si="55"/>
        <v>0</v>
      </c>
      <c r="AT186" s="1">
        <f t="shared" si="56"/>
        <v>0.5</v>
      </c>
      <c r="AU186" s="1">
        <f t="shared" si="57"/>
        <v>0.3</v>
      </c>
      <c r="AV186" s="1">
        <f t="shared" si="58"/>
        <v>0.28000000000000003</v>
      </c>
      <c r="AX186" s="1">
        <f t="shared" si="59"/>
        <v>0.6</v>
      </c>
      <c r="AY186" s="1">
        <f t="shared" si="60"/>
        <v>0.4</v>
      </c>
      <c r="AZ186" s="1">
        <f t="shared" si="61"/>
        <v>0.53749999999999998</v>
      </c>
      <c r="BA186" s="1">
        <f t="shared" si="62"/>
        <v>0.65</v>
      </c>
      <c r="BB186" s="1">
        <f t="shared" si="63"/>
        <v>0.4</v>
      </c>
      <c r="BC186" s="1">
        <f t="shared" si="64"/>
        <v>0.4</v>
      </c>
      <c r="BD186" s="1">
        <f t="shared" si="65"/>
        <v>0.12</v>
      </c>
      <c r="BF186">
        <f t="shared" si="66"/>
        <v>50</v>
      </c>
      <c r="BG186">
        <f t="shared" si="76"/>
        <v>20</v>
      </c>
      <c r="BH186" s="1">
        <f t="shared" si="67"/>
        <v>0.6</v>
      </c>
      <c r="BI186" s="1">
        <f t="shared" si="68"/>
        <v>0.4</v>
      </c>
      <c r="BJ186" s="1">
        <f t="shared" si="69"/>
        <v>0.60139999999999993</v>
      </c>
      <c r="BK186" s="1">
        <f t="shared" si="70"/>
        <v>0.3972</v>
      </c>
      <c r="BL186" s="1">
        <f t="shared" si="71"/>
        <v>0.4</v>
      </c>
      <c r="BM186" s="1">
        <f t="shared" si="72"/>
        <v>0.4</v>
      </c>
      <c r="BN186" s="1">
        <f t="shared" si="75"/>
        <v>1.44E-2</v>
      </c>
      <c r="BO186" s="1">
        <f t="shared" si="73"/>
        <v>1.6292205715304115E-2</v>
      </c>
    </row>
    <row r="187" spans="1:67" x14ac:dyDescent="0.25">
      <c r="A187" s="3"/>
      <c r="B187" s="3"/>
      <c r="C187">
        <v>20</v>
      </c>
      <c r="D187" s="5">
        <v>1</v>
      </c>
      <c r="E187" s="9">
        <f t="shared" si="52"/>
        <v>20</v>
      </c>
      <c r="F187" s="9">
        <f t="shared" si="53"/>
        <v>0.4375</v>
      </c>
      <c r="G187">
        <v>0</v>
      </c>
      <c r="H187">
        <v>45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20</v>
      </c>
      <c r="P187">
        <v>0</v>
      </c>
      <c r="Q187">
        <v>35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41</v>
      </c>
      <c r="AK187" t="s">
        <v>1</v>
      </c>
      <c r="AL187" t="s">
        <v>372</v>
      </c>
      <c r="AQ187" s="1">
        <f t="shared" si="74"/>
        <v>100</v>
      </c>
      <c r="AR187" s="1">
        <f t="shared" si="54"/>
        <v>0.2</v>
      </c>
      <c r="AS187" s="1">
        <f t="shared" si="55"/>
        <v>0</v>
      </c>
      <c r="AT187" s="1">
        <f t="shared" si="56"/>
        <v>0.45</v>
      </c>
      <c r="AU187" s="1">
        <f t="shared" si="57"/>
        <v>0.35</v>
      </c>
      <c r="AV187" s="1">
        <f t="shared" si="58"/>
        <v>0.41</v>
      </c>
      <c r="AX187" s="1">
        <f t="shared" si="59"/>
        <v>0.77777777777777768</v>
      </c>
      <c r="AY187" s="1">
        <f t="shared" si="60"/>
        <v>0.44444444444444448</v>
      </c>
      <c r="AZ187" s="1">
        <f t="shared" si="61"/>
        <v>0.54861111111111116</v>
      </c>
      <c r="BA187" s="1">
        <f t="shared" si="62"/>
        <v>0.69444444444444442</v>
      </c>
      <c r="BB187" s="1">
        <f t="shared" si="63"/>
        <v>0.44444444444444448</v>
      </c>
      <c r="BC187" s="1">
        <f t="shared" si="64"/>
        <v>0.44444444444444448</v>
      </c>
      <c r="BD187" s="1">
        <f t="shared" si="65"/>
        <v>3.44444444444445E-2</v>
      </c>
      <c r="BF187">
        <f t="shared" si="66"/>
        <v>45</v>
      </c>
      <c r="BG187">
        <f t="shared" si="76"/>
        <v>20</v>
      </c>
      <c r="BH187" s="1">
        <f t="shared" si="67"/>
        <v>0.77777777777777779</v>
      </c>
      <c r="BI187" s="1">
        <f t="shared" si="68"/>
        <v>0.44444444444444442</v>
      </c>
      <c r="BJ187" s="1">
        <f t="shared" si="69"/>
        <v>0.60477777777777775</v>
      </c>
      <c r="BK187" s="1">
        <f t="shared" si="70"/>
        <v>0.48644444444444446</v>
      </c>
      <c r="BL187" s="1">
        <f t="shared" si="71"/>
        <v>0.44444444444444442</v>
      </c>
      <c r="BM187" s="1">
        <f t="shared" si="72"/>
        <v>0.44444444444444442</v>
      </c>
      <c r="BN187" s="1">
        <f t="shared" si="75"/>
        <v>1.1864197530864198E-3</v>
      </c>
      <c r="BO187" s="1">
        <f t="shared" si="73"/>
        <v>5.5652352169781633E-6</v>
      </c>
    </row>
    <row r="188" spans="1:67" x14ac:dyDescent="0.25">
      <c r="A188" s="3"/>
      <c r="B188" s="3"/>
      <c r="C188">
        <v>21</v>
      </c>
      <c r="D188" s="5">
        <v>1</v>
      </c>
      <c r="E188" s="9">
        <f t="shared" si="52"/>
        <v>20</v>
      </c>
      <c r="F188" s="9">
        <f t="shared" si="53"/>
        <v>0.53125</v>
      </c>
      <c r="G188">
        <v>0</v>
      </c>
      <c r="H188">
        <v>37.5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20</v>
      </c>
      <c r="P188">
        <v>0</v>
      </c>
      <c r="Q188">
        <v>42.5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38</v>
      </c>
      <c r="AK188" t="s">
        <v>1</v>
      </c>
      <c r="AL188" t="s">
        <v>372</v>
      </c>
      <c r="AQ188" s="1">
        <f t="shared" si="74"/>
        <v>100</v>
      </c>
      <c r="AR188" s="1">
        <f t="shared" si="54"/>
        <v>0.2</v>
      </c>
      <c r="AS188" s="1">
        <f t="shared" si="55"/>
        <v>0</v>
      </c>
      <c r="AT188" s="1">
        <f t="shared" si="56"/>
        <v>0.375</v>
      </c>
      <c r="AU188" s="1">
        <f t="shared" si="57"/>
        <v>0.42499999999999999</v>
      </c>
      <c r="AV188" s="1">
        <f t="shared" si="58"/>
        <v>0.38</v>
      </c>
      <c r="AX188" s="1">
        <f t="shared" si="59"/>
        <v>1.1333333333333333</v>
      </c>
      <c r="AY188" s="1">
        <f t="shared" si="60"/>
        <v>0.53333333333333333</v>
      </c>
      <c r="AZ188" s="1">
        <f t="shared" si="61"/>
        <v>0.5708333333333333</v>
      </c>
      <c r="BA188" s="1">
        <f t="shared" si="62"/>
        <v>0.78333333333333333</v>
      </c>
      <c r="BB188" s="1">
        <f t="shared" si="63"/>
        <v>0.53333333333333333</v>
      </c>
      <c r="BC188" s="1">
        <f t="shared" si="64"/>
        <v>0.53333333333333333</v>
      </c>
      <c r="BD188" s="1">
        <f t="shared" si="65"/>
        <v>0.15333333333333332</v>
      </c>
      <c r="BF188">
        <f t="shared" si="66"/>
        <v>37.5</v>
      </c>
      <c r="BG188">
        <f t="shared" si="76"/>
        <v>20</v>
      </c>
      <c r="BH188" s="1">
        <f t="shared" si="67"/>
        <v>1.1333333333333333</v>
      </c>
      <c r="BI188" s="1">
        <f t="shared" si="68"/>
        <v>0.53333333333333333</v>
      </c>
      <c r="BJ188" s="1">
        <f t="shared" si="69"/>
        <v>0.61153333333333326</v>
      </c>
      <c r="BK188" s="1">
        <f t="shared" si="70"/>
        <v>0.66493333333333327</v>
      </c>
      <c r="BL188" s="1">
        <f t="shared" si="71"/>
        <v>0.53333333333333333</v>
      </c>
      <c r="BM188" s="1">
        <f t="shared" si="72"/>
        <v>0.53333333333333333</v>
      </c>
      <c r="BN188" s="1">
        <f t="shared" si="75"/>
        <v>2.3511111111111108E-2</v>
      </c>
      <c r="BO188" s="1">
        <f t="shared" si="73"/>
        <v>7.6402073062170313E-4</v>
      </c>
    </row>
    <row r="189" spans="1:67" x14ac:dyDescent="0.25">
      <c r="A189" s="3"/>
      <c r="B189" s="3"/>
      <c r="C189">
        <v>22</v>
      </c>
      <c r="D189" s="5">
        <v>1</v>
      </c>
      <c r="E189" s="9">
        <f t="shared" si="52"/>
        <v>20</v>
      </c>
      <c r="F189" s="9">
        <f t="shared" si="53"/>
        <v>0.625</v>
      </c>
      <c r="G189">
        <v>0</v>
      </c>
      <c r="H189">
        <v>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20</v>
      </c>
      <c r="P189">
        <v>0</v>
      </c>
      <c r="Q189">
        <v>50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48</v>
      </c>
      <c r="AK189" t="s">
        <v>1</v>
      </c>
      <c r="AL189" t="s">
        <v>372</v>
      </c>
      <c r="AQ189" s="1">
        <f t="shared" si="74"/>
        <v>100</v>
      </c>
      <c r="AR189" s="1">
        <f t="shared" si="54"/>
        <v>0.2</v>
      </c>
      <c r="AS189" s="1">
        <f t="shared" si="55"/>
        <v>0</v>
      </c>
      <c r="AT189" s="1">
        <f t="shared" si="56"/>
        <v>0.3</v>
      </c>
      <c r="AU189" s="1">
        <f t="shared" si="57"/>
        <v>0.5</v>
      </c>
      <c r="AV189" s="1">
        <f t="shared" si="58"/>
        <v>0.48</v>
      </c>
      <c r="AX189" s="1">
        <f t="shared" si="59"/>
        <v>1.6666666666666667</v>
      </c>
      <c r="AY189" s="1">
        <f t="shared" si="60"/>
        <v>0.66666666666666674</v>
      </c>
      <c r="AZ189" s="1">
        <f t="shared" si="61"/>
        <v>0.60416666666666663</v>
      </c>
      <c r="BA189" s="1">
        <f t="shared" si="62"/>
        <v>0.91666666666666674</v>
      </c>
      <c r="BB189" s="1">
        <f t="shared" si="63"/>
        <v>0.60416666666666663</v>
      </c>
      <c r="BC189" s="1">
        <f t="shared" si="64"/>
        <v>0.60416666666666663</v>
      </c>
      <c r="BD189" s="1">
        <f t="shared" si="65"/>
        <v>0.12416666666666665</v>
      </c>
      <c r="BF189">
        <f t="shared" si="66"/>
        <v>30</v>
      </c>
      <c r="BG189">
        <f t="shared" si="76"/>
        <v>20</v>
      </c>
      <c r="BH189" s="1">
        <f t="shared" si="67"/>
        <v>1.6666666666666667</v>
      </c>
      <c r="BI189" s="1">
        <f t="shared" si="68"/>
        <v>0.66666666666666663</v>
      </c>
      <c r="BJ189" s="1">
        <f t="shared" si="69"/>
        <v>0.62166666666666659</v>
      </c>
      <c r="BK189" s="1">
        <f t="shared" si="70"/>
        <v>0.93266666666666664</v>
      </c>
      <c r="BL189" s="1">
        <f t="shared" si="71"/>
        <v>0.62166666666666659</v>
      </c>
      <c r="BM189" s="1">
        <f t="shared" si="72"/>
        <v>0.62166666666666659</v>
      </c>
      <c r="BN189" s="1">
        <f t="shared" si="75"/>
        <v>2.0069444444444428E-2</v>
      </c>
      <c r="BO189" s="1">
        <f t="shared" si="73"/>
        <v>5.2358357459392837E-3</v>
      </c>
    </row>
    <row r="190" spans="1:67" x14ac:dyDescent="0.25">
      <c r="A190" s="3"/>
      <c r="B190" s="3"/>
      <c r="C190">
        <v>23</v>
      </c>
      <c r="D190" s="5">
        <v>1</v>
      </c>
      <c r="E190" s="9">
        <f t="shared" si="52"/>
        <v>20</v>
      </c>
      <c r="F190" s="9">
        <f t="shared" si="53"/>
        <v>0.75</v>
      </c>
      <c r="G190">
        <v>0</v>
      </c>
      <c r="H190">
        <v>20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20</v>
      </c>
      <c r="P190">
        <v>0</v>
      </c>
      <c r="Q190">
        <v>60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59</v>
      </c>
      <c r="AK190" t="s">
        <v>1</v>
      </c>
      <c r="AL190" t="s">
        <v>372</v>
      </c>
      <c r="AQ190" s="1">
        <f t="shared" si="74"/>
        <v>100</v>
      </c>
      <c r="AR190" s="1">
        <f t="shared" si="54"/>
        <v>0.2</v>
      </c>
      <c r="AS190" s="1">
        <f t="shared" si="55"/>
        <v>0</v>
      </c>
      <c r="AT190" s="1">
        <f t="shared" si="56"/>
        <v>0.2</v>
      </c>
      <c r="AU190" s="1">
        <f t="shared" si="57"/>
        <v>0.6</v>
      </c>
      <c r="AV190" s="1">
        <f t="shared" si="58"/>
        <v>0.59</v>
      </c>
      <c r="AX190" s="1">
        <f t="shared" si="59"/>
        <v>2.9999999999999996</v>
      </c>
      <c r="AY190" s="1">
        <f t="shared" si="60"/>
        <v>1</v>
      </c>
      <c r="AZ190" s="1">
        <f t="shared" si="61"/>
        <v>0.6875</v>
      </c>
      <c r="BA190" s="1">
        <f t="shared" si="62"/>
        <v>1.25</v>
      </c>
      <c r="BB190" s="1">
        <f t="shared" si="63"/>
        <v>0.6875</v>
      </c>
      <c r="BC190" s="1">
        <f t="shared" si="64"/>
        <v>0.6875</v>
      </c>
      <c r="BD190" s="1">
        <f t="shared" si="65"/>
        <v>9.7500000000000031E-2</v>
      </c>
      <c r="BF190">
        <f t="shared" si="66"/>
        <v>20</v>
      </c>
      <c r="BG190">
        <f t="shared" si="76"/>
        <v>20</v>
      </c>
      <c r="BH190" s="1">
        <f t="shared" si="67"/>
        <v>3</v>
      </c>
      <c r="BI190" s="1">
        <f t="shared" si="68"/>
        <v>1</v>
      </c>
      <c r="BJ190" s="1">
        <f t="shared" si="69"/>
        <v>0.64700000000000002</v>
      </c>
      <c r="BK190" s="1">
        <f t="shared" si="70"/>
        <v>1.6020000000000001</v>
      </c>
      <c r="BL190" s="1">
        <f t="shared" si="71"/>
        <v>0.64700000000000002</v>
      </c>
      <c r="BM190" s="1">
        <f t="shared" si="72"/>
        <v>0.64700000000000002</v>
      </c>
      <c r="BN190" s="1">
        <f t="shared" si="75"/>
        <v>3.2490000000000058E-3</v>
      </c>
      <c r="BO190" s="1">
        <f t="shared" si="73"/>
        <v>3.3254832262788615E-2</v>
      </c>
    </row>
    <row r="191" spans="1:67" x14ac:dyDescent="0.25">
      <c r="A191" s="3"/>
      <c r="B191" s="3"/>
      <c r="C191">
        <v>24</v>
      </c>
      <c r="D191" s="5">
        <v>1</v>
      </c>
      <c r="E191" s="9">
        <f t="shared" si="52"/>
        <v>20</v>
      </c>
      <c r="F191" s="9">
        <f t="shared" si="53"/>
        <v>0.83374999999999999</v>
      </c>
      <c r="G191">
        <v>0</v>
      </c>
      <c r="H191">
        <v>13.3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20</v>
      </c>
      <c r="P191">
        <v>0</v>
      </c>
      <c r="Q191">
        <v>66.7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59</v>
      </c>
      <c r="AK191" t="s">
        <v>1</v>
      </c>
      <c r="AL191" t="s">
        <v>372</v>
      </c>
      <c r="AQ191" s="1">
        <f t="shared" si="74"/>
        <v>100</v>
      </c>
      <c r="AR191" s="1">
        <f t="shared" si="54"/>
        <v>0.2</v>
      </c>
      <c r="AS191" s="1">
        <f t="shared" si="55"/>
        <v>0</v>
      </c>
      <c r="AT191" s="1">
        <f t="shared" si="56"/>
        <v>0.13300000000000001</v>
      </c>
      <c r="AU191" s="1">
        <f t="shared" si="57"/>
        <v>0.66700000000000004</v>
      </c>
      <c r="AV191" s="1">
        <f t="shared" si="58"/>
        <v>0.59</v>
      </c>
      <c r="AX191" s="1">
        <f t="shared" si="59"/>
        <v>5.0150375939849621</v>
      </c>
      <c r="AY191" s="1">
        <f t="shared" si="60"/>
        <v>1.5037593984962405</v>
      </c>
      <c r="AZ191" s="1">
        <f t="shared" si="61"/>
        <v>0.81343984962406013</v>
      </c>
      <c r="BA191" s="1">
        <f t="shared" si="62"/>
        <v>1.7537593984962405</v>
      </c>
      <c r="BB191" s="1">
        <f t="shared" si="63"/>
        <v>0.81343984962406013</v>
      </c>
      <c r="BC191" s="1">
        <f t="shared" si="64"/>
        <v>0.81343984962406013</v>
      </c>
      <c r="BD191" s="1">
        <f t="shared" si="65"/>
        <v>0.22343984962406016</v>
      </c>
      <c r="BF191">
        <f t="shared" si="66"/>
        <v>13.3</v>
      </c>
      <c r="BG191">
        <f t="shared" si="76"/>
        <v>20</v>
      </c>
      <c r="BH191" s="1">
        <f t="shared" si="67"/>
        <v>5.0150375939849621</v>
      </c>
      <c r="BI191" s="1">
        <f t="shared" si="68"/>
        <v>1.5037593984962405</v>
      </c>
      <c r="BJ191" s="1">
        <f t="shared" si="69"/>
        <v>0.68528571428571428</v>
      </c>
      <c r="BK191" s="1">
        <f t="shared" si="70"/>
        <v>2.6135488721804512</v>
      </c>
      <c r="BL191" s="1">
        <f t="shared" si="71"/>
        <v>0.68528571428571428</v>
      </c>
      <c r="BM191" s="1">
        <f t="shared" si="72"/>
        <v>0.68528571428571428</v>
      </c>
      <c r="BN191" s="1">
        <f t="shared" si="75"/>
        <v>9.0793673469387794E-3</v>
      </c>
      <c r="BO191" s="1">
        <f t="shared" si="73"/>
        <v>3.3254832262788615E-2</v>
      </c>
    </row>
    <row r="192" spans="1:67" x14ac:dyDescent="0.25">
      <c r="A192" s="3"/>
      <c r="B192" s="3"/>
      <c r="C192">
        <v>25</v>
      </c>
      <c r="D192" s="5">
        <v>1</v>
      </c>
      <c r="E192" s="9">
        <f t="shared" si="52"/>
        <v>20</v>
      </c>
      <c r="F192" s="9">
        <f t="shared" si="53"/>
        <v>0.83374999999999999</v>
      </c>
      <c r="G192">
        <v>0</v>
      </c>
      <c r="H192">
        <v>13.3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20</v>
      </c>
      <c r="P192">
        <v>0</v>
      </c>
      <c r="Q192">
        <v>66.7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67</v>
      </c>
      <c r="AK192" t="s">
        <v>1</v>
      </c>
      <c r="AL192" t="s">
        <v>372</v>
      </c>
      <c r="AQ192" s="1">
        <f t="shared" si="74"/>
        <v>100</v>
      </c>
      <c r="AR192" s="1">
        <f t="shared" si="54"/>
        <v>0.2</v>
      </c>
      <c r="AS192" s="1">
        <f t="shared" si="55"/>
        <v>0</v>
      </c>
      <c r="AT192" s="1">
        <f t="shared" si="56"/>
        <v>0.13300000000000001</v>
      </c>
      <c r="AU192" s="1">
        <f t="shared" si="57"/>
        <v>0.66700000000000004</v>
      </c>
      <c r="AV192" s="1">
        <f t="shared" si="58"/>
        <v>0.67</v>
      </c>
      <c r="AX192" s="1">
        <f t="shared" si="59"/>
        <v>5.0150375939849621</v>
      </c>
      <c r="AY192" s="1">
        <f t="shared" si="60"/>
        <v>1.5037593984962405</v>
      </c>
      <c r="AZ192" s="1">
        <f t="shared" si="61"/>
        <v>0.81343984962406013</v>
      </c>
      <c r="BA192" s="1">
        <f t="shared" si="62"/>
        <v>1.7537593984962405</v>
      </c>
      <c r="BB192" s="1">
        <f t="shared" si="63"/>
        <v>0.81343984962406013</v>
      </c>
      <c r="BC192" s="1">
        <f t="shared" si="64"/>
        <v>0.81343984962406013</v>
      </c>
      <c r="BD192" s="1">
        <f t="shared" si="65"/>
        <v>0.14343984962406009</v>
      </c>
      <c r="BF192">
        <f t="shared" si="66"/>
        <v>13.3</v>
      </c>
      <c r="BG192">
        <f t="shared" si="76"/>
        <v>20</v>
      </c>
      <c r="BH192" s="1">
        <f t="shared" si="67"/>
        <v>5.0150375939849621</v>
      </c>
      <c r="BI192" s="1">
        <f t="shared" si="68"/>
        <v>1.5037593984962405</v>
      </c>
      <c r="BJ192" s="1">
        <f t="shared" si="69"/>
        <v>0.68528571428571428</v>
      </c>
      <c r="BK192" s="1">
        <f t="shared" si="70"/>
        <v>2.6135488721804512</v>
      </c>
      <c r="BL192" s="1">
        <f t="shared" si="71"/>
        <v>0.68528571428571428</v>
      </c>
      <c r="BM192" s="1">
        <f t="shared" si="72"/>
        <v>0.68528571428571428</v>
      </c>
      <c r="BN192" s="1">
        <f t="shared" si="75"/>
        <v>2.3365306122448827E-4</v>
      </c>
      <c r="BO192" s="1">
        <f t="shared" si="73"/>
        <v>6.8832284275042718E-2</v>
      </c>
    </row>
    <row r="193" spans="1:67" x14ac:dyDescent="0.25">
      <c r="A193" s="3"/>
      <c r="B193" s="3"/>
      <c r="C193">
        <v>26</v>
      </c>
      <c r="D193" s="5">
        <v>1</v>
      </c>
      <c r="E193" s="9">
        <f t="shared" si="52"/>
        <v>22.2</v>
      </c>
      <c r="F193" s="9">
        <f t="shared" si="53"/>
        <v>0.66580976863753216</v>
      </c>
      <c r="G193">
        <v>0</v>
      </c>
      <c r="H193">
        <v>26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22.2</v>
      </c>
      <c r="P193">
        <v>0</v>
      </c>
      <c r="Q193">
        <v>51.8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30</v>
      </c>
      <c r="AK193" t="s">
        <v>1</v>
      </c>
      <c r="AL193" t="s">
        <v>372</v>
      </c>
      <c r="AQ193" s="1">
        <f t="shared" si="74"/>
        <v>100</v>
      </c>
      <c r="AR193" s="1">
        <f t="shared" si="54"/>
        <v>0.222</v>
      </c>
      <c r="AS193" s="1">
        <f t="shared" si="55"/>
        <v>0</v>
      </c>
      <c r="AT193" s="1">
        <f t="shared" si="56"/>
        <v>0.26</v>
      </c>
      <c r="AU193" s="1">
        <f t="shared" si="57"/>
        <v>0.51800000000000002</v>
      </c>
      <c r="AV193" s="1">
        <f t="shared" si="58"/>
        <v>0.3</v>
      </c>
      <c r="AX193" s="1">
        <f t="shared" si="59"/>
        <v>1.9923076923076923</v>
      </c>
      <c r="AY193" s="1">
        <f t="shared" si="60"/>
        <v>0.85384615384615381</v>
      </c>
      <c r="AZ193" s="1">
        <f t="shared" si="61"/>
        <v>0.62451923076923077</v>
      </c>
      <c r="BA193" s="1">
        <f t="shared" si="62"/>
        <v>0.99807692307692308</v>
      </c>
      <c r="BB193" s="1">
        <f t="shared" si="63"/>
        <v>0.62451923076923077</v>
      </c>
      <c r="BC193" s="1">
        <f t="shared" si="64"/>
        <v>0.62451923076923077</v>
      </c>
      <c r="BD193" s="1">
        <f t="shared" si="65"/>
        <v>0.32451923076923078</v>
      </c>
      <c r="BF193">
        <f t="shared" si="66"/>
        <v>26</v>
      </c>
      <c r="BG193">
        <f t="shared" si="76"/>
        <v>22.2</v>
      </c>
      <c r="BH193" s="1">
        <f t="shared" si="67"/>
        <v>1.9923076923076921</v>
      </c>
      <c r="BI193" s="1">
        <f t="shared" si="68"/>
        <v>0.85384615384615381</v>
      </c>
      <c r="BJ193" s="1">
        <f t="shared" si="69"/>
        <v>0.6278538461538461</v>
      </c>
      <c r="BK193" s="1">
        <f t="shared" si="70"/>
        <v>1.0961384615384615</v>
      </c>
      <c r="BL193" s="1">
        <f t="shared" si="71"/>
        <v>0.6278538461538461</v>
      </c>
      <c r="BM193" s="1">
        <f t="shared" si="72"/>
        <v>0.6278538461538461</v>
      </c>
      <c r="BN193" s="1">
        <f t="shared" si="75"/>
        <v>0.10748814443786979</v>
      </c>
      <c r="BO193" s="1">
        <f t="shared" si="73"/>
        <v>1.158656871836764E-2</v>
      </c>
    </row>
    <row r="194" spans="1:67" x14ac:dyDescent="0.25">
      <c r="A194" s="3"/>
      <c r="B194" s="3"/>
      <c r="C194">
        <v>27</v>
      </c>
      <c r="D194" s="5">
        <v>1</v>
      </c>
      <c r="E194" s="9">
        <f t="shared" ref="E194:E257" si="77">I194+L194+M194+N194+O194+V194+X194+AB194+AD194</f>
        <v>22.2</v>
      </c>
      <c r="F194" s="9">
        <f t="shared" ref="F194:F257" si="78">Q194/(H194+P194+Q194+AC194)</f>
        <v>0.66580976863753216</v>
      </c>
      <c r="G194">
        <v>0</v>
      </c>
      <c r="H194">
        <v>26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22.2</v>
      </c>
      <c r="P194">
        <v>0</v>
      </c>
      <c r="Q194">
        <v>51.8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55</v>
      </c>
      <c r="AK194" t="s">
        <v>1</v>
      </c>
      <c r="AL194" t="s">
        <v>372</v>
      </c>
      <c r="AQ194" s="1">
        <f t="shared" si="74"/>
        <v>100</v>
      </c>
      <c r="AR194" s="1">
        <f t="shared" ref="AR194:AR257" si="79">(L194+M194+O194+X194)/100</f>
        <v>0.222</v>
      </c>
      <c r="AS194" s="1">
        <f t="shared" ref="AS194:AS257" si="80">G194/100</f>
        <v>0</v>
      </c>
      <c r="AT194" s="1">
        <f t="shared" ref="AT194:AT257" si="81">H194/100</f>
        <v>0.26</v>
      </c>
      <c r="AU194" s="1">
        <f t="shared" ref="AU194:AU257" si="82">Q194/100</f>
        <v>0.51800000000000002</v>
      </c>
      <c r="AV194" s="1">
        <f t="shared" ref="AV194:AV257" si="83">AJ194/100</f>
        <v>0.55000000000000004</v>
      </c>
      <c r="AX194" s="1">
        <f t="shared" ref="AX194:AX257" si="84">AU194/(AT194+AS194)</f>
        <v>1.9923076923076923</v>
      </c>
      <c r="AY194" s="1">
        <f t="shared" ref="AY194:AY257" si="85">AR194/(AS194+AT194)</f>
        <v>0.85384615384615381</v>
      </c>
      <c r="AZ194" s="1">
        <f t="shared" ref="AZ194:AZ257" si="86">0.5+AX194/16</f>
        <v>0.62451923076923077</v>
      </c>
      <c r="BA194" s="1">
        <f t="shared" ref="BA194:BA257" si="87">0.5+AX194/4</f>
        <v>0.99807692307692308</v>
      </c>
      <c r="BB194" s="1">
        <f t="shared" ref="BB194:BB257" si="88">IF(AY194&lt;=AZ194,AY194,IF(AY194&lt;=BA194,AZ194,AZ194-(AY194-BA194)*(8+AX194)/(12*(2+AX194))))</f>
        <v>0.62451923076923077</v>
      </c>
      <c r="BC194" s="1">
        <f t="shared" ref="BC194:BC257" si="89">IF(BB194&lt;1,BB194,1)</f>
        <v>0.62451923076923077</v>
      </c>
      <c r="BD194" s="1">
        <f t="shared" ref="BD194:BD257" si="90">ABS(BC194-AV194)</f>
        <v>7.4519230769230727E-2</v>
      </c>
      <c r="BF194">
        <f t="shared" ref="BF194:BF257" si="91">$BR$3*H194+$BR$4*G194+$BR$5*P194+$BR$6*K194+$BR$7*S194+$BR$8*U194+$BR$9*Y194+$BR$10*J194+$BR$11*AC194+$BR$12*AG194+$BR$13*AH194+$BR$14*R194+$BR$15*AE194</f>
        <v>26</v>
      </c>
      <c r="BG194">
        <f t="shared" si="76"/>
        <v>22.2</v>
      </c>
      <c r="BH194" s="1">
        <f t="shared" ref="BH194:BH257" si="92">(Q194)/BF194</f>
        <v>1.9923076923076921</v>
      </c>
      <c r="BI194" s="1">
        <f t="shared" ref="BI194:BI257" si="93">BG194/BF194</f>
        <v>0.85384615384615381</v>
      </c>
      <c r="BJ194" s="1">
        <f t="shared" ref="BJ194:BJ257" si="94">$BR$32+BH194*$BR$33</f>
        <v>0.6278538461538461</v>
      </c>
      <c r="BK194" s="1">
        <f t="shared" ref="BK194:BK257" si="95">$BR$34+BH194*$BR$35</f>
        <v>1.0961384615384615</v>
      </c>
      <c r="BL194" s="1">
        <f t="shared" ref="BL194:BL257" si="96">IF(BI194&lt;=BJ194,BI194,IF(BI194&lt;=BK194,BJ194,BJ194-(BI194-BK194)*(8+BH194)/(12*(2+BH194))))</f>
        <v>0.6278538461538461</v>
      </c>
      <c r="BM194" s="1">
        <f t="shared" ref="BM194:BM257" si="97">IF(BL194&lt;1,IF(BL194&gt;0,BL194,0),1)</f>
        <v>0.6278538461538461</v>
      </c>
      <c r="BN194" s="1">
        <f t="shared" si="75"/>
        <v>6.0612213609467294E-3</v>
      </c>
      <c r="BO194" s="1">
        <f t="shared" ref="BO194:BO257" si="98">(AV194-AVERAGE($AV$2:$AV$638))^2</f>
        <v>2.0266106256661608E-2</v>
      </c>
    </row>
    <row r="195" spans="1:67" x14ac:dyDescent="0.25">
      <c r="A195" s="3"/>
      <c r="B195" s="3"/>
      <c r="C195">
        <v>28</v>
      </c>
      <c r="D195" s="5">
        <v>1</v>
      </c>
      <c r="E195" s="9">
        <f t="shared" si="77"/>
        <v>25</v>
      </c>
      <c r="F195" s="9">
        <f t="shared" si="78"/>
        <v>6.6666666666666666E-2</v>
      </c>
      <c r="G195">
        <v>0</v>
      </c>
      <c r="H195">
        <v>70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25</v>
      </c>
      <c r="P195">
        <v>0</v>
      </c>
      <c r="Q195">
        <v>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26</v>
      </c>
      <c r="AK195" t="s">
        <v>1</v>
      </c>
      <c r="AL195" t="s">
        <v>372</v>
      </c>
      <c r="AQ195" s="1">
        <f t="shared" ref="AQ195:AQ258" si="99">SUM(G195:AI195)</f>
        <v>100</v>
      </c>
      <c r="AR195" s="1">
        <f t="shared" si="79"/>
        <v>0.25</v>
      </c>
      <c r="AS195" s="1">
        <f t="shared" si="80"/>
        <v>0</v>
      </c>
      <c r="AT195" s="1">
        <f t="shared" si="81"/>
        <v>0.7</v>
      </c>
      <c r="AU195" s="1">
        <f t="shared" si="82"/>
        <v>0.05</v>
      </c>
      <c r="AV195" s="1">
        <f t="shared" si="83"/>
        <v>0.26</v>
      </c>
      <c r="AX195" s="1">
        <f t="shared" si="84"/>
        <v>7.1428571428571438E-2</v>
      </c>
      <c r="AY195" s="1">
        <f t="shared" si="85"/>
        <v>0.35714285714285715</v>
      </c>
      <c r="AZ195" s="1">
        <f t="shared" si="86"/>
        <v>0.5044642857142857</v>
      </c>
      <c r="BA195" s="1">
        <f t="shared" si="87"/>
        <v>0.5178571428571429</v>
      </c>
      <c r="BB195" s="1">
        <f t="shared" si="88"/>
        <v>0.35714285714285715</v>
      </c>
      <c r="BC195" s="1">
        <f t="shared" si="89"/>
        <v>0.35714285714285715</v>
      </c>
      <c r="BD195" s="1">
        <f t="shared" si="90"/>
        <v>9.7142857142857142E-2</v>
      </c>
      <c r="BF195">
        <f t="shared" si="91"/>
        <v>70</v>
      </c>
      <c r="BG195">
        <f t="shared" si="76"/>
        <v>25</v>
      </c>
      <c r="BH195" s="1">
        <f t="shared" si="92"/>
        <v>7.1428571428571425E-2</v>
      </c>
      <c r="BI195" s="1">
        <f t="shared" si="93"/>
        <v>0.35714285714285715</v>
      </c>
      <c r="BJ195" s="1">
        <f t="shared" si="94"/>
        <v>0.5913571428571428</v>
      </c>
      <c r="BK195" s="1">
        <f t="shared" si="95"/>
        <v>0.13185714285714287</v>
      </c>
      <c r="BL195" s="1">
        <f t="shared" si="96"/>
        <v>0.35714285714285715</v>
      </c>
      <c r="BM195" s="1">
        <f t="shared" si="97"/>
        <v>0.35714285714285715</v>
      </c>
      <c r="BN195" s="1">
        <f t="shared" ref="BN195:BN258" si="100">(BM195-AV195)^2</f>
        <v>9.4367346938775513E-3</v>
      </c>
      <c r="BO195" s="1">
        <f t="shared" si="98"/>
        <v>2.1797842712240601E-2</v>
      </c>
    </row>
    <row r="196" spans="1:67" x14ac:dyDescent="0.25">
      <c r="A196" s="3"/>
      <c r="B196" s="3"/>
      <c r="C196">
        <v>29</v>
      </c>
      <c r="D196" s="5">
        <v>1</v>
      </c>
      <c r="E196" s="9">
        <f t="shared" si="77"/>
        <v>25</v>
      </c>
      <c r="F196" s="9">
        <f t="shared" si="78"/>
        <v>0.2</v>
      </c>
      <c r="G196">
        <v>0</v>
      </c>
      <c r="H196">
        <v>60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25</v>
      </c>
      <c r="P196">
        <v>0</v>
      </c>
      <c r="Q196">
        <v>15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32</v>
      </c>
      <c r="AK196" t="s">
        <v>1</v>
      </c>
      <c r="AL196" t="s">
        <v>372</v>
      </c>
      <c r="AQ196" s="1">
        <f t="shared" si="99"/>
        <v>100</v>
      </c>
      <c r="AR196" s="1">
        <f t="shared" si="79"/>
        <v>0.25</v>
      </c>
      <c r="AS196" s="1">
        <f t="shared" si="80"/>
        <v>0</v>
      </c>
      <c r="AT196" s="1">
        <f t="shared" si="81"/>
        <v>0.6</v>
      </c>
      <c r="AU196" s="1">
        <f t="shared" si="82"/>
        <v>0.15</v>
      </c>
      <c r="AV196" s="1">
        <f t="shared" si="83"/>
        <v>0.32</v>
      </c>
      <c r="AX196" s="1">
        <f t="shared" si="84"/>
        <v>0.25</v>
      </c>
      <c r="AY196" s="1">
        <f t="shared" si="85"/>
        <v>0.41666666666666669</v>
      </c>
      <c r="AZ196" s="1">
        <f t="shared" si="86"/>
        <v>0.515625</v>
      </c>
      <c r="BA196" s="1">
        <f t="shared" si="87"/>
        <v>0.5625</v>
      </c>
      <c r="BB196" s="1">
        <f t="shared" si="88"/>
        <v>0.41666666666666669</v>
      </c>
      <c r="BC196" s="1">
        <f t="shared" si="89"/>
        <v>0.41666666666666669</v>
      </c>
      <c r="BD196" s="1">
        <f t="shared" si="90"/>
        <v>9.6666666666666679E-2</v>
      </c>
      <c r="BF196">
        <f t="shared" si="91"/>
        <v>60</v>
      </c>
      <c r="BG196">
        <f t="shared" si="76"/>
        <v>25</v>
      </c>
      <c r="BH196" s="1">
        <f t="shared" si="92"/>
        <v>0.25</v>
      </c>
      <c r="BI196" s="1">
        <f t="shared" si="93"/>
        <v>0.41666666666666669</v>
      </c>
      <c r="BJ196" s="1">
        <f t="shared" si="94"/>
        <v>0.59475</v>
      </c>
      <c r="BK196" s="1">
        <f t="shared" si="95"/>
        <v>0.2215</v>
      </c>
      <c r="BL196" s="1">
        <f t="shared" si="96"/>
        <v>0.41666666666666669</v>
      </c>
      <c r="BM196" s="1">
        <f t="shared" si="97"/>
        <v>0.41666666666666669</v>
      </c>
      <c r="BN196" s="1">
        <f t="shared" si="100"/>
        <v>9.3444444444444469E-3</v>
      </c>
      <c r="BO196" s="1">
        <f t="shared" si="98"/>
        <v>7.680931721431152E-3</v>
      </c>
    </row>
    <row r="197" spans="1:67" x14ac:dyDescent="0.25">
      <c r="A197" s="3"/>
      <c r="B197" s="3"/>
      <c r="C197">
        <v>30</v>
      </c>
      <c r="D197" s="5">
        <v>1</v>
      </c>
      <c r="E197" s="9">
        <f t="shared" si="77"/>
        <v>25</v>
      </c>
      <c r="F197" s="9">
        <f t="shared" si="78"/>
        <v>0.33333333333333331</v>
      </c>
      <c r="G197">
        <v>0</v>
      </c>
      <c r="H197">
        <v>50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25</v>
      </c>
      <c r="P197">
        <v>0</v>
      </c>
      <c r="Q197">
        <v>25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38</v>
      </c>
      <c r="AK197" t="s">
        <v>1</v>
      </c>
      <c r="AL197" t="s">
        <v>372</v>
      </c>
      <c r="AQ197" s="1">
        <f t="shared" si="99"/>
        <v>100</v>
      </c>
      <c r="AR197" s="1">
        <f t="shared" si="79"/>
        <v>0.25</v>
      </c>
      <c r="AS197" s="1">
        <f t="shared" si="80"/>
        <v>0</v>
      </c>
      <c r="AT197" s="1">
        <f t="shared" si="81"/>
        <v>0.5</v>
      </c>
      <c r="AU197" s="1">
        <f t="shared" si="82"/>
        <v>0.25</v>
      </c>
      <c r="AV197" s="1">
        <f t="shared" si="83"/>
        <v>0.38</v>
      </c>
      <c r="AX197" s="1">
        <f t="shared" si="84"/>
        <v>0.5</v>
      </c>
      <c r="AY197" s="1">
        <f t="shared" si="85"/>
        <v>0.5</v>
      </c>
      <c r="AZ197" s="1">
        <f t="shared" si="86"/>
        <v>0.53125</v>
      </c>
      <c r="BA197" s="1">
        <f t="shared" si="87"/>
        <v>0.625</v>
      </c>
      <c r="BB197" s="1">
        <f t="shared" si="88"/>
        <v>0.5</v>
      </c>
      <c r="BC197" s="1">
        <f t="shared" si="89"/>
        <v>0.5</v>
      </c>
      <c r="BD197" s="1">
        <f t="shared" si="90"/>
        <v>0.12</v>
      </c>
      <c r="BF197">
        <f t="shared" si="91"/>
        <v>50</v>
      </c>
      <c r="BG197">
        <f t="shared" ref="BG197:BG260" si="101">O197+$BR$17*M197+$BR$18*L197+$BR$19*X197+$BR$20*AD197+$BR$21*I197+$BR$22*N197+$BR$23*AB197+$BR$24*V197+$BR$25*T197+$BR$26*AA197+$BR$28*Z197+$BR$29*AF197+$BR$30*W197+$BR$27*AI197</f>
        <v>25</v>
      </c>
      <c r="BH197" s="1">
        <f t="shared" si="92"/>
        <v>0.5</v>
      </c>
      <c r="BI197" s="1">
        <f t="shared" si="93"/>
        <v>0.5</v>
      </c>
      <c r="BJ197" s="1">
        <f t="shared" si="94"/>
        <v>0.59949999999999992</v>
      </c>
      <c r="BK197" s="1">
        <f t="shared" si="95"/>
        <v>0.34699999999999998</v>
      </c>
      <c r="BL197" s="1">
        <f t="shared" si="96"/>
        <v>0.5</v>
      </c>
      <c r="BM197" s="1">
        <f t="shared" si="97"/>
        <v>0.5</v>
      </c>
      <c r="BN197" s="1">
        <f t="shared" si="100"/>
        <v>1.44E-2</v>
      </c>
      <c r="BO197" s="1">
        <f t="shared" si="98"/>
        <v>7.6402073062170313E-4</v>
      </c>
    </row>
    <row r="198" spans="1:67" x14ac:dyDescent="0.25">
      <c r="A198" s="3"/>
      <c r="B198" s="3"/>
      <c r="C198">
        <v>31</v>
      </c>
      <c r="D198" s="5">
        <v>1</v>
      </c>
      <c r="E198" s="9">
        <f t="shared" si="77"/>
        <v>25</v>
      </c>
      <c r="F198" s="9">
        <f t="shared" si="78"/>
        <v>0.46666666666666667</v>
      </c>
      <c r="G198">
        <v>0</v>
      </c>
      <c r="H198">
        <v>40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25</v>
      </c>
      <c r="P198">
        <v>0</v>
      </c>
      <c r="Q198">
        <v>35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45</v>
      </c>
      <c r="AK198" t="s">
        <v>1</v>
      </c>
      <c r="AL198" t="s">
        <v>372</v>
      </c>
      <c r="AQ198" s="1">
        <f t="shared" si="99"/>
        <v>100</v>
      </c>
      <c r="AR198" s="1">
        <f t="shared" si="79"/>
        <v>0.25</v>
      </c>
      <c r="AS198" s="1">
        <f t="shared" si="80"/>
        <v>0</v>
      </c>
      <c r="AT198" s="1">
        <f t="shared" si="81"/>
        <v>0.4</v>
      </c>
      <c r="AU198" s="1">
        <f t="shared" si="82"/>
        <v>0.35</v>
      </c>
      <c r="AV198" s="1">
        <f t="shared" si="83"/>
        <v>0.45</v>
      </c>
      <c r="AX198" s="1">
        <f t="shared" si="84"/>
        <v>0.87499999999999989</v>
      </c>
      <c r="AY198" s="1">
        <f t="shared" si="85"/>
        <v>0.625</v>
      </c>
      <c r="AZ198" s="1">
        <f t="shared" si="86"/>
        <v>0.5546875</v>
      </c>
      <c r="BA198" s="1">
        <f t="shared" si="87"/>
        <v>0.71875</v>
      </c>
      <c r="BB198" s="1">
        <f t="shared" si="88"/>
        <v>0.5546875</v>
      </c>
      <c r="BC198" s="1">
        <f t="shared" si="89"/>
        <v>0.5546875</v>
      </c>
      <c r="BD198" s="1">
        <f t="shared" si="90"/>
        <v>0.10468749999999999</v>
      </c>
      <c r="BF198">
        <f t="shared" si="91"/>
        <v>40</v>
      </c>
      <c r="BG198">
        <f t="shared" si="101"/>
        <v>25</v>
      </c>
      <c r="BH198" s="1">
        <f t="shared" si="92"/>
        <v>0.875</v>
      </c>
      <c r="BI198" s="1">
        <f t="shared" si="93"/>
        <v>0.625</v>
      </c>
      <c r="BJ198" s="1">
        <f t="shared" si="94"/>
        <v>0.60662499999999997</v>
      </c>
      <c r="BK198" s="1">
        <f t="shared" si="95"/>
        <v>0.53525</v>
      </c>
      <c r="BL198" s="1">
        <f t="shared" si="96"/>
        <v>0.58353713768115945</v>
      </c>
      <c r="BM198" s="1">
        <f t="shared" si="97"/>
        <v>0.58353713768115945</v>
      </c>
      <c r="BN198" s="1">
        <f t="shared" si="100"/>
        <v>1.7832167140076932E-2</v>
      </c>
      <c r="BO198" s="1">
        <f t="shared" si="98"/>
        <v>1.7942912413440124E-3</v>
      </c>
    </row>
    <row r="199" spans="1:67" x14ac:dyDescent="0.25">
      <c r="A199" s="3"/>
      <c r="B199" s="3"/>
      <c r="C199">
        <v>32</v>
      </c>
      <c r="D199" s="5">
        <v>1</v>
      </c>
      <c r="E199" s="9">
        <f t="shared" si="77"/>
        <v>25</v>
      </c>
      <c r="F199" s="9">
        <f t="shared" si="78"/>
        <v>0.53333333333333333</v>
      </c>
      <c r="G199">
        <v>0</v>
      </c>
      <c r="H199">
        <v>35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25</v>
      </c>
      <c r="P199">
        <v>0</v>
      </c>
      <c r="Q199">
        <v>40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45</v>
      </c>
      <c r="AK199" t="s">
        <v>1</v>
      </c>
      <c r="AL199" t="s">
        <v>372</v>
      </c>
      <c r="AQ199" s="1">
        <f t="shared" si="99"/>
        <v>100</v>
      </c>
      <c r="AR199" s="1">
        <f t="shared" si="79"/>
        <v>0.25</v>
      </c>
      <c r="AS199" s="1">
        <f t="shared" si="80"/>
        <v>0</v>
      </c>
      <c r="AT199" s="1">
        <f t="shared" si="81"/>
        <v>0.35</v>
      </c>
      <c r="AU199" s="1">
        <f t="shared" si="82"/>
        <v>0.4</v>
      </c>
      <c r="AV199" s="1">
        <f t="shared" si="83"/>
        <v>0.45</v>
      </c>
      <c r="AX199" s="1">
        <f t="shared" si="84"/>
        <v>1.142857142857143</v>
      </c>
      <c r="AY199" s="1">
        <f t="shared" si="85"/>
        <v>0.7142857142857143</v>
      </c>
      <c r="AZ199" s="1">
        <f t="shared" si="86"/>
        <v>0.5714285714285714</v>
      </c>
      <c r="BA199" s="1">
        <f t="shared" si="87"/>
        <v>0.78571428571428581</v>
      </c>
      <c r="BB199" s="1">
        <f t="shared" si="88"/>
        <v>0.5714285714285714</v>
      </c>
      <c r="BC199" s="1">
        <f t="shared" si="89"/>
        <v>0.5714285714285714</v>
      </c>
      <c r="BD199" s="1">
        <f t="shared" si="90"/>
        <v>0.12142857142857139</v>
      </c>
      <c r="BF199">
        <f t="shared" si="91"/>
        <v>35</v>
      </c>
      <c r="BG199">
        <f t="shared" si="101"/>
        <v>25</v>
      </c>
      <c r="BH199" s="1">
        <f t="shared" si="92"/>
        <v>1.1428571428571428</v>
      </c>
      <c r="BI199" s="1">
        <f t="shared" si="93"/>
        <v>0.7142857142857143</v>
      </c>
      <c r="BJ199" s="1">
        <f t="shared" si="94"/>
        <v>0.61171428571428565</v>
      </c>
      <c r="BK199" s="1">
        <f t="shared" si="95"/>
        <v>0.66971428571428571</v>
      </c>
      <c r="BL199" s="1">
        <f t="shared" si="96"/>
        <v>0.60090909090909084</v>
      </c>
      <c r="BM199" s="1">
        <f t="shared" si="97"/>
        <v>0.60090909090909084</v>
      </c>
      <c r="BN199" s="1">
        <f t="shared" si="100"/>
        <v>2.277355371900824E-2</v>
      </c>
      <c r="BO199" s="1">
        <f t="shared" si="98"/>
        <v>1.7942912413440124E-3</v>
      </c>
    </row>
    <row r="200" spans="1:67" x14ac:dyDescent="0.25">
      <c r="A200" s="3"/>
      <c r="B200" s="3"/>
      <c r="C200">
        <v>33</v>
      </c>
      <c r="D200" s="5">
        <v>1</v>
      </c>
      <c r="E200" s="9">
        <f t="shared" si="77"/>
        <v>25</v>
      </c>
      <c r="F200" s="9">
        <f t="shared" si="78"/>
        <v>0.66666666666666663</v>
      </c>
      <c r="G200">
        <v>0</v>
      </c>
      <c r="H200">
        <v>25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25</v>
      </c>
      <c r="P200">
        <v>0</v>
      </c>
      <c r="Q200">
        <v>50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70</v>
      </c>
      <c r="AK200" t="s">
        <v>1</v>
      </c>
      <c r="AL200" t="s">
        <v>372</v>
      </c>
      <c r="AQ200" s="1">
        <f t="shared" si="99"/>
        <v>100</v>
      </c>
      <c r="AR200" s="1">
        <f t="shared" si="79"/>
        <v>0.25</v>
      </c>
      <c r="AS200" s="1">
        <f t="shared" si="80"/>
        <v>0</v>
      </c>
      <c r="AT200" s="1">
        <f t="shared" si="81"/>
        <v>0.25</v>
      </c>
      <c r="AU200" s="1">
        <f t="shared" si="82"/>
        <v>0.5</v>
      </c>
      <c r="AV200" s="1">
        <f t="shared" si="83"/>
        <v>0.7</v>
      </c>
      <c r="AX200" s="1">
        <f t="shared" si="84"/>
        <v>2</v>
      </c>
      <c r="AY200" s="1">
        <f t="shared" si="85"/>
        <v>1</v>
      </c>
      <c r="AZ200" s="1">
        <f t="shared" si="86"/>
        <v>0.625</v>
      </c>
      <c r="BA200" s="1">
        <f t="shared" si="87"/>
        <v>1</v>
      </c>
      <c r="BB200" s="1">
        <f t="shared" si="88"/>
        <v>0.625</v>
      </c>
      <c r="BC200" s="1">
        <f t="shared" si="89"/>
        <v>0.625</v>
      </c>
      <c r="BD200" s="1">
        <f t="shared" si="90"/>
        <v>7.4999999999999956E-2</v>
      </c>
      <c r="BF200">
        <f t="shared" si="91"/>
        <v>25</v>
      </c>
      <c r="BG200">
        <f t="shared" si="101"/>
        <v>25</v>
      </c>
      <c r="BH200" s="1">
        <f t="shared" si="92"/>
        <v>2</v>
      </c>
      <c r="BI200" s="1">
        <f t="shared" si="93"/>
        <v>1</v>
      </c>
      <c r="BJ200" s="1">
        <f t="shared" si="94"/>
        <v>0.628</v>
      </c>
      <c r="BK200" s="1">
        <f t="shared" si="95"/>
        <v>1.1000000000000001</v>
      </c>
      <c r="BL200" s="1">
        <f t="shared" si="96"/>
        <v>0.628</v>
      </c>
      <c r="BM200" s="1">
        <f t="shared" si="97"/>
        <v>0.628</v>
      </c>
      <c r="BN200" s="1">
        <f t="shared" si="100"/>
        <v>5.1839999999999933E-3</v>
      </c>
      <c r="BO200" s="1">
        <f t="shared" si="98"/>
        <v>8.5473828779637939E-2</v>
      </c>
    </row>
    <row r="201" spans="1:67" x14ac:dyDescent="0.25">
      <c r="A201" s="3"/>
      <c r="B201" s="3"/>
      <c r="C201">
        <v>34</v>
      </c>
      <c r="D201" s="5">
        <v>1</v>
      </c>
      <c r="E201" s="9">
        <f t="shared" si="77"/>
        <v>25</v>
      </c>
      <c r="F201" s="9">
        <f t="shared" si="78"/>
        <v>0.66666666666666663</v>
      </c>
      <c r="G201">
        <v>0</v>
      </c>
      <c r="H201">
        <v>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25</v>
      </c>
      <c r="P201">
        <v>0</v>
      </c>
      <c r="Q201">
        <v>50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73</v>
      </c>
      <c r="AK201" t="s">
        <v>1</v>
      </c>
      <c r="AL201" t="s">
        <v>372</v>
      </c>
      <c r="AQ201" s="1">
        <f t="shared" si="99"/>
        <v>100</v>
      </c>
      <c r="AR201" s="1">
        <f t="shared" si="79"/>
        <v>0.25</v>
      </c>
      <c r="AS201" s="1">
        <f t="shared" si="80"/>
        <v>0</v>
      </c>
      <c r="AT201" s="1">
        <f t="shared" si="81"/>
        <v>0.25</v>
      </c>
      <c r="AU201" s="1">
        <f t="shared" si="82"/>
        <v>0.5</v>
      </c>
      <c r="AV201" s="1">
        <f t="shared" si="83"/>
        <v>0.73</v>
      </c>
      <c r="AX201" s="1">
        <f t="shared" si="84"/>
        <v>2</v>
      </c>
      <c r="AY201" s="1">
        <f t="shared" si="85"/>
        <v>1</v>
      </c>
      <c r="AZ201" s="1">
        <f t="shared" si="86"/>
        <v>0.625</v>
      </c>
      <c r="BA201" s="1">
        <f t="shared" si="87"/>
        <v>1</v>
      </c>
      <c r="BB201" s="1">
        <f t="shared" si="88"/>
        <v>0.625</v>
      </c>
      <c r="BC201" s="1">
        <f t="shared" si="89"/>
        <v>0.625</v>
      </c>
      <c r="BD201" s="1">
        <f t="shared" si="90"/>
        <v>0.10499999999999998</v>
      </c>
      <c r="BF201">
        <f t="shared" si="91"/>
        <v>25</v>
      </c>
      <c r="BG201">
        <f t="shared" si="101"/>
        <v>25</v>
      </c>
      <c r="BH201" s="1">
        <f t="shared" si="92"/>
        <v>2</v>
      </c>
      <c r="BI201" s="1">
        <f t="shared" si="93"/>
        <v>1</v>
      </c>
      <c r="BJ201" s="1">
        <f t="shared" si="94"/>
        <v>0.628</v>
      </c>
      <c r="BK201" s="1">
        <f t="shared" si="95"/>
        <v>1.1000000000000001</v>
      </c>
      <c r="BL201" s="1">
        <f t="shared" si="96"/>
        <v>0.628</v>
      </c>
      <c r="BM201" s="1">
        <f t="shared" si="97"/>
        <v>0.628</v>
      </c>
      <c r="BN201" s="1">
        <f t="shared" si="100"/>
        <v>1.0403999999999997E-2</v>
      </c>
      <c r="BO201" s="1">
        <f t="shared" si="98"/>
        <v>0.10391537328423324</v>
      </c>
    </row>
    <row r="202" spans="1:67" x14ac:dyDescent="0.25">
      <c r="A202" s="3"/>
      <c r="B202" s="3"/>
      <c r="C202">
        <v>35</v>
      </c>
      <c r="D202" s="5">
        <v>1</v>
      </c>
      <c r="E202" s="9">
        <f t="shared" si="77"/>
        <v>25</v>
      </c>
      <c r="F202" s="9">
        <f t="shared" si="78"/>
        <v>0.8</v>
      </c>
      <c r="G202">
        <v>0</v>
      </c>
      <c r="H202">
        <v>15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25</v>
      </c>
      <c r="P202">
        <v>0</v>
      </c>
      <c r="Q202">
        <v>60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50</v>
      </c>
      <c r="AK202" t="s">
        <v>1</v>
      </c>
      <c r="AL202" t="s">
        <v>372</v>
      </c>
      <c r="AQ202" s="1">
        <f t="shared" si="99"/>
        <v>100</v>
      </c>
      <c r="AR202" s="1">
        <f t="shared" si="79"/>
        <v>0.25</v>
      </c>
      <c r="AS202" s="1">
        <f t="shared" si="80"/>
        <v>0</v>
      </c>
      <c r="AT202" s="1">
        <f t="shared" si="81"/>
        <v>0.15</v>
      </c>
      <c r="AU202" s="1">
        <f t="shared" si="82"/>
        <v>0.6</v>
      </c>
      <c r="AV202" s="1">
        <f t="shared" si="83"/>
        <v>0.5</v>
      </c>
      <c r="AX202" s="1">
        <f t="shared" si="84"/>
        <v>4</v>
      </c>
      <c r="AY202" s="1">
        <f t="shared" si="85"/>
        <v>1.6666666666666667</v>
      </c>
      <c r="AZ202" s="1">
        <f t="shared" si="86"/>
        <v>0.75</v>
      </c>
      <c r="BA202" s="1">
        <f t="shared" si="87"/>
        <v>1.5</v>
      </c>
      <c r="BB202" s="1">
        <f t="shared" si="88"/>
        <v>0.72222222222222221</v>
      </c>
      <c r="BC202" s="1">
        <f t="shared" si="89"/>
        <v>0.72222222222222221</v>
      </c>
      <c r="BD202" s="1">
        <f t="shared" si="90"/>
        <v>0.22222222222222221</v>
      </c>
      <c r="BF202">
        <f t="shared" si="91"/>
        <v>15</v>
      </c>
      <c r="BG202">
        <f t="shared" si="101"/>
        <v>25</v>
      </c>
      <c r="BH202" s="1">
        <f t="shared" si="92"/>
        <v>4</v>
      </c>
      <c r="BI202" s="1">
        <f t="shared" si="93"/>
        <v>1.6666666666666667</v>
      </c>
      <c r="BJ202" s="1">
        <f t="shared" si="94"/>
        <v>0.66599999999999993</v>
      </c>
      <c r="BK202" s="1">
        <f t="shared" si="95"/>
        <v>2.1040000000000001</v>
      </c>
      <c r="BL202" s="1">
        <f t="shared" si="96"/>
        <v>0.66599999999999993</v>
      </c>
      <c r="BM202" s="1">
        <f t="shared" si="97"/>
        <v>0.66599999999999993</v>
      </c>
      <c r="BN202" s="1">
        <f t="shared" si="100"/>
        <v>2.7555999999999976E-2</v>
      </c>
      <c r="BO202" s="1">
        <f t="shared" si="98"/>
        <v>8.5301987490028035E-3</v>
      </c>
    </row>
    <row r="203" spans="1:67" x14ac:dyDescent="0.25">
      <c r="A203" s="3"/>
      <c r="B203" s="3"/>
      <c r="C203">
        <v>36</v>
      </c>
      <c r="D203" s="5">
        <v>1</v>
      </c>
      <c r="E203" s="9">
        <f t="shared" si="77"/>
        <v>26.6</v>
      </c>
      <c r="F203" s="9">
        <f t="shared" si="78"/>
        <v>0.90871934604904625</v>
      </c>
      <c r="G203">
        <v>0</v>
      </c>
      <c r="H203">
        <v>6.7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26.6</v>
      </c>
      <c r="P203">
        <v>0</v>
      </c>
      <c r="Q203">
        <v>66.7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68</v>
      </c>
      <c r="AK203" t="s">
        <v>1</v>
      </c>
      <c r="AL203" t="s">
        <v>372</v>
      </c>
      <c r="AQ203" s="1">
        <f t="shared" si="99"/>
        <v>100</v>
      </c>
      <c r="AR203" s="1">
        <f t="shared" si="79"/>
        <v>0.26600000000000001</v>
      </c>
      <c r="AS203" s="1">
        <f t="shared" si="80"/>
        <v>0</v>
      </c>
      <c r="AT203" s="1">
        <f t="shared" si="81"/>
        <v>6.7000000000000004E-2</v>
      </c>
      <c r="AU203" s="1">
        <f t="shared" si="82"/>
        <v>0.66700000000000004</v>
      </c>
      <c r="AV203" s="1">
        <f t="shared" si="83"/>
        <v>0.68</v>
      </c>
      <c r="AX203" s="1">
        <f t="shared" si="84"/>
        <v>9.9552238805970141</v>
      </c>
      <c r="AY203" s="1">
        <f t="shared" si="85"/>
        <v>3.9701492537313432</v>
      </c>
      <c r="AZ203" s="1">
        <f t="shared" si="86"/>
        <v>1.1222014925373134</v>
      </c>
      <c r="BA203" s="1">
        <f t="shared" si="87"/>
        <v>2.9888059701492535</v>
      </c>
      <c r="BB203" s="1">
        <f t="shared" si="88"/>
        <v>0.99938043863081583</v>
      </c>
      <c r="BC203" s="1">
        <f t="shared" si="89"/>
        <v>0.99938043863081583</v>
      </c>
      <c r="BD203" s="1">
        <f t="shared" si="90"/>
        <v>0.31938043863081578</v>
      </c>
      <c r="BF203">
        <f t="shared" si="91"/>
        <v>6.7</v>
      </c>
      <c r="BG203">
        <f t="shared" si="101"/>
        <v>26.6</v>
      </c>
      <c r="BH203" s="1">
        <f t="shared" si="92"/>
        <v>9.9552238805970159</v>
      </c>
      <c r="BI203" s="1">
        <f t="shared" si="93"/>
        <v>3.9701492537313432</v>
      </c>
      <c r="BJ203" s="1">
        <f t="shared" si="94"/>
        <v>0.77914925373134325</v>
      </c>
      <c r="BK203" s="1">
        <f t="shared" si="95"/>
        <v>5.0935223880597018</v>
      </c>
      <c r="BL203" s="1">
        <f t="shared" si="96"/>
        <v>0.77914925373134325</v>
      </c>
      <c r="BM203" s="1">
        <f t="shared" si="97"/>
        <v>0.77914925373134325</v>
      </c>
      <c r="BN203" s="1">
        <f t="shared" si="100"/>
        <v>9.8305745154822731E-3</v>
      </c>
      <c r="BO203" s="1">
        <f t="shared" si="98"/>
        <v>7.4179465776574485E-2</v>
      </c>
    </row>
    <row r="204" spans="1:67" x14ac:dyDescent="0.25">
      <c r="A204" s="3"/>
      <c r="B204" s="3"/>
      <c r="C204">
        <v>37</v>
      </c>
      <c r="D204" s="5">
        <v>1</v>
      </c>
      <c r="E204" s="9">
        <f t="shared" si="77"/>
        <v>29</v>
      </c>
      <c r="F204" s="9">
        <f t="shared" si="78"/>
        <v>9.154929577464789E-2</v>
      </c>
      <c r="G204">
        <v>0</v>
      </c>
      <c r="H204">
        <v>64.5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29</v>
      </c>
      <c r="P204">
        <v>0</v>
      </c>
      <c r="Q204">
        <v>6.5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33</v>
      </c>
      <c r="AK204" t="s">
        <v>1</v>
      </c>
      <c r="AL204" t="s">
        <v>372</v>
      </c>
      <c r="AQ204" s="1">
        <f t="shared" si="99"/>
        <v>100</v>
      </c>
      <c r="AR204" s="1">
        <f t="shared" si="79"/>
        <v>0.28999999999999998</v>
      </c>
      <c r="AS204" s="1">
        <f t="shared" si="80"/>
        <v>0</v>
      </c>
      <c r="AT204" s="1">
        <f t="shared" si="81"/>
        <v>0.64500000000000002</v>
      </c>
      <c r="AU204" s="1">
        <f t="shared" si="82"/>
        <v>6.5000000000000002E-2</v>
      </c>
      <c r="AV204" s="1">
        <f t="shared" si="83"/>
        <v>0.33</v>
      </c>
      <c r="AX204" s="1">
        <f t="shared" si="84"/>
        <v>0.10077519379844961</v>
      </c>
      <c r="AY204" s="1">
        <f t="shared" si="85"/>
        <v>0.44961240310077516</v>
      </c>
      <c r="AZ204" s="1">
        <f t="shared" si="86"/>
        <v>0.50629844961240311</v>
      </c>
      <c r="BA204" s="1">
        <f t="shared" si="87"/>
        <v>0.52519379844961245</v>
      </c>
      <c r="BB204" s="1">
        <f t="shared" si="88"/>
        <v>0.44961240310077516</v>
      </c>
      <c r="BC204" s="1">
        <f t="shared" si="89"/>
        <v>0.44961240310077516</v>
      </c>
      <c r="BD204" s="1">
        <f t="shared" si="90"/>
        <v>0.11961240310077514</v>
      </c>
      <c r="BF204">
        <f t="shared" si="91"/>
        <v>64.5</v>
      </c>
      <c r="BG204">
        <f t="shared" si="101"/>
        <v>29</v>
      </c>
      <c r="BH204" s="1">
        <f t="shared" si="92"/>
        <v>0.10077519379844961</v>
      </c>
      <c r="BI204" s="1">
        <f t="shared" si="93"/>
        <v>0.44961240310077522</v>
      </c>
      <c r="BJ204" s="1">
        <f t="shared" si="94"/>
        <v>0.59191472868217054</v>
      </c>
      <c r="BK204" s="1">
        <f t="shared" si="95"/>
        <v>0.14658914728682171</v>
      </c>
      <c r="BL204" s="1">
        <f t="shared" si="96"/>
        <v>0.44961240310077522</v>
      </c>
      <c r="BM204" s="1">
        <f t="shared" si="97"/>
        <v>0.44961240310077522</v>
      </c>
      <c r="BN204" s="1">
        <f t="shared" si="100"/>
        <v>1.4307126975542336E-2</v>
      </c>
      <c r="BO204" s="1">
        <f t="shared" si="98"/>
        <v>6.0281132229629093E-3</v>
      </c>
    </row>
    <row r="205" spans="1:67" x14ac:dyDescent="0.25">
      <c r="A205" s="3"/>
      <c r="B205" s="3"/>
      <c r="C205">
        <v>38</v>
      </c>
      <c r="D205" s="5">
        <v>1</v>
      </c>
      <c r="E205" s="9">
        <f t="shared" si="77"/>
        <v>30</v>
      </c>
      <c r="F205" s="9">
        <f t="shared" si="78"/>
        <v>0.14285714285714285</v>
      </c>
      <c r="G205">
        <v>0</v>
      </c>
      <c r="H205">
        <v>60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30</v>
      </c>
      <c r="P205">
        <v>0</v>
      </c>
      <c r="Q205">
        <v>10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27</v>
      </c>
      <c r="AK205" t="s">
        <v>1</v>
      </c>
      <c r="AL205" t="s">
        <v>372</v>
      </c>
      <c r="AQ205" s="1">
        <f t="shared" si="99"/>
        <v>100</v>
      </c>
      <c r="AR205" s="1">
        <f t="shared" si="79"/>
        <v>0.3</v>
      </c>
      <c r="AS205" s="1">
        <f t="shared" si="80"/>
        <v>0</v>
      </c>
      <c r="AT205" s="1">
        <f t="shared" si="81"/>
        <v>0.6</v>
      </c>
      <c r="AU205" s="1">
        <f t="shared" si="82"/>
        <v>0.1</v>
      </c>
      <c r="AV205" s="1">
        <f t="shared" si="83"/>
        <v>0.27</v>
      </c>
      <c r="AX205" s="1">
        <f t="shared" si="84"/>
        <v>0.16666666666666669</v>
      </c>
      <c r="AY205" s="1">
        <f t="shared" si="85"/>
        <v>0.5</v>
      </c>
      <c r="AZ205" s="1">
        <f t="shared" si="86"/>
        <v>0.51041666666666663</v>
      </c>
      <c r="BA205" s="1">
        <f t="shared" si="87"/>
        <v>0.54166666666666663</v>
      </c>
      <c r="BB205" s="1">
        <f t="shared" si="88"/>
        <v>0.5</v>
      </c>
      <c r="BC205" s="1">
        <f t="shared" si="89"/>
        <v>0.5</v>
      </c>
      <c r="BD205" s="1">
        <f t="shared" si="90"/>
        <v>0.22999999999999998</v>
      </c>
      <c r="BF205">
        <f t="shared" si="91"/>
        <v>60</v>
      </c>
      <c r="BG205">
        <f t="shared" si="101"/>
        <v>30</v>
      </c>
      <c r="BH205" s="1">
        <f t="shared" si="92"/>
        <v>0.16666666666666666</v>
      </c>
      <c r="BI205" s="1">
        <f t="shared" si="93"/>
        <v>0.5</v>
      </c>
      <c r="BJ205" s="1">
        <f t="shared" si="94"/>
        <v>0.59316666666666662</v>
      </c>
      <c r="BK205" s="1">
        <f t="shared" si="95"/>
        <v>0.17966666666666667</v>
      </c>
      <c r="BL205" s="1">
        <f t="shared" si="96"/>
        <v>0.5</v>
      </c>
      <c r="BM205" s="1">
        <f t="shared" si="97"/>
        <v>0.5</v>
      </c>
      <c r="BN205" s="1">
        <f t="shared" si="100"/>
        <v>5.2899999999999989E-2</v>
      </c>
      <c r="BO205" s="1">
        <f t="shared" si="98"/>
        <v>1.8945024213772359E-2</v>
      </c>
    </row>
    <row r="206" spans="1:67" x14ac:dyDescent="0.25">
      <c r="A206" s="3"/>
      <c r="B206" s="3"/>
      <c r="C206">
        <v>39</v>
      </c>
      <c r="D206" s="5">
        <v>1</v>
      </c>
      <c r="E206" s="9">
        <f t="shared" si="77"/>
        <v>30</v>
      </c>
      <c r="F206" s="9">
        <f t="shared" si="78"/>
        <v>0.2857142857142857</v>
      </c>
      <c r="G206">
        <v>0</v>
      </c>
      <c r="H206">
        <v>50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30</v>
      </c>
      <c r="P206">
        <v>0</v>
      </c>
      <c r="Q206">
        <v>20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35</v>
      </c>
      <c r="AK206" t="s">
        <v>1</v>
      </c>
      <c r="AL206" t="s">
        <v>372</v>
      </c>
      <c r="AQ206" s="1">
        <f t="shared" si="99"/>
        <v>100</v>
      </c>
      <c r="AR206" s="1">
        <f t="shared" si="79"/>
        <v>0.3</v>
      </c>
      <c r="AS206" s="1">
        <f t="shared" si="80"/>
        <v>0</v>
      </c>
      <c r="AT206" s="1">
        <f t="shared" si="81"/>
        <v>0.5</v>
      </c>
      <c r="AU206" s="1">
        <f t="shared" si="82"/>
        <v>0.2</v>
      </c>
      <c r="AV206" s="1">
        <f t="shared" si="83"/>
        <v>0.35</v>
      </c>
      <c r="AX206" s="1">
        <f t="shared" si="84"/>
        <v>0.4</v>
      </c>
      <c r="AY206" s="1">
        <f t="shared" si="85"/>
        <v>0.6</v>
      </c>
      <c r="AZ206" s="1">
        <f t="shared" si="86"/>
        <v>0.52500000000000002</v>
      </c>
      <c r="BA206" s="1">
        <f t="shared" si="87"/>
        <v>0.6</v>
      </c>
      <c r="BB206" s="1">
        <f t="shared" si="88"/>
        <v>0.52500000000000002</v>
      </c>
      <c r="BC206" s="1">
        <f t="shared" si="89"/>
        <v>0.52500000000000002</v>
      </c>
      <c r="BD206" s="1">
        <f t="shared" si="90"/>
        <v>0.17500000000000004</v>
      </c>
      <c r="BF206">
        <f t="shared" si="91"/>
        <v>50</v>
      </c>
      <c r="BG206">
        <f t="shared" si="101"/>
        <v>30</v>
      </c>
      <c r="BH206" s="1">
        <f t="shared" si="92"/>
        <v>0.4</v>
      </c>
      <c r="BI206" s="1">
        <f t="shared" si="93"/>
        <v>0.6</v>
      </c>
      <c r="BJ206" s="1">
        <f t="shared" si="94"/>
        <v>0.59760000000000002</v>
      </c>
      <c r="BK206" s="1">
        <f t="shared" si="95"/>
        <v>0.29680000000000001</v>
      </c>
      <c r="BL206" s="1">
        <f t="shared" si="96"/>
        <v>0.50916666666666666</v>
      </c>
      <c r="BM206" s="1">
        <f t="shared" si="97"/>
        <v>0.50916666666666666</v>
      </c>
      <c r="BN206" s="1">
        <f t="shared" si="100"/>
        <v>2.5334027777777782E-2</v>
      </c>
      <c r="BO206" s="1">
        <f t="shared" si="98"/>
        <v>3.3224762260264311E-3</v>
      </c>
    </row>
    <row r="207" spans="1:67" x14ac:dyDescent="0.25">
      <c r="A207" s="3"/>
      <c r="B207" s="3"/>
      <c r="C207">
        <v>40</v>
      </c>
      <c r="D207" s="5">
        <v>1</v>
      </c>
      <c r="E207" s="9">
        <f t="shared" si="77"/>
        <v>30</v>
      </c>
      <c r="F207" s="9">
        <f t="shared" si="78"/>
        <v>0.42857142857142855</v>
      </c>
      <c r="G207">
        <v>0</v>
      </c>
      <c r="H207">
        <v>40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30</v>
      </c>
      <c r="P207">
        <v>0</v>
      </c>
      <c r="Q207">
        <v>30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43</v>
      </c>
      <c r="AK207" t="s">
        <v>1</v>
      </c>
      <c r="AL207" t="s">
        <v>372</v>
      </c>
      <c r="AQ207" s="1">
        <f t="shared" si="99"/>
        <v>100</v>
      </c>
      <c r="AR207" s="1">
        <f t="shared" si="79"/>
        <v>0.3</v>
      </c>
      <c r="AS207" s="1">
        <f t="shared" si="80"/>
        <v>0</v>
      </c>
      <c r="AT207" s="1">
        <f t="shared" si="81"/>
        <v>0.4</v>
      </c>
      <c r="AU207" s="1">
        <f t="shared" si="82"/>
        <v>0.3</v>
      </c>
      <c r="AV207" s="1">
        <f t="shared" si="83"/>
        <v>0.43</v>
      </c>
      <c r="AX207" s="1">
        <f t="shared" si="84"/>
        <v>0.74999999999999989</v>
      </c>
      <c r="AY207" s="1">
        <f t="shared" si="85"/>
        <v>0.74999999999999989</v>
      </c>
      <c r="AZ207" s="1">
        <f t="shared" si="86"/>
        <v>0.546875</v>
      </c>
      <c r="BA207" s="1">
        <f t="shared" si="87"/>
        <v>0.6875</v>
      </c>
      <c r="BB207" s="1">
        <f t="shared" si="88"/>
        <v>0.53030303030303028</v>
      </c>
      <c r="BC207" s="1">
        <f t="shared" si="89"/>
        <v>0.53030303030303028</v>
      </c>
      <c r="BD207" s="1">
        <f t="shared" si="90"/>
        <v>0.10030303030303028</v>
      </c>
      <c r="BF207">
        <f t="shared" si="91"/>
        <v>40</v>
      </c>
      <c r="BG207">
        <f t="shared" si="101"/>
        <v>30</v>
      </c>
      <c r="BH207" s="1">
        <f t="shared" si="92"/>
        <v>0.75</v>
      </c>
      <c r="BI207" s="1">
        <f t="shared" si="93"/>
        <v>0.75</v>
      </c>
      <c r="BJ207" s="1">
        <f t="shared" si="94"/>
        <v>0.60424999999999995</v>
      </c>
      <c r="BK207" s="1">
        <f t="shared" si="95"/>
        <v>0.47250000000000003</v>
      </c>
      <c r="BL207" s="1">
        <f t="shared" si="96"/>
        <v>0.53067045454545447</v>
      </c>
      <c r="BM207" s="1">
        <f t="shared" si="97"/>
        <v>0.53067045454545447</v>
      </c>
      <c r="BN207" s="1">
        <f t="shared" si="100"/>
        <v>1.0134540418388417E-2</v>
      </c>
      <c r="BO207" s="1">
        <f t="shared" si="98"/>
        <v>4.9992823828049458E-4</v>
      </c>
    </row>
    <row r="208" spans="1:67" x14ac:dyDescent="0.25">
      <c r="A208" s="3"/>
      <c r="B208" s="3"/>
      <c r="C208">
        <v>41</v>
      </c>
      <c r="D208" s="5">
        <v>1</v>
      </c>
      <c r="E208" s="9">
        <f t="shared" si="77"/>
        <v>30</v>
      </c>
      <c r="F208" s="9">
        <f t="shared" si="78"/>
        <v>0.5714285714285714</v>
      </c>
      <c r="G208">
        <v>0</v>
      </c>
      <c r="H208">
        <v>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30</v>
      </c>
      <c r="P208">
        <v>0</v>
      </c>
      <c r="Q208">
        <v>40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44</v>
      </c>
      <c r="AK208" t="s">
        <v>1</v>
      </c>
      <c r="AL208" t="s">
        <v>372</v>
      </c>
      <c r="AQ208" s="1">
        <f t="shared" si="99"/>
        <v>100</v>
      </c>
      <c r="AR208" s="1">
        <f t="shared" si="79"/>
        <v>0.3</v>
      </c>
      <c r="AS208" s="1">
        <f t="shared" si="80"/>
        <v>0</v>
      </c>
      <c r="AT208" s="1">
        <f t="shared" si="81"/>
        <v>0.3</v>
      </c>
      <c r="AU208" s="1">
        <f t="shared" si="82"/>
        <v>0.4</v>
      </c>
      <c r="AV208" s="1">
        <f t="shared" si="83"/>
        <v>0.44</v>
      </c>
      <c r="AX208" s="1">
        <f t="shared" si="84"/>
        <v>1.3333333333333335</v>
      </c>
      <c r="AY208" s="1">
        <f t="shared" si="85"/>
        <v>1</v>
      </c>
      <c r="AZ208" s="1">
        <f t="shared" si="86"/>
        <v>0.58333333333333337</v>
      </c>
      <c r="BA208" s="1">
        <f t="shared" si="87"/>
        <v>0.83333333333333337</v>
      </c>
      <c r="BB208" s="1">
        <f t="shared" si="88"/>
        <v>0.54444444444444451</v>
      </c>
      <c r="BC208" s="1">
        <f t="shared" si="89"/>
        <v>0.54444444444444451</v>
      </c>
      <c r="BD208" s="1">
        <f t="shared" si="90"/>
        <v>0.10444444444444451</v>
      </c>
      <c r="BF208">
        <f t="shared" si="91"/>
        <v>30</v>
      </c>
      <c r="BG208">
        <f t="shared" si="101"/>
        <v>30</v>
      </c>
      <c r="BH208" s="1">
        <f t="shared" si="92"/>
        <v>1.3333333333333333</v>
      </c>
      <c r="BI208" s="1">
        <f t="shared" si="93"/>
        <v>1</v>
      </c>
      <c r="BJ208" s="1">
        <f t="shared" si="94"/>
        <v>0.61533333333333329</v>
      </c>
      <c r="BK208" s="1">
        <f t="shared" si="95"/>
        <v>0.76533333333333331</v>
      </c>
      <c r="BL208" s="1">
        <f t="shared" si="96"/>
        <v>0.56057777777777773</v>
      </c>
      <c r="BM208" s="1">
        <f t="shared" si="97"/>
        <v>0.56057777777777773</v>
      </c>
      <c r="BN208" s="1">
        <f t="shared" si="100"/>
        <v>1.4539000493827149E-2</v>
      </c>
      <c r="BO208" s="1">
        <f t="shared" si="98"/>
        <v>1.0471097398122534E-3</v>
      </c>
    </row>
    <row r="209" spans="1:67" x14ac:dyDescent="0.25">
      <c r="A209" s="3"/>
      <c r="B209" s="3"/>
      <c r="C209">
        <v>42</v>
      </c>
      <c r="D209" s="5">
        <v>1</v>
      </c>
      <c r="E209" s="9">
        <f t="shared" si="77"/>
        <v>30</v>
      </c>
      <c r="F209" s="9">
        <f t="shared" si="78"/>
        <v>0.5714285714285714</v>
      </c>
      <c r="G209">
        <v>0</v>
      </c>
      <c r="H209">
        <v>30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30</v>
      </c>
      <c r="P209">
        <v>0</v>
      </c>
      <c r="Q209">
        <v>40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62</v>
      </c>
      <c r="AK209" t="s">
        <v>1</v>
      </c>
      <c r="AL209" t="s">
        <v>372</v>
      </c>
      <c r="AQ209" s="1">
        <f t="shared" si="99"/>
        <v>100</v>
      </c>
      <c r="AR209" s="1">
        <f t="shared" si="79"/>
        <v>0.3</v>
      </c>
      <c r="AS209" s="1">
        <f t="shared" si="80"/>
        <v>0</v>
      </c>
      <c r="AT209" s="1">
        <f t="shared" si="81"/>
        <v>0.3</v>
      </c>
      <c r="AU209" s="1">
        <f t="shared" si="82"/>
        <v>0.4</v>
      </c>
      <c r="AV209" s="1">
        <f t="shared" si="83"/>
        <v>0.62</v>
      </c>
      <c r="AX209" s="1">
        <f t="shared" si="84"/>
        <v>1.3333333333333335</v>
      </c>
      <c r="AY209" s="1">
        <f t="shared" si="85"/>
        <v>1</v>
      </c>
      <c r="AZ209" s="1">
        <f t="shared" si="86"/>
        <v>0.58333333333333337</v>
      </c>
      <c r="BA209" s="1">
        <f t="shared" si="87"/>
        <v>0.83333333333333337</v>
      </c>
      <c r="BB209" s="1">
        <f t="shared" si="88"/>
        <v>0.54444444444444451</v>
      </c>
      <c r="BC209" s="1">
        <f t="shared" si="89"/>
        <v>0.54444444444444451</v>
      </c>
      <c r="BD209" s="1">
        <f t="shared" si="90"/>
        <v>7.5555555555555487E-2</v>
      </c>
      <c r="BF209">
        <f t="shared" si="91"/>
        <v>30</v>
      </c>
      <c r="BG209">
        <f t="shared" si="101"/>
        <v>30</v>
      </c>
      <c r="BH209" s="1">
        <f t="shared" si="92"/>
        <v>1.3333333333333333</v>
      </c>
      <c r="BI209" s="1">
        <f t="shared" si="93"/>
        <v>1</v>
      </c>
      <c r="BJ209" s="1">
        <f t="shared" si="94"/>
        <v>0.61533333333333329</v>
      </c>
      <c r="BK209" s="1">
        <f t="shared" si="95"/>
        <v>0.76533333333333331</v>
      </c>
      <c r="BL209" s="1">
        <f t="shared" si="96"/>
        <v>0.56057777777777773</v>
      </c>
      <c r="BM209" s="1">
        <f t="shared" si="97"/>
        <v>0.56057777777777773</v>
      </c>
      <c r="BN209" s="1">
        <f t="shared" si="100"/>
        <v>3.5310004938271656E-3</v>
      </c>
      <c r="BO209" s="1">
        <f t="shared" si="98"/>
        <v>4.50963767673839E-2</v>
      </c>
    </row>
    <row r="210" spans="1:67" x14ac:dyDescent="0.25">
      <c r="A210" s="3"/>
      <c r="B210" s="3"/>
      <c r="C210">
        <v>43</v>
      </c>
      <c r="D210" s="5">
        <v>1</v>
      </c>
      <c r="E210" s="9">
        <f t="shared" si="77"/>
        <v>30</v>
      </c>
      <c r="F210" s="9">
        <f t="shared" si="78"/>
        <v>0.7857142857142857</v>
      </c>
      <c r="G210">
        <v>0</v>
      </c>
      <c r="H210">
        <v>15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30</v>
      </c>
      <c r="P210">
        <v>0</v>
      </c>
      <c r="Q210">
        <v>55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50</v>
      </c>
      <c r="AK210" t="s">
        <v>1</v>
      </c>
      <c r="AL210" t="s">
        <v>372</v>
      </c>
      <c r="AQ210" s="1">
        <f t="shared" si="99"/>
        <v>100</v>
      </c>
      <c r="AR210" s="1">
        <f t="shared" si="79"/>
        <v>0.3</v>
      </c>
      <c r="AS210" s="1">
        <f t="shared" si="80"/>
        <v>0</v>
      </c>
      <c r="AT210" s="1">
        <f t="shared" si="81"/>
        <v>0.15</v>
      </c>
      <c r="AU210" s="1">
        <f t="shared" si="82"/>
        <v>0.55000000000000004</v>
      </c>
      <c r="AV210" s="1">
        <f t="shared" si="83"/>
        <v>0.5</v>
      </c>
      <c r="AX210" s="1">
        <f t="shared" si="84"/>
        <v>3.666666666666667</v>
      </c>
      <c r="AY210" s="1">
        <f t="shared" si="85"/>
        <v>2</v>
      </c>
      <c r="AZ210" s="1">
        <f t="shared" si="86"/>
        <v>0.72916666666666674</v>
      </c>
      <c r="BA210" s="1">
        <f t="shared" si="87"/>
        <v>1.4166666666666667</v>
      </c>
      <c r="BB210" s="1">
        <f t="shared" si="88"/>
        <v>0.62908496732026153</v>
      </c>
      <c r="BC210" s="1">
        <f t="shared" si="89"/>
        <v>0.62908496732026153</v>
      </c>
      <c r="BD210" s="1">
        <f t="shared" si="90"/>
        <v>0.12908496732026153</v>
      </c>
      <c r="BF210">
        <f t="shared" si="91"/>
        <v>15</v>
      </c>
      <c r="BG210">
        <f t="shared" si="101"/>
        <v>30</v>
      </c>
      <c r="BH210" s="1">
        <f t="shared" si="92"/>
        <v>3.6666666666666665</v>
      </c>
      <c r="BI210" s="1">
        <f t="shared" si="93"/>
        <v>2</v>
      </c>
      <c r="BJ210" s="1">
        <f t="shared" si="94"/>
        <v>0.65966666666666662</v>
      </c>
      <c r="BK210" s="1">
        <f t="shared" si="95"/>
        <v>1.9366666666666668</v>
      </c>
      <c r="BL210" s="1">
        <f t="shared" si="96"/>
        <v>0.64880065359477124</v>
      </c>
      <c r="BM210" s="1">
        <f t="shared" si="97"/>
        <v>0.64880065359477124</v>
      </c>
      <c r="BN210" s="1">
        <f t="shared" si="100"/>
        <v>2.2141634510231108E-2</v>
      </c>
      <c r="BO210" s="1">
        <f t="shared" si="98"/>
        <v>8.5301987490028035E-3</v>
      </c>
    </row>
    <row r="211" spans="1:67" x14ac:dyDescent="0.25">
      <c r="A211" s="3"/>
      <c r="B211" s="3"/>
      <c r="C211">
        <v>44</v>
      </c>
      <c r="D211" s="5">
        <v>1</v>
      </c>
      <c r="E211" s="9">
        <f t="shared" si="77"/>
        <v>30.8</v>
      </c>
      <c r="F211" s="9">
        <f t="shared" si="78"/>
        <v>0.66763005780346818</v>
      </c>
      <c r="G211">
        <v>0</v>
      </c>
      <c r="H211">
        <v>23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30.8</v>
      </c>
      <c r="P211">
        <v>0</v>
      </c>
      <c r="Q211">
        <v>46.2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57</v>
      </c>
      <c r="AK211" t="s">
        <v>1</v>
      </c>
      <c r="AL211" t="s">
        <v>372</v>
      </c>
      <c r="AQ211" s="1">
        <f t="shared" si="99"/>
        <v>100</v>
      </c>
      <c r="AR211" s="1">
        <f t="shared" si="79"/>
        <v>0.308</v>
      </c>
      <c r="AS211" s="1">
        <f t="shared" si="80"/>
        <v>0</v>
      </c>
      <c r="AT211" s="1">
        <f t="shared" si="81"/>
        <v>0.23</v>
      </c>
      <c r="AU211" s="1">
        <f t="shared" si="82"/>
        <v>0.46200000000000002</v>
      </c>
      <c r="AV211" s="1">
        <f t="shared" si="83"/>
        <v>0.56999999999999995</v>
      </c>
      <c r="AX211" s="1">
        <f t="shared" si="84"/>
        <v>2.008695652173913</v>
      </c>
      <c r="AY211" s="1">
        <f t="shared" si="85"/>
        <v>1.3391304347826085</v>
      </c>
      <c r="AZ211" s="1">
        <f t="shared" si="86"/>
        <v>0.62554347826086953</v>
      </c>
      <c r="BA211" s="1">
        <f t="shared" si="87"/>
        <v>1.0021739130434781</v>
      </c>
      <c r="BB211" s="1">
        <f t="shared" si="88"/>
        <v>0.55543556854978149</v>
      </c>
      <c r="BC211" s="1">
        <f t="shared" si="89"/>
        <v>0.55543556854978149</v>
      </c>
      <c r="BD211" s="1">
        <f t="shared" si="90"/>
        <v>1.4564431450218462E-2</v>
      </c>
      <c r="BF211">
        <f t="shared" si="91"/>
        <v>23</v>
      </c>
      <c r="BG211">
        <f t="shared" si="101"/>
        <v>30.8</v>
      </c>
      <c r="BH211" s="1">
        <f t="shared" si="92"/>
        <v>2.008695652173913</v>
      </c>
      <c r="BI211" s="1">
        <f t="shared" si="93"/>
        <v>1.3391304347826087</v>
      </c>
      <c r="BJ211" s="1">
        <f t="shared" si="94"/>
        <v>0.62816521739130426</v>
      </c>
      <c r="BK211" s="1">
        <f t="shared" si="95"/>
        <v>1.1043652173913043</v>
      </c>
      <c r="BL211" s="1">
        <f t="shared" si="96"/>
        <v>0.57931945361375703</v>
      </c>
      <c r="BM211" s="1">
        <f t="shared" si="97"/>
        <v>0.57931945361375703</v>
      </c>
      <c r="BN211" s="1">
        <f t="shared" si="100"/>
        <v>8.6852215658969864E-5</v>
      </c>
      <c r="BO211" s="1">
        <f t="shared" si="98"/>
        <v>2.6360469259725097E-2</v>
      </c>
    </row>
    <row r="212" spans="1:67" x14ac:dyDescent="0.25">
      <c r="A212" s="3"/>
      <c r="B212" s="3"/>
      <c r="C212">
        <v>45</v>
      </c>
      <c r="D212" s="5">
        <v>1</v>
      </c>
      <c r="E212" s="9">
        <f t="shared" si="77"/>
        <v>35</v>
      </c>
      <c r="F212" s="9">
        <f t="shared" si="78"/>
        <v>0.15384615384615385</v>
      </c>
      <c r="G212">
        <v>0</v>
      </c>
      <c r="H212">
        <v>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35</v>
      </c>
      <c r="P212">
        <v>0</v>
      </c>
      <c r="Q212">
        <v>10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39</v>
      </c>
      <c r="AK212" t="s">
        <v>1</v>
      </c>
      <c r="AL212" t="s">
        <v>372</v>
      </c>
      <c r="AQ212" s="1">
        <f t="shared" si="99"/>
        <v>100</v>
      </c>
      <c r="AR212" s="1">
        <f t="shared" si="79"/>
        <v>0.35</v>
      </c>
      <c r="AS212" s="1">
        <f t="shared" si="80"/>
        <v>0</v>
      </c>
      <c r="AT212" s="1">
        <f t="shared" si="81"/>
        <v>0.55000000000000004</v>
      </c>
      <c r="AU212" s="1">
        <f t="shared" si="82"/>
        <v>0.1</v>
      </c>
      <c r="AV212" s="1">
        <f t="shared" si="83"/>
        <v>0.39</v>
      </c>
      <c r="AX212" s="1">
        <f t="shared" si="84"/>
        <v>0.18181818181818182</v>
      </c>
      <c r="AY212" s="1">
        <f t="shared" si="85"/>
        <v>0.63636363636363624</v>
      </c>
      <c r="AZ212" s="1">
        <f t="shared" si="86"/>
        <v>0.51136363636363635</v>
      </c>
      <c r="BA212" s="1">
        <f t="shared" si="87"/>
        <v>0.54545454545454541</v>
      </c>
      <c r="BB212" s="1">
        <f t="shared" si="88"/>
        <v>0.48295454545454547</v>
      </c>
      <c r="BC212" s="1">
        <f t="shared" si="89"/>
        <v>0.48295454545454547</v>
      </c>
      <c r="BD212" s="1">
        <f t="shared" si="90"/>
        <v>9.2954545454545456E-2</v>
      </c>
      <c r="BF212">
        <f t="shared" si="91"/>
        <v>55</v>
      </c>
      <c r="BG212">
        <f t="shared" si="101"/>
        <v>35</v>
      </c>
      <c r="BH212" s="1">
        <f t="shared" si="92"/>
        <v>0.18181818181818182</v>
      </c>
      <c r="BI212" s="1">
        <f t="shared" si="93"/>
        <v>0.63636363636363635</v>
      </c>
      <c r="BJ212" s="1">
        <f t="shared" si="94"/>
        <v>0.59345454545454546</v>
      </c>
      <c r="BK212" s="1">
        <f t="shared" si="95"/>
        <v>0.18727272727272726</v>
      </c>
      <c r="BL212" s="1">
        <f t="shared" si="96"/>
        <v>0.45311363636363633</v>
      </c>
      <c r="BM212" s="1">
        <f t="shared" si="97"/>
        <v>0.45311363636363633</v>
      </c>
      <c r="BN212" s="1">
        <f t="shared" si="100"/>
        <v>3.9833310950413165E-3</v>
      </c>
      <c r="BO212" s="1">
        <f t="shared" si="98"/>
        <v>3.1120223215346117E-4</v>
      </c>
    </row>
    <row r="213" spans="1:67" x14ac:dyDescent="0.25">
      <c r="A213" s="3"/>
      <c r="B213" s="3"/>
      <c r="C213">
        <v>46</v>
      </c>
      <c r="D213" s="5">
        <v>1</v>
      </c>
      <c r="E213" s="9">
        <f t="shared" si="77"/>
        <v>35</v>
      </c>
      <c r="F213" s="9">
        <f t="shared" si="78"/>
        <v>0.15384615384615385</v>
      </c>
      <c r="G213">
        <v>0</v>
      </c>
      <c r="H213">
        <v>55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35</v>
      </c>
      <c r="P213">
        <v>0</v>
      </c>
      <c r="Q213">
        <v>10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45</v>
      </c>
      <c r="AK213" t="s">
        <v>1</v>
      </c>
      <c r="AL213" t="s">
        <v>372</v>
      </c>
      <c r="AQ213" s="1">
        <f t="shared" si="99"/>
        <v>100</v>
      </c>
      <c r="AR213" s="1">
        <f t="shared" si="79"/>
        <v>0.35</v>
      </c>
      <c r="AS213" s="1">
        <f t="shared" si="80"/>
        <v>0</v>
      </c>
      <c r="AT213" s="1">
        <f t="shared" si="81"/>
        <v>0.55000000000000004</v>
      </c>
      <c r="AU213" s="1">
        <f t="shared" si="82"/>
        <v>0.1</v>
      </c>
      <c r="AV213" s="1">
        <f t="shared" si="83"/>
        <v>0.45</v>
      </c>
      <c r="AX213" s="1">
        <f t="shared" si="84"/>
        <v>0.18181818181818182</v>
      </c>
      <c r="AY213" s="1">
        <f t="shared" si="85"/>
        <v>0.63636363636363624</v>
      </c>
      <c r="AZ213" s="1">
        <f t="shared" si="86"/>
        <v>0.51136363636363635</v>
      </c>
      <c r="BA213" s="1">
        <f t="shared" si="87"/>
        <v>0.54545454545454541</v>
      </c>
      <c r="BB213" s="1">
        <f t="shared" si="88"/>
        <v>0.48295454545454547</v>
      </c>
      <c r="BC213" s="1">
        <f t="shared" si="89"/>
        <v>0.48295454545454547</v>
      </c>
      <c r="BD213" s="1">
        <f t="shared" si="90"/>
        <v>3.2954545454545459E-2</v>
      </c>
      <c r="BF213">
        <f t="shared" si="91"/>
        <v>55</v>
      </c>
      <c r="BG213">
        <f t="shared" si="101"/>
        <v>35</v>
      </c>
      <c r="BH213" s="1">
        <f t="shared" si="92"/>
        <v>0.18181818181818182</v>
      </c>
      <c r="BI213" s="1">
        <f t="shared" si="93"/>
        <v>0.63636363636363635</v>
      </c>
      <c r="BJ213" s="1">
        <f t="shared" si="94"/>
        <v>0.59345454545454546</v>
      </c>
      <c r="BK213" s="1">
        <f t="shared" si="95"/>
        <v>0.18727272727272726</v>
      </c>
      <c r="BL213" s="1">
        <f t="shared" si="96"/>
        <v>0.45311363636363633</v>
      </c>
      <c r="BM213" s="1">
        <f t="shared" si="97"/>
        <v>0.45311363636363633</v>
      </c>
      <c r="BN213" s="1">
        <f t="shared" si="100"/>
        <v>9.6947314049583971E-6</v>
      </c>
      <c r="BO213" s="1">
        <f t="shared" si="98"/>
        <v>1.7942912413440124E-3</v>
      </c>
    </row>
    <row r="214" spans="1:67" x14ac:dyDescent="0.25">
      <c r="A214" s="3"/>
      <c r="B214" s="3"/>
      <c r="C214">
        <v>47</v>
      </c>
      <c r="D214" s="5">
        <v>1</v>
      </c>
      <c r="E214" s="9">
        <f t="shared" si="77"/>
        <v>35</v>
      </c>
      <c r="F214" s="9">
        <f t="shared" si="78"/>
        <v>0.30769230769230771</v>
      </c>
      <c r="G214">
        <v>0</v>
      </c>
      <c r="H214">
        <v>45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35</v>
      </c>
      <c r="P214">
        <v>0</v>
      </c>
      <c r="Q214">
        <v>20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40</v>
      </c>
      <c r="AK214" t="s">
        <v>1</v>
      </c>
      <c r="AL214" t="s">
        <v>372</v>
      </c>
      <c r="AQ214" s="1">
        <f t="shared" si="99"/>
        <v>100</v>
      </c>
      <c r="AR214" s="1">
        <f t="shared" si="79"/>
        <v>0.35</v>
      </c>
      <c r="AS214" s="1">
        <f t="shared" si="80"/>
        <v>0</v>
      </c>
      <c r="AT214" s="1">
        <f t="shared" si="81"/>
        <v>0.45</v>
      </c>
      <c r="AU214" s="1">
        <f t="shared" si="82"/>
        <v>0.2</v>
      </c>
      <c r="AV214" s="1">
        <f t="shared" si="83"/>
        <v>0.4</v>
      </c>
      <c r="AX214" s="1">
        <f t="shared" si="84"/>
        <v>0.44444444444444448</v>
      </c>
      <c r="AY214" s="1">
        <f t="shared" si="85"/>
        <v>0.77777777777777768</v>
      </c>
      <c r="AZ214" s="1">
        <f t="shared" si="86"/>
        <v>0.52777777777777779</v>
      </c>
      <c r="BA214" s="1">
        <f t="shared" si="87"/>
        <v>0.61111111111111116</v>
      </c>
      <c r="BB214" s="1">
        <f t="shared" si="88"/>
        <v>0.47979797979797983</v>
      </c>
      <c r="BC214" s="1">
        <f t="shared" si="89"/>
        <v>0.47979797979797983</v>
      </c>
      <c r="BD214" s="1">
        <f t="shared" si="90"/>
        <v>7.9797979797979812E-2</v>
      </c>
      <c r="BF214">
        <f t="shared" si="91"/>
        <v>45</v>
      </c>
      <c r="BG214">
        <f t="shared" si="101"/>
        <v>35</v>
      </c>
      <c r="BH214" s="1">
        <f t="shared" si="92"/>
        <v>0.44444444444444442</v>
      </c>
      <c r="BI214" s="1">
        <f t="shared" si="93"/>
        <v>0.77777777777777779</v>
      </c>
      <c r="BJ214" s="1">
        <f t="shared" si="94"/>
        <v>0.59844444444444445</v>
      </c>
      <c r="BK214" s="1">
        <f t="shared" si="95"/>
        <v>0.31911111111111112</v>
      </c>
      <c r="BL214" s="1">
        <f t="shared" si="96"/>
        <v>0.46640404040404038</v>
      </c>
      <c r="BM214" s="1">
        <f t="shared" si="97"/>
        <v>0.46640404040404038</v>
      </c>
      <c r="BN214" s="1">
        <f t="shared" si="100"/>
        <v>4.4094965819814237E-3</v>
      </c>
      <c r="BO214" s="1">
        <f t="shared" si="98"/>
        <v>5.8383733685219634E-5</v>
      </c>
    </row>
    <row r="215" spans="1:67" x14ac:dyDescent="0.25">
      <c r="A215" s="3"/>
      <c r="B215" s="3"/>
      <c r="C215">
        <v>48</v>
      </c>
      <c r="D215" s="5">
        <v>1</v>
      </c>
      <c r="E215" s="9">
        <f t="shared" si="77"/>
        <v>35</v>
      </c>
      <c r="F215" s="9">
        <f t="shared" si="78"/>
        <v>0.46153846153846156</v>
      </c>
      <c r="G215">
        <v>0</v>
      </c>
      <c r="H215">
        <v>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35</v>
      </c>
      <c r="P215">
        <v>0</v>
      </c>
      <c r="Q215">
        <v>30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30</v>
      </c>
      <c r="AK215" t="s">
        <v>1</v>
      </c>
      <c r="AL215" t="s">
        <v>372</v>
      </c>
      <c r="AQ215" s="1">
        <f t="shared" si="99"/>
        <v>100</v>
      </c>
      <c r="AR215" s="1">
        <f t="shared" si="79"/>
        <v>0.35</v>
      </c>
      <c r="AS215" s="1">
        <f t="shared" si="80"/>
        <v>0</v>
      </c>
      <c r="AT215" s="1">
        <f t="shared" si="81"/>
        <v>0.35</v>
      </c>
      <c r="AU215" s="1">
        <f t="shared" si="82"/>
        <v>0.3</v>
      </c>
      <c r="AV215" s="1">
        <f t="shared" si="83"/>
        <v>0.3</v>
      </c>
      <c r="AX215" s="1">
        <f t="shared" si="84"/>
        <v>0.85714285714285721</v>
      </c>
      <c r="AY215" s="1">
        <f t="shared" si="85"/>
        <v>1</v>
      </c>
      <c r="AZ215" s="1">
        <f t="shared" si="86"/>
        <v>0.5535714285714286</v>
      </c>
      <c r="BA215" s="1">
        <f t="shared" si="87"/>
        <v>0.7142857142857143</v>
      </c>
      <c r="BB215" s="1">
        <f t="shared" si="88"/>
        <v>0.47976190476190478</v>
      </c>
      <c r="BC215" s="1">
        <f t="shared" si="89"/>
        <v>0.47976190476190478</v>
      </c>
      <c r="BD215" s="1">
        <f t="shared" si="90"/>
        <v>0.17976190476190479</v>
      </c>
      <c r="BF215">
        <f t="shared" si="91"/>
        <v>35</v>
      </c>
      <c r="BG215">
        <f t="shared" si="101"/>
        <v>35</v>
      </c>
      <c r="BH215" s="1">
        <f t="shared" si="92"/>
        <v>0.8571428571428571</v>
      </c>
      <c r="BI215" s="1">
        <f t="shared" si="93"/>
        <v>1</v>
      </c>
      <c r="BJ215" s="1">
        <f t="shared" si="94"/>
        <v>0.60628571428571421</v>
      </c>
      <c r="BK215" s="1">
        <f t="shared" si="95"/>
        <v>0.52628571428571425</v>
      </c>
      <c r="BL215" s="1">
        <f t="shared" si="96"/>
        <v>0.48390952380952368</v>
      </c>
      <c r="BM215" s="1">
        <f t="shared" si="97"/>
        <v>0.48390952380952368</v>
      </c>
      <c r="BN215" s="1">
        <f t="shared" si="100"/>
        <v>3.3822712947845758E-2</v>
      </c>
      <c r="BO215" s="1">
        <f t="shared" si="98"/>
        <v>1.158656871836764E-2</v>
      </c>
    </row>
    <row r="216" spans="1:67" x14ac:dyDescent="0.25">
      <c r="A216" s="3"/>
      <c r="B216" s="3"/>
      <c r="C216">
        <v>49</v>
      </c>
      <c r="D216" s="5">
        <v>1</v>
      </c>
      <c r="E216" s="9">
        <f t="shared" si="77"/>
        <v>35</v>
      </c>
      <c r="F216" s="9">
        <f t="shared" si="78"/>
        <v>0.61538461538461542</v>
      </c>
      <c r="G216">
        <v>0</v>
      </c>
      <c r="H216">
        <v>25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35</v>
      </c>
      <c r="P216">
        <v>0</v>
      </c>
      <c r="Q216">
        <v>40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44</v>
      </c>
      <c r="AK216" t="s">
        <v>1</v>
      </c>
      <c r="AL216" t="s">
        <v>372</v>
      </c>
      <c r="AQ216" s="1">
        <f t="shared" si="99"/>
        <v>100</v>
      </c>
      <c r="AR216" s="1">
        <f t="shared" si="79"/>
        <v>0.35</v>
      </c>
      <c r="AS216" s="1">
        <f t="shared" si="80"/>
        <v>0</v>
      </c>
      <c r="AT216" s="1">
        <f t="shared" si="81"/>
        <v>0.25</v>
      </c>
      <c r="AU216" s="1">
        <f t="shared" si="82"/>
        <v>0.4</v>
      </c>
      <c r="AV216" s="1">
        <f t="shared" si="83"/>
        <v>0.44</v>
      </c>
      <c r="AX216" s="1">
        <f t="shared" si="84"/>
        <v>1.6</v>
      </c>
      <c r="AY216" s="1">
        <f t="shared" si="85"/>
        <v>1.4</v>
      </c>
      <c r="AZ216" s="1">
        <f t="shared" si="86"/>
        <v>0.6</v>
      </c>
      <c r="BA216" s="1">
        <f t="shared" si="87"/>
        <v>0.9</v>
      </c>
      <c r="BB216" s="1">
        <f t="shared" si="88"/>
        <v>0.48888888888888893</v>
      </c>
      <c r="BC216" s="1">
        <f t="shared" si="89"/>
        <v>0.48888888888888893</v>
      </c>
      <c r="BD216" s="1">
        <f t="shared" si="90"/>
        <v>4.8888888888888926E-2</v>
      </c>
      <c r="BF216">
        <f t="shared" si="91"/>
        <v>25</v>
      </c>
      <c r="BG216">
        <f t="shared" si="101"/>
        <v>35</v>
      </c>
      <c r="BH216" s="1">
        <f t="shared" si="92"/>
        <v>1.6</v>
      </c>
      <c r="BI216" s="1">
        <f t="shared" si="93"/>
        <v>1.4</v>
      </c>
      <c r="BJ216" s="1">
        <f t="shared" si="94"/>
        <v>0.62039999999999995</v>
      </c>
      <c r="BK216" s="1">
        <f t="shared" si="95"/>
        <v>0.8992</v>
      </c>
      <c r="BL216" s="1">
        <f t="shared" si="96"/>
        <v>0.50911111111111107</v>
      </c>
      <c r="BM216" s="1">
        <f t="shared" si="97"/>
        <v>0.50911111111111107</v>
      </c>
      <c r="BN216" s="1">
        <f t="shared" si="100"/>
        <v>4.7763456790123398E-3</v>
      </c>
      <c r="BO216" s="1">
        <f t="shared" si="98"/>
        <v>1.0471097398122534E-3</v>
      </c>
    </row>
    <row r="217" spans="1:67" x14ac:dyDescent="0.25">
      <c r="A217" s="3"/>
      <c r="B217" s="3"/>
      <c r="C217">
        <v>50</v>
      </c>
      <c r="D217" s="5">
        <v>1</v>
      </c>
      <c r="E217" s="9">
        <f t="shared" si="77"/>
        <v>35</v>
      </c>
      <c r="F217" s="9">
        <f t="shared" si="78"/>
        <v>0.76923076923076927</v>
      </c>
      <c r="G217">
        <v>0</v>
      </c>
      <c r="H217">
        <v>15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35</v>
      </c>
      <c r="P217">
        <v>0</v>
      </c>
      <c r="Q217">
        <v>50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49</v>
      </c>
      <c r="AK217" t="s">
        <v>1</v>
      </c>
      <c r="AL217" t="s">
        <v>372</v>
      </c>
      <c r="AQ217" s="1">
        <f t="shared" si="99"/>
        <v>100</v>
      </c>
      <c r="AR217" s="1">
        <f t="shared" si="79"/>
        <v>0.35</v>
      </c>
      <c r="AS217" s="1">
        <f t="shared" si="80"/>
        <v>0</v>
      </c>
      <c r="AT217" s="1">
        <f t="shared" si="81"/>
        <v>0.15</v>
      </c>
      <c r="AU217" s="1">
        <f t="shared" si="82"/>
        <v>0.5</v>
      </c>
      <c r="AV217" s="1">
        <f t="shared" si="83"/>
        <v>0.49</v>
      </c>
      <c r="AX217" s="1">
        <f t="shared" si="84"/>
        <v>3.3333333333333335</v>
      </c>
      <c r="AY217" s="1">
        <f t="shared" si="85"/>
        <v>2.3333333333333335</v>
      </c>
      <c r="AZ217" s="1">
        <f t="shared" si="86"/>
        <v>0.70833333333333337</v>
      </c>
      <c r="BA217" s="1">
        <f t="shared" si="87"/>
        <v>1.3333333333333335</v>
      </c>
      <c r="BB217" s="1">
        <f t="shared" si="88"/>
        <v>0.53125</v>
      </c>
      <c r="BC217" s="1">
        <f t="shared" si="89"/>
        <v>0.53125</v>
      </c>
      <c r="BD217" s="1">
        <f t="shared" si="90"/>
        <v>4.1250000000000009E-2</v>
      </c>
      <c r="BF217">
        <f t="shared" si="91"/>
        <v>15</v>
      </c>
      <c r="BG217">
        <f t="shared" si="101"/>
        <v>35</v>
      </c>
      <c r="BH217" s="1">
        <f t="shared" si="92"/>
        <v>3.3333333333333335</v>
      </c>
      <c r="BI217" s="1">
        <f t="shared" si="93"/>
        <v>2.3333333333333335</v>
      </c>
      <c r="BJ217" s="1">
        <f t="shared" si="94"/>
        <v>0.65333333333333332</v>
      </c>
      <c r="BK217" s="1">
        <f t="shared" si="95"/>
        <v>1.7693333333333334</v>
      </c>
      <c r="BL217" s="1">
        <f t="shared" si="96"/>
        <v>0.55345833333333327</v>
      </c>
      <c r="BM217" s="1">
        <f t="shared" si="97"/>
        <v>0.55345833333333327</v>
      </c>
      <c r="BN217" s="1">
        <f t="shared" si="100"/>
        <v>4.0269600694444385E-3</v>
      </c>
      <c r="BO217" s="1">
        <f t="shared" si="98"/>
        <v>6.7830172474710433E-3</v>
      </c>
    </row>
    <row r="218" spans="1:67" x14ac:dyDescent="0.25">
      <c r="A218" s="3"/>
      <c r="B218" s="3"/>
      <c r="C218">
        <v>51</v>
      </c>
      <c r="D218" s="5">
        <v>1</v>
      </c>
      <c r="E218" s="9">
        <f t="shared" si="77"/>
        <v>35.700000000000003</v>
      </c>
      <c r="F218" s="9">
        <f t="shared" si="78"/>
        <v>0.88958009331259724</v>
      </c>
      <c r="G218">
        <v>0</v>
      </c>
      <c r="H218">
        <v>7.1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35.700000000000003</v>
      </c>
      <c r="P218">
        <v>0</v>
      </c>
      <c r="Q218">
        <v>57.2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60</v>
      </c>
      <c r="AK218" t="s">
        <v>1</v>
      </c>
      <c r="AL218" t="s">
        <v>372</v>
      </c>
      <c r="AQ218" s="1">
        <f t="shared" si="99"/>
        <v>100</v>
      </c>
      <c r="AR218" s="1">
        <f t="shared" si="79"/>
        <v>0.35700000000000004</v>
      </c>
      <c r="AS218" s="1">
        <f t="shared" si="80"/>
        <v>0</v>
      </c>
      <c r="AT218" s="1">
        <f t="shared" si="81"/>
        <v>7.0999999999999994E-2</v>
      </c>
      <c r="AU218" s="1">
        <f t="shared" si="82"/>
        <v>0.57200000000000006</v>
      </c>
      <c r="AV218" s="1">
        <f t="shared" si="83"/>
        <v>0.6</v>
      </c>
      <c r="AX218" s="1">
        <f t="shared" si="84"/>
        <v>8.0563380281690158</v>
      </c>
      <c r="AY218" s="1">
        <f t="shared" si="85"/>
        <v>5.0281690140845079</v>
      </c>
      <c r="AZ218" s="1">
        <f t="shared" si="86"/>
        <v>1.0035211267605635</v>
      </c>
      <c r="BA218" s="1">
        <f t="shared" si="87"/>
        <v>2.5140845070422539</v>
      </c>
      <c r="BB218" s="1">
        <f t="shared" si="88"/>
        <v>0.66901408450704225</v>
      </c>
      <c r="BC218" s="1">
        <f t="shared" si="89"/>
        <v>0.66901408450704225</v>
      </c>
      <c r="BD218" s="1">
        <f t="shared" si="90"/>
        <v>6.9014084507042273E-2</v>
      </c>
      <c r="BF218">
        <f t="shared" si="91"/>
        <v>7.1</v>
      </c>
      <c r="BG218">
        <f t="shared" si="101"/>
        <v>35.700000000000003</v>
      </c>
      <c r="BH218" s="1">
        <f t="shared" si="92"/>
        <v>8.056338028169014</v>
      </c>
      <c r="BI218" s="1">
        <f t="shared" si="93"/>
        <v>5.0281690140845079</v>
      </c>
      <c r="BJ218" s="1">
        <f t="shared" si="94"/>
        <v>0.74307042253521127</v>
      </c>
      <c r="BK218" s="1">
        <f t="shared" si="95"/>
        <v>4.1402816901408448</v>
      </c>
      <c r="BL218" s="1">
        <f t="shared" si="96"/>
        <v>0.62493415394326723</v>
      </c>
      <c r="BM218" s="1">
        <f t="shared" si="97"/>
        <v>0.62493415394326723</v>
      </c>
      <c r="BN218" s="1">
        <f t="shared" si="100"/>
        <v>6.2171203286655004E-4</v>
      </c>
      <c r="BO218" s="1">
        <f t="shared" si="98"/>
        <v>3.7002013764320378E-2</v>
      </c>
    </row>
    <row r="219" spans="1:67" x14ac:dyDescent="0.25">
      <c r="A219" s="3"/>
      <c r="B219" s="3"/>
      <c r="C219">
        <v>52</v>
      </c>
      <c r="D219" s="5">
        <v>1</v>
      </c>
      <c r="E219" s="9">
        <f t="shared" si="77"/>
        <v>40</v>
      </c>
      <c r="F219" s="9">
        <f t="shared" si="78"/>
        <v>0.33333333333333331</v>
      </c>
      <c r="G219">
        <v>0</v>
      </c>
      <c r="H219">
        <v>40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40</v>
      </c>
      <c r="P219">
        <v>0</v>
      </c>
      <c r="Q219">
        <v>20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18</v>
      </c>
      <c r="AK219" t="s">
        <v>1</v>
      </c>
      <c r="AL219" t="s">
        <v>372</v>
      </c>
      <c r="AQ219" s="1">
        <f t="shared" si="99"/>
        <v>100</v>
      </c>
      <c r="AR219" s="1">
        <f t="shared" si="79"/>
        <v>0.4</v>
      </c>
      <c r="AS219" s="1">
        <f t="shared" si="80"/>
        <v>0</v>
      </c>
      <c r="AT219" s="1">
        <f t="shared" si="81"/>
        <v>0.4</v>
      </c>
      <c r="AU219" s="1">
        <f t="shared" si="82"/>
        <v>0.2</v>
      </c>
      <c r="AV219" s="1">
        <f t="shared" si="83"/>
        <v>0.18</v>
      </c>
      <c r="AX219" s="1">
        <f t="shared" si="84"/>
        <v>0.5</v>
      </c>
      <c r="AY219" s="1">
        <f t="shared" si="85"/>
        <v>1</v>
      </c>
      <c r="AZ219" s="1">
        <f t="shared" si="86"/>
        <v>0.53125</v>
      </c>
      <c r="BA219" s="1">
        <f t="shared" si="87"/>
        <v>0.625</v>
      </c>
      <c r="BB219" s="1">
        <f t="shared" si="88"/>
        <v>0.42499999999999999</v>
      </c>
      <c r="BC219" s="1">
        <f t="shared" si="89"/>
        <v>0.42499999999999999</v>
      </c>
      <c r="BD219" s="1">
        <f t="shared" si="90"/>
        <v>0.245</v>
      </c>
      <c r="BF219">
        <f t="shared" si="91"/>
        <v>40</v>
      </c>
      <c r="BG219">
        <f t="shared" si="101"/>
        <v>40</v>
      </c>
      <c r="BH219" s="1">
        <f t="shared" si="92"/>
        <v>0.5</v>
      </c>
      <c r="BI219" s="1">
        <f t="shared" si="93"/>
        <v>1</v>
      </c>
      <c r="BJ219" s="1">
        <f t="shared" si="94"/>
        <v>0.59949999999999992</v>
      </c>
      <c r="BK219" s="1">
        <f t="shared" si="95"/>
        <v>0.34699999999999998</v>
      </c>
      <c r="BL219" s="1">
        <f t="shared" si="96"/>
        <v>0.4144833333333332</v>
      </c>
      <c r="BM219" s="1">
        <f t="shared" si="97"/>
        <v>0.4144833333333332</v>
      </c>
      <c r="BN219" s="1">
        <f t="shared" si="100"/>
        <v>5.4982433611111055E-2</v>
      </c>
      <c r="BO219" s="1">
        <f t="shared" si="98"/>
        <v>5.1820390699986542E-2</v>
      </c>
    </row>
    <row r="220" spans="1:67" x14ac:dyDescent="0.25">
      <c r="A220" s="3"/>
      <c r="B220" s="3"/>
      <c r="C220">
        <v>53</v>
      </c>
      <c r="D220" s="5">
        <v>1</v>
      </c>
      <c r="E220" s="9">
        <f t="shared" si="77"/>
        <v>40</v>
      </c>
      <c r="F220" s="9">
        <f t="shared" si="78"/>
        <v>0.66666666666666663</v>
      </c>
      <c r="G220">
        <v>0</v>
      </c>
      <c r="H220">
        <v>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40</v>
      </c>
      <c r="P220">
        <v>0</v>
      </c>
      <c r="Q220">
        <v>40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55</v>
      </c>
      <c r="AK220" t="s">
        <v>1</v>
      </c>
      <c r="AL220" t="s">
        <v>372</v>
      </c>
      <c r="AQ220" s="1">
        <f t="shared" si="99"/>
        <v>100</v>
      </c>
      <c r="AR220" s="1">
        <f t="shared" si="79"/>
        <v>0.4</v>
      </c>
      <c r="AS220" s="1">
        <f t="shared" si="80"/>
        <v>0</v>
      </c>
      <c r="AT220" s="1">
        <f t="shared" si="81"/>
        <v>0.2</v>
      </c>
      <c r="AU220" s="1">
        <f t="shared" si="82"/>
        <v>0.4</v>
      </c>
      <c r="AV220" s="1">
        <f t="shared" si="83"/>
        <v>0.55000000000000004</v>
      </c>
      <c r="AX220" s="1">
        <f t="shared" si="84"/>
        <v>2</v>
      </c>
      <c r="AY220" s="1">
        <f t="shared" si="85"/>
        <v>2</v>
      </c>
      <c r="AZ220" s="1">
        <f t="shared" si="86"/>
        <v>0.625</v>
      </c>
      <c r="BA220" s="1">
        <f t="shared" si="87"/>
        <v>1</v>
      </c>
      <c r="BB220" s="1">
        <f t="shared" si="88"/>
        <v>0.41666666666666663</v>
      </c>
      <c r="BC220" s="1">
        <f t="shared" si="89"/>
        <v>0.41666666666666663</v>
      </c>
      <c r="BD220" s="1">
        <f t="shared" si="90"/>
        <v>0.13333333333333341</v>
      </c>
      <c r="BF220">
        <f t="shared" si="91"/>
        <v>20</v>
      </c>
      <c r="BG220">
        <f t="shared" si="101"/>
        <v>40</v>
      </c>
      <c r="BH220" s="1">
        <f t="shared" si="92"/>
        <v>2</v>
      </c>
      <c r="BI220" s="1">
        <f t="shared" si="93"/>
        <v>2</v>
      </c>
      <c r="BJ220" s="1">
        <f t="shared" si="94"/>
        <v>0.628</v>
      </c>
      <c r="BK220" s="1">
        <f t="shared" si="95"/>
        <v>1.1000000000000001</v>
      </c>
      <c r="BL220" s="1">
        <f t="shared" si="96"/>
        <v>0.4405</v>
      </c>
      <c r="BM220" s="1">
        <f t="shared" si="97"/>
        <v>0.4405</v>
      </c>
      <c r="BN220" s="1">
        <f t="shared" si="100"/>
        <v>1.199025000000001E-2</v>
      </c>
      <c r="BO220" s="1">
        <f t="shared" si="98"/>
        <v>2.0266106256661608E-2</v>
      </c>
    </row>
    <row r="221" spans="1:67" x14ac:dyDescent="0.25">
      <c r="A221" s="3"/>
      <c r="B221" s="3"/>
      <c r="C221">
        <v>54</v>
      </c>
      <c r="D221" s="5">
        <v>1</v>
      </c>
      <c r="E221" s="9">
        <f t="shared" si="77"/>
        <v>40</v>
      </c>
      <c r="F221" s="9">
        <f t="shared" si="78"/>
        <v>0.83333333333333337</v>
      </c>
      <c r="G221">
        <v>0</v>
      </c>
      <c r="H221">
        <v>10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40</v>
      </c>
      <c r="P221">
        <v>0</v>
      </c>
      <c r="Q221">
        <v>50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50</v>
      </c>
      <c r="AK221" t="s">
        <v>1</v>
      </c>
      <c r="AL221" t="s">
        <v>372</v>
      </c>
      <c r="AQ221" s="1">
        <f t="shared" si="99"/>
        <v>100</v>
      </c>
      <c r="AR221" s="1">
        <f t="shared" si="79"/>
        <v>0.4</v>
      </c>
      <c r="AS221" s="1">
        <f t="shared" si="80"/>
        <v>0</v>
      </c>
      <c r="AT221" s="1">
        <f t="shared" si="81"/>
        <v>0.1</v>
      </c>
      <c r="AU221" s="1">
        <f t="shared" si="82"/>
        <v>0.5</v>
      </c>
      <c r="AV221" s="1">
        <f t="shared" si="83"/>
        <v>0.5</v>
      </c>
      <c r="AX221" s="1">
        <f t="shared" si="84"/>
        <v>5</v>
      </c>
      <c r="AY221" s="1">
        <f t="shared" si="85"/>
        <v>4</v>
      </c>
      <c r="AZ221" s="1">
        <f t="shared" si="86"/>
        <v>0.8125</v>
      </c>
      <c r="BA221" s="1">
        <f t="shared" si="87"/>
        <v>1.75</v>
      </c>
      <c r="BB221" s="1">
        <f t="shared" si="88"/>
        <v>0.4642857142857143</v>
      </c>
      <c r="BC221" s="1">
        <f t="shared" si="89"/>
        <v>0.4642857142857143</v>
      </c>
      <c r="BD221" s="1">
        <f t="shared" si="90"/>
        <v>3.5714285714285698E-2</v>
      </c>
      <c r="BF221">
        <f t="shared" si="91"/>
        <v>10</v>
      </c>
      <c r="BG221">
        <f t="shared" si="101"/>
        <v>40</v>
      </c>
      <c r="BH221" s="1">
        <f t="shared" si="92"/>
        <v>5</v>
      </c>
      <c r="BI221" s="1">
        <f t="shared" si="93"/>
        <v>4</v>
      </c>
      <c r="BJ221" s="1">
        <f t="shared" si="94"/>
        <v>0.68499999999999994</v>
      </c>
      <c r="BK221" s="1">
        <f t="shared" si="95"/>
        <v>2.6059999999999999</v>
      </c>
      <c r="BL221" s="1">
        <f t="shared" si="96"/>
        <v>0.46926190476190471</v>
      </c>
      <c r="BM221" s="1">
        <f t="shared" si="97"/>
        <v>0.46926190476190471</v>
      </c>
      <c r="BN221" s="1">
        <f t="shared" si="100"/>
        <v>9.4483049886621615E-4</v>
      </c>
      <c r="BO221" s="1">
        <f t="shared" si="98"/>
        <v>8.5301987490028035E-3</v>
      </c>
    </row>
    <row r="222" spans="1:67" x14ac:dyDescent="0.25">
      <c r="A222" s="3"/>
      <c r="B222" s="3"/>
      <c r="C222" t="s">
        <v>482</v>
      </c>
      <c r="D222" s="5">
        <v>1</v>
      </c>
      <c r="E222" s="9">
        <f t="shared" si="77"/>
        <v>9.9099099099099082</v>
      </c>
      <c r="F222" s="9">
        <f t="shared" si="78"/>
        <v>0</v>
      </c>
      <c r="G222">
        <v>0</v>
      </c>
      <c r="H222">
        <v>90.090090090090087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9.9099099099099082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11.6</v>
      </c>
      <c r="AK222" t="s">
        <v>1</v>
      </c>
      <c r="AL222" t="s">
        <v>374</v>
      </c>
      <c r="AO222" t="s">
        <v>378</v>
      </c>
      <c r="AQ222" s="1">
        <f t="shared" si="99"/>
        <v>100</v>
      </c>
      <c r="AR222" s="1">
        <f t="shared" si="79"/>
        <v>9.9099099099099086E-2</v>
      </c>
      <c r="AS222" s="1">
        <f t="shared" si="80"/>
        <v>0</v>
      </c>
      <c r="AT222" s="1">
        <f t="shared" si="81"/>
        <v>0.90090090090090091</v>
      </c>
      <c r="AU222" s="1">
        <f t="shared" si="82"/>
        <v>0</v>
      </c>
      <c r="AV222" s="1">
        <f t="shared" si="83"/>
        <v>0.11599999999999999</v>
      </c>
      <c r="AX222" s="1">
        <f t="shared" si="84"/>
        <v>0</v>
      </c>
      <c r="AY222" s="1">
        <f t="shared" si="85"/>
        <v>0.10999999999999999</v>
      </c>
      <c r="AZ222" s="1">
        <f t="shared" si="86"/>
        <v>0.5</v>
      </c>
      <c r="BA222" s="1">
        <f t="shared" si="87"/>
        <v>0.5</v>
      </c>
      <c r="BB222" s="1">
        <f t="shared" si="88"/>
        <v>0.10999999999999999</v>
      </c>
      <c r="BC222" s="1">
        <f t="shared" si="89"/>
        <v>0.10999999999999999</v>
      </c>
      <c r="BD222" s="1">
        <f t="shared" si="90"/>
        <v>6.0000000000000053E-3</v>
      </c>
      <c r="BF222">
        <f t="shared" si="91"/>
        <v>90.090090090090087</v>
      </c>
      <c r="BG222">
        <f t="shared" si="101"/>
        <v>9.9099099099099082</v>
      </c>
      <c r="BH222" s="1">
        <f t="shared" si="92"/>
        <v>0</v>
      </c>
      <c r="BI222" s="1">
        <f t="shared" si="93"/>
        <v>0.10999999999999999</v>
      </c>
      <c r="BJ222" s="1">
        <f t="shared" si="94"/>
        <v>0.59</v>
      </c>
      <c r="BK222" s="1">
        <f t="shared" si="95"/>
        <v>9.6000000000000002E-2</v>
      </c>
      <c r="BL222" s="1">
        <f t="shared" si="96"/>
        <v>0.10999999999999999</v>
      </c>
      <c r="BM222" s="1">
        <f t="shared" si="97"/>
        <v>0.10999999999999999</v>
      </c>
      <c r="BN222" s="1">
        <f t="shared" si="100"/>
        <v>3.6000000000000062E-5</v>
      </c>
      <c r="BO222" s="1">
        <f t="shared" si="98"/>
        <v>8.5054429090183292E-2</v>
      </c>
    </row>
    <row r="223" spans="1:67" x14ac:dyDescent="0.25">
      <c r="A223" s="3"/>
      <c r="B223" s="3"/>
      <c r="C223" t="s">
        <v>483</v>
      </c>
      <c r="D223" s="5">
        <v>1</v>
      </c>
      <c r="E223" s="9">
        <f t="shared" si="77"/>
        <v>15.03823279524214</v>
      </c>
      <c r="F223" s="9">
        <f t="shared" si="78"/>
        <v>0</v>
      </c>
      <c r="G223">
        <v>0</v>
      </c>
      <c r="H223">
        <v>84.961767204757848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15.03823279524214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16</v>
      </c>
      <c r="AK223" t="s">
        <v>1</v>
      </c>
      <c r="AL223" t="s">
        <v>374</v>
      </c>
      <c r="AQ223" s="1">
        <f t="shared" si="99"/>
        <v>99.999999999999986</v>
      </c>
      <c r="AR223" s="1">
        <f t="shared" si="79"/>
        <v>0.1503823279524214</v>
      </c>
      <c r="AS223" s="1">
        <f t="shared" si="80"/>
        <v>0</v>
      </c>
      <c r="AT223" s="1">
        <f t="shared" si="81"/>
        <v>0.84961767204757843</v>
      </c>
      <c r="AU223" s="1">
        <f t="shared" si="82"/>
        <v>0</v>
      </c>
      <c r="AV223" s="1">
        <f t="shared" si="83"/>
        <v>0.16</v>
      </c>
      <c r="AX223" s="1">
        <f t="shared" si="84"/>
        <v>0</v>
      </c>
      <c r="AY223" s="1">
        <f t="shared" si="85"/>
        <v>0.17700000000000002</v>
      </c>
      <c r="AZ223" s="1">
        <f t="shared" si="86"/>
        <v>0.5</v>
      </c>
      <c r="BA223" s="1">
        <f t="shared" si="87"/>
        <v>0.5</v>
      </c>
      <c r="BB223" s="1">
        <f t="shared" si="88"/>
        <v>0.17700000000000002</v>
      </c>
      <c r="BC223" s="1">
        <f t="shared" si="89"/>
        <v>0.17700000000000002</v>
      </c>
      <c r="BD223" s="1">
        <f t="shared" si="90"/>
        <v>1.7000000000000015E-2</v>
      </c>
      <c r="BF223">
        <f t="shared" si="91"/>
        <v>84.961767204757848</v>
      </c>
      <c r="BG223">
        <f t="shared" si="101"/>
        <v>15.03823279524214</v>
      </c>
      <c r="BH223" s="1">
        <f t="shared" si="92"/>
        <v>0</v>
      </c>
      <c r="BI223" s="1">
        <f t="shared" si="93"/>
        <v>0.17700000000000002</v>
      </c>
      <c r="BJ223" s="1">
        <f t="shared" si="94"/>
        <v>0.59</v>
      </c>
      <c r="BK223" s="1">
        <f t="shared" si="95"/>
        <v>9.6000000000000002E-2</v>
      </c>
      <c r="BL223" s="1">
        <f t="shared" si="96"/>
        <v>0.17700000000000002</v>
      </c>
      <c r="BM223" s="1">
        <f t="shared" si="97"/>
        <v>0.17700000000000002</v>
      </c>
      <c r="BN223" s="1">
        <f t="shared" si="100"/>
        <v>2.8900000000000052E-4</v>
      </c>
      <c r="BO223" s="1">
        <f t="shared" si="98"/>
        <v>6.1326027696923018E-2</v>
      </c>
    </row>
    <row r="224" spans="1:67" x14ac:dyDescent="0.25">
      <c r="A224" s="3"/>
      <c r="B224" s="3"/>
      <c r="C224" t="s">
        <v>484</v>
      </c>
      <c r="D224" s="5">
        <v>1</v>
      </c>
      <c r="E224" s="9">
        <f t="shared" si="77"/>
        <v>17.012448132780079</v>
      </c>
      <c r="F224" s="9">
        <f t="shared" si="78"/>
        <v>0</v>
      </c>
      <c r="G224">
        <v>0</v>
      </c>
      <c r="H224">
        <v>82.987551867219906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17.012448132780079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22.5</v>
      </c>
      <c r="AK224" t="s">
        <v>1</v>
      </c>
      <c r="AL224" t="s">
        <v>374</v>
      </c>
      <c r="AQ224" s="1">
        <f t="shared" si="99"/>
        <v>99.999999999999986</v>
      </c>
      <c r="AR224" s="1">
        <f t="shared" si="79"/>
        <v>0.17012448132780078</v>
      </c>
      <c r="AS224" s="1">
        <f t="shared" si="80"/>
        <v>0</v>
      </c>
      <c r="AT224" s="1">
        <f t="shared" si="81"/>
        <v>0.82987551867219911</v>
      </c>
      <c r="AU224" s="1">
        <f t="shared" si="82"/>
        <v>0</v>
      </c>
      <c r="AV224" s="1">
        <f t="shared" si="83"/>
        <v>0.22500000000000001</v>
      </c>
      <c r="AX224" s="1">
        <f t="shared" si="84"/>
        <v>0</v>
      </c>
      <c r="AY224" s="1">
        <f t="shared" si="85"/>
        <v>0.20499999999999996</v>
      </c>
      <c r="AZ224" s="1">
        <f t="shared" si="86"/>
        <v>0.5</v>
      </c>
      <c r="BA224" s="1">
        <f t="shared" si="87"/>
        <v>0.5</v>
      </c>
      <c r="BB224" s="1">
        <f t="shared" si="88"/>
        <v>0.20499999999999996</v>
      </c>
      <c r="BC224" s="1">
        <f t="shared" si="89"/>
        <v>0.20499999999999996</v>
      </c>
      <c r="BD224" s="1">
        <f t="shared" si="90"/>
        <v>2.0000000000000046E-2</v>
      </c>
      <c r="BF224">
        <f t="shared" si="91"/>
        <v>82.987551867219906</v>
      </c>
      <c r="BG224">
        <f t="shared" si="101"/>
        <v>17.012448132780079</v>
      </c>
      <c r="BH224" s="1">
        <f t="shared" si="92"/>
        <v>0</v>
      </c>
      <c r="BI224" s="1">
        <f t="shared" si="93"/>
        <v>0.20499999999999999</v>
      </c>
      <c r="BJ224" s="1">
        <f t="shared" si="94"/>
        <v>0.59</v>
      </c>
      <c r="BK224" s="1">
        <f t="shared" si="95"/>
        <v>9.6000000000000002E-2</v>
      </c>
      <c r="BL224" s="1">
        <f t="shared" si="96"/>
        <v>0.20499999999999999</v>
      </c>
      <c r="BM224" s="1">
        <f t="shared" si="97"/>
        <v>0.20499999999999999</v>
      </c>
      <c r="BN224" s="1">
        <f t="shared" si="100"/>
        <v>4.0000000000000072E-4</v>
      </c>
      <c r="BO224" s="1">
        <f t="shared" si="98"/>
        <v>3.3357707456879444E-2</v>
      </c>
    </row>
    <row r="225" spans="1:67" x14ac:dyDescent="0.25">
      <c r="A225" s="3"/>
      <c r="B225" s="3"/>
      <c r="C225" t="s">
        <v>485</v>
      </c>
      <c r="D225" s="5">
        <v>1</v>
      </c>
      <c r="E225" s="9">
        <f t="shared" si="77"/>
        <v>20</v>
      </c>
      <c r="F225" s="9">
        <f t="shared" si="78"/>
        <v>0</v>
      </c>
      <c r="G225">
        <v>0</v>
      </c>
      <c r="H225">
        <v>80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28</v>
      </c>
      <c r="AK225" t="s">
        <v>1</v>
      </c>
      <c r="AL225" t="s">
        <v>374</v>
      </c>
      <c r="AQ225" s="1">
        <f t="shared" si="99"/>
        <v>100</v>
      </c>
      <c r="AR225" s="1">
        <f t="shared" si="79"/>
        <v>0.2</v>
      </c>
      <c r="AS225" s="1">
        <f t="shared" si="80"/>
        <v>0</v>
      </c>
      <c r="AT225" s="1">
        <f t="shared" si="81"/>
        <v>0.8</v>
      </c>
      <c r="AU225" s="1">
        <f t="shared" si="82"/>
        <v>0</v>
      </c>
      <c r="AV225" s="1">
        <f t="shared" si="83"/>
        <v>0.28000000000000003</v>
      </c>
      <c r="AX225" s="1">
        <f t="shared" si="84"/>
        <v>0</v>
      </c>
      <c r="AY225" s="1">
        <f t="shared" si="85"/>
        <v>0.25</v>
      </c>
      <c r="AZ225" s="1">
        <f t="shared" si="86"/>
        <v>0.5</v>
      </c>
      <c r="BA225" s="1">
        <f t="shared" si="87"/>
        <v>0.5</v>
      </c>
      <c r="BB225" s="1">
        <f t="shared" si="88"/>
        <v>0.25</v>
      </c>
      <c r="BC225" s="1">
        <f t="shared" si="89"/>
        <v>0.25</v>
      </c>
      <c r="BD225" s="1">
        <f t="shared" si="90"/>
        <v>3.0000000000000027E-2</v>
      </c>
      <c r="BF225">
        <f t="shared" si="91"/>
        <v>80</v>
      </c>
      <c r="BG225">
        <f t="shared" si="101"/>
        <v>20</v>
      </c>
      <c r="BH225" s="1">
        <f t="shared" si="92"/>
        <v>0</v>
      </c>
      <c r="BI225" s="1">
        <f t="shared" si="93"/>
        <v>0.25</v>
      </c>
      <c r="BJ225" s="1">
        <f t="shared" si="94"/>
        <v>0.59</v>
      </c>
      <c r="BK225" s="1">
        <f t="shared" si="95"/>
        <v>9.6000000000000002E-2</v>
      </c>
      <c r="BL225" s="1">
        <f t="shared" si="96"/>
        <v>0.25</v>
      </c>
      <c r="BM225" s="1">
        <f t="shared" si="97"/>
        <v>0.25</v>
      </c>
      <c r="BN225" s="1">
        <f t="shared" si="100"/>
        <v>9.000000000000016E-4</v>
      </c>
      <c r="BO225" s="1">
        <f t="shared" si="98"/>
        <v>1.6292205715304115E-2</v>
      </c>
    </row>
    <row r="226" spans="1:67" x14ac:dyDescent="0.25">
      <c r="A226" s="3"/>
      <c r="B226" s="3"/>
      <c r="C226" t="s">
        <v>486</v>
      </c>
      <c r="D226" s="5">
        <v>1</v>
      </c>
      <c r="E226" s="9">
        <f t="shared" si="77"/>
        <v>21.99687987519501</v>
      </c>
      <c r="F226" s="9">
        <f t="shared" si="78"/>
        <v>0</v>
      </c>
      <c r="G226">
        <v>0</v>
      </c>
      <c r="H226">
        <v>78.003120124804994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21.99687987519501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27.5</v>
      </c>
      <c r="AK226" t="s">
        <v>1</v>
      </c>
      <c r="AL226" t="s">
        <v>374</v>
      </c>
      <c r="AQ226" s="1">
        <f t="shared" si="99"/>
        <v>100</v>
      </c>
      <c r="AR226" s="1">
        <f t="shared" si="79"/>
        <v>0.21996879875195011</v>
      </c>
      <c r="AS226" s="1">
        <f t="shared" si="80"/>
        <v>0</v>
      </c>
      <c r="AT226" s="1">
        <f t="shared" si="81"/>
        <v>0.78003120124804992</v>
      </c>
      <c r="AU226" s="1">
        <f t="shared" si="82"/>
        <v>0</v>
      </c>
      <c r="AV226" s="1">
        <f t="shared" si="83"/>
        <v>0.27500000000000002</v>
      </c>
      <c r="AX226" s="1">
        <f t="shared" si="84"/>
        <v>0</v>
      </c>
      <c r="AY226" s="1">
        <f t="shared" si="85"/>
        <v>0.28200000000000003</v>
      </c>
      <c r="AZ226" s="1">
        <f t="shared" si="86"/>
        <v>0.5</v>
      </c>
      <c r="BA226" s="1">
        <f t="shared" si="87"/>
        <v>0.5</v>
      </c>
      <c r="BB226" s="1">
        <f t="shared" si="88"/>
        <v>0.28200000000000003</v>
      </c>
      <c r="BC226" s="1">
        <f t="shared" si="89"/>
        <v>0.28200000000000003</v>
      </c>
      <c r="BD226" s="1">
        <f t="shared" si="90"/>
        <v>7.0000000000000062E-3</v>
      </c>
      <c r="BF226">
        <f t="shared" si="91"/>
        <v>78.003120124804994</v>
      </c>
      <c r="BG226">
        <f t="shared" si="101"/>
        <v>21.99687987519501</v>
      </c>
      <c r="BH226" s="1">
        <f t="shared" si="92"/>
        <v>0</v>
      </c>
      <c r="BI226" s="1">
        <f t="shared" si="93"/>
        <v>0.28200000000000003</v>
      </c>
      <c r="BJ226" s="1">
        <f t="shared" si="94"/>
        <v>0.59</v>
      </c>
      <c r="BK226" s="1">
        <f t="shared" si="95"/>
        <v>9.6000000000000002E-2</v>
      </c>
      <c r="BL226" s="1">
        <f t="shared" si="96"/>
        <v>0.28200000000000003</v>
      </c>
      <c r="BM226" s="1">
        <f t="shared" si="97"/>
        <v>0.28200000000000003</v>
      </c>
      <c r="BN226" s="1">
        <f t="shared" si="100"/>
        <v>4.9000000000000087E-5</v>
      </c>
      <c r="BO226" s="1">
        <f t="shared" si="98"/>
        <v>1.7593614964538234E-2</v>
      </c>
    </row>
    <row r="227" spans="1:67" x14ac:dyDescent="0.25">
      <c r="A227" s="3"/>
      <c r="B227" s="3"/>
      <c r="C227" t="s">
        <v>487</v>
      </c>
      <c r="D227" s="5">
        <v>1</v>
      </c>
      <c r="E227" s="9">
        <f t="shared" si="77"/>
        <v>24.981245311327839</v>
      </c>
      <c r="F227" s="9">
        <f t="shared" si="78"/>
        <v>0</v>
      </c>
      <c r="G227">
        <v>0</v>
      </c>
      <c r="H227">
        <v>75.018754688672175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24.981245311327839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38</v>
      </c>
      <c r="AK227" t="s">
        <v>1</v>
      </c>
      <c r="AL227" t="s">
        <v>374</v>
      </c>
      <c r="AQ227" s="1">
        <f t="shared" si="99"/>
        <v>100.00000000000001</v>
      </c>
      <c r="AR227" s="1">
        <f t="shared" si="79"/>
        <v>0.2498124531132784</v>
      </c>
      <c r="AS227" s="1">
        <f t="shared" si="80"/>
        <v>0</v>
      </c>
      <c r="AT227" s="1">
        <f t="shared" si="81"/>
        <v>0.75018754688672173</v>
      </c>
      <c r="AU227" s="1">
        <f t="shared" si="82"/>
        <v>0</v>
      </c>
      <c r="AV227" s="1">
        <f t="shared" si="83"/>
        <v>0.38</v>
      </c>
      <c r="AX227" s="1">
        <f t="shared" si="84"/>
        <v>0</v>
      </c>
      <c r="AY227" s="1">
        <f t="shared" si="85"/>
        <v>0.33300000000000007</v>
      </c>
      <c r="AZ227" s="1">
        <f t="shared" si="86"/>
        <v>0.5</v>
      </c>
      <c r="BA227" s="1">
        <f t="shared" si="87"/>
        <v>0.5</v>
      </c>
      <c r="BB227" s="1">
        <f t="shared" si="88"/>
        <v>0.33300000000000007</v>
      </c>
      <c r="BC227" s="1">
        <f t="shared" si="89"/>
        <v>0.33300000000000007</v>
      </c>
      <c r="BD227" s="1">
        <f t="shared" si="90"/>
        <v>4.6999999999999931E-2</v>
      </c>
      <c r="BF227">
        <f t="shared" si="91"/>
        <v>75.018754688672175</v>
      </c>
      <c r="BG227">
        <f t="shared" si="101"/>
        <v>24.981245311327839</v>
      </c>
      <c r="BH227" s="1">
        <f t="shared" si="92"/>
        <v>0</v>
      </c>
      <c r="BI227" s="1">
        <f t="shared" si="93"/>
        <v>0.33300000000000007</v>
      </c>
      <c r="BJ227" s="1">
        <f t="shared" si="94"/>
        <v>0.59</v>
      </c>
      <c r="BK227" s="1">
        <f t="shared" si="95"/>
        <v>9.6000000000000002E-2</v>
      </c>
      <c r="BL227" s="1">
        <f t="shared" si="96"/>
        <v>0.33300000000000007</v>
      </c>
      <c r="BM227" s="1">
        <f t="shared" si="97"/>
        <v>0.33300000000000007</v>
      </c>
      <c r="BN227" s="1">
        <f t="shared" si="100"/>
        <v>2.2089999999999935E-3</v>
      </c>
      <c r="BO227" s="1">
        <f t="shared" si="98"/>
        <v>7.6402073062170313E-4</v>
      </c>
    </row>
    <row r="228" spans="1:67" x14ac:dyDescent="0.25">
      <c r="A228" s="3"/>
      <c r="B228" s="3"/>
      <c r="C228" t="s">
        <v>488</v>
      </c>
      <c r="D228" s="5">
        <v>1</v>
      </c>
      <c r="E228" s="9">
        <f t="shared" si="77"/>
        <v>27.007299270072991</v>
      </c>
      <c r="F228" s="9">
        <f t="shared" si="78"/>
        <v>0</v>
      </c>
      <c r="G228">
        <v>0</v>
      </c>
      <c r="H228">
        <v>72.992700729927009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27.007299270072991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34</v>
      </c>
      <c r="AK228" t="s">
        <v>1</v>
      </c>
      <c r="AL228" t="s">
        <v>374</v>
      </c>
      <c r="AQ228" s="1">
        <f t="shared" si="99"/>
        <v>100</v>
      </c>
      <c r="AR228" s="1">
        <f t="shared" si="79"/>
        <v>0.27007299270072993</v>
      </c>
      <c r="AS228" s="1">
        <f t="shared" si="80"/>
        <v>0</v>
      </c>
      <c r="AT228" s="1">
        <f t="shared" si="81"/>
        <v>0.72992700729927007</v>
      </c>
      <c r="AU228" s="1">
        <f t="shared" si="82"/>
        <v>0</v>
      </c>
      <c r="AV228" s="1">
        <f t="shared" si="83"/>
        <v>0.34</v>
      </c>
      <c r="AX228" s="1">
        <f t="shared" si="84"/>
        <v>0</v>
      </c>
      <c r="AY228" s="1">
        <f t="shared" si="85"/>
        <v>0.37</v>
      </c>
      <c r="AZ228" s="1">
        <f t="shared" si="86"/>
        <v>0.5</v>
      </c>
      <c r="BA228" s="1">
        <f t="shared" si="87"/>
        <v>0.5</v>
      </c>
      <c r="BB228" s="1">
        <f t="shared" si="88"/>
        <v>0.37</v>
      </c>
      <c r="BC228" s="1">
        <f t="shared" si="89"/>
        <v>0.37</v>
      </c>
      <c r="BD228" s="1">
        <f t="shared" si="90"/>
        <v>2.9999999999999971E-2</v>
      </c>
      <c r="BF228">
        <f t="shared" si="91"/>
        <v>72.992700729927009</v>
      </c>
      <c r="BG228">
        <f t="shared" si="101"/>
        <v>27.007299270072991</v>
      </c>
      <c r="BH228" s="1">
        <f t="shared" si="92"/>
        <v>0</v>
      </c>
      <c r="BI228" s="1">
        <f t="shared" si="93"/>
        <v>0.37</v>
      </c>
      <c r="BJ228" s="1">
        <f t="shared" si="94"/>
        <v>0.59</v>
      </c>
      <c r="BK228" s="1">
        <f t="shared" si="95"/>
        <v>9.6000000000000002E-2</v>
      </c>
      <c r="BL228" s="1">
        <f t="shared" si="96"/>
        <v>0.37</v>
      </c>
      <c r="BM228" s="1">
        <f t="shared" si="97"/>
        <v>0.37</v>
      </c>
      <c r="BN228" s="1">
        <f t="shared" si="100"/>
        <v>8.9999999999999824E-4</v>
      </c>
      <c r="BO228" s="1">
        <f t="shared" si="98"/>
        <v>4.5752947244946671E-3</v>
      </c>
    </row>
    <row r="229" spans="1:67" x14ac:dyDescent="0.25">
      <c r="A229" s="3"/>
      <c r="B229" s="3"/>
      <c r="C229" t="s">
        <v>489</v>
      </c>
      <c r="D229" s="5">
        <v>1</v>
      </c>
      <c r="E229" s="9">
        <f t="shared" si="77"/>
        <v>28.97727272727273</v>
      </c>
      <c r="F229" s="9">
        <f t="shared" si="78"/>
        <v>0</v>
      </c>
      <c r="G229">
        <v>0</v>
      </c>
      <c r="H229">
        <v>71.02272727272728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28.97727272727273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38</v>
      </c>
      <c r="AK229" t="s">
        <v>1</v>
      </c>
      <c r="AL229" t="s">
        <v>374</v>
      </c>
      <c r="AQ229" s="1">
        <f t="shared" si="99"/>
        <v>100.00000000000001</v>
      </c>
      <c r="AR229" s="1">
        <f t="shared" si="79"/>
        <v>0.28977272727272729</v>
      </c>
      <c r="AS229" s="1">
        <f t="shared" si="80"/>
        <v>0</v>
      </c>
      <c r="AT229" s="1">
        <f t="shared" si="81"/>
        <v>0.71022727272727282</v>
      </c>
      <c r="AU229" s="1">
        <f t="shared" si="82"/>
        <v>0</v>
      </c>
      <c r="AV229" s="1">
        <f t="shared" si="83"/>
        <v>0.38</v>
      </c>
      <c r="AX229" s="1">
        <f t="shared" si="84"/>
        <v>0</v>
      </c>
      <c r="AY229" s="1">
        <f t="shared" si="85"/>
        <v>0.40799999999999997</v>
      </c>
      <c r="AZ229" s="1">
        <f t="shared" si="86"/>
        <v>0.5</v>
      </c>
      <c r="BA229" s="1">
        <f t="shared" si="87"/>
        <v>0.5</v>
      </c>
      <c r="BB229" s="1">
        <f t="shared" si="88"/>
        <v>0.40799999999999997</v>
      </c>
      <c r="BC229" s="1">
        <f t="shared" si="89"/>
        <v>0.40799999999999997</v>
      </c>
      <c r="BD229" s="1">
        <f t="shared" si="90"/>
        <v>2.7999999999999969E-2</v>
      </c>
      <c r="BF229">
        <f t="shared" si="91"/>
        <v>71.02272727272728</v>
      </c>
      <c r="BG229">
        <f t="shared" si="101"/>
        <v>28.97727272727273</v>
      </c>
      <c r="BH229" s="1">
        <f t="shared" si="92"/>
        <v>0</v>
      </c>
      <c r="BI229" s="1">
        <f t="shared" si="93"/>
        <v>0.40799999999999997</v>
      </c>
      <c r="BJ229" s="1">
        <f t="shared" si="94"/>
        <v>0.59</v>
      </c>
      <c r="BK229" s="1">
        <f t="shared" si="95"/>
        <v>9.6000000000000002E-2</v>
      </c>
      <c r="BL229" s="1">
        <f t="shared" si="96"/>
        <v>0.40799999999999997</v>
      </c>
      <c r="BM229" s="1">
        <f t="shared" si="97"/>
        <v>0.40799999999999997</v>
      </c>
      <c r="BN229" s="1">
        <f t="shared" si="100"/>
        <v>7.8399999999999824E-4</v>
      </c>
      <c r="BO229" s="1">
        <f t="shared" si="98"/>
        <v>7.6402073062170313E-4</v>
      </c>
    </row>
    <row r="230" spans="1:67" x14ac:dyDescent="0.25">
      <c r="A230" s="3"/>
      <c r="B230" s="3"/>
      <c r="C230" t="s">
        <v>490</v>
      </c>
      <c r="D230" s="5">
        <v>1</v>
      </c>
      <c r="E230" s="9">
        <f t="shared" si="77"/>
        <v>31.03448275862069</v>
      </c>
      <c r="F230" s="9">
        <f t="shared" si="78"/>
        <v>0</v>
      </c>
      <c r="G230">
        <v>0</v>
      </c>
      <c r="H230">
        <v>68.965517241379317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31.03448275862069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42</v>
      </c>
      <c r="AK230" t="s">
        <v>1</v>
      </c>
      <c r="AL230" t="s">
        <v>374</v>
      </c>
      <c r="AQ230" s="1">
        <f t="shared" si="99"/>
        <v>100</v>
      </c>
      <c r="AR230" s="1">
        <f t="shared" si="79"/>
        <v>0.31034482758620691</v>
      </c>
      <c r="AS230" s="1">
        <f t="shared" si="80"/>
        <v>0</v>
      </c>
      <c r="AT230" s="1">
        <f t="shared" si="81"/>
        <v>0.68965517241379315</v>
      </c>
      <c r="AU230" s="1">
        <f t="shared" si="82"/>
        <v>0</v>
      </c>
      <c r="AV230" s="1">
        <f t="shared" si="83"/>
        <v>0.42</v>
      </c>
      <c r="AX230" s="1">
        <f t="shared" si="84"/>
        <v>0</v>
      </c>
      <c r="AY230" s="1">
        <f t="shared" si="85"/>
        <v>0.45</v>
      </c>
      <c r="AZ230" s="1">
        <f t="shared" si="86"/>
        <v>0.5</v>
      </c>
      <c r="BA230" s="1">
        <f t="shared" si="87"/>
        <v>0.5</v>
      </c>
      <c r="BB230" s="1">
        <f t="shared" si="88"/>
        <v>0.45</v>
      </c>
      <c r="BC230" s="1">
        <f t="shared" si="89"/>
        <v>0.45</v>
      </c>
      <c r="BD230" s="1">
        <f t="shared" si="90"/>
        <v>3.0000000000000027E-2</v>
      </c>
      <c r="BF230">
        <f t="shared" si="91"/>
        <v>68.965517241379317</v>
      </c>
      <c r="BG230">
        <f t="shared" si="101"/>
        <v>31.03448275862069</v>
      </c>
      <c r="BH230" s="1">
        <f t="shared" si="92"/>
        <v>0</v>
      </c>
      <c r="BI230" s="1">
        <f t="shared" si="93"/>
        <v>0.44999999999999996</v>
      </c>
      <c r="BJ230" s="1">
        <f t="shared" si="94"/>
        <v>0.59</v>
      </c>
      <c r="BK230" s="1">
        <f t="shared" si="95"/>
        <v>9.6000000000000002E-2</v>
      </c>
      <c r="BL230" s="1">
        <f t="shared" si="96"/>
        <v>0.44999999999999996</v>
      </c>
      <c r="BM230" s="1">
        <f t="shared" si="97"/>
        <v>0.44999999999999996</v>
      </c>
      <c r="BN230" s="1">
        <f t="shared" si="100"/>
        <v>8.9999999999999824E-4</v>
      </c>
      <c r="BO230" s="1">
        <f t="shared" si="98"/>
        <v>1.527467367487362E-4</v>
      </c>
    </row>
    <row r="231" spans="1:67" x14ac:dyDescent="0.25">
      <c r="A231" s="3"/>
      <c r="B231" s="3"/>
      <c r="C231" t="s">
        <v>491</v>
      </c>
      <c r="D231" s="5">
        <v>1</v>
      </c>
      <c r="E231" s="9">
        <f t="shared" si="77"/>
        <v>33.333333333333329</v>
      </c>
      <c r="F231" s="9">
        <f t="shared" si="78"/>
        <v>0</v>
      </c>
      <c r="G231">
        <v>0</v>
      </c>
      <c r="H231">
        <v>66.666666666666657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33.333333333333329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43</v>
      </c>
      <c r="AK231" t="s">
        <v>1</v>
      </c>
      <c r="AL231" t="s">
        <v>374</v>
      </c>
      <c r="AQ231" s="1">
        <f t="shared" si="99"/>
        <v>99.999999999999986</v>
      </c>
      <c r="AR231" s="1">
        <f t="shared" si="79"/>
        <v>0.33333333333333326</v>
      </c>
      <c r="AS231" s="1">
        <f t="shared" si="80"/>
        <v>0</v>
      </c>
      <c r="AT231" s="1">
        <f t="shared" si="81"/>
        <v>0.66666666666666652</v>
      </c>
      <c r="AU231" s="1">
        <f t="shared" si="82"/>
        <v>0</v>
      </c>
      <c r="AV231" s="1">
        <f t="shared" si="83"/>
        <v>0.43</v>
      </c>
      <c r="AX231" s="1">
        <f t="shared" si="84"/>
        <v>0</v>
      </c>
      <c r="AY231" s="1">
        <f t="shared" si="85"/>
        <v>0.5</v>
      </c>
      <c r="AZ231" s="1">
        <f t="shared" si="86"/>
        <v>0.5</v>
      </c>
      <c r="BA231" s="1">
        <f t="shared" si="87"/>
        <v>0.5</v>
      </c>
      <c r="BB231" s="1">
        <f t="shared" si="88"/>
        <v>0.5</v>
      </c>
      <c r="BC231" s="1">
        <f t="shared" si="89"/>
        <v>0.5</v>
      </c>
      <c r="BD231" s="1">
        <f t="shared" si="90"/>
        <v>7.0000000000000007E-2</v>
      </c>
      <c r="BF231">
        <f t="shared" si="91"/>
        <v>66.666666666666657</v>
      </c>
      <c r="BG231">
        <f t="shared" si="101"/>
        <v>33.333333333333329</v>
      </c>
      <c r="BH231" s="1">
        <f t="shared" si="92"/>
        <v>0</v>
      </c>
      <c r="BI231" s="1">
        <f t="shared" si="93"/>
        <v>0.5</v>
      </c>
      <c r="BJ231" s="1">
        <f t="shared" si="94"/>
        <v>0.59</v>
      </c>
      <c r="BK231" s="1">
        <f t="shared" si="95"/>
        <v>9.6000000000000002E-2</v>
      </c>
      <c r="BL231" s="1">
        <f t="shared" si="96"/>
        <v>0.5</v>
      </c>
      <c r="BM231" s="1">
        <f t="shared" si="97"/>
        <v>0.5</v>
      </c>
      <c r="BN231" s="1">
        <f t="shared" si="100"/>
        <v>4.9000000000000007E-3</v>
      </c>
      <c r="BO231" s="1">
        <f t="shared" si="98"/>
        <v>4.9992823828049458E-4</v>
      </c>
    </row>
    <row r="232" spans="1:67" x14ac:dyDescent="0.25">
      <c r="A232" s="3"/>
      <c r="B232" s="3"/>
      <c r="C232" t="s">
        <v>492</v>
      </c>
      <c r="D232" s="5">
        <v>1</v>
      </c>
      <c r="E232" s="9">
        <f t="shared" si="77"/>
        <v>40.011997600479901</v>
      </c>
      <c r="F232" s="9">
        <f t="shared" si="78"/>
        <v>0</v>
      </c>
      <c r="G232">
        <v>0</v>
      </c>
      <c r="H232">
        <v>59.988002399520092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40.011997600479901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44.5</v>
      </c>
      <c r="AK232" t="s">
        <v>1</v>
      </c>
      <c r="AL232" t="s">
        <v>374</v>
      </c>
      <c r="AQ232" s="1">
        <f t="shared" si="99"/>
        <v>100</v>
      </c>
      <c r="AR232" s="1">
        <f t="shared" si="79"/>
        <v>0.40011997600479904</v>
      </c>
      <c r="AS232" s="1">
        <f t="shared" si="80"/>
        <v>0</v>
      </c>
      <c r="AT232" s="1">
        <f t="shared" si="81"/>
        <v>0.59988002399520091</v>
      </c>
      <c r="AU232" s="1">
        <f t="shared" si="82"/>
        <v>0</v>
      </c>
      <c r="AV232" s="1">
        <f t="shared" si="83"/>
        <v>0.44500000000000001</v>
      </c>
      <c r="AX232" s="1">
        <f t="shared" si="84"/>
        <v>0</v>
      </c>
      <c r="AY232" s="1">
        <f t="shared" si="85"/>
        <v>0.66700000000000004</v>
      </c>
      <c r="AZ232" s="1">
        <f t="shared" si="86"/>
        <v>0.5</v>
      </c>
      <c r="BA232" s="1">
        <f t="shared" si="87"/>
        <v>0.5</v>
      </c>
      <c r="BB232" s="1">
        <f t="shared" si="88"/>
        <v>0.4443333333333333</v>
      </c>
      <c r="BC232" s="1">
        <f t="shared" si="89"/>
        <v>0.4443333333333333</v>
      </c>
      <c r="BD232" s="1">
        <f t="shared" si="90"/>
        <v>6.6666666666670427E-4</v>
      </c>
      <c r="BF232">
        <f t="shared" si="91"/>
        <v>59.988002399520092</v>
      </c>
      <c r="BG232">
        <f t="shared" si="101"/>
        <v>40.011997600479901</v>
      </c>
      <c r="BH232" s="1">
        <f t="shared" si="92"/>
        <v>0</v>
      </c>
      <c r="BI232" s="1">
        <f t="shared" si="93"/>
        <v>0.66700000000000004</v>
      </c>
      <c r="BJ232" s="1">
        <f t="shared" si="94"/>
        <v>0.59</v>
      </c>
      <c r="BK232" s="1">
        <f t="shared" si="95"/>
        <v>9.6000000000000002E-2</v>
      </c>
      <c r="BL232" s="1">
        <f t="shared" si="96"/>
        <v>0.39966666666666661</v>
      </c>
      <c r="BM232" s="1">
        <f t="shared" si="97"/>
        <v>0.39966666666666661</v>
      </c>
      <c r="BN232" s="1">
        <f t="shared" si="100"/>
        <v>2.0551111111111165E-3</v>
      </c>
      <c r="BO232" s="1">
        <f t="shared" si="98"/>
        <v>1.395700490578133E-3</v>
      </c>
    </row>
    <row r="233" spans="1:67" x14ac:dyDescent="0.25">
      <c r="A233" s="3"/>
      <c r="B233" s="3"/>
      <c r="C233" t="s">
        <v>493</v>
      </c>
      <c r="D233" s="5">
        <v>1</v>
      </c>
      <c r="E233" s="9">
        <f t="shared" si="77"/>
        <v>64.912280701754383</v>
      </c>
      <c r="F233" s="9">
        <f t="shared" si="78"/>
        <v>0</v>
      </c>
      <c r="G233">
        <v>0</v>
      </c>
      <c r="H233">
        <v>35.087719298245609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64.912280701754383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9.7000000000000011</v>
      </c>
      <c r="AK233" t="s">
        <v>1</v>
      </c>
      <c r="AL233" t="s">
        <v>374</v>
      </c>
      <c r="AQ233" s="1">
        <f t="shared" si="99"/>
        <v>100</v>
      </c>
      <c r="AR233" s="1">
        <f t="shared" si="79"/>
        <v>0.64912280701754388</v>
      </c>
      <c r="AS233" s="1">
        <f t="shared" si="80"/>
        <v>0</v>
      </c>
      <c r="AT233" s="1">
        <f t="shared" si="81"/>
        <v>0.35087719298245612</v>
      </c>
      <c r="AU233" s="1">
        <f t="shared" si="82"/>
        <v>0</v>
      </c>
      <c r="AV233" s="1">
        <f t="shared" si="83"/>
        <v>9.7000000000000017E-2</v>
      </c>
      <c r="AX233" s="1">
        <f t="shared" si="84"/>
        <v>0</v>
      </c>
      <c r="AY233" s="1">
        <f t="shared" si="85"/>
        <v>1.85</v>
      </c>
      <c r="AZ233" s="1">
        <f t="shared" si="86"/>
        <v>0.5</v>
      </c>
      <c r="BA233" s="1">
        <f t="shared" si="87"/>
        <v>0.5</v>
      </c>
      <c r="BB233" s="1">
        <f t="shared" si="88"/>
        <v>4.9999999999999989E-2</v>
      </c>
      <c r="BC233" s="1">
        <f t="shared" si="89"/>
        <v>4.9999999999999989E-2</v>
      </c>
      <c r="BD233" s="1">
        <f t="shared" si="90"/>
        <v>4.7000000000000028E-2</v>
      </c>
      <c r="BF233">
        <f t="shared" si="91"/>
        <v>35.087719298245609</v>
      </c>
      <c r="BG233">
        <f t="shared" si="101"/>
        <v>64.912280701754383</v>
      </c>
      <c r="BH233" s="1">
        <f t="shared" si="92"/>
        <v>0</v>
      </c>
      <c r="BI233" s="1">
        <f t="shared" si="93"/>
        <v>1.85</v>
      </c>
      <c r="BJ233" s="1">
        <f t="shared" si="94"/>
        <v>0.59</v>
      </c>
      <c r="BK233" s="1">
        <f t="shared" si="95"/>
        <v>9.6000000000000002E-2</v>
      </c>
      <c r="BL233" s="1">
        <f t="shared" si="96"/>
        <v>5.3333333333333011E-3</v>
      </c>
      <c r="BM233" s="1">
        <f t="shared" si="97"/>
        <v>5.3333333333333011E-3</v>
      </c>
      <c r="BN233" s="1">
        <f t="shared" si="100"/>
        <v>8.4027777777777868E-3</v>
      </c>
      <c r="BO233" s="1">
        <f t="shared" si="98"/>
        <v>9.6497784237272927E-2</v>
      </c>
    </row>
    <row r="234" spans="1:67" x14ac:dyDescent="0.25">
      <c r="A234" s="3"/>
      <c r="B234" s="3"/>
      <c r="C234" t="s">
        <v>494</v>
      </c>
      <c r="D234" s="5">
        <v>1</v>
      </c>
      <c r="E234" s="9">
        <f t="shared" si="77"/>
        <v>66.666666666666657</v>
      </c>
      <c r="F234" s="9">
        <f t="shared" si="78"/>
        <v>0</v>
      </c>
      <c r="G234">
        <v>0</v>
      </c>
      <c r="H234">
        <v>33.333333333333329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66.666666666666657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8</v>
      </c>
      <c r="AK234" t="s">
        <v>1</v>
      </c>
      <c r="AL234" t="s">
        <v>374</v>
      </c>
      <c r="AQ234" s="1">
        <f t="shared" si="99"/>
        <v>99.999999999999986</v>
      </c>
      <c r="AR234" s="1">
        <f t="shared" si="79"/>
        <v>0.66666666666666652</v>
      </c>
      <c r="AS234" s="1">
        <f t="shared" si="80"/>
        <v>0</v>
      </c>
      <c r="AT234" s="1">
        <f t="shared" si="81"/>
        <v>0.33333333333333326</v>
      </c>
      <c r="AU234" s="1">
        <f t="shared" si="82"/>
        <v>0</v>
      </c>
      <c r="AV234" s="1">
        <f t="shared" si="83"/>
        <v>0.08</v>
      </c>
      <c r="AX234" s="1">
        <f t="shared" si="84"/>
        <v>0</v>
      </c>
      <c r="AY234" s="1">
        <f t="shared" si="85"/>
        <v>2</v>
      </c>
      <c r="AZ234" s="1">
        <f t="shared" si="86"/>
        <v>0.5</v>
      </c>
      <c r="BA234" s="1">
        <f t="shared" si="87"/>
        <v>0.5</v>
      </c>
      <c r="BB234" s="1">
        <f t="shared" si="88"/>
        <v>0</v>
      </c>
      <c r="BC234" s="1">
        <f t="shared" si="89"/>
        <v>0</v>
      </c>
      <c r="BD234" s="1">
        <f t="shared" si="90"/>
        <v>0.08</v>
      </c>
      <c r="BF234">
        <f t="shared" si="91"/>
        <v>33.333333333333329</v>
      </c>
      <c r="BG234">
        <f t="shared" si="101"/>
        <v>66.666666666666657</v>
      </c>
      <c r="BH234" s="1">
        <f t="shared" si="92"/>
        <v>0</v>
      </c>
      <c r="BI234" s="1">
        <f t="shared" si="93"/>
        <v>2</v>
      </c>
      <c r="BJ234" s="1">
        <f t="shared" si="94"/>
        <v>0.59</v>
      </c>
      <c r="BK234" s="1">
        <f t="shared" si="95"/>
        <v>9.6000000000000002E-2</v>
      </c>
      <c r="BL234" s="1">
        <f t="shared" si="96"/>
        <v>-4.4666666666666632E-2</v>
      </c>
      <c r="BM234" s="1">
        <f t="shared" si="97"/>
        <v>0</v>
      </c>
      <c r="BN234" s="1">
        <f t="shared" si="100"/>
        <v>6.4000000000000003E-3</v>
      </c>
      <c r="BO234" s="1">
        <f t="shared" si="98"/>
        <v>0.10734857568466895</v>
      </c>
    </row>
    <row r="235" spans="1:67" x14ac:dyDescent="0.25">
      <c r="A235" s="3"/>
      <c r="B235" s="3"/>
      <c r="C235" t="s">
        <v>495</v>
      </c>
      <c r="D235" s="5">
        <v>1</v>
      </c>
      <c r="E235" s="9">
        <f t="shared" si="77"/>
        <v>69.969969969969966</v>
      </c>
      <c r="F235" s="9">
        <f t="shared" si="78"/>
        <v>0</v>
      </c>
      <c r="G235">
        <v>0</v>
      </c>
      <c r="H235">
        <v>30.03003003003003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69.969969969969966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2.9</v>
      </c>
      <c r="AK235" t="s">
        <v>1</v>
      </c>
      <c r="AL235" t="s">
        <v>374</v>
      </c>
      <c r="AQ235" s="1">
        <f t="shared" si="99"/>
        <v>100</v>
      </c>
      <c r="AR235" s="1">
        <f t="shared" si="79"/>
        <v>0.6996996996996997</v>
      </c>
      <c r="AS235" s="1">
        <f t="shared" si="80"/>
        <v>0</v>
      </c>
      <c r="AT235" s="1">
        <f t="shared" si="81"/>
        <v>0.3003003003003003</v>
      </c>
      <c r="AU235" s="1">
        <f t="shared" si="82"/>
        <v>0</v>
      </c>
      <c r="AV235" s="1">
        <f t="shared" si="83"/>
        <v>2.8999999999999998E-2</v>
      </c>
      <c r="AX235" s="1">
        <f t="shared" si="84"/>
        <v>0</v>
      </c>
      <c r="AY235" s="1">
        <f t="shared" si="85"/>
        <v>2.33</v>
      </c>
      <c r="AZ235" s="1">
        <f t="shared" si="86"/>
        <v>0.5</v>
      </c>
      <c r="BA235" s="1">
        <f t="shared" si="87"/>
        <v>0.5</v>
      </c>
      <c r="BB235" s="1">
        <f t="shared" si="88"/>
        <v>-0.10999999999999999</v>
      </c>
      <c r="BC235" s="1">
        <f t="shared" si="89"/>
        <v>-0.10999999999999999</v>
      </c>
      <c r="BD235" s="1">
        <f t="shared" si="90"/>
        <v>0.13899999999999998</v>
      </c>
      <c r="BF235">
        <f t="shared" si="91"/>
        <v>30.03003003003003</v>
      </c>
      <c r="BG235">
        <f t="shared" si="101"/>
        <v>69.969969969969966</v>
      </c>
      <c r="BH235" s="1">
        <f t="shared" si="92"/>
        <v>0</v>
      </c>
      <c r="BI235" s="1">
        <f t="shared" si="93"/>
        <v>2.33</v>
      </c>
      <c r="BJ235" s="1">
        <f t="shared" si="94"/>
        <v>0.59</v>
      </c>
      <c r="BK235" s="1">
        <f t="shared" si="95"/>
        <v>9.6000000000000002E-2</v>
      </c>
      <c r="BL235" s="1">
        <f t="shared" si="96"/>
        <v>-0.15466666666666673</v>
      </c>
      <c r="BM235" s="1">
        <f t="shared" si="97"/>
        <v>0</v>
      </c>
      <c r="BN235" s="1">
        <f t="shared" si="100"/>
        <v>8.4099999999999984E-4</v>
      </c>
      <c r="BO235" s="1">
        <f t="shared" si="98"/>
        <v>0.14336895002685696</v>
      </c>
    </row>
    <row r="236" spans="1:67" x14ac:dyDescent="0.25">
      <c r="A236" s="3"/>
      <c r="B236" s="3"/>
      <c r="C236">
        <v>1</v>
      </c>
      <c r="D236" s="5">
        <v>1</v>
      </c>
      <c r="E236" s="9">
        <f t="shared" si="77"/>
        <v>6.25</v>
      </c>
      <c r="F236" s="9">
        <f t="shared" si="78"/>
        <v>0.33333333333333331</v>
      </c>
      <c r="G236">
        <v>0</v>
      </c>
      <c r="H236">
        <v>62.5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6.25</v>
      </c>
      <c r="P236">
        <v>0</v>
      </c>
      <c r="Q236">
        <v>31.25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11</v>
      </c>
      <c r="AK236" t="s">
        <v>1</v>
      </c>
      <c r="AL236" t="s">
        <v>374</v>
      </c>
      <c r="AQ236" s="1">
        <f t="shared" si="99"/>
        <v>100</v>
      </c>
      <c r="AR236" s="1">
        <f t="shared" si="79"/>
        <v>6.25E-2</v>
      </c>
      <c r="AS236" s="1">
        <f t="shared" si="80"/>
        <v>0</v>
      </c>
      <c r="AT236" s="1">
        <f t="shared" si="81"/>
        <v>0.625</v>
      </c>
      <c r="AU236" s="1">
        <f t="shared" si="82"/>
        <v>0.3125</v>
      </c>
      <c r="AV236" s="1">
        <f t="shared" si="83"/>
        <v>0.11</v>
      </c>
      <c r="AX236" s="1">
        <f t="shared" si="84"/>
        <v>0.5</v>
      </c>
      <c r="AY236" s="1">
        <f t="shared" si="85"/>
        <v>0.1</v>
      </c>
      <c r="AZ236" s="1">
        <f t="shared" si="86"/>
        <v>0.53125</v>
      </c>
      <c r="BA236" s="1">
        <f t="shared" si="87"/>
        <v>0.625</v>
      </c>
      <c r="BB236" s="1">
        <f t="shared" si="88"/>
        <v>0.1</v>
      </c>
      <c r="BC236" s="1">
        <f t="shared" si="89"/>
        <v>0.1</v>
      </c>
      <c r="BD236" s="1">
        <f t="shared" si="90"/>
        <v>9.999999999999995E-3</v>
      </c>
      <c r="BF236">
        <f t="shared" si="91"/>
        <v>62.5</v>
      </c>
      <c r="BG236">
        <f t="shared" si="101"/>
        <v>6.25</v>
      </c>
      <c r="BH236" s="1">
        <f t="shared" si="92"/>
        <v>0.5</v>
      </c>
      <c r="BI236" s="1">
        <f t="shared" si="93"/>
        <v>0.1</v>
      </c>
      <c r="BJ236" s="1">
        <f t="shared" si="94"/>
        <v>0.59949999999999992</v>
      </c>
      <c r="BK236" s="1">
        <f t="shared" si="95"/>
        <v>0.34699999999999998</v>
      </c>
      <c r="BL236" s="1">
        <f t="shared" si="96"/>
        <v>0.1</v>
      </c>
      <c r="BM236" s="1">
        <f t="shared" si="97"/>
        <v>0.1</v>
      </c>
      <c r="BN236" s="1">
        <f t="shared" si="100"/>
        <v>9.9999999999999896E-5</v>
      </c>
      <c r="BO236" s="1">
        <f t="shared" si="98"/>
        <v>8.8590120189264238E-2</v>
      </c>
    </row>
    <row r="237" spans="1:67" x14ac:dyDescent="0.25">
      <c r="A237" s="3"/>
      <c r="B237" s="3"/>
      <c r="C237">
        <v>2</v>
      </c>
      <c r="D237" s="5">
        <v>1</v>
      </c>
      <c r="E237" s="9">
        <f t="shared" si="77"/>
        <v>11.76470588235294</v>
      </c>
      <c r="F237" s="9">
        <f t="shared" si="78"/>
        <v>0.33333333333333337</v>
      </c>
      <c r="G237">
        <v>0</v>
      </c>
      <c r="H237">
        <v>58.82352941176471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11.76470588235294</v>
      </c>
      <c r="P237">
        <v>0</v>
      </c>
      <c r="Q237">
        <v>29.411764705882359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21</v>
      </c>
      <c r="AK237" t="s">
        <v>1</v>
      </c>
      <c r="AL237" t="s">
        <v>374</v>
      </c>
      <c r="AQ237" s="1">
        <f t="shared" si="99"/>
        <v>100.00000000000001</v>
      </c>
      <c r="AR237" s="1">
        <f t="shared" si="79"/>
        <v>0.1176470588235294</v>
      </c>
      <c r="AS237" s="1">
        <f t="shared" si="80"/>
        <v>0</v>
      </c>
      <c r="AT237" s="1">
        <f t="shared" si="81"/>
        <v>0.58823529411764708</v>
      </c>
      <c r="AU237" s="1">
        <f t="shared" si="82"/>
        <v>0.29411764705882359</v>
      </c>
      <c r="AV237" s="1">
        <f t="shared" si="83"/>
        <v>0.21</v>
      </c>
      <c r="AX237" s="1">
        <f t="shared" si="84"/>
        <v>0.50000000000000011</v>
      </c>
      <c r="AY237" s="1">
        <f t="shared" si="85"/>
        <v>0.19999999999999996</v>
      </c>
      <c r="AZ237" s="1">
        <f t="shared" si="86"/>
        <v>0.53125</v>
      </c>
      <c r="BA237" s="1">
        <f t="shared" si="87"/>
        <v>0.625</v>
      </c>
      <c r="BB237" s="1">
        <f t="shared" si="88"/>
        <v>0.19999999999999996</v>
      </c>
      <c r="BC237" s="1">
        <f t="shared" si="89"/>
        <v>0.19999999999999996</v>
      </c>
      <c r="BD237" s="1">
        <f t="shared" si="90"/>
        <v>1.0000000000000037E-2</v>
      </c>
      <c r="BF237">
        <f t="shared" si="91"/>
        <v>58.82352941176471</v>
      </c>
      <c r="BG237">
        <f t="shared" si="101"/>
        <v>11.76470588235294</v>
      </c>
      <c r="BH237" s="1">
        <f t="shared" si="92"/>
        <v>0.50000000000000011</v>
      </c>
      <c r="BI237" s="1">
        <f t="shared" si="93"/>
        <v>0.19999999999999998</v>
      </c>
      <c r="BJ237" s="1">
        <f t="shared" si="94"/>
        <v>0.59949999999999992</v>
      </c>
      <c r="BK237" s="1">
        <f t="shared" si="95"/>
        <v>0.34700000000000009</v>
      </c>
      <c r="BL237" s="1">
        <f t="shared" si="96"/>
        <v>0.19999999999999998</v>
      </c>
      <c r="BM237" s="1">
        <f t="shared" si="97"/>
        <v>0.19999999999999998</v>
      </c>
      <c r="BN237" s="1">
        <f t="shared" si="100"/>
        <v>1.0000000000000018E-4</v>
      </c>
      <c r="BO237" s="1">
        <f t="shared" si="98"/>
        <v>3.9061935204581816E-2</v>
      </c>
    </row>
    <row r="238" spans="1:67" x14ac:dyDescent="0.25">
      <c r="A238" s="3"/>
      <c r="B238" s="3"/>
      <c r="C238">
        <v>3</v>
      </c>
      <c r="D238" s="5">
        <v>1</v>
      </c>
      <c r="E238" s="9">
        <f t="shared" si="77"/>
        <v>18.032786885245901</v>
      </c>
      <c r="F238" s="9">
        <f t="shared" si="78"/>
        <v>0.33333333333333337</v>
      </c>
      <c r="G238">
        <v>0</v>
      </c>
      <c r="H238">
        <v>54.644808743169392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18.032786885245901</v>
      </c>
      <c r="P238">
        <v>0</v>
      </c>
      <c r="Q238">
        <v>27.3224043715847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33</v>
      </c>
      <c r="AK238" t="s">
        <v>1</v>
      </c>
      <c r="AL238" t="s">
        <v>374</v>
      </c>
      <c r="AQ238" s="1">
        <f t="shared" si="99"/>
        <v>99.999999999999986</v>
      </c>
      <c r="AR238" s="1">
        <f t="shared" si="79"/>
        <v>0.18032786885245902</v>
      </c>
      <c r="AS238" s="1">
        <f t="shared" si="80"/>
        <v>0</v>
      </c>
      <c r="AT238" s="1">
        <f t="shared" si="81"/>
        <v>0.54644808743169393</v>
      </c>
      <c r="AU238" s="1">
        <f t="shared" si="82"/>
        <v>0.27322404371584702</v>
      </c>
      <c r="AV238" s="1">
        <f t="shared" si="83"/>
        <v>0.33</v>
      </c>
      <c r="AX238" s="1">
        <f t="shared" si="84"/>
        <v>0.50000000000000011</v>
      </c>
      <c r="AY238" s="1">
        <f t="shared" si="85"/>
        <v>0.33000000000000007</v>
      </c>
      <c r="AZ238" s="1">
        <f t="shared" si="86"/>
        <v>0.53125</v>
      </c>
      <c r="BA238" s="1">
        <f t="shared" si="87"/>
        <v>0.625</v>
      </c>
      <c r="BB238" s="1">
        <f t="shared" si="88"/>
        <v>0.33000000000000007</v>
      </c>
      <c r="BC238" s="1">
        <f t="shared" si="89"/>
        <v>0.33000000000000007</v>
      </c>
      <c r="BD238" s="1">
        <f t="shared" si="90"/>
        <v>5.5511151231257827E-17</v>
      </c>
      <c r="BF238">
        <f t="shared" si="91"/>
        <v>54.644808743169392</v>
      </c>
      <c r="BG238">
        <f t="shared" si="101"/>
        <v>18.032786885245901</v>
      </c>
      <c r="BH238" s="1">
        <f t="shared" si="92"/>
        <v>0.50000000000000011</v>
      </c>
      <c r="BI238" s="1">
        <f t="shared" si="93"/>
        <v>0.33</v>
      </c>
      <c r="BJ238" s="1">
        <f t="shared" si="94"/>
        <v>0.59949999999999992</v>
      </c>
      <c r="BK238" s="1">
        <f t="shared" si="95"/>
        <v>0.34700000000000009</v>
      </c>
      <c r="BL238" s="1">
        <f t="shared" si="96"/>
        <v>0.33</v>
      </c>
      <c r="BM238" s="1">
        <f t="shared" si="97"/>
        <v>0.33</v>
      </c>
      <c r="BN238" s="1">
        <f t="shared" si="100"/>
        <v>0</v>
      </c>
      <c r="BO238" s="1">
        <f t="shared" si="98"/>
        <v>6.0281132229629093E-3</v>
      </c>
    </row>
    <row r="239" spans="1:67" x14ac:dyDescent="0.25">
      <c r="A239" s="3"/>
      <c r="B239" s="3"/>
      <c r="C239">
        <v>4</v>
      </c>
      <c r="D239" s="5">
        <v>1</v>
      </c>
      <c r="E239" s="9">
        <f t="shared" si="77"/>
        <v>25</v>
      </c>
      <c r="F239" s="9">
        <f t="shared" si="78"/>
        <v>0.33333333333333331</v>
      </c>
      <c r="G239">
        <v>0</v>
      </c>
      <c r="H239">
        <v>50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25</v>
      </c>
      <c r="P239">
        <v>0</v>
      </c>
      <c r="Q239">
        <v>25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45</v>
      </c>
      <c r="AK239" t="s">
        <v>1</v>
      </c>
      <c r="AL239" t="s">
        <v>374</v>
      </c>
      <c r="AQ239" s="1">
        <f t="shared" si="99"/>
        <v>100</v>
      </c>
      <c r="AR239" s="1">
        <f t="shared" si="79"/>
        <v>0.25</v>
      </c>
      <c r="AS239" s="1">
        <f t="shared" si="80"/>
        <v>0</v>
      </c>
      <c r="AT239" s="1">
        <f t="shared" si="81"/>
        <v>0.5</v>
      </c>
      <c r="AU239" s="1">
        <f t="shared" si="82"/>
        <v>0.25</v>
      </c>
      <c r="AV239" s="1">
        <f t="shared" si="83"/>
        <v>0.45</v>
      </c>
      <c r="AX239" s="1">
        <f t="shared" si="84"/>
        <v>0.5</v>
      </c>
      <c r="AY239" s="1">
        <f t="shared" si="85"/>
        <v>0.5</v>
      </c>
      <c r="AZ239" s="1">
        <f t="shared" si="86"/>
        <v>0.53125</v>
      </c>
      <c r="BA239" s="1">
        <f t="shared" si="87"/>
        <v>0.625</v>
      </c>
      <c r="BB239" s="1">
        <f t="shared" si="88"/>
        <v>0.5</v>
      </c>
      <c r="BC239" s="1">
        <f t="shared" si="89"/>
        <v>0.5</v>
      </c>
      <c r="BD239" s="1">
        <f t="shared" si="90"/>
        <v>4.9999999999999989E-2</v>
      </c>
      <c r="BF239">
        <f t="shared" si="91"/>
        <v>50</v>
      </c>
      <c r="BG239">
        <f t="shared" si="101"/>
        <v>25</v>
      </c>
      <c r="BH239" s="1">
        <f t="shared" si="92"/>
        <v>0.5</v>
      </c>
      <c r="BI239" s="1">
        <f t="shared" si="93"/>
        <v>0.5</v>
      </c>
      <c r="BJ239" s="1">
        <f t="shared" si="94"/>
        <v>0.59949999999999992</v>
      </c>
      <c r="BK239" s="1">
        <f t="shared" si="95"/>
        <v>0.34699999999999998</v>
      </c>
      <c r="BL239" s="1">
        <f t="shared" si="96"/>
        <v>0.5</v>
      </c>
      <c r="BM239" s="1">
        <f t="shared" si="97"/>
        <v>0.5</v>
      </c>
      <c r="BN239" s="1">
        <f t="shared" si="100"/>
        <v>2.4999999999999988E-3</v>
      </c>
      <c r="BO239" s="1">
        <f t="shared" si="98"/>
        <v>1.7942912413440124E-3</v>
      </c>
    </row>
    <row r="240" spans="1:67" x14ac:dyDescent="0.25">
      <c r="A240" s="3"/>
      <c r="B240" s="3"/>
      <c r="C240">
        <v>5</v>
      </c>
      <c r="D240" s="5">
        <v>1</v>
      </c>
      <c r="E240" s="9">
        <f t="shared" si="77"/>
        <v>28.571428571428569</v>
      </c>
      <c r="F240" s="9">
        <f t="shared" si="78"/>
        <v>0.33333333333333343</v>
      </c>
      <c r="G240">
        <v>0</v>
      </c>
      <c r="H240">
        <v>47.619047619047613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28.571428571428569</v>
      </c>
      <c r="P240">
        <v>0</v>
      </c>
      <c r="Q240">
        <v>23.80952380952381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50</v>
      </c>
      <c r="AK240" t="s">
        <v>1</v>
      </c>
      <c r="AL240" t="s">
        <v>374</v>
      </c>
      <c r="AQ240" s="1">
        <f t="shared" si="99"/>
        <v>99.999999999999986</v>
      </c>
      <c r="AR240" s="1">
        <f t="shared" si="79"/>
        <v>0.2857142857142857</v>
      </c>
      <c r="AS240" s="1">
        <f t="shared" si="80"/>
        <v>0</v>
      </c>
      <c r="AT240" s="1">
        <f t="shared" si="81"/>
        <v>0.47619047619047611</v>
      </c>
      <c r="AU240" s="1">
        <f t="shared" si="82"/>
        <v>0.23809523809523811</v>
      </c>
      <c r="AV240" s="1">
        <f t="shared" si="83"/>
        <v>0.5</v>
      </c>
      <c r="AX240" s="1">
        <f t="shared" si="84"/>
        <v>0.50000000000000011</v>
      </c>
      <c r="AY240" s="1">
        <f t="shared" si="85"/>
        <v>0.60000000000000009</v>
      </c>
      <c r="AZ240" s="1">
        <f t="shared" si="86"/>
        <v>0.53125</v>
      </c>
      <c r="BA240" s="1">
        <f t="shared" si="87"/>
        <v>0.625</v>
      </c>
      <c r="BB240" s="1">
        <f t="shared" si="88"/>
        <v>0.53125</v>
      </c>
      <c r="BC240" s="1">
        <f t="shared" si="89"/>
        <v>0.53125</v>
      </c>
      <c r="BD240" s="1">
        <f t="shared" si="90"/>
        <v>3.125E-2</v>
      </c>
      <c r="BF240">
        <f t="shared" si="91"/>
        <v>47.619047619047613</v>
      </c>
      <c r="BG240">
        <f t="shared" si="101"/>
        <v>28.571428571428569</v>
      </c>
      <c r="BH240" s="1">
        <f t="shared" si="92"/>
        <v>0.50000000000000011</v>
      </c>
      <c r="BI240" s="1">
        <f t="shared" si="93"/>
        <v>0.6</v>
      </c>
      <c r="BJ240" s="1">
        <f t="shared" si="94"/>
        <v>0.59949999999999992</v>
      </c>
      <c r="BK240" s="1">
        <f t="shared" si="95"/>
        <v>0.34700000000000009</v>
      </c>
      <c r="BL240" s="1">
        <f t="shared" si="96"/>
        <v>0.5278166666666666</v>
      </c>
      <c r="BM240" s="1">
        <f t="shared" si="97"/>
        <v>0.5278166666666666</v>
      </c>
      <c r="BN240" s="1">
        <f t="shared" si="100"/>
        <v>7.7376694444444079E-4</v>
      </c>
      <c r="BO240" s="1">
        <f t="shared" si="98"/>
        <v>8.5301987490028035E-3</v>
      </c>
    </row>
    <row r="241" spans="1:67" x14ac:dyDescent="0.25">
      <c r="A241" s="3"/>
      <c r="B241" s="3"/>
      <c r="C241">
        <v>6</v>
      </c>
      <c r="D241" s="5">
        <v>1</v>
      </c>
      <c r="E241" s="9">
        <f t="shared" si="77"/>
        <v>31.818181818181809</v>
      </c>
      <c r="F241" s="9">
        <f t="shared" si="78"/>
        <v>0.33333333333333337</v>
      </c>
      <c r="G241">
        <v>0</v>
      </c>
      <c r="H241">
        <v>45.454545454545453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31.818181818181809</v>
      </c>
      <c r="P241">
        <v>0</v>
      </c>
      <c r="Q241">
        <v>22.72727272727273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49</v>
      </c>
      <c r="AK241" t="s">
        <v>1</v>
      </c>
      <c r="AL241" t="s">
        <v>374</v>
      </c>
      <c r="AQ241" s="1">
        <f t="shared" si="99"/>
        <v>100</v>
      </c>
      <c r="AR241" s="1">
        <f t="shared" si="79"/>
        <v>0.31818181818181812</v>
      </c>
      <c r="AS241" s="1">
        <f t="shared" si="80"/>
        <v>0</v>
      </c>
      <c r="AT241" s="1">
        <f t="shared" si="81"/>
        <v>0.45454545454545453</v>
      </c>
      <c r="AU241" s="1">
        <f t="shared" si="82"/>
        <v>0.22727272727272729</v>
      </c>
      <c r="AV241" s="1">
        <f t="shared" si="83"/>
        <v>0.49</v>
      </c>
      <c r="AX241" s="1">
        <f t="shared" si="84"/>
        <v>0.50000000000000011</v>
      </c>
      <c r="AY241" s="1">
        <f t="shared" si="85"/>
        <v>0.69999999999999984</v>
      </c>
      <c r="AZ241" s="1">
        <f t="shared" si="86"/>
        <v>0.53125</v>
      </c>
      <c r="BA241" s="1">
        <f t="shared" si="87"/>
        <v>0.625</v>
      </c>
      <c r="BB241" s="1">
        <f t="shared" si="88"/>
        <v>0.51</v>
      </c>
      <c r="BC241" s="1">
        <f t="shared" si="89"/>
        <v>0.51</v>
      </c>
      <c r="BD241" s="1">
        <f t="shared" si="90"/>
        <v>2.0000000000000018E-2</v>
      </c>
      <c r="BF241">
        <f t="shared" si="91"/>
        <v>45.454545454545453</v>
      </c>
      <c r="BG241">
        <f t="shared" si="101"/>
        <v>31.818181818181809</v>
      </c>
      <c r="BH241" s="1">
        <f t="shared" si="92"/>
        <v>0.50000000000000011</v>
      </c>
      <c r="BI241" s="1">
        <f t="shared" si="93"/>
        <v>0.69999999999999984</v>
      </c>
      <c r="BJ241" s="1">
        <f t="shared" si="94"/>
        <v>0.59949999999999992</v>
      </c>
      <c r="BK241" s="1">
        <f t="shared" si="95"/>
        <v>0.34700000000000009</v>
      </c>
      <c r="BL241" s="1">
        <f t="shared" si="96"/>
        <v>0.49948333333333333</v>
      </c>
      <c r="BM241" s="1">
        <f t="shared" si="97"/>
        <v>0.49948333333333333</v>
      </c>
      <c r="BN241" s="1">
        <f t="shared" si="100"/>
        <v>8.9933611111111308E-5</v>
      </c>
      <c r="BO241" s="1">
        <f t="shared" si="98"/>
        <v>6.7830172474710433E-3</v>
      </c>
    </row>
    <row r="242" spans="1:67" x14ac:dyDescent="0.25">
      <c r="A242" s="3"/>
      <c r="B242" s="3"/>
      <c r="C242">
        <v>7</v>
      </c>
      <c r="D242" s="5">
        <v>1</v>
      </c>
      <c r="E242" s="9">
        <f t="shared" si="77"/>
        <v>34.782608695652179</v>
      </c>
      <c r="F242" s="9">
        <f t="shared" si="78"/>
        <v>0.33333333333333331</v>
      </c>
      <c r="G242">
        <v>0</v>
      </c>
      <c r="H242">
        <v>43.478260869565219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34.782608695652179</v>
      </c>
      <c r="P242">
        <v>0</v>
      </c>
      <c r="Q242">
        <v>21.739130434782609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47</v>
      </c>
      <c r="AK242" t="s">
        <v>1</v>
      </c>
      <c r="AL242" t="s">
        <v>374</v>
      </c>
      <c r="AQ242" s="1">
        <f t="shared" si="99"/>
        <v>100.00000000000001</v>
      </c>
      <c r="AR242" s="1">
        <f t="shared" si="79"/>
        <v>0.34782608695652178</v>
      </c>
      <c r="AS242" s="1">
        <f t="shared" si="80"/>
        <v>0</v>
      </c>
      <c r="AT242" s="1">
        <f t="shared" si="81"/>
        <v>0.43478260869565216</v>
      </c>
      <c r="AU242" s="1">
        <f t="shared" si="82"/>
        <v>0.21739130434782608</v>
      </c>
      <c r="AV242" s="1">
        <f t="shared" si="83"/>
        <v>0.47</v>
      </c>
      <c r="AX242" s="1">
        <f t="shared" si="84"/>
        <v>0.5</v>
      </c>
      <c r="AY242" s="1">
        <f t="shared" si="85"/>
        <v>0.80000000000000016</v>
      </c>
      <c r="AZ242" s="1">
        <f t="shared" si="86"/>
        <v>0.53125</v>
      </c>
      <c r="BA242" s="1">
        <f t="shared" si="87"/>
        <v>0.625</v>
      </c>
      <c r="BB242" s="1">
        <f t="shared" si="88"/>
        <v>0.48166666666666663</v>
      </c>
      <c r="BC242" s="1">
        <f t="shared" si="89"/>
        <v>0.48166666666666663</v>
      </c>
      <c r="BD242" s="1">
        <f t="shared" si="90"/>
        <v>1.1666666666666659E-2</v>
      </c>
      <c r="BF242">
        <f t="shared" si="91"/>
        <v>43.478260869565219</v>
      </c>
      <c r="BG242">
        <f t="shared" si="101"/>
        <v>34.782608695652179</v>
      </c>
      <c r="BH242" s="1">
        <f t="shared" si="92"/>
        <v>0.5</v>
      </c>
      <c r="BI242" s="1">
        <f t="shared" si="93"/>
        <v>0.8</v>
      </c>
      <c r="BJ242" s="1">
        <f t="shared" si="94"/>
        <v>0.59949999999999992</v>
      </c>
      <c r="BK242" s="1">
        <f t="shared" si="95"/>
        <v>0.34699999999999998</v>
      </c>
      <c r="BL242" s="1">
        <f t="shared" si="96"/>
        <v>0.4711499999999999</v>
      </c>
      <c r="BM242" s="1">
        <f t="shared" si="97"/>
        <v>0.4711499999999999</v>
      </c>
      <c r="BN242" s="1">
        <f t="shared" si="100"/>
        <v>1.3224999999998364E-6</v>
      </c>
      <c r="BO242" s="1">
        <f t="shared" si="98"/>
        <v>3.8886542444075247E-3</v>
      </c>
    </row>
    <row r="243" spans="1:67" x14ac:dyDescent="0.25">
      <c r="A243" s="3"/>
      <c r="B243" s="3"/>
      <c r="C243">
        <v>8</v>
      </c>
      <c r="D243" s="5">
        <v>1</v>
      </c>
      <c r="E243" s="9">
        <f t="shared" si="77"/>
        <v>37.5</v>
      </c>
      <c r="F243" s="9">
        <f t="shared" si="78"/>
        <v>0.33333333333333337</v>
      </c>
      <c r="G243">
        <v>0</v>
      </c>
      <c r="H243">
        <v>41.666666666666671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37.5</v>
      </c>
      <c r="P243">
        <v>0</v>
      </c>
      <c r="Q243">
        <v>20.833333333333339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45</v>
      </c>
      <c r="AK243" t="s">
        <v>1</v>
      </c>
      <c r="AL243" t="s">
        <v>374</v>
      </c>
      <c r="AQ243" s="1">
        <f t="shared" si="99"/>
        <v>100.00000000000001</v>
      </c>
      <c r="AR243" s="1">
        <f t="shared" si="79"/>
        <v>0.375</v>
      </c>
      <c r="AS243" s="1">
        <f t="shared" si="80"/>
        <v>0</v>
      </c>
      <c r="AT243" s="1">
        <f t="shared" si="81"/>
        <v>0.41666666666666674</v>
      </c>
      <c r="AU243" s="1">
        <f t="shared" si="82"/>
        <v>0.2083333333333334</v>
      </c>
      <c r="AV243" s="1">
        <f t="shared" si="83"/>
        <v>0.45</v>
      </c>
      <c r="AX243" s="1">
        <f t="shared" si="84"/>
        <v>0.50000000000000011</v>
      </c>
      <c r="AY243" s="1">
        <f t="shared" si="85"/>
        <v>0.8999999999999998</v>
      </c>
      <c r="AZ243" s="1">
        <f t="shared" si="86"/>
        <v>0.53125</v>
      </c>
      <c r="BA243" s="1">
        <f t="shared" si="87"/>
        <v>0.625</v>
      </c>
      <c r="BB243" s="1">
        <f t="shared" si="88"/>
        <v>0.45333333333333337</v>
      </c>
      <c r="BC243" s="1">
        <f t="shared" si="89"/>
        <v>0.45333333333333337</v>
      </c>
      <c r="BD243" s="1">
        <f t="shared" si="90"/>
        <v>3.3333333333333548E-3</v>
      </c>
      <c r="BF243">
        <f t="shared" si="91"/>
        <v>41.666666666666671</v>
      </c>
      <c r="BG243">
        <f t="shared" si="101"/>
        <v>37.5</v>
      </c>
      <c r="BH243" s="1">
        <f t="shared" si="92"/>
        <v>0.50000000000000011</v>
      </c>
      <c r="BI243" s="1">
        <f t="shared" si="93"/>
        <v>0.89999999999999991</v>
      </c>
      <c r="BJ243" s="1">
        <f t="shared" si="94"/>
        <v>0.59949999999999992</v>
      </c>
      <c r="BK243" s="1">
        <f t="shared" si="95"/>
        <v>0.34700000000000009</v>
      </c>
      <c r="BL243" s="1">
        <f t="shared" si="96"/>
        <v>0.44281666666666664</v>
      </c>
      <c r="BM243" s="1">
        <f t="shared" si="97"/>
        <v>0.44281666666666664</v>
      </c>
      <c r="BN243" s="1">
        <f t="shared" si="100"/>
        <v>5.1600277777778373E-5</v>
      </c>
      <c r="BO243" s="1">
        <f t="shared" si="98"/>
        <v>1.7942912413440124E-3</v>
      </c>
    </row>
    <row r="244" spans="1:67" x14ac:dyDescent="0.25">
      <c r="A244" s="3"/>
      <c r="B244" s="3"/>
      <c r="C244">
        <v>9</v>
      </c>
      <c r="D244" s="5">
        <v>1</v>
      </c>
      <c r="E244" s="9">
        <f t="shared" si="77"/>
        <v>40</v>
      </c>
      <c r="F244" s="9">
        <f t="shared" si="78"/>
        <v>0.33333333333333331</v>
      </c>
      <c r="G244">
        <v>0</v>
      </c>
      <c r="H244">
        <v>40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40</v>
      </c>
      <c r="P244">
        <v>0</v>
      </c>
      <c r="Q244">
        <v>20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41</v>
      </c>
      <c r="AK244" t="s">
        <v>1</v>
      </c>
      <c r="AL244" t="s">
        <v>374</v>
      </c>
      <c r="AQ244" s="1">
        <f t="shared" si="99"/>
        <v>100</v>
      </c>
      <c r="AR244" s="1">
        <f t="shared" si="79"/>
        <v>0.4</v>
      </c>
      <c r="AS244" s="1">
        <f t="shared" si="80"/>
        <v>0</v>
      </c>
      <c r="AT244" s="1">
        <f t="shared" si="81"/>
        <v>0.4</v>
      </c>
      <c r="AU244" s="1">
        <f t="shared" si="82"/>
        <v>0.2</v>
      </c>
      <c r="AV244" s="1">
        <f t="shared" si="83"/>
        <v>0.41</v>
      </c>
      <c r="AX244" s="1">
        <f t="shared" si="84"/>
        <v>0.5</v>
      </c>
      <c r="AY244" s="1">
        <f t="shared" si="85"/>
        <v>1</v>
      </c>
      <c r="AZ244" s="1">
        <f t="shared" si="86"/>
        <v>0.53125</v>
      </c>
      <c r="BA244" s="1">
        <f t="shared" si="87"/>
        <v>0.625</v>
      </c>
      <c r="BB244" s="1">
        <f t="shared" si="88"/>
        <v>0.42499999999999999</v>
      </c>
      <c r="BC244" s="1">
        <f t="shared" si="89"/>
        <v>0.42499999999999999</v>
      </c>
      <c r="BD244" s="1">
        <f t="shared" si="90"/>
        <v>1.5000000000000013E-2</v>
      </c>
      <c r="BF244">
        <f t="shared" si="91"/>
        <v>40</v>
      </c>
      <c r="BG244">
        <f t="shared" si="101"/>
        <v>40</v>
      </c>
      <c r="BH244" s="1">
        <f t="shared" si="92"/>
        <v>0.5</v>
      </c>
      <c r="BI244" s="1">
        <f t="shared" si="93"/>
        <v>1</v>
      </c>
      <c r="BJ244" s="1">
        <f t="shared" si="94"/>
        <v>0.59949999999999992</v>
      </c>
      <c r="BK244" s="1">
        <f t="shared" si="95"/>
        <v>0.34699999999999998</v>
      </c>
      <c r="BL244" s="1">
        <f t="shared" si="96"/>
        <v>0.4144833333333332</v>
      </c>
      <c r="BM244" s="1">
        <f t="shared" si="97"/>
        <v>0.4144833333333332</v>
      </c>
      <c r="BN244" s="1">
        <f t="shared" si="100"/>
        <v>2.0100277777776835E-5</v>
      </c>
      <c r="BO244" s="1">
        <f t="shared" si="98"/>
        <v>5.5652352169781633E-6</v>
      </c>
    </row>
    <row r="245" spans="1:67" x14ac:dyDescent="0.25">
      <c r="A245" s="3"/>
      <c r="B245" s="3"/>
      <c r="C245">
        <v>10</v>
      </c>
      <c r="D245" s="5">
        <v>1</v>
      </c>
      <c r="E245" s="9">
        <f t="shared" si="77"/>
        <v>5.213270142180094</v>
      </c>
      <c r="F245" s="9">
        <f t="shared" si="78"/>
        <v>0.5</v>
      </c>
      <c r="G245">
        <v>0</v>
      </c>
      <c r="H245">
        <v>47.393364928909953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5.213270142180094</v>
      </c>
      <c r="P245">
        <v>0</v>
      </c>
      <c r="Q245">
        <v>47.393364928909953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12</v>
      </c>
      <c r="AK245" t="s">
        <v>1</v>
      </c>
      <c r="AL245" t="s">
        <v>374</v>
      </c>
      <c r="AQ245" s="1">
        <f t="shared" si="99"/>
        <v>100</v>
      </c>
      <c r="AR245" s="1">
        <f t="shared" si="79"/>
        <v>5.2132701421800938E-2</v>
      </c>
      <c r="AS245" s="1">
        <f t="shared" si="80"/>
        <v>0</v>
      </c>
      <c r="AT245" s="1">
        <f t="shared" si="81"/>
        <v>0.47393364928909953</v>
      </c>
      <c r="AU245" s="1">
        <f t="shared" si="82"/>
        <v>0.47393364928909953</v>
      </c>
      <c r="AV245" s="1">
        <f t="shared" si="83"/>
        <v>0.12</v>
      </c>
      <c r="AX245" s="1">
        <f t="shared" si="84"/>
        <v>1</v>
      </c>
      <c r="AY245" s="1">
        <f t="shared" si="85"/>
        <v>0.10999999999999997</v>
      </c>
      <c r="AZ245" s="1">
        <f t="shared" si="86"/>
        <v>0.5625</v>
      </c>
      <c r="BA245" s="1">
        <f t="shared" si="87"/>
        <v>0.75</v>
      </c>
      <c r="BB245" s="1">
        <f t="shared" si="88"/>
        <v>0.10999999999999997</v>
      </c>
      <c r="BC245" s="1">
        <f t="shared" si="89"/>
        <v>0.10999999999999997</v>
      </c>
      <c r="BD245" s="1">
        <f t="shared" si="90"/>
        <v>1.0000000000000023E-2</v>
      </c>
      <c r="BF245">
        <f t="shared" si="91"/>
        <v>47.393364928909953</v>
      </c>
      <c r="BG245">
        <f t="shared" si="101"/>
        <v>5.213270142180094</v>
      </c>
      <c r="BH245" s="1">
        <f t="shared" si="92"/>
        <v>1</v>
      </c>
      <c r="BI245" s="1">
        <f t="shared" si="93"/>
        <v>0.10999999999999999</v>
      </c>
      <c r="BJ245" s="1">
        <f t="shared" si="94"/>
        <v>0.60899999999999999</v>
      </c>
      <c r="BK245" s="1">
        <f t="shared" si="95"/>
        <v>0.59799999999999998</v>
      </c>
      <c r="BL245" s="1">
        <f t="shared" si="96"/>
        <v>0.10999999999999999</v>
      </c>
      <c r="BM245" s="1">
        <f t="shared" si="97"/>
        <v>0.10999999999999999</v>
      </c>
      <c r="BN245" s="1">
        <f t="shared" si="100"/>
        <v>1.0000000000000018E-4</v>
      </c>
      <c r="BO245" s="1">
        <f t="shared" si="98"/>
        <v>8.2737301690795989E-2</v>
      </c>
    </row>
    <row r="246" spans="1:67" x14ac:dyDescent="0.25">
      <c r="A246" s="3"/>
      <c r="B246" s="3"/>
      <c r="C246">
        <v>11</v>
      </c>
      <c r="D246" s="5">
        <v>1</v>
      </c>
      <c r="E246" s="9">
        <f t="shared" si="77"/>
        <v>9.0909090909090917</v>
      </c>
      <c r="F246" s="9">
        <f t="shared" si="78"/>
        <v>0.5</v>
      </c>
      <c r="G246">
        <v>0</v>
      </c>
      <c r="H246">
        <v>45.454545454545453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9.0909090909090917</v>
      </c>
      <c r="P246">
        <v>0</v>
      </c>
      <c r="Q246">
        <v>45.454545454545453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22</v>
      </c>
      <c r="AK246" t="s">
        <v>1</v>
      </c>
      <c r="AL246" t="s">
        <v>374</v>
      </c>
      <c r="AQ246" s="1">
        <f t="shared" si="99"/>
        <v>100</v>
      </c>
      <c r="AR246" s="1">
        <f t="shared" si="79"/>
        <v>9.0909090909090912E-2</v>
      </c>
      <c r="AS246" s="1">
        <f t="shared" si="80"/>
        <v>0</v>
      </c>
      <c r="AT246" s="1">
        <f t="shared" si="81"/>
        <v>0.45454545454545453</v>
      </c>
      <c r="AU246" s="1">
        <f t="shared" si="82"/>
        <v>0.45454545454545453</v>
      </c>
      <c r="AV246" s="1">
        <f t="shared" si="83"/>
        <v>0.22</v>
      </c>
      <c r="AX246" s="1">
        <f t="shared" si="84"/>
        <v>1</v>
      </c>
      <c r="AY246" s="1">
        <f t="shared" si="85"/>
        <v>0.2</v>
      </c>
      <c r="AZ246" s="1">
        <f t="shared" si="86"/>
        <v>0.5625</v>
      </c>
      <c r="BA246" s="1">
        <f t="shared" si="87"/>
        <v>0.75</v>
      </c>
      <c r="BB246" s="1">
        <f t="shared" si="88"/>
        <v>0.2</v>
      </c>
      <c r="BC246" s="1">
        <f t="shared" si="89"/>
        <v>0.2</v>
      </c>
      <c r="BD246" s="1">
        <f t="shared" si="90"/>
        <v>1.999999999999999E-2</v>
      </c>
      <c r="BF246">
        <f t="shared" si="91"/>
        <v>45.454545454545453</v>
      </c>
      <c r="BG246">
        <f t="shared" si="101"/>
        <v>9.0909090909090917</v>
      </c>
      <c r="BH246" s="1">
        <f t="shared" si="92"/>
        <v>1</v>
      </c>
      <c r="BI246" s="1">
        <f t="shared" si="93"/>
        <v>0.2</v>
      </c>
      <c r="BJ246" s="1">
        <f t="shared" si="94"/>
        <v>0.60899999999999999</v>
      </c>
      <c r="BK246" s="1">
        <f t="shared" si="95"/>
        <v>0.59799999999999998</v>
      </c>
      <c r="BL246" s="1">
        <f t="shared" si="96"/>
        <v>0.2</v>
      </c>
      <c r="BM246" s="1">
        <f t="shared" si="97"/>
        <v>0.2</v>
      </c>
      <c r="BN246" s="1">
        <f t="shared" si="100"/>
        <v>3.9999999999999959E-4</v>
      </c>
      <c r="BO246" s="1">
        <f t="shared" si="98"/>
        <v>3.5209116706113569E-2</v>
      </c>
    </row>
    <row r="247" spans="1:67" x14ac:dyDescent="0.25">
      <c r="A247" s="3"/>
      <c r="B247" s="3"/>
      <c r="C247">
        <v>12</v>
      </c>
      <c r="D247" s="5">
        <v>1</v>
      </c>
      <c r="E247" s="9">
        <f t="shared" si="77"/>
        <v>14.163090128755369</v>
      </c>
      <c r="F247" s="9">
        <f t="shared" si="78"/>
        <v>0.5</v>
      </c>
      <c r="G247">
        <v>0</v>
      </c>
      <c r="H247">
        <v>42.918454935622321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14.163090128755369</v>
      </c>
      <c r="P247">
        <v>0</v>
      </c>
      <c r="Q247">
        <v>42.918454935622321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35</v>
      </c>
      <c r="AK247" t="s">
        <v>1</v>
      </c>
      <c r="AL247" t="s">
        <v>374</v>
      </c>
      <c r="AQ247" s="1">
        <f t="shared" si="99"/>
        <v>100.00000000000001</v>
      </c>
      <c r="AR247" s="1">
        <f t="shared" si="79"/>
        <v>0.14163090128755371</v>
      </c>
      <c r="AS247" s="1">
        <f t="shared" si="80"/>
        <v>0</v>
      </c>
      <c r="AT247" s="1">
        <f t="shared" si="81"/>
        <v>0.42918454935622319</v>
      </c>
      <c r="AU247" s="1">
        <f t="shared" si="82"/>
        <v>0.42918454935622319</v>
      </c>
      <c r="AV247" s="1">
        <f t="shared" si="83"/>
        <v>0.35</v>
      </c>
      <c r="AX247" s="1">
        <f t="shared" si="84"/>
        <v>1</v>
      </c>
      <c r="AY247" s="1">
        <f t="shared" si="85"/>
        <v>0.33000000000000013</v>
      </c>
      <c r="AZ247" s="1">
        <f t="shared" si="86"/>
        <v>0.5625</v>
      </c>
      <c r="BA247" s="1">
        <f t="shared" si="87"/>
        <v>0.75</v>
      </c>
      <c r="BB247" s="1">
        <f t="shared" si="88"/>
        <v>0.33000000000000013</v>
      </c>
      <c r="BC247" s="1">
        <f t="shared" si="89"/>
        <v>0.33000000000000013</v>
      </c>
      <c r="BD247" s="1">
        <f t="shared" si="90"/>
        <v>1.9999999999999851E-2</v>
      </c>
      <c r="BF247">
        <f t="shared" si="91"/>
        <v>42.918454935622321</v>
      </c>
      <c r="BG247">
        <f t="shared" si="101"/>
        <v>14.163090128755369</v>
      </c>
      <c r="BH247" s="1">
        <f t="shared" si="92"/>
        <v>1</v>
      </c>
      <c r="BI247" s="1">
        <f t="shared" si="93"/>
        <v>0.33000000000000007</v>
      </c>
      <c r="BJ247" s="1">
        <f t="shared" si="94"/>
        <v>0.60899999999999999</v>
      </c>
      <c r="BK247" s="1">
        <f t="shared" si="95"/>
        <v>0.59799999999999998</v>
      </c>
      <c r="BL247" s="1">
        <f t="shared" si="96"/>
        <v>0.33000000000000007</v>
      </c>
      <c r="BM247" s="1">
        <f t="shared" si="97"/>
        <v>0.33000000000000007</v>
      </c>
      <c r="BN247" s="1">
        <f t="shared" si="100"/>
        <v>3.9999999999999628E-4</v>
      </c>
      <c r="BO247" s="1">
        <f t="shared" si="98"/>
        <v>3.3224762260264311E-3</v>
      </c>
    </row>
    <row r="248" spans="1:67" x14ac:dyDescent="0.25">
      <c r="A248" s="3"/>
      <c r="B248" s="3"/>
      <c r="C248">
        <v>13</v>
      </c>
      <c r="D248" s="5">
        <v>1</v>
      </c>
      <c r="E248" s="9">
        <f t="shared" si="77"/>
        <v>20</v>
      </c>
      <c r="F248" s="9">
        <f t="shared" si="78"/>
        <v>0.5</v>
      </c>
      <c r="G248">
        <v>0</v>
      </c>
      <c r="H248">
        <v>40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20</v>
      </c>
      <c r="P248">
        <v>0</v>
      </c>
      <c r="Q248">
        <v>40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45</v>
      </c>
      <c r="AK248" t="s">
        <v>1</v>
      </c>
      <c r="AL248" t="s">
        <v>374</v>
      </c>
      <c r="AQ248" s="1">
        <f t="shared" si="99"/>
        <v>100</v>
      </c>
      <c r="AR248" s="1">
        <f t="shared" si="79"/>
        <v>0.2</v>
      </c>
      <c r="AS248" s="1">
        <f t="shared" si="80"/>
        <v>0</v>
      </c>
      <c r="AT248" s="1">
        <f t="shared" si="81"/>
        <v>0.4</v>
      </c>
      <c r="AU248" s="1">
        <f t="shared" si="82"/>
        <v>0.4</v>
      </c>
      <c r="AV248" s="1">
        <f t="shared" si="83"/>
        <v>0.45</v>
      </c>
      <c r="AX248" s="1">
        <f t="shared" si="84"/>
        <v>1</v>
      </c>
      <c r="AY248" s="1">
        <f t="shared" si="85"/>
        <v>0.5</v>
      </c>
      <c r="AZ248" s="1">
        <f t="shared" si="86"/>
        <v>0.5625</v>
      </c>
      <c r="BA248" s="1">
        <f t="shared" si="87"/>
        <v>0.75</v>
      </c>
      <c r="BB248" s="1">
        <f t="shared" si="88"/>
        <v>0.5</v>
      </c>
      <c r="BC248" s="1">
        <f t="shared" si="89"/>
        <v>0.5</v>
      </c>
      <c r="BD248" s="1">
        <f t="shared" si="90"/>
        <v>4.9999999999999989E-2</v>
      </c>
      <c r="BF248">
        <f t="shared" si="91"/>
        <v>40</v>
      </c>
      <c r="BG248">
        <f t="shared" si="101"/>
        <v>20</v>
      </c>
      <c r="BH248" s="1">
        <f t="shared" si="92"/>
        <v>1</v>
      </c>
      <c r="BI248" s="1">
        <f t="shared" si="93"/>
        <v>0.5</v>
      </c>
      <c r="BJ248" s="1">
        <f t="shared" si="94"/>
        <v>0.60899999999999999</v>
      </c>
      <c r="BK248" s="1">
        <f t="shared" si="95"/>
        <v>0.59799999999999998</v>
      </c>
      <c r="BL248" s="1">
        <f t="shared" si="96"/>
        <v>0.5</v>
      </c>
      <c r="BM248" s="1">
        <f t="shared" si="97"/>
        <v>0.5</v>
      </c>
      <c r="BN248" s="1">
        <f t="shared" si="100"/>
        <v>2.4999999999999988E-3</v>
      </c>
      <c r="BO248" s="1">
        <f t="shared" si="98"/>
        <v>1.7942912413440124E-3</v>
      </c>
    </row>
    <row r="249" spans="1:67" x14ac:dyDescent="0.25">
      <c r="A249" s="3"/>
      <c r="B249" s="3"/>
      <c r="C249">
        <v>14</v>
      </c>
      <c r="D249" s="5">
        <v>1</v>
      </c>
      <c r="E249" s="9">
        <f t="shared" si="77"/>
        <v>23.07692307692308</v>
      </c>
      <c r="F249" s="9">
        <f t="shared" si="78"/>
        <v>0.5</v>
      </c>
      <c r="G249">
        <v>0</v>
      </c>
      <c r="H249">
        <v>38.46153846153846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23.07692307692308</v>
      </c>
      <c r="P249">
        <v>0</v>
      </c>
      <c r="Q249">
        <v>38.46153846153846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54</v>
      </c>
      <c r="AK249" t="s">
        <v>1</v>
      </c>
      <c r="AL249" t="s">
        <v>374</v>
      </c>
      <c r="AQ249" s="1">
        <f t="shared" si="99"/>
        <v>100</v>
      </c>
      <c r="AR249" s="1">
        <f t="shared" si="79"/>
        <v>0.23076923076923081</v>
      </c>
      <c r="AS249" s="1">
        <f t="shared" si="80"/>
        <v>0</v>
      </c>
      <c r="AT249" s="1">
        <f t="shared" si="81"/>
        <v>0.38461538461538458</v>
      </c>
      <c r="AU249" s="1">
        <f t="shared" si="82"/>
        <v>0.38461538461538458</v>
      </c>
      <c r="AV249" s="1">
        <f t="shared" si="83"/>
        <v>0.54</v>
      </c>
      <c r="AX249" s="1">
        <f t="shared" si="84"/>
        <v>1</v>
      </c>
      <c r="AY249" s="1">
        <f t="shared" si="85"/>
        <v>0.6000000000000002</v>
      </c>
      <c r="AZ249" s="1">
        <f t="shared" si="86"/>
        <v>0.5625</v>
      </c>
      <c r="BA249" s="1">
        <f t="shared" si="87"/>
        <v>0.75</v>
      </c>
      <c r="BB249" s="1">
        <f t="shared" si="88"/>
        <v>0.5625</v>
      </c>
      <c r="BC249" s="1">
        <f t="shared" si="89"/>
        <v>0.5625</v>
      </c>
      <c r="BD249" s="1">
        <f t="shared" si="90"/>
        <v>2.2499999999999964E-2</v>
      </c>
      <c r="BF249">
        <f t="shared" si="91"/>
        <v>38.46153846153846</v>
      </c>
      <c r="BG249">
        <f t="shared" si="101"/>
        <v>23.07692307692308</v>
      </c>
      <c r="BH249" s="1">
        <f t="shared" si="92"/>
        <v>1</v>
      </c>
      <c r="BI249" s="1">
        <f t="shared" si="93"/>
        <v>0.60000000000000009</v>
      </c>
      <c r="BJ249" s="1">
        <f t="shared" si="94"/>
        <v>0.60899999999999999</v>
      </c>
      <c r="BK249" s="1">
        <f t="shared" si="95"/>
        <v>0.59799999999999998</v>
      </c>
      <c r="BL249" s="1">
        <f t="shared" si="96"/>
        <v>0.60000000000000009</v>
      </c>
      <c r="BM249" s="1">
        <f t="shared" si="97"/>
        <v>0.60000000000000009</v>
      </c>
      <c r="BN249" s="1">
        <f t="shared" si="100"/>
        <v>3.6000000000000064E-3</v>
      </c>
      <c r="BO249" s="1">
        <f t="shared" si="98"/>
        <v>1.7518924755129846E-2</v>
      </c>
    </row>
    <row r="250" spans="1:67" x14ac:dyDescent="0.25">
      <c r="A250" s="3"/>
      <c r="B250" s="3"/>
      <c r="C250">
        <v>15</v>
      </c>
      <c r="D250" s="5">
        <v>1</v>
      </c>
      <c r="E250" s="9">
        <f t="shared" si="77"/>
        <v>25.92592592592592</v>
      </c>
      <c r="F250" s="9">
        <f t="shared" si="78"/>
        <v>0.5</v>
      </c>
      <c r="G250">
        <v>0</v>
      </c>
      <c r="H250">
        <v>37.037037037037038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25.92592592592592</v>
      </c>
      <c r="P250">
        <v>0</v>
      </c>
      <c r="Q250">
        <v>37.037037037037038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55.000000000000007</v>
      </c>
      <c r="AK250" t="s">
        <v>1</v>
      </c>
      <c r="AL250" t="s">
        <v>374</v>
      </c>
      <c r="AQ250" s="1">
        <f t="shared" si="99"/>
        <v>100</v>
      </c>
      <c r="AR250" s="1">
        <f t="shared" si="79"/>
        <v>0.25925925925925919</v>
      </c>
      <c r="AS250" s="1">
        <f t="shared" si="80"/>
        <v>0</v>
      </c>
      <c r="AT250" s="1">
        <f t="shared" si="81"/>
        <v>0.37037037037037041</v>
      </c>
      <c r="AU250" s="1">
        <f t="shared" si="82"/>
        <v>0.37037037037037041</v>
      </c>
      <c r="AV250" s="1">
        <f t="shared" si="83"/>
        <v>0.55000000000000004</v>
      </c>
      <c r="AX250" s="1">
        <f t="shared" si="84"/>
        <v>1</v>
      </c>
      <c r="AY250" s="1">
        <f t="shared" si="85"/>
        <v>0.69999999999999973</v>
      </c>
      <c r="AZ250" s="1">
        <f t="shared" si="86"/>
        <v>0.5625</v>
      </c>
      <c r="BA250" s="1">
        <f t="shared" si="87"/>
        <v>0.75</v>
      </c>
      <c r="BB250" s="1">
        <f t="shared" si="88"/>
        <v>0.5625</v>
      </c>
      <c r="BC250" s="1">
        <f t="shared" si="89"/>
        <v>0.5625</v>
      </c>
      <c r="BD250" s="1">
        <f t="shared" si="90"/>
        <v>1.2499999999999956E-2</v>
      </c>
      <c r="BF250">
        <f t="shared" si="91"/>
        <v>37.037037037037038</v>
      </c>
      <c r="BG250">
        <f t="shared" si="101"/>
        <v>25.92592592592592</v>
      </c>
      <c r="BH250" s="1">
        <f t="shared" si="92"/>
        <v>1</v>
      </c>
      <c r="BI250" s="1">
        <f t="shared" si="93"/>
        <v>0.69999999999999984</v>
      </c>
      <c r="BJ250" s="1">
        <f t="shared" si="94"/>
        <v>0.60899999999999999</v>
      </c>
      <c r="BK250" s="1">
        <f t="shared" si="95"/>
        <v>0.59799999999999998</v>
      </c>
      <c r="BL250" s="1">
        <f t="shared" si="96"/>
        <v>0.58350000000000002</v>
      </c>
      <c r="BM250" s="1">
        <f t="shared" si="97"/>
        <v>0.58350000000000002</v>
      </c>
      <c r="BN250" s="1">
        <f t="shared" si="100"/>
        <v>1.1222499999999982E-3</v>
      </c>
      <c r="BO250" s="1">
        <f t="shared" si="98"/>
        <v>2.0266106256661608E-2</v>
      </c>
    </row>
    <row r="251" spans="1:67" x14ac:dyDescent="0.25">
      <c r="A251" s="3"/>
      <c r="B251" s="3"/>
      <c r="C251">
        <v>16</v>
      </c>
      <c r="D251" s="5">
        <v>1</v>
      </c>
      <c r="E251" s="9">
        <f t="shared" si="77"/>
        <v>28.57142857142858</v>
      </c>
      <c r="F251" s="9">
        <f t="shared" si="78"/>
        <v>0.5</v>
      </c>
      <c r="G251">
        <v>0</v>
      </c>
      <c r="H251">
        <v>35.714285714285722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28.57142857142858</v>
      </c>
      <c r="P251">
        <v>0</v>
      </c>
      <c r="Q251">
        <v>35.714285714285722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54</v>
      </c>
      <c r="AK251" t="s">
        <v>1</v>
      </c>
      <c r="AL251" t="s">
        <v>374</v>
      </c>
      <c r="AQ251" s="1">
        <f t="shared" si="99"/>
        <v>100.00000000000003</v>
      </c>
      <c r="AR251" s="1">
        <f t="shared" si="79"/>
        <v>0.28571428571428581</v>
      </c>
      <c r="AS251" s="1">
        <f t="shared" si="80"/>
        <v>0</v>
      </c>
      <c r="AT251" s="1">
        <f t="shared" si="81"/>
        <v>0.35714285714285721</v>
      </c>
      <c r="AU251" s="1">
        <f t="shared" si="82"/>
        <v>0.35714285714285721</v>
      </c>
      <c r="AV251" s="1">
        <f t="shared" si="83"/>
        <v>0.54</v>
      </c>
      <c r="AX251" s="1">
        <f t="shared" si="84"/>
        <v>1</v>
      </c>
      <c r="AY251" s="1">
        <f t="shared" si="85"/>
        <v>0.80000000000000016</v>
      </c>
      <c r="AZ251" s="1">
        <f t="shared" si="86"/>
        <v>0.5625</v>
      </c>
      <c r="BA251" s="1">
        <f t="shared" si="87"/>
        <v>0.75</v>
      </c>
      <c r="BB251" s="1">
        <f t="shared" si="88"/>
        <v>0.54999999999999993</v>
      </c>
      <c r="BC251" s="1">
        <f t="shared" si="89"/>
        <v>0.54999999999999993</v>
      </c>
      <c r="BD251" s="1">
        <f t="shared" si="90"/>
        <v>9.9999999999998979E-3</v>
      </c>
      <c r="BF251">
        <f t="shared" si="91"/>
        <v>35.714285714285722</v>
      </c>
      <c r="BG251">
        <f t="shared" si="101"/>
        <v>28.57142857142858</v>
      </c>
      <c r="BH251" s="1">
        <f t="shared" si="92"/>
        <v>1</v>
      </c>
      <c r="BI251" s="1">
        <f t="shared" si="93"/>
        <v>0.8</v>
      </c>
      <c r="BJ251" s="1">
        <f t="shared" si="94"/>
        <v>0.60899999999999999</v>
      </c>
      <c r="BK251" s="1">
        <f t="shared" si="95"/>
        <v>0.59799999999999998</v>
      </c>
      <c r="BL251" s="1">
        <f t="shared" si="96"/>
        <v>0.5585</v>
      </c>
      <c r="BM251" s="1">
        <f t="shared" si="97"/>
        <v>0.5585</v>
      </c>
      <c r="BN251" s="1">
        <f t="shared" si="100"/>
        <v>3.4224999999999853E-4</v>
      </c>
      <c r="BO251" s="1">
        <f t="shared" si="98"/>
        <v>1.7518924755129846E-2</v>
      </c>
    </row>
    <row r="252" spans="1:67" x14ac:dyDescent="0.25">
      <c r="A252" s="3"/>
      <c r="B252" s="3"/>
      <c r="C252">
        <v>17</v>
      </c>
      <c r="D252" s="5">
        <v>1</v>
      </c>
      <c r="E252" s="9">
        <f t="shared" si="77"/>
        <v>31.03448275862069</v>
      </c>
      <c r="F252" s="9">
        <f t="shared" si="78"/>
        <v>0.5</v>
      </c>
      <c r="G252">
        <v>0</v>
      </c>
      <c r="H252">
        <v>34.482758620689658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31.03448275862069</v>
      </c>
      <c r="P252">
        <v>0</v>
      </c>
      <c r="Q252">
        <v>34.482758620689658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54</v>
      </c>
      <c r="AK252" t="s">
        <v>1</v>
      </c>
      <c r="AL252" t="s">
        <v>374</v>
      </c>
      <c r="AQ252" s="1">
        <f t="shared" si="99"/>
        <v>100</v>
      </c>
      <c r="AR252" s="1">
        <f t="shared" si="79"/>
        <v>0.31034482758620691</v>
      </c>
      <c r="AS252" s="1">
        <f t="shared" si="80"/>
        <v>0</v>
      </c>
      <c r="AT252" s="1">
        <f t="shared" si="81"/>
        <v>0.34482758620689657</v>
      </c>
      <c r="AU252" s="1">
        <f t="shared" si="82"/>
        <v>0.34482758620689657</v>
      </c>
      <c r="AV252" s="1">
        <f t="shared" si="83"/>
        <v>0.54</v>
      </c>
      <c r="AX252" s="1">
        <f t="shared" si="84"/>
        <v>1</v>
      </c>
      <c r="AY252" s="1">
        <f t="shared" si="85"/>
        <v>0.9</v>
      </c>
      <c r="AZ252" s="1">
        <f t="shared" si="86"/>
        <v>0.5625</v>
      </c>
      <c r="BA252" s="1">
        <f t="shared" si="87"/>
        <v>0.75</v>
      </c>
      <c r="BB252" s="1">
        <f t="shared" si="88"/>
        <v>0.52500000000000002</v>
      </c>
      <c r="BC252" s="1">
        <f t="shared" si="89"/>
        <v>0.52500000000000002</v>
      </c>
      <c r="BD252" s="1">
        <f t="shared" si="90"/>
        <v>1.5000000000000013E-2</v>
      </c>
      <c r="BF252">
        <f t="shared" si="91"/>
        <v>34.482758620689658</v>
      </c>
      <c r="BG252">
        <f t="shared" si="101"/>
        <v>31.03448275862069</v>
      </c>
      <c r="BH252" s="1">
        <f t="shared" si="92"/>
        <v>1</v>
      </c>
      <c r="BI252" s="1">
        <f t="shared" si="93"/>
        <v>0.89999999999999991</v>
      </c>
      <c r="BJ252" s="1">
        <f t="shared" si="94"/>
        <v>0.60899999999999999</v>
      </c>
      <c r="BK252" s="1">
        <f t="shared" si="95"/>
        <v>0.59799999999999998</v>
      </c>
      <c r="BL252" s="1">
        <f t="shared" si="96"/>
        <v>0.53349999999999997</v>
      </c>
      <c r="BM252" s="1">
        <f t="shared" si="97"/>
        <v>0.53349999999999997</v>
      </c>
      <c r="BN252" s="1">
        <f t="shared" si="100"/>
        <v>4.2250000000000797E-5</v>
      </c>
      <c r="BO252" s="1">
        <f t="shared" si="98"/>
        <v>1.7518924755129846E-2</v>
      </c>
    </row>
    <row r="253" spans="1:67" x14ac:dyDescent="0.25">
      <c r="A253" s="3"/>
      <c r="B253" s="3"/>
      <c r="C253">
        <v>18</v>
      </c>
      <c r="D253" s="5">
        <v>1</v>
      </c>
      <c r="E253" s="9">
        <f t="shared" si="77"/>
        <v>33.333333333333329</v>
      </c>
      <c r="F253" s="9">
        <f t="shared" si="78"/>
        <v>0.5</v>
      </c>
      <c r="G253">
        <v>0</v>
      </c>
      <c r="H253">
        <v>33.333333333333329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33.333333333333329</v>
      </c>
      <c r="P253">
        <v>0</v>
      </c>
      <c r="Q253">
        <v>33.333333333333329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51</v>
      </c>
      <c r="AK253" t="s">
        <v>1</v>
      </c>
      <c r="AL253" t="s">
        <v>374</v>
      </c>
      <c r="AQ253" s="1">
        <f t="shared" si="99"/>
        <v>99.999999999999986</v>
      </c>
      <c r="AR253" s="1">
        <f t="shared" si="79"/>
        <v>0.33333333333333326</v>
      </c>
      <c r="AS253" s="1">
        <f t="shared" si="80"/>
        <v>0</v>
      </c>
      <c r="AT253" s="1">
        <f t="shared" si="81"/>
        <v>0.33333333333333326</v>
      </c>
      <c r="AU253" s="1">
        <f t="shared" si="82"/>
        <v>0.33333333333333326</v>
      </c>
      <c r="AV253" s="1">
        <f t="shared" si="83"/>
        <v>0.51</v>
      </c>
      <c r="AX253" s="1">
        <f t="shared" si="84"/>
        <v>1</v>
      </c>
      <c r="AY253" s="1">
        <f t="shared" si="85"/>
        <v>1</v>
      </c>
      <c r="AZ253" s="1">
        <f t="shared" si="86"/>
        <v>0.5625</v>
      </c>
      <c r="BA253" s="1">
        <f t="shared" si="87"/>
        <v>0.75</v>
      </c>
      <c r="BB253" s="1">
        <f t="shared" si="88"/>
        <v>0.5</v>
      </c>
      <c r="BC253" s="1">
        <f t="shared" si="89"/>
        <v>0.5</v>
      </c>
      <c r="BD253" s="1">
        <f t="shared" si="90"/>
        <v>1.0000000000000009E-2</v>
      </c>
      <c r="BF253">
        <f t="shared" si="91"/>
        <v>33.333333333333329</v>
      </c>
      <c r="BG253">
        <f t="shared" si="101"/>
        <v>33.333333333333329</v>
      </c>
      <c r="BH253" s="1">
        <f t="shared" si="92"/>
        <v>1</v>
      </c>
      <c r="BI253" s="1">
        <f t="shared" si="93"/>
        <v>1</v>
      </c>
      <c r="BJ253" s="1">
        <f t="shared" si="94"/>
        <v>0.60899999999999999</v>
      </c>
      <c r="BK253" s="1">
        <f t="shared" si="95"/>
        <v>0.59799999999999998</v>
      </c>
      <c r="BL253" s="1">
        <f t="shared" si="96"/>
        <v>0.50849999999999995</v>
      </c>
      <c r="BM253" s="1">
        <f t="shared" si="97"/>
        <v>0.50849999999999995</v>
      </c>
      <c r="BN253" s="1">
        <f t="shared" si="100"/>
        <v>2.2500000000001707E-6</v>
      </c>
      <c r="BO253" s="1">
        <f t="shared" si="98"/>
        <v>1.0477380250534563E-2</v>
      </c>
    </row>
    <row r="254" spans="1:67" x14ac:dyDescent="0.25">
      <c r="A254" s="3"/>
      <c r="B254" s="3"/>
      <c r="C254">
        <v>19</v>
      </c>
      <c r="D254" s="5">
        <v>1</v>
      </c>
      <c r="E254" s="9">
        <f t="shared" si="77"/>
        <v>39.393939393939398</v>
      </c>
      <c r="F254" s="9">
        <f t="shared" si="78"/>
        <v>0.5</v>
      </c>
      <c r="G254">
        <v>0</v>
      </c>
      <c r="H254">
        <v>30.303030303030301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39.393939393939398</v>
      </c>
      <c r="P254">
        <v>0</v>
      </c>
      <c r="Q254">
        <v>30.303030303030301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47</v>
      </c>
      <c r="AK254" t="s">
        <v>1</v>
      </c>
      <c r="AL254" t="s">
        <v>374</v>
      </c>
      <c r="AQ254" s="1">
        <f t="shared" si="99"/>
        <v>100</v>
      </c>
      <c r="AR254" s="1">
        <f t="shared" si="79"/>
        <v>0.39393939393939398</v>
      </c>
      <c r="AS254" s="1">
        <f t="shared" si="80"/>
        <v>0</v>
      </c>
      <c r="AT254" s="1">
        <f t="shared" si="81"/>
        <v>0.30303030303030298</v>
      </c>
      <c r="AU254" s="1">
        <f t="shared" si="82"/>
        <v>0.30303030303030298</v>
      </c>
      <c r="AV254" s="1">
        <f t="shared" si="83"/>
        <v>0.47</v>
      </c>
      <c r="AX254" s="1">
        <f t="shared" si="84"/>
        <v>1</v>
      </c>
      <c r="AY254" s="1">
        <f t="shared" si="85"/>
        <v>1.3000000000000003</v>
      </c>
      <c r="AZ254" s="1">
        <f t="shared" si="86"/>
        <v>0.5625</v>
      </c>
      <c r="BA254" s="1">
        <f t="shared" si="87"/>
        <v>0.75</v>
      </c>
      <c r="BB254" s="1">
        <f t="shared" si="88"/>
        <v>0.42499999999999993</v>
      </c>
      <c r="BC254" s="1">
        <f t="shared" si="89"/>
        <v>0.42499999999999993</v>
      </c>
      <c r="BD254" s="1">
        <f t="shared" si="90"/>
        <v>4.500000000000004E-2</v>
      </c>
      <c r="BF254">
        <f t="shared" si="91"/>
        <v>30.303030303030301</v>
      </c>
      <c r="BG254">
        <f t="shared" si="101"/>
        <v>39.393939393939398</v>
      </c>
      <c r="BH254" s="1">
        <f t="shared" si="92"/>
        <v>1</v>
      </c>
      <c r="BI254" s="1">
        <f t="shared" si="93"/>
        <v>1.3000000000000003</v>
      </c>
      <c r="BJ254" s="1">
        <f t="shared" si="94"/>
        <v>0.60899999999999999</v>
      </c>
      <c r="BK254" s="1">
        <f t="shared" si="95"/>
        <v>0.59799999999999998</v>
      </c>
      <c r="BL254" s="1">
        <f t="shared" si="96"/>
        <v>0.43349999999999989</v>
      </c>
      <c r="BM254" s="1">
        <f t="shared" si="97"/>
        <v>0.43349999999999989</v>
      </c>
      <c r="BN254" s="1">
        <f t="shared" si="100"/>
        <v>1.3322500000000064E-3</v>
      </c>
      <c r="BO254" s="1">
        <f t="shared" si="98"/>
        <v>3.8886542444075247E-3</v>
      </c>
    </row>
    <row r="255" spans="1:67" x14ac:dyDescent="0.25">
      <c r="A255" s="3"/>
      <c r="B255" s="3"/>
      <c r="C255">
        <v>20</v>
      </c>
      <c r="D255" s="5">
        <v>1</v>
      </c>
      <c r="E255" s="9">
        <f t="shared" si="77"/>
        <v>34.782608695652179</v>
      </c>
      <c r="F255" s="9">
        <f t="shared" si="78"/>
        <v>0.66666666666666663</v>
      </c>
      <c r="G255">
        <v>0</v>
      </c>
      <c r="H255">
        <v>21.739130434782609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34.782608695652179</v>
      </c>
      <c r="P255">
        <v>0</v>
      </c>
      <c r="Q255">
        <v>43.478260869565219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38</v>
      </c>
      <c r="AK255" t="s">
        <v>1</v>
      </c>
      <c r="AL255" t="s">
        <v>374</v>
      </c>
      <c r="AQ255" s="1">
        <f t="shared" si="99"/>
        <v>100</v>
      </c>
      <c r="AR255" s="1">
        <f t="shared" si="79"/>
        <v>0.34782608695652178</v>
      </c>
      <c r="AS255" s="1">
        <f t="shared" si="80"/>
        <v>0</v>
      </c>
      <c r="AT255" s="1">
        <f t="shared" si="81"/>
        <v>0.21739130434782608</v>
      </c>
      <c r="AU255" s="1">
        <f t="shared" si="82"/>
        <v>0.43478260869565216</v>
      </c>
      <c r="AV255" s="1">
        <f t="shared" si="83"/>
        <v>0.38</v>
      </c>
      <c r="AX255" s="1">
        <f t="shared" si="84"/>
        <v>2</v>
      </c>
      <c r="AY255" s="1">
        <f t="shared" si="85"/>
        <v>1.6000000000000003</v>
      </c>
      <c r="AZ255" s="1">
        <f t="shared" si="86"/>
        <v>0.625</v>
      </c>
      <c r="BA255" s="1">
        <f t="shared" si="87"/>
        <v>1</v>
      </c>
      <c r="BB255" s="1">
        <f t="shared" si="88"/>
        <v>0.49999999999999989</v>
      </c>
      <c r="BC255" s="1">
        <f t="shared" si="89"/>
        <v>0.49999999999999989</v>
      </c>
      <c r="BD255" s="1">
        <f t="shared" si="90"/>
        <v>0.11999999999999988</v>
      </c>
      <c r="BF255">
        <f t="shared" si="91"/>
        <v>21.739130434782609</v>
      </c>
      <c r="BG255">
        <f t="shared" si="101"/>
        <v>34.782608695652179</v>
      </c>
      <c r="BH255" s="1">
        <f t="shared" si="92"/>
        <v>2</v>
      </c>
      <c r="BI255" s="1">
        <f t="shared" si="93"/>
        <v>1.6</v>
      </c>
      <c r="BJ255" s="1">
        <f t="shared" si="94"/>
        <v>0.628</v>
      </c>
      <c r="BK255" s="1">
        <f t="shared" si="95"/>
        <v>1.1000000000000001</v>
      </c>
      <c r="BL255" s="1">
        <f t="shared" si="96"/>
        <v>0.52383333333333337</v>
      </c>
      <c r="BM255" s="1">
        <f t="shared" si="97"/>
        <v>0.52383333333333337</v>
      </c>
      <c r="BN255" s="1">
        <f t="shared" si="100"/>
        <v>2.0688027777777788E-2</v>
      </c>
      <c r="BO255" s="1">
        <f t="shared" si="98"/>
        <v>7.6402073062170313E-4</v>
      </c>
    </row>
    <row r="256" spans="1:67" x14ac:dyDescent="0.25">
      <c r="A256" s="3"/>
      <c r="B256" s="3"/>
      <c r="C256">
        <v>21</v>
      </c>
      <c r="D256" s="5">
        <v>1</v>
      </c>
      <c r="E256" s="9">
        <f t="shared" si="77"/>
        <v>6.25</v>
      </c>
      <c r="F256" s="9">
        <f t="shared" si="78"/>
        <v>0.66666666666666663</v>
      </c>
      <c r="G256">
        <v>0</v>
      </c>
      <c r="H256">
        <v>31.25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6.25</v>
      </c>
      <c r="P256">
        <v>0</v>
      </c>
      <c r="Q256">
        <v>62.5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20</v>
      </c>
      <c r="AK256" t="s">
        <v>1</v>
      </c>
      <c r="AL256" t="s">
        <v>374</v>
      </c>
      <c r="AQ256" s="1">
        <f t="shared" si="99"/>
        <v>100</v>
      </c>
      <c r="AR256" s="1">
        <f t="shared" si="79"/>
        <v>6.25E-2</v>
      </c>
      <c r="AS256" s="1">
        <f t="shared" si="80"/>
        <v>0</v>
      </c>
      <c r="AT256" s="1">
        <f t="shared" si="81"/>
        <v>0.3125</v>
      </c>
      <c r="AU256" s="1">
        <f t="shared" si="82"/>
        <v>0.625</v>
      </c>
      <c r="AV256" s="1">
        <f t="shared" si="83"/>
        <v>0.2</v>
      </c>
      <c r="AX256" s="1">
        <f t="shared" si="84"/>
        <v>2</v>
      </c>
      <c r="AY256" s="1">
        <f t="shared" si="85"/>
        <v>0.2</v>
      </c>
      <c r="AZ256" s="1">
        <f t="shared" si="86"/>
        <v>0.625</v>
      </c>
      <c r="BA256" s="1">
        <f t="shared" si="87"/>
        <v>1</v>
      </c>
      <c r="BB256" s="1">
        <f t="shared" si="88"/>
        <v>0.2</v>
      </c>
      <c r="BC256" s="1">
        <f t="shared" si="89"/>
        <v>0.2</v>
      </c>
      <c r="BD256" s="1">
        <f t="shared" si="90"/>
        <v>0</v>
      </c>
      <c r="BF256">
        <f t="shared" si="91"/>
        <v>31.25</v>
      </c>
      <c r="BG256">
        <f t="shared" si="101"/>
        <v>6.25</v>
      </c>
      <c r="BH256" s="1">
        <f t="shared" si="92"/>
        <v>2</v>
      </c>
      <c r="BI256" s="1">
        <f t="shared" si="93"/>
        <v>0.2</v>
      </c>
      <c r="BJ256" s="1">
        <f t="shared" si="94"/>
        <v>0.628</v>
      </c>
      <c r="BK256" s="1">
        <f t="shared" si="95"/>
        <v>1.1000000000000001</v>
      </c>
      <c r="BL256" s="1">
        <f t="shared" si="96"/>
        <v>0.2</v>
      </c>
      <c r="BM256" s="1">
        <f t="shared" si="97"/>
        <v>0.2</v>
      </c>
      <c r="BN256" s="1">
        <f t="shared" si="100"/>
        <v>0</v>
      </c>
      <c r="BO256" s="1">
        <f t="shared" si="98"/>
        <v>4.3114753703050047E-2</v>
      </c>
    </row>
    <row r="257" spans="1:67" x14ac:dyDescent="0.25">
      <c r="A257" s="3"/>
      <c r="B257" s="3"/>
      <c r="C257">
        <v>22</v>
      </c>
      <c r="D257" s="5">
        <v>1</v>
      </c>
      <c r="E257" s="9">
        <f t="shared" si="77"/>
        <v>9.9099099099099099</v>
      </c>
      <c r="F257" s="9">
        <f t="shared" si="78"/>
        <v>0.66666666666666674</v>
      </c>
      <c r="G257">
        <v>0</v>
      </c>
      <c r="H257">
        <v>30.03003003003003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9.9099099099099099</v>
      </c>
      <c r="P257">
        <v>0</v>
      </c>
      <c r="Q257">
        <v>60.06006006006006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31</v>
      </c>
      <c r="AK257" t="s">
        <v>1</v>
      </c>
      <c r="AL257" t="s">
        <v>374</v>
      </c>
      <c r="AQ257" s="1">
        <f t="shared" si="99"/>
        <v>100</v>
      </c>
      <c r="AR257" s="1">
        <f t="shared" si="79"/>
        <v>9.90990990990991E-2</v>
      </c>
      <c r="AS257" s="1">
        <f t="shared" si="80"/>
        <v>0</v>
      </c>
      <c r="AT257" s="1">
        <f t="shared" si="81"/>
        <v>0.3003003003003003</v>
      </c>
      <c r="AU257" s="1">
        <f t="shared" si="82"/>
        <v>0.60060060060060061</v>
      </c>
      <c r="AV257" s="1">
        <f t="shared" si="83"/>
        <v>0.31</v>
      </c>
      <c r="AX257" s="1">
        <f t="shared" si="84"/>
        <v>2</v>
      </c>
      <c r="AY257" s="1">
        <f t="shared" si="85"/>
        <v>0.33</v>
      </c>
      <c r="AZ257" s="1">
        <f t="shared" si="86"/>
        <v>0.625</v>
      </c>
      <c r="BA257" s="1">
        <f t="shared" si="87"/>
        <v>1</v>
      </c>
      <c r="BB257" s="1">
        <f t="shared" si="88"/>
        <v>0.33</v>
      </c>
      <c r="BC257" s="1">
        <f t="shared" si="89"/>
        <v>0.33</v>
      </c>
      <c r="BD257" s="1">
        <f t="shared" si="90"/>
        <v>2.0000000000000018E-2</v>
      </c>
      <c r="BF257">
        <f t="shared" si="91"/>
        <v>30.03003003003003</v>
      </c>
      <c r="BG257">
        <f t="shared" si="101"/>
        <v>9.9099099099099099</v>
      </c>
      <c r="BH257" s="1">
        <f t="shared" si="92"/>
        <v>2</v>
      </c>
      <c r="BI257" s="1">
        <f t="shared" si="93"/>
        <v>0.33</v>
      </c>
      <c r="BJ257" s="1">
        <f t="shared" si="94"/>
        <v>0.628</v>
      </c>
      <c r="BK257" s="1">
        <f t="shared" si="95"/>
        <v>1.1000000000000001</v>
      </c>
      <c r="BL257" s="1">
        <f t="shared" si="96"/>
        <v>0.33</v>
      </c>
      <c r="BM257" s="1">
        <f t="shared" si="97"/>
        <v>0.33</v>
      </c>
      <c r="BN257" s="1">
        <f t="shared" si="100"/>
        <v>4.0000000000000072E-4</v>
      </c>
      <c r="BO257" s="1">
        <f t="shared" si="98"/>
        <v>9.5337502198993961E-3</v>
      </c>
    </row>
    <row r="258" spans="1:67" x14ac:dyDescent="0.25">
      <c r="A258" s="3"/>
      <c r="B258" s="3"/>
      <c r="C258">
        <v>23</v>
      </c>
      <c r="D258" s="5">
        <v>1</v>
      </c>
      <c r="E258" s="9">
        <f t="shared" ref="E258:E292" si="102">I258+L258+M258+N258+O258+V258+X258+AB258+AD258</f>
        <v>14.285714285714279</v>
      </c>
      <c r="F258" s="9">
        <f t="shared" ref="F258:F292" si="103">Q258/(H258+P258+Q258+AC258)</f>
        <v>0.66666666666666663</v>
      </c>
      <c r="G258">
        <v>0</v>
      </c>
      <c r="H258">
        <v>28.571428571428569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14.285714285714279</v>
      </c>
      <c r="P258">
        <v>0</v>
      </c>
      <c r="Q258">
        <v>57.142857142857139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45</v>
      </c>
      <c r="AK258" t="s">
        <v>1</v>
      </c>
      <c r="AL258" t="s">
        <v>374</v>
      </c>
      <c r="AQ258" s="1">
        <f t="shared" si="99"/>
        <v>99.999999999999986</v>
      </c>
      <c r="AR258" s="1">
        <f t="shared" ref="AR258:AR321" si="104">(L258+M258+O258+X258)/100</f>
        <v>0.14285714285714279</v>
      </c>
      <c r="AS258" s="1">
        <f t="shared" ref="AS258:AS321" si="105">G258/100</f>
        <v>0</v>
      </c>
      <c r="AT258" s="1">
        <f t="shared" ref="AT258:AT321" si="106">H258/100</f>
        <v>0.2857142857142857</v>
      </c>
      <c r="AU258" s="1">
        <f t="shared" ref="AU258:AU321" si="107">Q258/100</f>
        <v>0.5714285714285714</v>
      </c>
      <c r="AV258" s="1">
        <f t="shared" ref="AV258:AV321" si="108">AJ258/100</f>
        <v>0.45</v>
      </c>
      <c r="AX258" s="1">
        <f t="shared" ref="AX258:AX321" si="109">AU258/(AT258+AS258)</f>
        <v>2</v>
      </c>
      <c r="AY258" s="1">
        <f t="shared" ref="AY258:AY321" si="110">AR258/(AS258+AT258)</f>
        <v>0.49999999999999978</v>
      </c>
      <c r="AZ258" s="1">
        <f t="shared" ref="AZ258:AZ321" si="111">0.5+AX258/16</f>
        <v>0.625</v>
      </c>
      <c r="BA258" s="1">
        <f t="shared" ref="BA258:BA321" si="112">0.5+AX258/4</f>
        <v>1</v>
      </c>
      <c r="BB258" s="1">
        <f t="shared" ref="BB258:BB321" si="113">IF(AY258&lt;=AZ258,AY258,IF(AY258&lt;=BA258,AZ258,AZ258-(AY258-BA258)*(8+AX258)/(12*(2+AX258))))</f>
        <v>0.49999999999999978</v>
      </c>
      <c r="BC258" s="1">
        <f t="shared" ref="BC258:BC321" si="114">IF(BB258&lt;1,BB258,1)</f>
        <v>0.49999999999999978</v>
      </c>
      <c r="BD258" s="1">
        <f t="shared" ref="BD258:BD321" si="115">ABS(BC258-AV258)</f>
        <v>4.9999999999999767E-2</v>
      </c>
      <c r="BF258">
        <f t="shared" ref="BF258:BF321" si="116">$BR$3*H258+$BR$4*G258+$BR$5*P258+$BR$6*K258+$BR$7*S258+$BR$8*U258+$BR$9*Y258+$BR$10*J258+$BR$11*AC258+$BR$12*AG258+$BR$13*AH258+$BR$14*R258+$BR$15*AE258</f>
        <v>28.571428571428569</v>
      </c>
      <c r="BG258">
        <f t="shared" si="101"/>
        <v>14.285714285714279</v>
      </c>
      <c r="BH258" s="1">
        <f t="shared" ref="BH258:BH321" si="117">(Q258)/BF258</f>
        <v>2</v>
      </c>
      <c r="BI258" s="1">
        <f t="shared" ref="BI258:BI321" si="118">BG258/BF258</f>
        <v>0.49999999999999983</v>
      </c>
      <c r="BJ258" s="1">
        <f t="shared" ref="BJ258:BJ321" si="119">$BR$32+BH258*$BR$33</f>
        <v>0.628</v>
      </c>
      <c r="BK258" s="1">
        <f t="shared" ref="BK258:BK321" si="120">$BR$34+BH258*$BR$35</f>
        <v>1.1000000000000001</v>
      </c>
      <c r="BL258" s="1">
        <f t="shared" ref="BL258:BL321" si="121">IF(BI258&lt;=BJ258,BI258,IF(BI258&lt;=BK258,BJ258,BJ258-(BI258-BK258)*(8+BH258)/(12*(2+BH258))))</f>
        <v>0.49999999999999983</v>
      </c>
      <c r="BM258" s="1">
        <f t="shared" ref="BM258:BM321" si="122">IF(BL258&lt;1,IF(BL258&gt;0,BL258,0),1)</f>
        <v>0.49999999999999983</v>
      </c>
      <c r="BN258" s="1">
        <f t="shared" si="100"/>
        <v>2.4999999999999823E-3</v>
      </c>
      <c r="BO258" s="1">
        <f t="shared" ref="BO258:BO321" si="123">(AV258-AVERAGE($AV$2:$AV$638))^2</f>
        <v>1.7942912413440124E-3</v>
      </c>
    </row>
    <row r="259" spans="1:67" x14ac:dyDescent="0.25">
      <c r="A259" s="3"/>
      <c r="B259" s="3"/>
      <c r="C259">
        <v>24</v>
      </c>
      <c r="D259" s="5">
        <v>1</v>
      </c>
      <c r="E259" s="9">
        <f t="shared" si="102"/>
        <v>16.666666666666661</v>
      </c>
      <c r="F259" s="9">
        <f t="shared" si="103"/>
        <v>0.66666666666666663</v>
      </c>
      <c r="G259">
        <v>0</v>
      </c>
      <c r="H259">
        <v>27.777777777777779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16.666666666666661</v>
      </c>
      <c r="P259">
        <v>0</v>
      </c>
      <c r="Q259">
        <v>55.555555555555557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55.000000000000007</v>
      </c>
      <c r="AK259" t="s">
        <v>1</v>
      </c>
      <c r="AL259" t="s">
        <v>374</v>
      </c>
      <c r="AQ259" s="1">
        <f t="shared" ref="AQ259:AQ322" si="124">SUM(G259:AI259)</f>
        <v>100</v>
      </c>
      <c r="AR259" s="1">
        <f t="shared" si="104"/>
        <v>0.1666666666666666</v>
      </c>
      <c r="AS259" s="1">
        <f t="shared" si="105"/>
        <v>0</v>
      </c>
      <c r="AT259" s="1">
        <f t="shared" si="106"/>
        <v>0.27777777777777779</v>
      </c>
      <c r="AU259" s="1">
        <f t="shared" si="107"/>
        <v>0.55555555555555558</v>
      </c>
      <c r="AV259" s="1">
        <f t="shared" si="108"/>
        <v>0.55000000000000004</v>
      </c>
      <c r="AX259" s="1">
        <f t="shared" si="109"/>
        <v>2</v>
      </c>
      <c r="AY259" s="1">
        <f t="shared" si="110"/>
        <v>0.59999999999999976</v>
      </c>
      <c r="AZ259" s="1">
        <f t="shared" si="111"/>
        <v>0.625</v>
      </c>
      <c r="BA259" s="1">
        <f t="shared" si="112"/>
        <v>1</v>
      </c>
      <c r="BB259" s="1">
        <f t="shared" si="113"/>
        <v>0.59999999999999976</v>
      </c>
      <c r="BC259" s="1">
        <f t="shared" si="114"/>
        <v>0.59999999999999976</v>
      </c>
      <c r="BD259" s="1">
        <f t="shared" si="115"/>
        <v>4.9999999999999711E-2</v>
      </c>
      <c r="BF259">
        <f t="shared" si="116"/>
        <v>27.777777777777779</v>
      </c>
      <c r="BG259">
        <f t="shared" si="101"/>
        <v>16.666666666666661</v>
      </c>
      <c r="BH259" s="1">
        <f t="shared" si="117"/>
        <v>2</v>
      </c>
      <c r="BI259" s="1">
        <f t="shared" si="118"/>
        <v>0.59999999999999976</v>
      </c>
      <c r="BJ259" s="1">
        <f t="shared" si="119"/>
        <v>0.628</v>
      </c>
      <c r="BK259" s="1">
        <f t="shared" si="120"/>
        <v>1.1000000000000001</v>
      </c>
      <c r="BL259" s="1">
        <f t="shared" si="121"/>
        <v>0.59999999999999976</v>
      </c>
      <c r="BM259" s="1">
        <f t="shared" si="122"/>
        <v>0.59999999999999976</v>
      </c>
      <c r="BN259" s="1">
        <f t="shared" ref="BN259:BN322" si="125">(BM259-AV259)^2</f>
        <v>2.499999999999971E-3</v>
      </c>
      <c r="BO259" s="1">
        <f t="shared" si="123"/>
        <v>2.0266106256661608E-2</v>
      </c>
    </row>
    <row r="260" spans="1:67" x14ac:dyDescent="0.25">
      <c r="A260" s="3"/>
      <c r="B260" s="3"/>
      <c r="C260">
        <v>25</v>
      </c>
      <c r="D260" s="5">
        <v>1</v>
      </c>
      <c r="E260" s="9">
        <f t="shared" si="102"/>
        <v>18.918918918918919</v>
      </c>
      <c r="F260" s="9">
        <f t="shared" si="103"/>
        <v>0.66666666666666674</v>
      </c>
      <c r="G260">
        <v>0</v>
      </c>
      <c r="H260">
        <v>27.027027027027021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18.918918918918919</v>
      </c>
      <c r="P260">
        <v>0</v>
      </c>
      <c r="Q260">
        <v>54.054054054054049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61</v>
      </c>
      <c r="AK260" t="s">
        <v>1</v>
      </c>
      <c r="AL260" t="s">
        <v>374</v>
      </c>
      <c r="AQ260" s="1">
        <f t="shared" si="124"/>
        <v>99.999999999999986</v>
      </c>
      <c r="AR260" s="1">
        <f t="shared" si="104"/>
        <v>0.1891891891891892</v>
      </c>
      <c r="AS260" s="1">
        <f t="shared" si="105"/>
        <v>0</v>
      </c>
      <c r="AT260" s="1">
        <f t="shared" si="106"/>
        <v>0.27027027027027023</v>
      </c>
      <c r="AU260" s="1">
        <f t="shared" si="107"/>
        <v>0.54054054054054046</v>
      </c>
      <c r="AV260" s="1">
        <f t="shared" si="108"/>
        <v>0.61</v>
      </c>
      <c r="AX260" s="1">
        <f t="shared" si="109"/>
        <v>2</v>
      </c>
      <c r="AY260" s="1">
        <f t="shared" si="110"/>
        <v>0.70000000000000018</v>
      </c>
      <c r="AZ260" s="1">
        <f t="shared" si="111"/>
        <v>0.625</v>
      </c>
      <c r="BA260" s="1">
        <f t="shared" si="112"/>
        <v>1</v>
      </c>
      <c r="BB260" s="1">
        <f t="shared" si="113"/>
        <v>0.625</v>
      </c>
      <c r="BC260" s="1">
        <f t="shared" si="114"/>
        <v>0.625</v>
      </c>
      <c r="BD260" s="1">
        <f t="shared" si="115"/>
        <v>1.5000000000000013E-2</v>
      </c>
      <c r="BF260">
        <f t="shared" si="116"/>
        <v>27.027027027027021</v>
      </c>
      <c r="BG260">
        <f t="shared" si="101"/>
        <v>18.918918918918919</v>
      </c>
      <c r="BH260" s="1">
        <f t="shared" si="117"/>
        <v>2.0000000000000004</v>
      </c>
      <c r="BI260" s="1">
        <f t="shared" si="118"/>
        <v>0.70000000000000018</v>
      </c>
      <c r="BJ260" s="1">
        <f t="shared" si="119"/>
        <v>0.628</v>
      </c>
      <c r="BK260" s="1">
        <f t="shared" si="120"/>
        <v>1.1000000000000003</v>
      </c>
      <c r="BL260" s="1">
        <f t="shared" si="121"/>
        <v>0.628</v>
      </c>
      <c r="BM260" s="1">
        <f t="shared" si="122"/>
        <v>0.628</v>
      </c>
      <c r="BN260" s="1">
        <f t="shared" si="125"/>
        <v>3.2400000000000056E-4</v>
      </c>
      <c r="BO260" s="1">
        <f t="shared" si="123"/>
        <v>4.094919526585214E-2</v>
      </c>
    </row>
    <row r="261" spans="1:67" x14ac:dyDescent="0.25">
      <c r="A261" s="3"/>
      <c r="B261" s="3"/>
      <c r="C261">
        <v>26</v>
      </c>
      <c r="D261" s="5">
        <v>1</v>
      </c>
      <c r="E261" s="9">
        <f t="shared" si="102"/>
        <v>21.05263157894737</v>
      </c>
      <c r="F261" s="9">
        <f t="shared" si="103"/>
        <v>0.66666666666666663</v>
      </c>
      <c r="G261">
        <v>0</v>
      </c>
      <c r="H261">
        <v>26.315789473684209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21.05263157894737</v>
      </c>
      <c r="P261">
        <v>0</v>
      </c>
      <c r="Q261">
        <v>52.631578947368418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60</v>
      </c>
      <c r="AK261" t="s">
        <v>1</v>
      </c>
      <c r="AL261" t="s">
        <v>374</v>
      </c>
      <c r="AQ261" s="1">
        <f t="shared" si="124"/>
        <v>100</v>
      </c>
      <c r="AR261" s="1">
        <f t="shared" si="104"/>
        <v>0.2105263157894737</v>
      </c>
      <c r="AS261" s="1">
        <f t="shared" si="105"/>
        <v>0</v>
      </c>
      <c r="AT261" s="1">
        <f t="shared" si="106"/>
        <v>0.26315789473684209</v>
      </c>
      <c r="AU261" s="1">
        <f t="shared" si="107"/>
        <v>0.52631578947368418</v>
      </c>
      <c r="AV261" s="1">
        <f t="shared" si="108"/>
        <v>0.6</v>
      </c>
      <c r="AX261" s="1">
        <f t="shared" si="109"/>
        <v>2</v>
      </c>
      <c r="AY261" s="1">
        <f t="shared" si="110"/>
        <v>0.80000000000000016</v>
      </c>
      <c r="AZ261" s="1">
        <f t="shared" si="111"/>
        <v>0.625</v>
      </c>
      <c r="BA261" s="1">
        <f t="shared" si="112"/>
        <v>1</v>
      </c>
      <c r="BB261" s="1">
        <f t="shared" si="113"/>
        <v>0.625</v>
      </c>
      <c r="BC261" s="1">
        <f t="shared" si="114"/>
        <v>0.625</v>
      </c>
      <c r="BD261" s="1">
        <f t="shared" si="115"/>
        <v>2.5000000000000022E-2</v>
      </c>
      <c r="BF261">
        <f t="shared" si="116"/>
        <v>26.315789473684209</v>
      </c>
      <c r="BG261">
        <f t="shared" ref="BG261:BG324" si="126">O261+$BR$17*M261+$BR$18*L261+$BR$19*X261+$BR$20*AD261+$BR$21*I261+$BR$22*N261+$BR$23*AB261+$BR$24*V261+$BR$25*T261+$BR$26*AA261+$BR$28*Z261+$BR$29*AF261+$BR$30*W261+$BR$27*AI261</f>
        <v>21.05263157894737</v>
      </c>
      <c r="BH261" s="1">
        <f t="shared" si="117"/>
        <v>2</v>
      </c>
      <c r="BI261" s="1">
        <f t="shared" si="118"/>
        <v>0.80000000000000016</v>
      </c>
      <c r="BJ261" s="1">
        <f t="shared" si="119"/>
        <v>0.628</v>
      </c>
      <c r="BK261" s="1">
        <f t="shared" si="120"/>
        <v>1.1000000000000001</v>
      </c>
      <c r="BL261" s="1">
        <f t="shared" si="121"/>
        <v>0.628</v>
      </c>
      <c r="BM261" s="1">
        <f t="shared" si="122"/>
        <v>0.628</v>
      </c>
      <c r="BN261" s="1">
        <f t="shared" si="125"/>
        <v>7.8400000000000138E-4</v>
      </c>
      <c r="BO261" s="1">
        <f t="shared" si="123"/>
        <v>3.7002013764320378E-2</v>
      </c>
    </row>
    <row r="262" spans="1:67" x14ac:dyDescent="0.25">
      <c r="A262" s="3"/>
      <c r="B262" s="3"/>
      <c r="C262">
        <v>27</v>
      </c>
      <c r="D262" s="5">
        <v>1</v>
      </c>
      <c r="E262" s="9">
        <f t="shared" si="102"/>
        <v>23.07692307692308</v>
      </c>
      <c r="F262" s="9">
        <f t="shared" si="103"/>
        <v>0.66666666666666674</v>
      </c>
      <c r="G262">
        <v>0</v>
      </c>
      <c r="H262">
        <v>25.641025641025649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23.07692307692308</v>
      </c>
      <c r="P262">
        <v>0</v>
      </c>
      <c r="Q262">
        <v>51.282051282051292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60</v>
      </c>
      <c r="AK262" t="s">
        <v>1</v>
      </c>
      <c r="AL262" t="s">
        <v>374</v>
      </c>
      <c r="AQ262" s="1">
        <f t="shared" si="124"/>
        <v>100.00000000000003</v>
      </c>
      <c r="AR262" s="1">
        <f t="shared" si="104"/>
        <v>0.23076923076923081</v>
      </c>
      <c r="AS262" s="1">
        <f t="shared" si="105"/>
        <v>0</v>
      </c>
      <c r="AT262" s="1">
        <f t="shared" si="106"/>
        <v>0.2564102564102565</v>
      </c>
      <c r="AU262" s="1">
        <f t="shared" si="107"/>
        <v>0.51282051282051289</v>
      </c>
      <c r="AV262" s="1">
        <f t="shared" si="108"/>
        <v>0.6</v>
      </c>
      <c r="AX262" s="1">
        <f t="shared" si="109"/>
        <v>1.9999999999999996</v>
      </c>
      <c r="AY262" s="1">
        <f t="shared" si="110"/>
        <v>0.8999999999999998</v>
      </c>
      <c r="AZ262" s="1">
        <f t="shared" si="111"/>
        <v>0.625</v>
      </c>
      <c r="BA262" s="1">
        <f t="shared" si="112"/>
        <v>0.99999999999999989</v>
      </c>
      <c r="BB262" s="1">
        <f t="shared" si="113"/>
        <v>0.625</v>
      </c>
      <c r="BC262" s="1">
        <f t="shared" si="114"/>
        <v>0.625</v>
      </c>
      <c r="BD262" s="1">
        <f t="shared" si="115"/>
        <v>2.5000000000000022E-2</v>
      </c>
      <c r="BF262">
        <f t="shared" si="116"/>
        <v>25.641025641025649</v>
      </c>
      <c r="BG262">
        <f t="shared" si="126"/>
        <v>23.07692307692308</v>
      </c>
      <c r="BH262" s="1">
        <f t="shared" si="117"/>
        <v>1.9999999999999998</v>
      </c>
      <c r="BI262" s="1">
        <f t="shared" si="118"/>
        <v>0.8999999999999998</v>
      </c>
      <c r="BJ262" s="1">
        <f t="shared" si="119"/>
        <v>0.628</v>
      </c>
      <c r="BK262" s="1">
        <f t="shared" si="120"/>
        <v>1.0999999999999999</v>
      </c>
      <c r="BL262" s="1">
        <f t="shared" si="121"/>
        <v>0.628</v>
      </c>
      <c r="BM262" s="1">
        <f t="shared" si="122"/>
        <v>0.628</v>
      </c>
      <c r="BN262" s="1">
        <f t="shared" si="125"/>
        <v>7.8400000000000138E-4</v>
      </c>
      <c r="BO262" s="1">
        <f t="shared" si="123"/>
        <v>3.7002013764320378E-2</v>
      </c>
    </row>
    <row r="263" spans="1:67" x14ac:dyDescent="0.25">
      <c r="A263" s="3"/>
      <c r="B263" s="3"/>
      <c r="C263">
        <v>28</v>
      </c>
      <c r="D263" s="5">
        <v>1</v>
      </c>
      <c r="E263" s="9">
        <f t="shared" si="102"/>
        <v>25</v>
      </c>
      <c r="F263" s="9">
        <f t="shared" si="103"/>
        <v>0.66666666666666663</v>
      </c>
      <c r="G263">
        <v>0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25</v>
      </c>
      <c r="P263">
        <v>0</v>
      </c>
      <c r="Q263">
        <v>50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57.999999999999993</v>
      </c>
      <c r="AK263" t="s">
        <v>1</v>
      </c>
      <c r="AL263" t="s">
        <v>374</v>
      </c>
      <c r="AQ263" s="1">
        <f t="shared" si="124"/>
        <v>100</v>
      </c>
      <c r="AR263" s="1">
        <f t="shared" si="104"/>
        <v>0.25</v>
      </c>
      <c r="AS263" s="1">
        <f t="shared" si="105"/>
        <v>0</v>
      </c>
      <c r="AT263" s="1">
        <f t="shared" si="106"/>
        <v>0.25</v>
      </c>
      <c r="AU263" s="1">
        <f t="shared" si="107"/>
        <v>0.5</v>
      </c>
      <c r="AV263" s="1">
        <f t="shared" si="108"/>
        <v>0.57999999999999996</v>
      </c>
      <c r="AX263" s="1">
        <f t="shared" si="109"/>
        <v>2</v>
      </c>
      <c r="AY263" s="1">
        <f t="shared" si="110"/>
        <v>1</v>
      </c>
      <c r="AZ263" s="1">
        <f t="shared" si="111"/>
        <v>0.625</v>
      </c>
      <c r="BA263" s="1">
        <f t="shared" si="112"/>
        <v>1</v>
      </c>
      <c r="BB263" s="1">
        <f t="shared" si="113"/>
        <v>0.625</v>
      </c>
      <c r="BC263" s="1">
        <f t="shared" si="114"/>
        <v>0.625</v>
      </c>
      <c r="BD263" s="1">
        <f t="shared" si="115"/>
        <v>4.500000000000004E-2</v>
      </c>
      <c r="BF263">
        <f t="shared" si="116"/>
        <v>25</v>
      </c>
      <c r="BG263">
        <f t="shared" si="126"/>
        <v>25</v>
      </c>
      <c r="BH263" s="1">
        <f t="shared" si="117"/>
        <v>2</v>
      </c>
      <c r="BI263" s="1">
        <f t="shared" si="118"/>
        <v>1</v>
      </c>
      <c r="BJ263" s="1">
        <f t="shared" si="119"/>
        <v>0.628</v>
      </c>
      <c r="BK263" s="1">
        <f t="shared" si="120"/>
        <v>1.1000000000000001</v>
      </c>
      <c r="BL263" s="1">
        <f t="shared" si="121"/>
        <v>0.628</v>
      </c>
      <c r="BM263" s="1">
        <f t="shared" si="122"/>
        <v>0.628</v>
      </c>
      <c r="BN263" s="1">
        <f t="shared" si="125"/>
        <v>2.304000000000004E-3</v>
      </c>
      <c r="BO263" s="1">
        <f t="shared" si="123"/>
        <v>2.9707650761256855E-2</v>
      </c>
    </row>
    <row r="264" spans="1:67" x14ac:dyDescent="0.25">
      <c r="A264" s="3"/>
      <c r="B264" s="3"/>
      <c r="C264">
        <v>29</v>
      </c>
      <c r="D264" s="5">
        <v>1</v>
      </c>
      <c r="E264" s="9">
        <f t="shared" si="102"/>
        <v>33.333333333333329</v>
      </c>
      <c r="F264" s="9">
        <f t="shared" si="103"/>
        <v>0.66666666666666674</v>
      </c>
      <c r="G264">
        <v>0</v>
      </c>
      <c r="H264">
        <v>22.222222222222221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33.333333333333329</v>
      </c>
      <c r="P264">
        <v>0</v>
      </c>
      <c r="Q264">
        <v>44.444444444444443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53</v>
      </c>
      <c r="AK264" t="s">
        <v>1</v>
      </c>
      <c r="AL264" t="s">
        <v>374</v>
      </c>
      <c r="AQ264" s="1">
        <f t="shared" si="124"/>
        <v>100</v>
      </c>
      <c r="AR264" s="1">
        <f t="shared" si="104"/>
        <v>0.33333333333333326</v>
      </c>
      <c r="AS264" s="1">
        <f t="shared" si="105"/>
        <v>0</v>
      </c>
      <c r="AT264" s="1">
        <f t="shared" si="106"/>
        <v>0.22222222222222221</v>
      </c>
      <c r="AU264" s="1">
        <f t="shared" si="107"/>
        <v>0.44444444444444442</v>
      </c>
      <c r="AV264" s="1">
        <f t="shared" si="108"/>
        <v>0.53</v>
      </c>
      <c r="AX264" s="1">
        <f t="shared" si="109"/>
        <v>2</v>
      </c>
      <c r="AY264" s="1">
        <f t="shared" si="110"/>
        <v>1.4999999999999998</v>
      </c>
      <c r="AZ264" s="1">
        <f t="shared" si="111"/>
        <v>0.625</v>
      </c>
      <c r="BA264" s="1">
        <f t="shared" si="112"/>
        <v>1</v>
      </c>
      <c r="BB264" s="1">
        <f t="shared" si="113"/>
        <v>0.52083333333333337</v>
      </c>
      <c r="BC264" s="1">
        <f t="shared" si="114"/>
        <v>0.52083333333333337</v>
      </c>
      <c r="BD264" s="1">
        <f t="shared" si="115"/>
        <v>9.1666666666666563E-3</v>
      </c>
      <c r="BF264">
        <f t="shared" si="116"/>
        <v>22.222222222222221</v>
      </c>
      <c r="BG264">
        <f t="shared" si="126"/>
        <v>33.333333333333329</v>
      </c>
      <c r="BH264" s="1">
        <f t="shared" si="117"/>
        <v>2</v>
      </c>
      <c r="BI264" s="1">
        <f t="shared" si="118"/>
        <v>1.4999999999999998</v>
      </c>
      <c r="BJ264" s="1">
        <f t="shared" si="119"/>
        <v>0.628</v>
      </c>
      <c r="BK264" s="1">
        <f t="shared" si="120"/>
        <v>1.1000000000000001</v>
      </c>
      <c r="BL264" s="1">
        <f t="shared" si="121"/>
        <v>0.54466666666666674</v>
      </c>
      <c r="BM264" s="1">
        <f t="shared" si="122"/>
        <v>0.54466666666666674</v>
      </c>
      <c r="BN264" s="1">
        <f t="shared" si="125"/>
        <v>2.1511111111111259E-4</v>
      </c>
      <c r="BO264" s="1">
        <f t="shared" si="123"/>
        <v>1.4971743253598084E-2</v>
      </c>
    </row>
    <row r="265" spans="1:67" x14ac:dyDescent="0.25">
      <c r="A265" s="3"/>
      <c r="B265" s="3"/>
      <c r="C265">
        <v>30</v>
      </c>
      <c r="D265" s="5">
        <v>1</v>
      </c>
      <c r="E265" s="9">
        <f t="shared" si="102"/>
        <v>45.454545454545453</v>
      </c>
      <c r="F265" s="9">
        <f t="shared" si="103"/>
        <v>0.66666666666666674</v>
      </c>
      <c r="G265">
        <v>0</v>
      </c>
      <c r="H265">
        <v>18.18181818181818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45.454545454545453</v>
      </c>
      <c r="P265">
        <v>0</v>
      </c>
      <c r="Q265">
        <v>36.363636363636367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39</v>
      </c>
      <c r="AK265" t="s">
        <v>1</v>
      </c>
      <c r="AL265" t="s">
        <v>374</v>
      </c>
      <c r="AQ265" s="1">
        <f t="shared" si="124"/>
        <v>100</v>
      </c>
      <c r="AR265" s="1">
        <f t="shared" si="104"/>
        <v>0.45454545454545453</v>
      </c>
      <c r="AS265" s="1">
        <f t="shared" si="105"/>
        <v>0</v>
      </c>
      <c r="AT265" s="1">
        <f t="shared" si="106"/>
        <v>0.1818181818181818</v>
      </c>
      <c r="AU265" s="1">
        <f t="shared" si="107"/>
        <v>0.36363636363636365</v>
      </c>
      <c r="AV265" s="1">
        <f t="shared" si="108"/>
        <v>0.39</v>
      </c>
      <c r="AX265" s="1">
        <f t="shared" si="109"/>
        <v>2.0000000000000004</v>
      </c>
      <c r="AY265" s="1">
        <f t="shared" si="110"/>
        <v>2.5000000000000004</v>
      </c>
      <c r="AZ265" s="1">
        <f t="shared" si="111"/>
        <v>0.625</v>
      </c>
      <c r="BA265" s="1">
        <f t="shared" si="112"/>
        <v>1</v>
      </c>
      <c r="BB265" s="1">
        <f t="shared" si="113"/>
        <v>0.31249999999999994</v>
      </c>
      <c r="BC265" s="1">
        <f t="shared" si="114"/>
        <v>0.31249999999999994</v>
      </c>
      <c r="BD265" s="1">
        <f t="shared" si="115"/>
        <v>7.7500000000000069E-2</v>
      </c>
      <c r="BF265">
        <f t="shared" si="116"/>
        <v>18.18181818181818</v>
      </c>
      <c r="BG265">
        <f t="shared" si="126"/>
        <v>45.454545454545453</v>
      </c>
      <c r="BH265" s="1">
        <f t="shared" si="117"/>
        <v>2.0000000000000004</v>
      </c>
      <c r="BI265" s="1">
        <f t="shared" si="118"/>
        <v>2.5</v>
      </c>
      <c r="BJ265" s="1">
        <f t="shared" si="119"/>
        <v>0.628</v>
      </c>
      <c r="BK265" s="1">
        <f t="shared" si="120"/>
        <v>1.1000000000000003</v>
      </c>
      <c r="BL265" s="1">
        <f t="shared" si="121"/>
        <v>0.33633333333333343</v>
      </c>
      <c r="BM265" s="1">
        <f t="shared" si="122"/>
        <v>0.33633333333333343</v>
      </c>
      <c r="BN265" s="1">
        <f t="shared" si="125"/>
        <v>2.8801111111111024E-3</v>
      </c>
      <c r="BO265" s="1">
        <f t="shared" si="123"/>
        <v>3.1120223215346117E-4</v>
      </c>
    </row>
    <row r="266" spans="1:67" x14ac:dyDescent="0.25">
      <c r="A266" s="3"/>
      <c r="B266" s="3"/>
      <c r="C266">
        <v>31</v>
      </c>
      <c r="D266" s="5">
        <v>1</v>
      </c>
      <c r="E266" s="9">
        <f t="shared" si="102"/>
        <v>16.666666666666671</v>
      </c>
      <c r="F266" s="9">
        <f t="shared" si="103"/>
        <v>0.74999999999999989</v>
      </c>
      <c r="G266">
        <v>0</v>
      </c>
      <c r="H266">
        <v>20.833333333333339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16.666666666666671</v>
      </c>
      <c r="P266">
        <v>0</v>
      </c>
      <c r="Q266">
        <v>62.5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65</v>
      </c>
      <c r="AK266" t="s">
        <v>1</v>
      </c>
      <c r="AL266" t="s">
        <v>374</v>
      </c>
      <c r="AQ266" s="1">
        <f t="shared" si="124"/>
        <v>100.00000000000001</v>
      </c>
      <c r="AR266" s="1">
        <f t="shared" si="104"/>
        <v>0.16666666666666671</v>
      </c>
      <c r="AS266" s="1">
        <f t="shared" si="105"/>
        <v>0</v>
      </c>
      <c r="AT266" s="1">
        <f t="shared" si="106"/>
        <v>0.2083333333333334</v>
      </c>
      <c r="AU266" s="1">
        <f t="shared" si="107"/>
        <v>0.625</v>
      </c>
      <c r="AV266" s="1">
        <f t="shared" si="108"/>
        <v>0.65</v>
      </c>
      <c r="AX266" s="1">
        <f t="shared" si="109"/>
        <v>2.9999999999999991</v>
      </c>
      <c r="AY266" s="1">
        <f t="shared" si="110"/>
        <v>0.79999999999999993</v>
      </c>
      <c r="AZ266" s="1">
        <f t="shared" si="111"/>
        <v>0.6875</v>
      </c>
      <c r="BA266" s="1">
        <f t="shared" si="112"/>
        <v>1.2499999999999998</v>
      </c>
      <c r="BB266" s="1">
        <f t="shared" si="113"/>
        <v>0.6875</v>
      </c>
      <c r="BC266" s="1">
        <f t="shared" si="114"/>
        <v>0.6875</v>
      </c>
      <c r="BD266" s="1">
        <f t="shared" si="115"/>
        <v>3.7499999999999978E-2</v>
      </c>
      <c r="BF266">
        <f t="shared" si="116"/>
        <v>20.833333333333339</v>
      </c>
      <c r="BG266">
        <f t="shared" si="126"/>
        <v>16.666666666666671</v>
      </c>
      <c r="BH266" s="1">
        <f t="shared" si="117"/>
        <v>2.9999999999999991</v>
      </c>
      <c r="BI266" s="1">
        <f t="shared" si="118"/>
        <v>0.8</v>
      </c>
      <c r="BJ266" s="1">
        <f t="shared" si="119"/>
        <v>0.64699999999999991</v>
      </c>
      <c r="BK266" s="1">
        <f t="shared" si="120"/>
        <v>1.6019999999999996</v>
      </c>
      <c r="BL266" s="1">
        <f t="shared" si="121"/>
        <v>0.64699999999999991</v>
      </c>
      <c r="BM266" s="1">
        <f t="shared" si="122"/>
        <v>0.64699999999999991</v>
      </c>
      <c r="BN266" s="1">
        <f t="shared" si="125"/>
        <v>9.0000000000006829E-6</v>
      </c>
      <c r="BO266" s="1">
        <f t="shared" si="123"/>
        <v>5.8737921271979188E-2</v>
      </c>
    </row>
    <row r="267" spans="1:67" x14ac:dyDescent="0.25">
      <c r="A267" s="3"/>
      <c r="B267" s="3"/>
      <c r="C267">
        <v>32</v>
      </c>
      <c r="D267" s="5">
        <v>1</v>
      </c>
      <c r="E267" s="9">
        <f t="shared" si="102"/>
        <v>18.367346938775508</v>
      </c>
      <c r="F267" s="9">
        <f t="shared" si="103"/>
        <v>0.75</v>
      </c>
      <c r="G267">
        <v>0</v>
      </c>
      <c r="H267">
        <v>20.408163265306118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18.367346938775508</v>
      </c>
      <c r="P267">
        <v>0</v>
      </c>
      <c r="Q267">
        <v>61.224489795918359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64</v>
      </c>
      <c r="AK267" t="s">
        <v>1</v>
      </c>
      <c r="AL267" t="s">
        <v>374</v>
      </c>
      <c r="AQ267" s="1">
        <f t="shared" si="124"/>
        <v>99.999999999999986</v>
      </c>
      <c r="AR267" s="1">
        <f t="shared" si="104"/>
        <v>0.18367346938775508</v>
      </c>
      <c r="AS267" s="1">
        <f t="shared" si="105"/>
        <v>0</v>
      </c>
      <c r="AT267" s="1">
        <f t="shared" si="106"/>
        <v>0.20408163265306117</v>
      </c>
      <c r="AU267" s="1">
        <f t="shared" si="107"/>
        <v>0.61224489795918358</v>
      </c>
      <c r="AV267" s="1">
        <f t="shared" si="108"/>
        <v>0.64</v>
      </c>
      <c r="AX267" s="1">
        <f t="shared" si="109"/>
        <v>3.0000000000000004</v>
      </c>
      <c r="AY267" s="1">
        <f t="shared" si="110"/>
        <v>0.90000000000000013</v>
      </c>
      <c r="AZ267" s="1">
        <f t="shared" si="111"/>
        <v>0.6875</v>
      </c>
      <c r="BA267" s="1">
        <f t="shared" si="112"/>
        <v>1.25</v>
      </c>
      <c r="BB267" s="1">
        <f t="shared" si="113"/>
        <v>0.6875</v>
      </c>
      <c r="BC267" s="1">
        <f t="shared" si="114"/>
        <v>0.6875</v>
      </c>
      <c r="BD267" s="1">
        <f t="shared" si="115"/>
        <v>4.7499999999999987E-2</v>
      </c>
      <c r="BF267">
        <f t="shared" si="116"/>
        <v>20.408163265306118</v>
      </c>
      <c r="BG267">
        <f t="shared" si="126"/>
        <v>18.367346938775508</v>
      </c>
      <c r="BH267" s="1">
        <f t="shared" si="117"/>
        <v>3</v>
      </c>
      <c r="BI267" s="1">
        <f t="shared" si="118"/>
        <v>0.90000000000000013</v>
      </c>
      <c r="BJ267" s="1">
        <f t="shared" si="119"/>
        <v>0.64700000000000002</v>
      </c>
      <c r="BK267" s="1">
        <f t="shared" si="120"/>
        <v>1.6020000000000001</v>
      </c>
      <c r="BL267" s="1">
        <f t="shared" si="121"/>
        <v>0.64700000000000002</v>
      </c>
      <c r="BM267" s="1">
        <f t="shared" si="122"/>
        <v>0.64700000000000002</v>
      </c>
      <c r="BN267" s="1">
        <f t="shared" si="125"/>
        <v>4.9000000000000087E-5</v>
      </c>
      <c r="BO267" s="1">
        <f t="shared" si="123"/>
        <v>5.3990739770447424E-2</v>
      </c>
    </row>
    <row r="268" spans="1:67" x14ac:dyDescent="0.25">
      <c r="A268" s="3"/>
      <c r="B268" s="3"/>
      <c r="C268">
        <v>33</v>
      </c>
      <c r="D268" s="5">
        <v>1</v>
      </c>
      <c r="E268" s="9">
        <f t="shared" si="102"/>
        <v>20</v>
      </c>
      <c r="F268" s="9">
        <f t="shared" si="103"/>
        <v>0.75</v>
      </c>
      <c r="G268">
        <v>0</v>
      </c>
      <c r="H268">
        <v>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20</v>
      </c>
      <c r="P268">
        <v>0</v>
      </c>
      <c r="Q268">
        <v>60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64</v>
      </c>
      <c r="AK268" t="s">
        <v>1</v>
      </c>
      <c r="AL268" t="s">
        <v>374</v>
      </c>
      <c r="AQ268" s="1">
        <f t="shared" si="124"/>
        <v>100</v>
      </c>
      <c r="AR268" s="1">
        <f t="shared" si="104"/>
        <v>0.2</v>
      </c>
      <c r="AS268" s="1">
        <f t="shared" si="105"/>
        <v>0</v>
      </c>
      <c r="AT268" s="1">
        <f t="shared" si="106"/>
        <v>0.2</v>
      </c>
      <c r="AU268" s="1">
        <f t="shared" si="107"/>
        <v>0.6</v>
      </c>
      <c r="AV268" s="1">
        <f t="shared" si="108"/>
        <v>0.64</v>
      </c>
      <c r="AX268" s="1">
        <f t="shared" si="109"/>
        <v>2.9999999999999996</v>
      </c>
      <c r="AY268" s="1">
        <f t="shared" si="110"/>
        <v>1</v>
      </c>
      <c r="AZ268" s="1">
        <f t="shared" si="111"/>
        <v>0.6875</v>
      </c>
      <c r="BA268" s="1">
        <f t="shared" si="112"/>
        <v>1.25</v>
      </c>
      <c r="BB268" s="1">
        <f t="shared" si="113"/>
        <v>0.6875</v>
      </c>
      <c r="BC268" s="1">
        <f t="shared" si="114"/>
        <v>0.6875</v>
      </c>
      <c r="BD268" s="1">
        <f t="shared" si="115"/>
        <v>4.7499999999999987E-2</v>
      </c>
      <c r="BF268">
        <f t="shared" si="116"/>
        <v>20</v>
      </c>
      <c r="BG268">
        <f t="shared" si="126"/>
        <v>20</v>
      </c>
      <c r="BH268" s="1">
        <f t="shared" si="117"/>
        <v>3</v>
      </c>
      <c r="BI268" s="1">
        <f t="shared" si="118"/>
        <v>1</v>
      </c>
      <c r="BJ268" s="1">
        <f t="shared" si="119"/>
        <v>0.64700000000000002</v>
      </c>
      <c r="BK268" s="1">
        <f t="shared" si="120"/>
        <v>1.6020000000000001</v>
      </c>
      <c r="BL268" s="1">
        <f t="shared" si="121"/>
        <v>0.64700000000000002</v>
      </c>
      <c r="BM268" s="1">
        <f t="shared" si="122"/>
        <v>0.64700000000000002</v>
      </c>
      <c r="BN268" s="1">
        <f t="shared" si="125"/>
        <v>4.9000000000000087E-5</v>
      </c>
      <c r="BO268" s="1">
        <f t="shared" si="123"/>
        <v>5.3990739770447424E-2</v>
      </c>
    </row>
    <row r="269" spans="1:67" x14ac:dyDescent="0.25">
      <c r="A269" s="3"/>
      <c r="B269" s="3"/>
      <c r="C269">
        <v>34</v>
      </c>
      <c r="D269" s="5">
        <v>1</v>
      </c>
      <c r="E269" s="9">
        <f t="shared" si="102"/>
        <v>27.27272727272727</v>
      </c>
      <c r="F269" s="9">
        <f t="shared" si="103"/>
        <v>0.75</v>
      </c>
      <c r="G269">
        <v>0</v>
      </c>
      <c r="H269">
        <v>18.18181818181818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27.27272727272727</v>
      </c>
      <c r="P269">
        <v>0</v>
      </c>
      <c r="Q269">
        <v>54.54545454545454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61</v>
      </c>
      <c r="AK269" t="s">
        <v>1</v>
      </c>
      <c r="AL269" t="s">
        <v>374</v>
      </c>
      <c r="AQ269" s="1">
        <f t="shared" si="124"/>
        <v>100</v>
      </c>
      <c r="AR269" s="1">
        <f t="shared" si="104"/>
        <v>0.27272727272727271</v>
      </c>
      <c r="AS269" s="1">
        <f t="shared" si="105"/>
        <v>0</v>
      </c>
      <c r="AT269" s="1">
        <f t="shared" si="106"/>
        <v>0.1818181818181818</v>
      </c>
      <c r="AU269" s="1">
        <f t="shared" si="107"/>
        <v>0.54545454545454541</v>
      </c>
      <c r="AV269" s="1">
        <f t="shared" si="108"/>
        <v>0.61</v>
      </c>
      <c r="AX269" s="1">
        <f t="shared" si="109"/>
        <v>3</v>
      </c>
      <c r="AY269" s="1">
        <f t="shared" si="110"/>
        <v>1.5</v>
      </c>
      <c r="AZ269" s="1">
        <f t="shared" si="111"/>
        <v>0.6875</v>
      </c>
      <c r="BA269" s="1">
        <f t="shared" si="112"/>
        <v>1.25</v>
      </c>
      <c r="BB269" s="1">
        <f t="shared" si="113"/>
        <v>0.64166666666666672</v>
      </c>
      <c r="BC269" s="1">
        <f t="shared" si="114"/>
        <v>0.64166666666666672</v>
      </c>
      <c r="BD269" s="1">
        <f t="shared" si="115"/>
        <v>3.1666666666666732E-2</v>
      </c>
      <c r="BF269">
        <f t="shared" si="116"/>
        <v>18.18181818181818</v>
      </c>
      <c r="BG269">
        <f t="shared" si="126"/>
        <v>27.27272727272727</v>
      </c>
      <c r="BH269" s="1">
        <f t="shared" si="117"/>
        <v>3</v>
      </c>
      <c r="BI269" s="1">
        <f t="shared" si="118"/>
        <v>1.5</v>
      </c>
      <c r="BJ269" s="1">
        <f t="shared" si="119"/>
        <v>0.64700000000000002</v>
      </c>
      <c r="BK269" s="1">
        <f t="shared" si="120"/>
        <v>1.6020000000000001</v>
      </c>
      <c r="BL269" s="1">
        <f t="shared" si="121"/>
        <v>0.64700000000000002</v>
      </c>
      <c r="BM269" s="1">
        <f t="shared" si="122"/>
        <v>0.64700000000000002</v>
      </c>
      <c r="BN269" s="1">
        <f t="shared" si="125"/>
        <v>1.3690000000000024E-3</v>
      </c>
      <c r="BO269" s="1">
        <f t="shared" si="123"/>
        <v>4.094919526585214E-2</v>
      </c>
    </row>
    <row r="270" spans="1:67" x14ac:dyDescent="0.25">
      <c r="A270" s="3"/>
      <c r="B270" s="3"/>
      <c r="C270">
        <v>35</v>
      </c>
      <c r="D270" s="5">
        <v>1</v>
      </c>
      <c r="E270" s="9">
        <f t="shared" si="102"/>
        <v>33.333333333333329</v>
      </c>
      <c r="F270" s="9">
        <f t="shared" si="103"/>
        <v>0.75000000000000011</v>
      </c>
      <c r="G270">
        <v>0</v>
      </c>
      <c r="H270">
        <v>16.666666666666661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33.333333333333329</v>
      </c>
      <c r="P270">
        <v>0</v>
      </c>
      <c r="Q270">
        <v>50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55.000000000000007</v>
      </c>
      <c r="AK270" t="s">
        <v>1</v>
      </c>
      <c r="AL270" t="s">
        <v>374</v>
      </c>
      <c r="AQ270" s="1">
        <f t="shared" si="124"/>
        <v>99.999999999999986</v>
      </c>
      <c r="AR270" s="1">
        <f t="shared" si="104"/>
        <v>0.33333333333333326</v>
      </c>
      <c r="AS270" s="1">
        <f t="shared" si="105"/>
        <v>0</v>
      </c>
      <c r="AT270" s="1">
        <f t="shared" si="106"/>
        <v>0.1666666666666666</v>
      </c>
      <c r="AU270" s="1">
        <f t="shared" si="107"/>
        <v>0.5</v>
      </c>
      <c r="AV270" s="1">
        <f t="shared" si="108"/>
        <v>0.55000000000000004</v>
      </c>
      <c r="AX270" s="1">
        <f t="shared" si="109"/>
        <v>3.0000000000000013</v>
      </c>
      <c r="AY270" s="1">
        <f t="shared" si="110"/>
        <v>2.0000000000000004</v>
      </c>
      <c r="AZ270" s="1">
        <f t="shared" si="111"/>
        <v>0.68750000000000011</v>
      </c>
      <c r="BA270" s="1">
        <f t="shared" si="112"/>
        <v>1.2500000000000004</v>
      </c>
      <c r="BB270" s="1">
        <f t="shared" si="113"/>
        <v>0.55000000000000016</v>
      </c>
      <c r="BC270" s="1">
        <f t="shared" si="114"/>
        <v>0.55000000000000016</v>
      </c>
      <c r="BD270" s="1">
        <f t="shared" si="115"/>
        <v>1.1102230246251565E-16</v>
      </c>
      <c r="BF270">
        <f t="shared" si="116"/>
        <v>16.666666666666661</v>
      </c>
      <c r="BG270">
        <f t="shared" si="126"/>
        <v>33.333333333333329</v>
      </c>
      <c r="BH270" s="1">
        <f t="shared" si="117"/>
        <v>3.0000000000000009</v>
      </c>
      <c r="BI270" s="1">
        <f t="shared" si="118"/>
        <v>2.0000000000000004</v>
      </c>
      <c r="BJ270" s="1">
        <f t="shared" si="119"/>
        <v>0.64700000000000002</v>
      </c>
      <c r="BK270" s="1">
        <f t="shared" si="120"/>
        <v>1.6020000000000005</v>
      </c>
      <c r="BL270" s="1">
        <f t="shared" si="121"/>
        <v>0.5740333333333334</v>
      </c>
      <c r="BM270" s="1">
        <f t="shared" si="122"/>
        <v>0.5740333333333334</v>
      </c>
      <c r="BN270" s="1">
        <f t="shared" si="125"/>
        <v>5.7760111111111192E-4</v>
      </c>
      <c r="BO270" s="1">
        <f t="shared" si="123"/>
        <v>2.0266106256661608E-2</v>
      </c>
    </row>
    <row r="271" spans="1:67" x14ac:dyDescent="0.25">
      <c r="A271" s="3"/>
      <c r="B271" s="3"/>
      <c r="C271">
        <v>36</v>
      </c>
      <c r="D271" s="5">
        <v>1</v>
      </c>
      <c r="E271" s="9">
        <f t="shared" si="102"/>
        <v>42.857142857142847</v>
      </c>
      <c r="F271" s="9">
        <f t="shared" si="103"/>
        <v>0.75000000000000011</v>
      </c>
      <c r="G271">
        <v>0</v>
      </c>
      <c r="H271">
        <v>14.285714285714279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42.857142857142847</v>
      </c>
      <c r="P271">
        <v>0</v>
      </c>
      <c r="Q271">
        <v>42.857142857142847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44</v>
      </c>
      <c r="AK271" t="s">
        <v>1</v>
      </c>
      <c r="AL271" t="s">
        <v>374</v>
      </c>
      <c r="AQ271" s="1">
        <f t="shared" si="124"/>
        <v>99.999999999999972</v>
      </c>
      <c r="AR271" s="1">
        <f t="shared" si="104"/>
        <v>0.42857142857142849</v>
      </c>
      <c r="AS271" s="1">
        <f t="shared" si="105"/>
        <v>0</v>
      </c>
      <c r="AT271" s="1">
        <f t="shared" si="106"/>
        <v>0.14285714285714279</v>
      </c>
      <c r="AU271" s="1">
        <f t="shared" si="107"/>
        <v>0.42857142857142849</v>
      </c>
      <c r="AV271" s="1">
        <f t="shared" si="108"/>
        <v>0.44</v>
      </c>
      <c r="AX271" s="1">
        <f t="shared" si="109"/>
        <v>3.0000000000000009</v>
      </c>
      <c r="AY271" s="1">
        <f t="shared" si="110"/>
        <v>3.0000000000000009</v>
      </c>
      <c r="AZ271" s="1">
        <f t="shared" si="111"/>
        <v>0.6875</v>
      </c>
      <c r="BA271" s="1">
        <f t="shared" si="112"/>
        <v>1.2500000000000002</v>
      </c>
      <c r="BB271" s="1">
        <f t="shared" si="113"/>
        <v>0.36666666666666664</v>
      </c>
      <c r="BC271" s="1">
        <f t="shared" si="114"/>
        <v>0.36666666666666664</v>
      </c>
      <c r="BD271" s="1">
        <f t="shared" si="115"/>
        <v>7.3333333333333361E-2</v>
      </c>
      <c r="BF271">
        <f t="shared" si="116"/>
        <v>14.285714285714279</v>
      </c>
      <c r="BG271">
        <f t="shared" si="126"/>
        <v>42.857142857142847</v>
      </c>
      <c r="BH271" s="1">
        <f t="shared" si="117"/>
        <v>3.0000000000000004</v>
      </c>
      <c r="BI271" s="1">
        <f t="shared" si="118"/>
        <v>3.0000000000000004</v>
      </c>
      <c r="BJ271" s="1">
        <f t="shared" si="119"/>
        <v>0.64700000000000002</v>
      </c>
      <c r="BK271" s="1">
        <f t="shared" si="120"/>
        <v>1.6020000000000003</v>
      </c>
      <c r="BL271" s="1">
        <f t="shared" si="121"/>
        <v>0.39069999999999999</v>
      </c>
      <c r="BM271" s="1">
        <f t="shared" si="122"/>
        <v>0.39069999999999999</v>
      </c>
      <c r="BN271" s="1">
        <f t="shared" si="125"/>
        <v>2.4304900000000009E-3</v>
      </c>
      <c r="BO271" s="1">
        <f t="shared" si="123"/>
        <v>1.0471097398122534E-3</v>
      </c>
    </row>
    <row r="272" spans="1:67" x14ac:dyDescent="0.25">
      <c r="A272" s="3"/>
      <c r="B272" s="3"/>
      <c r="C272" t="s">
        <v>496</v>
      </c>
      <c r="D272" s="5">
        <v>1</v>
      </c>
      <c r="E272" s="9">
        <f t="shared" si="102"/>
        <v>9.0909090909090917</v>
      </c>
      <c r="F272" s="9">
        <f t="shared" si="103"/>
        <v>0.5</v>
      </c>
      <c r="G272">
        <v>0</v>
      </c>
      <c r="H272">
        <v>45.454545454545453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9.0909090909090917</v>
      </c>
      <c r="P272">
        <v>0</v>
      </c>
      <c r="Q272">
        <v>45.454545454545453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25</v>
      </c>
      <c r="AK272" t="s">
        <v>1</v>
      </c>
      <c r="AL272" t="s">
        <v>372</v>
      </c>
      <c r="AM272" t="s">
        <v>389</v>
      </c>
      <c r="AN272" t="s">
        <v>373</v>
      </c>
      <c r="AO272" t="s">
        <v>378</v>
      </c>
      <c r="AQ272" s="1">
        <f t="shared" si="124"/>
        <v>100</v>
      </c>
      <c r="AR272" s="1">
        <f t="shared" si="104"/>
        <v>9.0909090909090912E-2</v>
      </c>
      <c r="AS272" s="1">
        <f t="shared" si="105"/>
        <v>0</v>
      </c>
      <c r="AT272" s="1">
        <f t="shared" si="106"/>
        <v>0.45454545454545453</v>
      </c>
      <c r="AU272" s="1">
        <f t="shared" si="107"/>
        <v>0.45454545454545453</v>
      </c>
      <c r="AV272" s="1">
        <f t="shared" si="108"/>
        <v>0.25</v>
      </c>
      <c r="AX272" s="1">
        <f t="shared" si="109"/>
        <v>1</v>
      </c>
      <c r="AY272" s="1">
        <f t="shared" si="110"/>
        <v>0.2</v>
      </c>
      <c r="AZ272" s="1">
        <f t="shared" si="111"/>
        <v>0.5625</v>
      </c>
      <c r="BA272" s="1">
        <f t="shared" si="112"/>
        <v>0.75</v>
      </c>
      <c r="BB272" s="1">
        <f t="shared" si="113"/>
        <v>0.2</v>
      </c>
      <c r="BC272" s="1">
        <f t="shared" si="114"/>
        <v>0.2</v>
      </c>
      <c r="BD272" s="1">
        <f t="shared" si="115"/>
        <v>4.9999999999999989E-2</v>
      </c>
      <c r="BF272">
        <f t="shared" si="116"/>
        <v>45.454545454545453</v>
      </c>
      <c r="BG272">
        <f t="shared" si="126"/>
        <v>9.0909090909090917</v>
      </c>
      <c r="BH272" s="1">
        <f t="shared" si="117"/>
        <v>1</v>
      </c>
      <c r="BI272" s="1">
        <f t="shared" si="118"/>
        <v>0.2</v>
      </c>
      <c r="BJ272" s="1">
        <f t="shared" si="119"/>
        <v>0.60899999999999999</v>
      </c>
      <c r="BK272" s="1">
        <f t="shared" si="120"/>
        <v>0.59799999999999998</v>
      </c>
      <c r="BL272" s="1">
        <f t="shared" si="121"/>
        <v>0.2</v>
      </c>
      <c r="BM272" s="1">
        <f t="shared" si="122"/>
        <v>0.2</v>
      </c>
      <c r="BN272" s="1">
        <f t="shared" si="125"/>
        <v>2.4999999999999988E-3</v>
      </c>
      <c r="BO272" s="1">
        <f t="shared" si="123"/>
        <v>2.4850661210708846E-2</v>
      </c>
    </row>
    <row r="273" spans="1:67" x14ac:dyDescent="0.25">
      <c r="A273" s="3"/>
      <c r="B273" s="3"/>
      <c r="C273" t="s">
        <v>497</v>
      </c>
      <c r="D273" s="5">
        <v>1</v>
      </c>
      <c r="E273" s="9">
        <f t="shared" si="102"/>
        <v>13.793103448275859</v>
      </c>
      <c r="F273" s="9">
        <f t="shared" si="103"/>
        <v>0.5</v>
      </c>
      <c r="G273">
        <v>0</v>
      </c>
      <c r="H273">
        <v>43.103448275862057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13.793103448275859</v>
      </c>
      <c r="P273">
        <v>0</v>
      </c>
      <c r="Q273">
        <v>43.103448275862057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34</v>
      </c>
      <c r="AK273" t="s">
        <v>1</v>
      </c>
      <c r="AL273" t="s">
        <v>372</v>
      </c>
      <c r="AQ273" s="1">
        <f t="shared" si="124"/>
        <v>99.999999999999972</v>
      </c>
      <c r="AR273" s="1">
        <f t="shared" si="104"/>
        <v>0.13793103448275859</v>
      </c>
      <c r="AS273" s="1">
        <f t="shared" si="105"/>
        <v>0</v>
      </c>
      <c r="AT273" s="1">
        <f t="shared" si="106"/>
        <v>0.43103448275862055</v>
      </c>
      <c r="AU273" s="1">
        <f t="shared" si="107"/>
        <v>0.43103448275862055</v>
      </c>
      <c r="AV273" s="1">
        <f t="shared" si="108"/>
        <v>0.34</v>
      </c>
      <c r="AX273" s="1">
        <f t="shared" si="109"/>
        <v>1</v>
      </c>
      <c r="AY273" s="1">
        <f t="shared" si="110"/>
        <v>0.32</v>
      </c>
      <c r="AZ273" s="1">
        <f t="shared" si="111"/>
        <v>0.5625</v>
      </c>
      <c r="BA273" s="1">
        <f t="shared" si="112"/>
        <v>0.75</v>
      </c>
      <c r="BB273" s="1">
        <f t="shared" si="113"/>
        <v>0.32</v>
      </c>
      <c r="BC273" s="1">
        <f t="shared" si="114"/>
        <v>0.32</v>
      </c>
      <c r="BD273" s="1">
        <f t="shared" si="115"/>
        <v>2.0000000000000018E-2</v>
      </c>
      <c r="BF273">
        <f t="shared" si="116"/>
        <v>43.103448275862057</v>
      </c>
      <c r="BG273">
        <f t="shared" si="126"/>
        <v>13.793103448275859</v>
      </c>
      <c r="BH273" s="1">
        <f t="shared" si="117"/>
        <v>1</v>
      </c>
      <c r="BI273" s="1">
        <f t="shared" si="118"/>
        <v>0.32</v>
      </c>
      <c r="BJ273" s="1">
        <f t="shared" si="119"/>
        <v>0.60899999999999999</v>
      </c>
      <c r="BK273" s="1">
        <f t="shared" si="120"/>
        <v>0.59799999999999998</v>
      </c>
      <c r="BL273" s="1">
        <f t="shared" si="121"/>
        <v>0.32</v>
      </c>
      <c r="BM273" s="1">
        <f t="shared" si="122"/>
        <v>0.32</v>
      </c>
      <c r="BN273" s="1">
        <f t="shared" si="125"/>
        <v>4.0000000000000072E-4</v>
      </c>
      <c r="BO273" s="1">
        <f t="shared" si="123"/>
        <v>4.5752947244946671E-3</v>
      </c>
    </row>
    <row r="274" spans="1:67" x14ac:dyDescent="0.25">
      <c r="A274" s="3"/>
      <c r="B274" s="3"/>
      <c r="C274" t="s">
        <v>498</v>
      </c>
      <c r="D274" s="5">
        <v>1</v>
      </c>
      <c r="E274" s="9">
        <f t="shared" si="102"/>
        <v>14.96598639455782</v>
      </c>
      <c r="F274" s="9">
        <f t="shared" si="103"/>
        <v>0.5</v>
      </c>
      <c r="G274">
        <v>0</v>
      </c>
      <c r="H274">
        <v>42.517006802721092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14.96598639455782</v>
      </c>
      <c r="P274">
        <v>0</v>
      </c>
      <c r="Q274">
        <v>42.517006802721092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40</v>
      </c>
      <c r="AK274" t="s">
        <v>1</v>
      </c>
      <c r="AL274" t="s">
        <v>372</v>
      </c>
      <c r="AQ274" s="1">
        <f t="shared" si="124"/>
        <v>100</v>
      </c>
      <c r="AR274" s="1">
        <f t="shared" si="104"/>
        <v>0.1496598639455782</v>
      </c>
      <c r="AS274" s="1">
        <f t="shared" si="105"/>
        <v>0</v>
      </c>
      <c r="AT274" s="1">
        <f t="shared" si="106"/>
        <v>0.42517006802721091</v>
      </c>
      <c r="AU274" s="1">
        <f t="shared" si="107"/>
        <v>0.42517006802721091</v>
      </c>
      <c r="AV274" s="1">
        <f t="shared" si="108"/>
        <v>0.4</v>
      </c>
      <c r="AX274" s="1">
        <f t="shared" si="109"/>
        <v>1</v>
      </c>
      <c r="AY274" s="1">
        <f t="shared" si="110"/>
        <v>0.35199999999999992</v>
      </c>
      <c r="AZ274" s="1">
        <f t="shared" si="111"/>
        <v>0.5625</v>
      </c>
      <c r="BA274" s="1">
        <f t="shared" si="112"/>
        <v>0.75</v>
      </c>
      <c r="BB274" s="1">
        <f t="shared" si="113"/>
        <v>0.35199999999999992</v>
      </c>
      <c r="BC274" s="1">
        <f t="shared" si="114"/>
        <v>0.35199999999999992</v>
      </c>
      <c r="BD274" s="1">
        <f t="shared" si="115"/>
        <v>4.8000000000000098E-2</v>
      </c>
      <c r="BF274">
        <f t="shared" si="116"/>
        <v>42.517006802721092</v>
      </c>
      <c r="BG274">
        <f t="shared" si="126"/>
        <v>14.96598639455782</v>
      </c>
      <c r="BH274" s="1">
        <f t="shared" si="117"/>
        <v>1</v>
      </c>
      <c r="BI274" s="1">
        <f t="shared" si="118"/>
        <v>0.35199999999999992</v>
      </c>
      <c r="BJ274" s="1">
        <f t="shared" si="119"/>
        <v>0.60899999999999999</v>
      </c>
      <c r="BK274" s="1">
        <f t="shared" si="120"/>
        <v>0.59799999999999998</v>
      </c>
      <c r="BL274" s="1">
        <f t="shared" si="121"/>
        <v>0.35199999999999992</v>
      </c>
      <c r="BM274" s="1">
        <f t="shared" si="122"/>
        <v>0.35199999999999992</v>
      </c>
      <c r="BN274" s="1">
        <f t="shared" si="125"/>
        <v>2.3040000000000096E-3</v>
      </c>
      <c r="BO274" s="1">
        <f t="shared" si="123"/>
        <v>5.8383733685219634E-5</v>
      </c>
    </row>
    <row r="275" spans="1:67" x14ac:dyDescent="0.25">
      <c r="A275" s="3"/>
      <c r="B275" s="3"/>
      <c r="C275" t="s">
        <v>499</v>
      </c>
      <c r="D275" s="5">
        <v>1</v>
      </c>
      <c r="E275" s="9">
        <f t="shared" si="102"/>
        <v>16.666666666666671</v>
      </c>
      <c r="F275" s="9">
        <f t="shared" si="103"/>
        <v>0.5</v>
      </c>
      <c r="G275">
        <v>0</v>
      </c>
      <c r="H275">
        <v>41.666666666666671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16.666666666666671</v>
      </c>
      <c r="P275">
        <v>0</v>
      </c>
      <c r="Q275">
        <v>41.666666666666671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42</v>
      </c>
      <c r="AK275" t="s">
        <v>1</v>
      </c>
      <c r="AL275" t="s">
        <v>372</v>
      </c>
      <c r="AQ275" s="1">
        <f t="shared" si="124"/>
        <v>100.00000000000001</v>
      </c>
      <c r="AR275" s="1">
        <f t="shared" si="104"/>
        <v>0.16666666666666671</v>
      </c>
      <c r="AS275" s="1">
        <f t="shared" si="105"/>
        <v>0</v>
      </c>
      <c r="AT275" s="1">
        <f t="shared" si="106"/>
        <v>0.41666666666666674</v>
      </c>
      <c r="AU275" s="1">
        <f t="shared" si="107"/>
        <v>0.41666666666666674</v>
      </c>
      <c r="AV275" s="1">
        <f t="shared" si="108"/>
        <v>0.42</v>
      </c>
      <c r="AX275" s="1">
        <f t="shared" si="109"/>
        <v>1</v>
      </c>
      <c r="AY275" s="1">
        <f t="shared" si="110"/>
        <v>0.4</v>
      </c>
      <c r="AZ275" s="1">
        <f t="shared" si="111"/>
        <v>0.5625</v>
      </c>
      <c r="BA275" s="1">
        <f t="shared" si="112"/>
        <v>0.75</v>
      </c>
      <c r="BB275" s="1">
        <f t="shared" si="113"/>
        <v>0.4</v>
      </c>
      <c r="BC275" s="1">
        <f t="shared" si="114"/>
        <v>0.4</v>
      </c>
      <c r="BD275" s="1">
        <f t="shared" si="115"/>
        <v>1.9999999999999962E-2</v>
      </c>
      <c r="BF275">
        <f t="shared" si="116"/>
        <v>41.666666666666671</v>
      </c>
      <c r="BG275">
        <f t="shared" si="126"/>
        <v>16.666666666666671</v>
      </c>
      <c r="BH275" s="1">
        <f t="shared" si="117"/>
        <v>1</v>
      </c>
      <c r="BI275" s="1">
        <f t="shared" si="118"/>
        <v>0.40000000000000008</v>
      </c>
      <c r="BJ275" s="1">
        <f t="shared" si="119"/>
        <v>0.60899999999999999</v>
      </c>
      <c r="BK275" s="1">
        <f t="shared" si="120"/>
        <v>0.59799999999999998</v>
      </c>
      <c r="BL275" s="1">
        <f t="shared" si="121"/>
        <v>0.40000000000000008</v>
      </c>
      <c r="BM275" s="1">
        <f t="shared" si="122"/>
        <v>0.40000000000000008</v>
      </c>
      <c r="BN275" s="1">
        <f t="shared" si="125"/>
        <v>3.9999999999999628E-4</v>
      </c>
      <c r="BO275" s="1">
        <f t="shared" si="123"/>
        <v>1.527467367487362E-4</v>
      </c>
    </row>
    <row r="276" spans="1:67" x14ac:dyDescent="0.25">
      <c r="A276" s="3"/>
      <c r="B276" s="3"/>
      <c r="C276" t="s">
        <v>500</v>
      </c>
      <c r="D276" s="5">
        <v>1</v>
      </c>
      <c r="E276" s="9">
        <f t="shared" si="102"/>
        <v>20</v>
      </c>
      <c r="F276" s="9">
        <f t="shared" si="103"/>
        <v>0.5</v>
      </c>
      <c r="G276">
        <v>0</v>
      </c>
      <c r="H276">
        <v>40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20</v>
      </c>
      <c r="P276">
        <v>0</v>
      </c>
      <c r="Q276">
        <v>40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48</v>
      </c>
      <c r="AK276" t="s">
        <v>1</v>
      </c>
      <c r="AL276" t="s">
        <v>372</v>
      </c>
      <c r="AQ276" s="1">
        <f t="shared" si="124"/>
        <v>100</v>
      </c>
      <c r="AR276" s="1">
        <f t="shared" si="104"/>
        <v>0.2</v>
      </c>
      <c r="AS276" s="1">
        <f t="shared" si="105"/>
        <v>0</v>
      </c>
      <c r="AT276" s="1">
        <f t="shared" si="106"/>
        <v>0.4</v>
      </c>
      <c r="AU276" s="1">
        <f t="shared" si="107"/>
        <v>0.4</v>
      </c>
      <c r="AV276" s="1">
        <f t="shared" si="108"/>
        <v>0.48</v>
      </c>
      <c r="AX276" s="1">
        <f t="shared" si="109"/>
        <v>1</v>
      </c>
      <c r="AY276" s="1">
        <f t="shared" si="110"/>
        <v>0.5</v>
      </c>
      <c r="AZ276" s="1">
        <f t="shared" si="111"/>
        <v>0.5625</v>
      </c>
      <c r="BA276" s="1">
        <f t="shared" si="112"/>
        <v>0.75</v>
      </c>
      <c r="BB276" s="1">
        <f t="shared" si="113"/>
        <v>0.5</v>
      </c>
      <c r="BC276" s="1">
        <f t="shared" si="114"/>
        <v>0.5</v>
      </c>
      <c r="BD276" s="1">
        <f t="shared" si="115"/>
        <v>2.0000000000000018E-2</v>
      </c>
      <c r="BF276">
        <f t="shared" si="116"/>
        <v>40</v>
      </c>
      <c r="BG276">
        <f t="shared" si="126"/>
        <v>20</v>
      </c>
      <c r="BH276" s="1">
        <f t="shared" si="117"/>
        <v>1</v>
      </c>
      <c r="BI276" s="1">
        <f t="shared" si="118"/>
        <v>0.5</v>
      </c>
      <c r="BJ276" s="1">
        <f t="shared" si="119"/>
        <v>0.60899999999999999</v>
      </c>
      <c r="BK276" s="1">
        <f t="shared" si="120"/>
        <v>0.59799999999999998</v>
      </c>
      <c r="BL276" s="1">
        <f t="shared" si="121"/>
        <v>0.5</v>
      </c>
      <c r="BM276" s="1">
        <f t="shared" si="122"/>
        <v>0.5</v>
      </c>
      <c r="BN276" s="1">
        <f t="shared" si="125"/>
        <v>4.0000000000000072E-4</v>
      </c>
      <c r="BO276" s="1">
        <f t="shared" si="123"/>
        <v>5.2358357459392837E-3</v>
      </c>
    </row>
    <row r="277" spans="1:67" x14ac:dyDescent="0.25">
      <c r="A277" s="3"/>
      <c r="B277" s="3"/>
      <c r="C277" t="s">
        <v>501</v>
      </c>
      <c r="D277" s="5">
        <v>1</v>
      </c>
      <c r="E277" s="9">
        <f t="shared" si="102"/>
        <v>24.81203007518797</v>
      </c>
      <c r="F277" s="9">
        <f t="shared" si="103"/>
        <v>0.5</v>
      </c>
      <c r="G277">
        <v>0</v>
      </c>
      <c r="H277">
        <v>37.593984962406012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24.81203007518797</v>
      </c>
      <c r="P277">
        <v>0</v>
      </c>
      <c r="Q277">
        <v>37.593984962406012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56.000000000000007</v>
      </c>
      <c r="AK277" t="s">
        <v>1</v>
      </c>
      <c r="AL277" t="s">
        <v>372</v>
      </c>
      <c r="AQ277" s="1">
        <f t="shared" si="124"/>
        <v>100</v>
      </c>
      <c r="AR277" s="1">
        <f t="shared" si="104"/>
        <v>0.24812030075187969</v>
      </c>
      <c r="AS277" s="1">
        <f t="shared" si="105"/>
        <v>0</v>
      </c>
      <c r="AT277" s="1">
        <f t="shared" si="106"/>
        <v>0.37593984962406013</v>
      </c>
      <c r="AU277" s="1">
        <f t="shared" si="107"/>
        <v>0.37593984962406013</v>
      </c>
      <c r="AV277" s="1">
        <f t="shared" si="108"/>
        <v>0.56000000000000005</v>
      </c>
      <c r="AX277" s="1">
        <f t="shared" si="109"/>
        <v>1</v>
      </c>
      <c r="AY277" s="1">
        <f t="shared" si="110"/>
        <v>0.66</v>
      </c>
      <c r="AZ277" s="1">
        <f t="shared" si="111"/>
        <v>0.5625</v>
      </c>
      <c r="BA277" s="1">
        <f t="shared" si="112"/>
        <v>0.75</v>
      </c>
      <c r="BB277" s="1">
        <f t="shared" si="113"/>
        <v>0.5625</v>
      </c>
      <c r="BC277" s="1">
        <f t="shared" si="114"/>
        <v>0.5625</v>
      </c>
      <c r="BD277" s="1">
        <f t="shared" si="115"/>
        <v>2.4999999999999467E-3</v>
      </c>
      <c r="BF277">
        <f t="shared" si="116"/>
        <v>37.593984962406012</v>
      </c>
      <c r="BG277">
        <f t="shared" si="126"/>
        <v>24.81203007518797</v>
      </c>
      <c r="BH277" s="1">
        <f t="shared" si="117"/>
        <v>1</v>
      </c>
      <c r="BI277" s="1">
        <f t="shared" si="118"/>
        <v>0.66</v>
      </c>
      <c r="BJ277" s="1">
        <f t="shared" si="119"/>
        <v>0.60899999999999999</v>
      </c>
      <c r="BK277" s="1">
        <f t="shared" si="120"/>
        <v>0.59799999999999998</v>
      </c>
      <c r="BL277" s="1">
        <f t="shared" si="121"/>
        <v>0.59349999999999992</v>
      </c>
      <c r="BM277" s="1">
        <f t="shared" si="122"/>
        <v>0.59349999999999992</v>
      </c>
      <c r="BN277" s="1">
        <f t="shared" si="125"/>
        <v>1.1222499999999909E-3</v>
      </c>
      <c r="BO277" s="1">
        <f t="shared" si="123"/>
        <v>2.3213287758193368E-2</v>
      </c>
    </row>
    <row r="278" spans="1:67" x14ac:dyDescent="0.25">
      <c r="A278" s="3"/>
      <c r="B278" s="3"/>
      <c r="C278" t="s">
        <v>502</v>
      </c>
      <c r="D278" s="5">
        <v>1</v>
      </c>
      <c r="E278" s="9">
        <f t="shared" si="102"/>
        <v>27.27272727272727</v>
      </c>
      <c r="F278" s="9">
        <f t="shared" si="103"/>
        <v>0.5</v>
      </c>
      <c r="G278">
        <v>0</v>
      </c>
      <c r="H278">
        <v>36.363636363636367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27.27272727272727</v>
      </c>
      <c r="P278">
        <v>0</v>
      </c>
      <c r="Q278">
        <v>36.363636363636367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56.000000000000007</v>
      </c>
      <c r="AK278" t="s">
        <v>1</v>
      </c>
      <c r="AL278" t="s">
        <v>372</v>
      </c>
      <c r="AQ278" s="1">
        <f t="shared" si="124"/>
        <v>100</v>
      </c>
      <c r="AR278" s="1">
        <f t="shared" si="104"/>
        <v>0.27272727272727271</v>
      </c>
      <c r="AS278" s="1">
        <f t="shared" si="105"/>
        <v>0</v>
      </c>
      <c r="AT278" s="1">
        <f t="shared" si="106"/>
        <v>0.36363636363636365</v>
      </c>
      <c r="AU278" s="1">
        <f t="shared" si="107"/>
        <v>0.36363636363636365</v>
      </c>
      <c r="AV278" s="1">
        <f t="shared" si="108"/>
        <v>0.56000000000000005</v>
      </c>
      <c r="AX278" s="1">
        <f t="shared" si="109"/>
        <v>1</v>
      </c>
      <c r="AY278" s="1">
        <f t="shared" si="110"/>
        <v>0.74999999999999989</v>
      </c>
      <c r="AZ278" s="1">
        <f t="shared" si="111"/>
        <v>0.5625</v>
      </c>
      <c r="BA278" s="1">
        <f t="shared" si="112"/>
        <v>0.75</v>
      </c>
      <c r="BB278" s="1">
        <f t="shared" si="113"/>
        <v>0.5625</v>
      </c>
      <c r="BC278" s="1">
        <f t="shared" si="114"/>
        <v>0.5625</v>
      </c>
      <c r="BD278" s="1">
        <f t="shared" si="115"/>
        <v>2.4999999999999467E-3</v>
      </c>
      <c r="BF278">
        <f t="shared" si="116"/>
        <v>36.363636363636367</v>
      </c>
      <c r="BG278">
        <f t="shared" si="126"/>
        <v>27.27272727272727</v>
      </c>
      <c r="BH278" s="1">
        <f t="shared" si="117"/>
        <v>1</v>
      </c>
      <c r="BI278" s="1">
        <f t="shared" si="118"/>
        <v>0.74999999999999989</v>
      </c>
      <c r="BJ278" s="1">
        <f t="shared" si="119"/>
        <v>0.60899999999999999</v>
      </c>
      <c r="BK278" s="1">
        <f t="shared" si="120"/>
        <v>0.59799999999999998</v>
      </c>
      <c r="BL278" s="1">
        <f t="shared" si="121"/>
        <v>0.57099999999999995</v>
      </c>
      <c r="BM278" s="1">
        <f t="shared" si="122"/>
        <v>0.57099999999999995</v>
      </c>
      <c r="BN278" s="1">
        <f t="shared" si="125"/>
        <v>1.2099999999999778E-4</v>
      </c>
      <c r="BO278" s="1">
        <f t="shared" si="123"/>
        <v>2.3213287758193368E-2</v>
      </c>
    </row>
    <row r="279" spans="1:67" x14ac:dyDescent="0.25">
      <c r="A279" s="3"/>
      <c r="B279" s="3"/>
      <c r="C279" t="s">
        <v>503</v>
      </c>
      <c r="D279" s="5">
        <v>1</v>
      </c>
      <c r="E279" s="9">
        <f t="shared" si="102"/>
        <v>30.06993006993007</v>
      </c>
      <c r="F279" s="9">
        <f t="shared" si="103"/>
        <v>0.5</v>
      </c>
      <c r="G279">
        <v>0</v>
      </c>
      <c r="H279">
        <v>34.965034965034967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30.06993006993007</v>
      </c>
      <c r="P279">
        <v>0</v>
      </c>
      <c r="Q279">
        <v>34.965034965034967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57.999999999999993</v>
      </c>
      <c r="AK279" t="s">
        <v>1</v>
      </c>
      <c r="AL279" t="s">
        <v>372</v>
      </c>
      <c r="AQ279" s="1">
        <f t="shared" si="124"/>
        <v>100</v>
      </c>
      <c r="AR279" s="1">
        <f t="shared" si="104"/>
        <v>0.30069930069930068</v>
      </c>
      <c r="AS279" s="1">
        <f t="shared" si="105"/>
        <v>0</v>
      </c>
      <c r="AT279" s="1">
        <f t="shared" si="106"/>
        <v>0.34965034965034969</v>
      </c>
      <c r="AU279" s="1">
        <f t="shared" si="107"/>
        <v>0.34965034965034969</v>
      </c>
      <c r="AV279" s="1">
        <f t="shared" si="108"/>
        <v>0.57999999999999996</v>
      </c>
      <c r="AX279" s="1">
        <f t="shared" si="109"/>
        <v>1</v>
      </c>
      <c r="AY279" s="1">
        <f t="shared" si="110"/>
        <v>0.85999999999999988</v>
      </c>
      <c r="AZ279" s="1">
        <f t="shared" si="111"/>
        <v>0.5625</v>
      </c>
      <c r="BA279" s="1">
        <f t="shared" si="112"/>
        <v>0.75</v>
      </c>
      <c r="BB279" s="1">
        <f t="shared" si="113"/>
        <v>0.53500000000000003</v>
      </c>
      <c r="BC279" s="1">
        <f t="shared" si="114"/>
        <v>0.53500000000000003</v>
      </c>
      <c r="BD279" s="1">
        <f t="shared" si="115"/>
        <v>4.4999999999999929E-2</v>
      </c>
      <c r="BF279">
        <f t="shared" si="116"/>
        <v>34.965034965034967</v>
      </c>
      <c r="BG279">
        <f t="shared" si="126"/>
        <v>30.06993006993007</v>
      </c>
      <c r="BH279" s="1">
        <f t="shared" si="117"/>
        <v>1</v>
      </c>
      <c r="BI279" s="1">
        <f t="shared" si="118"/>
        <v>0.86</v>
      </c>
      <c r="BJ279" s="1">
        <f t="shared" si="119"/>
        <v>0.60899999999999999</v>
      </c>
      <c r="BK279" s="1">
        <f t="shared" si="120"/>
        <v>0.59799999999999998</v>
      </c>
      <c r="BL279" s="1">
        <f t="shared" si="121"/>
        <v>0.54349999999999998</v>
      </c>
      <c r="BM279" s="1">
        <f t="shared" si="122"/>
        <v>0.54349999999999998</v>
      </c>
      <c r="BN279" s="1">
        <f t="shared" si="125"/>
        <v>1.3322499999999984E-3</v>
      </c>
      <c r="BO279" s="1">
        <f t="shared" si="123"/>
        <v>2.9707650761256855E-2</v>
      </c>
    </row>
    <row r="280" spans="1:67" x14ac:dyDescent="0.25">
      <c r="A280" s="3"/>
      <c r="B280" s="3"/>
      <c r="C280" t="s">
        <v>504</v>
      </c>
      <c r="D280" s="5">
        <v>1</v>
      </c>
      <c r="E280" s="9">
        <f t="shared" si="102"/>
        <v>33.333333333333329</v>
      </c>
      <c r="F280" s="9">
        <f t="shared" si="103"/>
        <v>0.5</v>
      </c>
      <c r="G280">
        <v>0</v>
      </c>
      <c r="H280">
        <v>33.333333333333329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33.333333333333329</v>
      </c>
      <c r="P280">
        <v>0</v>
      </c>
      <c r="Q280">
        <v>33.333333333333329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62</v>
      </c>
      <c r="AK280" t="s">
        <v>1</v>
      </c>
      <c r="AL280" t="s">
        <v>372</v>
      </c>
      <c r="AQ280" s="1">
        <f t="shared" si="124"/>
        <v>99.999999999999986</v>
      </c>
      <c r="AR280" s="1">
        <f t="shared" si="104"/>
        <v>0.33333333333333326</v>
      </c>
      <c r="AS280" s="1">
        <f t="shared" si="105"/>
        <v>0</v>
      </c>
      <c r="AT280" s="1">
        <f t="shared" si="106"/>
        <v>0.33333333333333326</v>
      </c>
      <c r="AU280" s="1">
        <f t="shared" si="107"/>
        <v>0.33333333333333326</v>
      </c>
      <c r="AV280" s="1">
        <f t="shared" si="108"/>
        <v>0.62</v>
      </c>
      <c r="AX280" s="1">
        <f t="shared" si="109"/>
        <v>1</v>
      </c>
      <c r="AY280" s="1">
        <f t="shared" si="110"/>
        <v>1</v>
      </c>
      <c r="AZ280" s="1">
        <f t="shared" si="111"/>
        <v>0.5625</v>
      </c>
      <c r="BA280" s="1">
        <f t="shared" si="112"/>
        <v>0.75</v>
      </c>
      <c r="BB280" s="1">
        <f t="shared" si="113"/>
        <v>0.5</v>
      </c>
      <c r="BC280" s="1">
        <f t="shared" si="114"/>
        <v>0.5</v>
      </c>
      <c r="BD280" s="1">
        <f t="shared" si="115"/>
        <v>0.12</v>
      </c>
      <c r="BF280">
        <f t="shared" si="116"/>
        <v>33.333333333333329</v>
      </c>
      <c r="BG280">
        <f t="shared" si="126"/>
        <v>33.333333333333329</v>
      </c>
      <c r="BH280" s="1">
        <f t="shared" si="117"/>
        <v>1</v>
      </c>
      <c r="BI280" s="1">
        <f t="shared" si="118"/>
        <v>1</v>
      </c>
      <c r="BJ280" s="1">
        <f t="shared" si="119"/>
        <v>0.60899999999999999</v>
      </c>
      <c r="BK280" s="1">
        <f t="shared" si="120"/>
        <v>0.59799999999999998</v>
      </c>
      <c r="BL280" s="1">
        <f t="shared" si="121"/>
        <v>0.50849999999999995</v>
      </c>
      <c r="BM280" s="1">
        <f t="shared" si="122"/>
        <v>0.50849999999999995</v>
      </c>
      <c r="BN280" s="1">
        <f t="shared" si="125"/>
        <v>1.2432250000000009E-2</v>
      </c>
      <c r="BO280" s="1">
        <f t="shared" si="123"/>
        <v>4.50963767673839E-2</v>
      </c>
    </row>
    <row r="281" spans="1:67" x14ac:dyDescent="0.25">
      <c r="A281" s="3"/>
      <c r="B281" s="3"/>
      <c r="C281" t="s">
        <v>505</v>
      </c>
      <c r="D281" s="5">
        <v>1</v>
      </c>
      <c r="E281" s="9">
        <f t="shared" si="102"/>
        <v>42.857142857142847</v>
      </c>
      <c r="F281" s="9">
        <f t="shared" si="103"/>
        <v>0.5</v>
      </c>
      <c r="G281">
        <v>0</v>
      </c>
      <c r="H281">
        <v>28.571428571428569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42.857142857142847</v>
      </c>
      <c r="P281">
        <v>0</v>
      </c>
      <c r="Q281">
        <v>28.571428571428569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53</v>
      </c>
      <c r="AK281" t="s">
        <v>1</v>
      </c>
      <c r="AL281" t="s">
        <v>372</v>
      </c>
      <c r="AQ281" s="1">
        <f t="shared" si="124"/>
        <v>99.999999999999986</v>
      </c>
      <c r="AR281" s="1">
        <f t="shared" si="104"/>
        <v>0.42857142857142849</v>
      </c>
      <c r="AS281" s="1">
        <f t="shared" si="105"/>
        <v>0</v>
      </c>
      <c r="AT281" s="1">
        <f t="shared" si="106"/>
        <v>0.2857142857142857</v>
      </c>
      <c r="AU281" s="1">
        <f t="shared" si="107"/>
        <v>0.2857142857142857</v>
      </c>
      <c r="AV281" s="1">
        <f t="shared" si="108"/>
        <v>0.53</v>
      </c>
      <c r="AX281" s="1">
        <f t="shared" si="109"/>
        <v>1</v>
      </c>
      <c r="AY281" s="1">
        <f t="shared" si="110"/>
        <v>1.4999999999999998</v>
      </c>
      <c r="AZ281" s="1">
        <f t="shared" si="111"/>
        <v>0.5625</v>
      </c>
      <c r="BA281" s="1">
        <f t="shared" si="112"/>
        <v>0.75</v>
      </c>
      <c r="BB281" s="1">
        <f t="shared" si="113"/>
        <v>0.37500000000000006</v>
      </c>
      <c r="BC281" s="1">
        <f t="shared" si="114"/>
        <v>0.37500000000000006</v>
      </c>
      <c r="BD281" s="1">
        <f t="shared" si="115"/>
        <v>0.15499999999999997</v>
      </c>
      <c r="BF281">
        <f t="shared" si="116"/>
        <v>28.571428571428569</v>
      </c>
      <c r="BG281">
        <f t="shared" si="126"/>
        <v>42.857142857142847</v>
      </c>
      <c r="BH281" s="1">
        <f t="shared" si="117"/>
        <v>1</v>
      </c>
      <c r="BI281" s="1">
        <f t="shared" si="118"/>
        <v>1.4999999999999998</v>
      </c>
      <c r="BJ281" s="1">
        <f t="shared" si="119"/>
        <v>0.60899999999999999</v>
      </c>
      <c r="BK281" s="1">
        <f t="shared" si="120"/>
        <v>0.59799999999999998</v>
      </c>
      <c r="BL281" s="1">
        <f t="shared" si="121"/>
        <v>0.38350000000000006</v>
      </c>
      <c r="BM281" s="1">
        <f t="shared" si="122"/>
        <v>0.38350000000000006</v>
      </c>
      <c r="BN281" s="1">
        <f t="shared" si="125"/>
        <v>2.1462249999999988E-2</v>
      </c>
      <c r="BO281" s="1">
        <f t="shared" si="123"/>
        <v>1.4971743253598084E-2</v>
      </c>
    </row>
    <row r="282" spans="1:67" x14ac:dyDescent="0.25">
      <c r="A282" s="3"/>
      <c r="B282" s="3"/>
      <c r="C282" t="s">
        <v>506</v>
      </c>
      <c r="D282" s="5">
        <v>1</v>
      </c>
      <c r="E282" s="9">
        <f t="shared" si="102"/>
        <v>4.7619047619047619</v>
      </c>
      <c r="F282" s="9">
        <f t="shared" si="103"/>
        <v>0.66666666666666674</v>
      </c>
      <c r="G282">
        <v>0</v>
      </c>
      <c r="H282">
        <v>31.74603174603174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4.7619047619047619</v>
      </c>
      <c r="P282">
        <v>0</v>
      </c>
      <c r="Q282">
        <v>63.492063492063487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15</v>
      </c>
      <c r="AK282" t="s">
        <v>1</v>
      </c>
      <c r="AL282" t="s">
        <v>372</v>
      </c>
      <c r="AQ282" s="1">
        <f t="shared" si="124"/>
        <v>99.999999999999986</v>
      </c>
      <c r="AR282" s="1">
        <f t="shared" si="104"/>
        <v>4.7619047619047616E-2</v>
      </c>
      <c r="AS282" s="1">
        <f t="shared" si="105"/>
        <v>0</v>
      </c>
      <c r="AT282" s="1">
        <f t="shared" si="106"/>
        <v>0.31746031746031739</v>
      </c>
      <c r="AU282" s="1">
        <f t="shared" si="107"/>
        <v>0.63492063492063489</v>
      </c>
      <c r="AV282" s="1">
        <f t="shared" si="108"/>
        <v>0.15</v>
      </c>
      <c r="AX282" s="1">
        <f t="shared" si="109"/>
        <v>2.0000000000000004</v>
      </c>
      <c r="AY282" s="1">
        <f t="shared" si="110"/>
        <v>0.15000000000000002</v>
      </c>
      <c r="AZ282" s="1">
        <f t="shared" si="111"/>
        <v>0.625</v>
      </c>
      <c r="BA282" s="1">
        <f t="shared" si="112"/>
        <v>1</v>
      </c>
      <c r="BB282" s="1">
        <f t="shared" si="113"/>
        <v>0.15000000000000002</v>
      </c>
      <c r="BC282" s="1">
        <f t="shared" si="114"/>
        <v>0.15000000000000002</v>
      </c>
      <c r="BD282" s="1">
        <f t="shared" si="115"/>
        <v>2.7755575615628914E-17</v>
      </c>
      <c r="BF282">
        <f t="shared" si="116"/>
        <v>31.74603174603174</v>
      </c>
      <c r="BG282">
        <f t="shared" si="126"/>
        <v>4.7619047619047619</v>
      </c>
      <c r="BH282" s="1">
        <f t="shared" si="117"/>
        <v>2.0000000000000004</v>
      </c>
      <c r="BI282" s="1">
        <f t="shared" si="118"/>
        <v>0.15000000000000002</v>
      </c>
      <c r="BJ282" s="1">
        <f t="shared" si="119"/>
        <v>0.628</v>
      </c>
      <c r="BK282" s="1">
        <f t="shared" si="120"/>
        <v>1.1000000000000003</v>
      </c>
      <c r="BL282" s="1">
        <f t="shared" si="121"/>
        <v>0.15000000000000002</v>
      </c>
      <c r="BM282" s="1">
        <f t="shared" si="122"/>
        <v>0.15000000000000002</v>
      </c>
      <c r="BN282" s="1">
        <f t="shared" si="125"/>
        <v>7.7037197775489434E-34</v>
      </c>
      <c r="BO282" s="1">
        <f t="shared" si="123"/>
        <v>6.637884619539125E-2</v>
      </c>
    </row>
    <row r="283" spans="1:67" x14ac:dyDescent="0.25">
      <c r="A283" s="3"/>
      <c r="B283" s="3"/>
      <c r="C283" t="s">
        <v>507</v>
      </c>
      <c r="D283" s="5">
        <v>1</v>
      </c>
      <c r="E283" s="9">
        <f t="shared" si="102"/>
        <v>7.6923076923076934</v>
      </c>
      <c r="F283" s="9">
        <f t="shared" si="103"/>
        <v>0.66666666666666674</v>
      </c>
      <c r="G283">
        <v>0</v>
      </c>
      <c r="H283">
        <v>30.76923076923077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7.6923076923076934</v>
      </c>
      <c r="P283">
        <v>0</v>
      </c>
      <c r="Q283">
        <v>61.53846153846154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27</v>
      </c>
      <c r="AK283" t="s">
        <v>1</v>
      </c>
      <c r="AL283" t="s">
        <v>372</v>
      </c>
      <c r="AQ283" s="1">
        <f t="shared" si="124"/>
        <v>100</v>
      </c>
      <c r="AR283" s="1">
        <f t="shared" si="104"/>
        <v>7.6923076923076927E-2</v>
      </c>
      <c r="AS283" s="1">
        <f t="shared" si="105"/>
        <v>0</v>
      </c>
      <c r="AT283" s="1">
        <f t="shared" si="106"/>
        <v>0.30769230769230771</v>
      </c>
      <c r="AU283" s="1">
        <f t="shared" si="107"/>
        <v>0.61538461538461542</v>
      </c>
      <c r="AV283" s="1">
        <f t="shared" si="108"/>
        <v>0.27</v>
      </c>
      <c r="AX283" s="1">
        <f t="shared" si="109"/>
        <v>2</v>
      </c>
      <c r="AY283" s="1">
        <f t="shared" si="110"/>
        <v>0.25</v>
      </c>
      <c r="AZ283" s="1">
        <f t="shared" si="111"/>
        <v>0.625</v>
      </c>
      <c r="BA283" s="1">
        <f t="shared" si="112"/>
        <v>1</v>
      </c>
      <c r="BB283" s="1">
        <f t="shared" si="113"/>
        <v>0.25</v>
      </c>
      <c r="BC283" s="1">
        <f t="shared" si="114"/>
        <v>0.25</v>
      </c>
      <c r="BD283" s="1">
        <f t="shared" si="115"/>
        <v>2.0000000000000018E-2</v>
      </c>
      <c r="BF283">
        <f t="shared" si="116"/>
        <v>30.76923076923077</v>
      </c>
      <c r="BG283">
        <f t="shared" si="126"/>
        <v>7.6923076923076934</v>
      </c>
      <c r="BH283" s="1">
        <f t="shared" si="117"/>
        <v>2</v>
      </c>
      <c r="BI283" s="1">
        <f t="shared" si="118"/>
        <v>0.25000000000000006</v>
      </c>
      <c r="BJ283" s="1">
        <f t="shared" si="119"/>
        <v>0.628</v>
      </c>
      <c r="BK283" s="1">
        <f t="shared" si="120"/>
        <v>1.1000000000000001</v>
      </c>
      <c r="BL283" s="1">
        <f t="shared" si="121"/>
        <v>0.25000000000000006</v>
      </c>
      <c r="BM283" s="1">
        <f t="shared" si="122"/>
        <v>0.25000000000000006</v>
      </c>
      <c r="BN283" s="1">
        <f t="shared" si="125"/>
        <v>3.999999999999985E-4</v>
      </c>
      <c r="BO283" s="1">
        <f t="shared" si="123"/>
        <v>1.8945024213772359E-2</v>
      </c>
    </row>
    <row r="284" spans="1:67" x14ac:dyDescent="0.25">
      <c r="A284" s="3"/>
      <c r="B284" s="3"/>
      <c r="C284" t="s">
        <v>508</v>
      </c>
      <c r="D284" s="5">
        <v>1</v>
      </c>
      <c r="E284" s="9">
        <f t="shared" si="102"/>
        <v>9.9099099099099099</v>
      </c>
      <c r="F284" s="9">
        <f t="shared" si="103"/>
        <v>0.66666666666666674</v>
      </c>
      <c r="G284">
        <v>0</v>
      </c>
      <c r="H284">
        <v>30.03003003003003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9.9099099099099099</v>
      </c>
      <c r="P284">
        <v>0</v>
      </c>
      <c r="Q284">
        <v>60.06006006006006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35</v>
      </c>
      <c r="AK284" t="s">
        <v>1</v>
      </c>
      <c r="AL284" t="s">
        <v>372</v>
      </c>
      <c r="AQ284" s="1">
        <f t="shared" si="124"/>
        <v>100</v>
      </c>
      <c r="AR284" s="1">
        <f t="shared" si="104"/>
        <v>9.90990990990991E-2</v>
      </c>
      <c r="AS284" s="1">
        <f t="shared" si="105"/>
        <v>0</v>
      </c>
      <c r="AT284" s="1">
        <f t="shared" si="106"/>
        <v>0.3003003003003003</v>
      </c>
      <c r="AU284" s="1">
        <f t="shared" si="107"/>
        <v>0.60060060060060061</v>
      </c>
      <c r="AV284" s="1">
        <f t="shared" si="108"/>
        <v>0.35</v>
      </c>
      <c r="AX284" s="1">
        <f t="shared" si="109"/>
        <v>2</v>
      </c>
      <c r="AY284" s="1">
        <f t="shared" si="110"/>
        <v>0.33</v>
      </c>
      <c r="AZ284" s="1">
        <f t="shared" si="111"/>
        <v>0.625</v>
      </c>
      <c r="BA284" s="1">
        <f t="shared" si="112"/>
        <v>1</v>
      </c>
      <c r="BB284" s="1">
        <f t="shared" si="113"/>
        <v>0.33</v>
      </c>
      <c r="BC284" s="1">
        <f t="shared" si="114"/>
        <v>0.33</v>
      </c>
      <c r="BD284" s="1">
        <f t="shared" si="115"/>
        <v>1.9999999999999962E-2</v>
      </c>
      <c r="BF284">
        <f t="shared" si="116"/>
        <v>30.03003003003003</v>
      </c>
      <c r="BG284">
        <f t="shared" si="126"/>
        <v>9.9099099099099099</v>
      </c>
      <c r="BH284" s="1">
        <f t="shared" si="117"/>
        <v>2</v>
      </c>
      <c r="BI284" s="1">
        <f t="shared" si="118"/>
        <v>0.33</v>
      </c>
      <c r="BJ284" s="1">
        <f t="shared" si="119"/>
        <v>0.628</v>
      </c>
      <c r="BK284" s="1">
        <f t="shared" si="120"/>
        <v>1.1000000000000001</v>
      </c>
      <c r="BL284" s="1">
        <f t="shared" si="121"/>
        <v>0.33</v>
      </c>
      <c r="BM284" s="1">
        <f t="shared" si="122"/>
        <v>0.33</v>
      </c>
      <c r="BN284" s="1">
        <f t="shared" si="125"/>
        <v>3.999999999999985E-4</v>
      </c>
      <c r="BO284" s="1">
        <f t="shared" si="123"/>
        <v>3.3224762260264311E-3</v>
      </c>
    </row>
    <row r="285" spans="1:67" x14ac:dyDescent="0.25">
      <c r="A285" s="3"/>
      <c r="B285" s="3"/>
      <c r="C285" t="s">
        <v>509</v>
      </c>
      <c r="D285" s="5">
        <v>1</v>
      </c>
      <c r="E285" s="9">
        <f t="shared" si="102"/>
        <v>14.285714285714279</v>
      </c>
      <c r="F285" s="9">
        <f t="shared" si="103"/>
        <v>0.66666666666666663</v>
      </c>
      <c r="G285">
        <v>0</v>
      </c>
      <c r="H285">
        <v>28.571428571428569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14.285714285714279</v>
      </c>
      <c r="P285">
        <v>0</v>
      </c>
      <c r="Q285">
        <v>57.142857142857139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49</v>
      </c>
      <c r="AK285" t="s">
        <v>1</v>
      </c>
      <c r="AL285" t="s">
        <v>372</v>
      </c>
      <c r="AQ285" s="1">
        <f t="shared" si="124"/>
        <v>99.999999999999986</v>
      </c>
      <c r="AR285" s="1">
        <f t="shared" si="104"/>
        <v>0.14285714285714279</v>
      </c>
      <c r="AS285" s="1">
        <f t="shared" si="105"/>
        <v>0</v>
      </c>
      <c r="AT285" s="1">
        <f t="shared" si="106"/>
        <v>0.2857142857142857</v>
      </c>
      <c r="AU285" s="1">
        <f t="shared" si="107"/>
        <v>0.5714285714285714</v>
      </c>
      <c r="AV285" s="1">
        <f t="shared" si="108"/>
        <v>0.49</v>
      </c>
      <c r="AX285" s="1">
        <f t="shared" si="109"/>
        <v>2</v>
      </c>
      <c r="AY285" s="1">
        <f t="shared" si="110"/>
        <v>0.49999999999999978</v>
      </c>
      <c r="AZ285" s="1">
        <f t="shared" si="111"/>
        <v>0.625</v>
      </c>
      <c r="BA285" s="1">
        <f t="shared" si="112"/>
        <v>1</v>
      </c>
      <c r="BB285" s="1">
        <f t="shared" si="113"/>
        <v>0.49999999999999978</v>
      </c>
      <c r="BC285" s="1">
        <f t="shared" si="114"/>
        <v>0.49999999999999978</v>
      </c>
      <c r="BD285" s="1">
        <f t="shared" si="115"/>
        <v>9.9999999999997868E-3</v>
      </c>
      <c r="BF285">
        <f t="shared" si="116"/>
        <v>28.571428571428569</v>
      </c>
      <c r="BG285">
        <f t="shared" si="126"/>
        <v>14.285714285714279</v>
      </c>
      <c r="BH285" s="1">
        <f t="shared" si="117"/>
        <v>2</v>
      </c>
      <c r="BI285" s="1">
        <f t="shared" si="118"/>
        <v>0.49999999999999983</v>
      </c>
      <c r="BJ285" s="1">
        <f t="shared" si="119"/>
        <v>0.628</v>
      </c>
      <c r="BK285" s="1">
        <f t="shared" si="120"/>
        <v>1.1000000000000001</v>
      </c>
      <c r="BL285" s="1">
        <f t="shared" si="121"/>
        <v>0.49999999999999983</v>
      </c>
      <c r="BM285" s="1">
        <f t="shared" si="122"/>
        <v>0.49999999999999983</v>
      </c>
      <c r="BN285" s="1">
        <f t="shared" si="125"/>
        <v>9.9999999999996847E-5</v>
      </c>
      <c r="BO285" s="1">
        <f t="shared" si="123"/>
        <v>6.7830172474710433E-3</v>
      </c>
    </row>
    <row r="286" spans="1:67" x14ac:dyDescent="0.25">
      <c r="A286" s="3"/>
      <c r="B286" s="3"/>
      <c r="C286" t="s">
        <v>510</v>
      </c>
      <c r="D286" s="5">
        <v>1</v>
      </c>
      <c r="E286" s="9">
        <f t="shared" si="102"/>
        <v>16.666666666666661</v>
      </c>
      <c r="F286" s="9">
        <f t="shared" si="103"/>
        <v>0.66666666666666663</v>
      </c>
      <c r="G286">
        <v>0</v>
      </c>
      <c r="H286">
        <v>27.777777777777779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16.666666666666661</v>
      </c>
      <c r="P286">
        <v>0</v>
      </c>
      <c r="Q286">
        <v>55.555555555555557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54</v>
      </c>
      <c r="AK286" t="s">
        <v>1</v>
      </c>
      <c r="AL286" t="s">
        <v>372</v>
      </c>
      <c r="AQ286" s="1">
        <f t="shared" si="124"/>
        <v>100</v>
      </c>
      <c r="AR286" s="1">
        <f t="shared" si="104"/>
        <v>0.1666666666666666</v>
      </c>
      <c r="AS286" s="1">
        <f t="shared" si="105"/>
        <v>0</v>
      </c>
      <c r="AT286" s="1">
        <f t="shared" si="106"/>
        <v>0.27777777777777779</v>
      </c>
      <c r="AU286" s="1">
        <f t="shared" si="107"/>
        <v>0.55555555555555558</v>
      </c>
      <c r="AV286" s="1">
        <f t="shared" si="108"/>
        <v>0.54</v>
      </c>
      <c r="AX286" s="1">
        <f t="shared" si="109"/>
        <v>2</v>
      </c>
      <c r="AY286" s="1">
        <f t="shared" si="110"/>
        <v>0.59999999999999976</v>
      </c>
      <c r="AZ286" s="1">
        <f t="shared" si="111"/>
        <v>0.625</v>
      </c>
      <c r="BA286" s="1">
        <f t="shared" si="112"/>
        <v>1</v>
      </c>
      <c r="BB286" s="1">
        <f t="shared" si="113"/>
        <v>0.59999999999999976</v>
      </c>
      <c r="BC286" s="1">
        <f t="shared" si="114"/>
        <v>0.59999999999999976</v>
      </c>
      <c r="BD286" s="1">
        <f t="shared" si="115"/>
        <v>5.999999999999972E-2</v>
      </c>
      <c r="BF286">
        <f t="shared" si="116"/>
        <v>27.777777777777779</v>
      </c>
      <c r="BG286">
        <f t="shared" si="126"/>
        <v>16.666666666666661</v>
      </c>
      <c r="BH286" s="1">
        <f t="shared" si="117"/>
        <v>2</v>
      </c>
      <c r="BI286" s="1">
        <f t="shared" si="118"/>
        <v>0.59999999999999976</v>
      </c>
      <c r="BJ286" s="1">
        <f t="shared" si="119"/>
        <v>0.628</v>
      </c>
      <c r="BK286" s="1">
        <f t="shared" si="120"/>
        <v>1.1000000000000001</v>
      </c>
      <c r="BL286" s="1">
        <f t="shared" si="121"/>
        <v>0.59999999999999976</v>
      </c>
      <c r="BM286" s="1">
        <f t="shared" si="122"/>
        <v>0.59999999999999976</v>
      </c>
      <c r="BN286" s="1">
        <f t="shared" si="125"/>
        <v>3.5999999999999665E-3</v>
      </c>
      <c r="BO286" s="1">
        <f t="shared" si="123"/>
        <v>1.7518924755129846E-2</v>
      </c>
    </row>
    <row r="287" spans="1:67" x14ac:dyDescent="0.25">
      <c r="A287" s="3"/>
      <c r="B287" s="3"/>
      <c r="C287" t="s">
        <v>511</v>
      </c>
      <c r="D287" s="5">
        <v>1</v>
      </c>
      <c r="E287" s="9">
        <f t="shared" si="102"/>
        <v>17.491749174917491</v>
      </c>
      <c r="F287" s="9">
        <f t="shared" si="103"/>
        <v>0.66666666666666674</v>
      </c>
      <c r="G287">
        <v>0</v>
      </c>
      <c r="H287">
        <v>27.502750275027509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17.491749174917491</v>
      </c>
      <c r="P287">
        <v>0</v>
      </c>
      <c r="Q287">
        <v>55.005500550055011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56.999999999999993</v>
      </c>
      <c r="AK287" t="s">
        <v>1</v>
      </c>
      <c r="AL287" t="s">
        <v>372</v>
      </c>
      <c r="AQ287" s="1">
        <f t="shared" si="124"/>
        <v>100</v>
      </c>
      <c r="AR287" s="1">
        <f t="shared" si="104"/>
        <v>0.1749174917491749</v>
      </c>
      <c r="AS287" s="1">
        <f t="shared" si="105"/>
        <v>0</v>
      </c>
      <c r="AT287" s="1">
        <f t="shared" si="106"/>
        <v>0.2750275027502751</v>
      </c>
      <c r="AU287" s="1">
        <f t="shared" si="107"/>
        <v>0.55005500550055009</v>
      </c>
      <c r="AV287" s="1">
        <f t="shared" si="108"/>
        <v>0.56999999999999995</v>
      </c>
      <c r="AX287" s="1">
        <f t="shared" si="109"/>
        <v>1.9999999999999996</v>
      </c>
      <c r="AY287" s="1">
        <f t="shared" si="110"/>
        <v>0.63599999999999979</v>
      </c>
      <c r="AZ287" s="1">
        <f t="shared" si="111"/>
        <v>0.625</v>
      </c>
      <c r="BA287" s="1">
        <f t="shared" si="112"/>
        <v>0.99999999999999989</v>
      </c>
      <c r="BB287" s="1">
        <f t="shared" si="113"/>
        <v>0.625</v>
      </c>
      <c r="BC287" s="1">
        <f t="shared" si="114"/>
        <v>0.625</v>
      </c>
      <c r="BD287" s="1">
        <f t="shared" si="115"/>
        <v>5.5000000000000049E-2</v>
      </c>
      <c r="BF287">
        <f t="shared" si="116"/>
        <v>27.502750275027509</v>
      </c>
      <c r="BG287">
        <f t="shared" si="126"/>
        <v>17.491749174917491</v>
      </c>
      <c r="BH287" s="1">
        <f t="shared" si="117"/>
        <v>1.9999999999999998</v>
      </c>
      <c r="BI287" s="1">
        <f t="shared" si="118"/>
        <v>0.63599999999999979</v>
      </c>
      <c r="BJ287" s="1">
        <f t="shared" si="119"/>
        <v>0.628</v>
      </c>
      <c r="BK287" s="1">
        <f t="shared" si="120"/>
        <v>1.0999999999999999</v>
      </c>
      <c r="BL287" s="1">
        <f t="shared" si="121"/>
        <v>0.628</v>
      </c>
      <c r="BM287" s="1">
        <f t="shared" si="122"/>
        <v>0.628</v>
      </c>
      <c r="BN287" s="1">
        <f t="shared" si="125"/>
        <v>3.3640000000000059E-3</v>
      </c>
      <c r="BO287" s="1">
        <f t="shared" si="123"/>
        <v>2.6360469259725097E-2</v>
      </c>
    </row>
    <row r="288" spans="1:67" x14ac:dyDescent="0.25">
      <c r="A288" s="3"/>
      <c r="B288" s="3"/>
      <c r="C288" t="s">
        <v>512</v>
      </c>
      <c r="D288" s="5">
        <v>1</v>
      </c>
      <c r="E288" s="9">
        <f t="shared" si="102"/>
        <v>17.58241758241758</v>
      </c>
      <c r="F288" s="9">
        <f t="shared" si="103"/>
        <v>0.66666666666666674</v>
      </c>
      <c r="G288">
        <v>0</v>
      </c>
      <c r="H288">
        <v>27.472527472527471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17.58241758241758</v>
      </c>
      <c r="P288">
        <v>0</v>
      </c>
      <c r="Q288">
        <v>54.945054945054942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55.000000000000007</v>
      </c>
      <c r="AK288" t="s">
        <v>1</v>
      </c>
      <c r="AL288" t="s">
        <v>372</v>
      </c>
      <c r="AQ288" s="1">
        <f t="shared" si="124"/>
        <v>100</v>
      </c>
      <c r="AR288" s="1">
        <f t="shared" si="104"/>
        <v>0.17582417582417581</v>
      </c>
      <c r="AS288" s="1">
        <f t="shared" si="105"/>
        <v>0</v>
      </c>
      <c r="AT288" s="1">
        <f t="shared" si="106"/>
        <v>0.27472527472527469</v>
      </c>
      <c r="AU288" s="1">
        <f t="shared" si="107"/>
        <v>0.54945054945054939</v>
      </c>
      <c r="AV288" s="1">
        <f t="shared" si="108"/>
        <v>0.55000000000000004</v>
      </c>
      <c r="AX288" s="1">
        <f t="shared" si="109"/>
        <v>2</v>
      </c>
      <c r="AY288" s="1">
        <f t="shared" si="110"/>
        <v>0.64</v>
      </c>
      <c r="AZ288" s="1">
        <f t="shared" si="111"/>
        <v>0.625</v>
      </c>
      <c r="BA288" s="1">
        <f t="shared" si="112"/>
        <v>1</v>
      </c>
      <c r="BB288" s="1">
        <f t="shared" si="113"/>
        <v>0.625</v>
      </c>
      <c r="BC288" s="1">
        <f t="shared" si="114"/>
        <v>0.625</v>
      </c>
      <c r="BD288" s="1">
        <f t="shared" si="115"/>
        <v>7.4999999999999956E-2</v>
      </c>
      <c r="BF288">
        <f t="shared" si="116"/>
        <v>27.472527472527471</v>
      </c>
      <c r="BG288">
        <f t="shared" si="126"/>
        <v>17.58241758241758</v>
      </c>
      <c r="BH288" s="1">
        <f t="shared" si="117"/>
        <v>2</v>
      </c>
      <c r="BI288" s="1">
        <f t="shared" si="118"/>
        <v>0.64</v>
      </c>
      <c r="BJ288" s="1">
        <f t="shared" si="119"/>
        <v>0.628</v>
      </c>
      <c r="BK288" s="1">
        <f t="shared" si="120"/>
        <v>1.1000000000000001</v>
      </c>
      <c r="BL288" s="1">
        <f t="shared" si="121"/>
        <v>0.628</v>
      </c>
      <c r="BM288" s="1">
        <f t="shared" si="122"/>
        <v>0.628</v>
      </c>
      <c r="BN288" s="1">
        <f t="shared" si="125"/>
        <v>6.0839999999999931E-3</v>
      </c>
      <c r="BO288" s="1">
        <f t="shared" si="123"/>
        <v>2.0266106256661608E-2</v>
      </c>
    </row>
    <row r="289" spans="1:67" x14ac:dyDescent="0.25">
      <c r="A289" s="3"/>
      <c r="B289" s="3"/>
      <c r="C289" t="s">
        <v>513</v>
      </c>
      <c r="D289" s="5">
        <v>1</v>
      </c>
      <c r="E289" s="9">
        <f t="shared" si="102"/>
        <v>18.918918918918919</v>
      </c>
      <c r="F289" s="9">
        <f t="shared" si="103"/>
        <v>0.66666666666666674</v>
      </c>
      <c r="G289">
        <v>0</v>
      </c>
      <c r="H289">
        <v>27.027027027027021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18.918918918918919</v>
      </c>
      <c r="P289">
        <v>0</v>
      </c>
      <c r="Q289">
        <v>54.054054054054049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56.999999999999993</v>
      </c>
      <c r="AK289" t="s">
        <v>1</v>
      </c>
      <c r="AL289" t="s">
        <v>372</v>
      </c>
      <c r="AQ289" s="1">
        <f t="shared" si="124"/>
        <v>99.999999999999986</v>
      </c>
      <c r="AR289" s="1">
        <f t="shared" si="104"/>
        <v>0.1891891891891892</v>
      </c>
      <c r="AS289" s="1">
        <f t="shared" si="105"/>
        <v>0</v>
      </c>
      <c r="AT289" s="1">
        <f t="shared" si="106"/>
        <v>0.27027027027027023</v>
      </c>
      <c r="AU289" s="1">
        <f t="shared" si="107"/>
        <v>0.54054054054054046</v>
      </c>
      <c r="AV289" s="1">
        <f t="shared" si="108"/>
        <v>0.56999999999999995</v>
      </c>
      <c r="AX289" s="1">
        <f t="shared" si="109"/>
        <v>2</v>
      </c>
      <c r="AY289" s="1">
        <f t="shared" si="110"/>
        <v>0.70000000000000018</v>
      </c>
      <c r="AZ289" s="1">
        <f t="shared" si="111"/>
        <v>0.625</v>
      </c>
      <c r="BA289" s="1">
        <f t="shared" si="112"/>
        <v>1</v>
      </c>
      <c r="BB289" s="1">
        <f t="shared" si="113"/>
        <v>0.625</v>
      </c>
      <c r="BC289" s="1">
        <f t="shared" si="114"/>
        <v>0.625</v>
      </c>
      <c r="BD289" s="1">
        <f t="shared" si="115"/>
        <v>5.5000000000000049E-2</v>
      </c>
      <c r="BF289">
        <f t="shared" si="116"/>
        <v>27.027027027027021</v>
      </c>
      <c r="BG289">
        <f t="shared" si="126"/>
        <v>18.918918918918919</v>
      </c>
      <c r="BH289" s="1">
        <f t="shared" si="117"/>
        <v>2.0000000000000004</v>
      </c>
      <c r="BI289" s="1">
        <f t="shared" si="118"/>
        <v>0.70000000000000018</v>
      </c>
      <c r="BJ289" s="1">
        <f t="shared" si="119"/>
        <v>0.628</v>
      </c>
      <c r="BK289" s="1">
        <f t="shared" si="120"/>
        <v>1.1000000000000003</v>
      </c>
      <c r="BL289" s="1">
        <f t="shared" si="121"/>
        <v>0.628</v>
      </c>
      <c r="BM289" s="1">
        <f t="shared" si="122"/>
        <v>0.628</v>
      </c>
      <c r="BN289" s="1">
        <f t="shared" si="125"/>
        <v>3.3640000000000059E-3</v>
      </c>
      <c r="BO289" s="1">
        <f t="shared" si="123"/>
        <v>2.6360469259725097E-2</v>
      </c>
    </row>
    <row r="290" spans="1:67" x14ac:dyDescent="0.25">
      <c r="A290" s="3"/>
      <c r="B290" s="3"/>
      <c r="C290" t="s">
        <v>514</v>
      </c>
      <c r="D290" s="5">
        <v>1</v>
      </c>
      <c r="E290" s="9">
        <f t="shared" si="102"/>
        <v>25</v>
      </c>
      <c r="F290" s="9">
        <f t="shared" si="103"/>
        <v>0.66666666666666663</v>
      </c>
      <c r="G290">
        <v>0</v>
      </c>
      <c r="H290">
        <v>25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25</v>
      </c>
      <c r="P290">
        <v>0</v>
      </c>
      <c r="Q290">
        <v>50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67</v>
      </c>
      <c r="AK290" t="s">
        <v>1</v>
      </c>
      <c r="AL290" t="s">
        <v>372</v>
      </c>
      <c r="AQ290" s="1">
        <f t="shared" si="124"/>
        <v>100</v>
      </c>
      <c r="AR290" s="1">
        <f t="shared" si="104"/>
        <v>0.25</v>
      </c>
      <c r="AS290" s="1">
        <f t="shared" si="105"/>
        <v>0</v>
      </c>
      <c r="AT290" s="1">
        <f t="shared" si="106"/>
        <v>0.25</v>
      </c>
      <c r="AU290" s="1">
        <f t="shared" si="107"/>
        <v>0.5</v>
      </c>
      <c r="AV290" s="1">
        <f t="shared" si="108"/>
        <v>0.67</v>
      </c>
      <c r="AX290" s="1">
        <f t="shared" si="109"/>
        <v>2</v>
      </c>
      <c r="AY290" s="1">
        <f t="shared" si="110"/>
        <v>1</v>
      </c>
      <c r="AZ290" s="1">
        <f t="shared" si="111"/>
        <v>0.625</v>
      </c>
      <c r="BA290" s="1">
        <f t="shared" si="112"/>
        <v>1</v>
      </c>
      <c r="BB290" s="1">
        <f t="shared" si="113"/>
        <v>0.625</v>
      </c>
      <c r="BC290" s="1">
        <f t="shared" si="114"/>
        <v>0.625</v>
      </c>
      <c r="BD290" s="1">
        <f t="shared" si="115"/>
        <v>4.500000000000004E-2</v>
      </c>
      <c r="BF290">
        <f t="shared" si="116"/>
        <v>25</v>
      </c>
      <c r="BG290">
        <f t="shared" si="126"/>
        <v>25</v>
      </c>
      <c r="BH290" s="1">
        <f t="shared" si="117"/>
        <v>2</v>
      </c>
      <c r="BI290" s="1">
        <f t="shared" si="118"/>
        <v>1</v>
      </c>
      <c r="BJ290" s="1">
        <f t="shared" si="119"/>
        <v>0.628</v>
      </c>
      <c r="BK290" s="1">
        <f t="shared" si="120"/>
        <v>1.1000000000000001</v>
      </c>
      <c r="BL290" s="1">
        <f t="shared" si="121"/>
        <v>0.628</v>
      </c>
      <c r="BM290" s="1">
        <f t="shared" si="122"/>
        <v>0.628</v>
      </c>
      <c r="BN290" s="1">
        <f t="shared" si="125"/>
        <v>1.7640000000000032E-3</v>
      </c>
      <c r="BO290" s="1">
        <f t="shared" si="123"/>
        <v>6.8832284275042718E-2</v>
      </c>
    </row>
    <row r="291" spans="1:67" x14ac:dyDescent="0.25">
      <c r="A291" s="3"/>
      <c r="B291" s="3"/>
      <c r="C291" t="s">
        <v>515</v>
      </c>
      <c r="D291" s="5">
        <v>1</v>
      </c>
      <c r="E291" s="9">
        <f t="shared" si="102"/>
        <v>28.90995260663507</v>
      </c>
      <c r="F291" s="9">
        <f t="shared" si="103"/>
        <v>0.66666666666666674</v>
      </c>
      <c r="G291">
        <v>0</v>
      </c>
      <c r="H291">
        <v>23.69668246445498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28.90995260663507</v>
      </c>
      <c r="P291">
        <v>0</v>
      </c>
      <c r="Q291">
        <v>47.393364928909953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66</v>
      </c>
      <c r="AK291" t="s">
        <v>1</v>
      </c>
      <c r="AL291" t="s">
        <v>372</v>
      </c>
      <c r="AQ291" s="1">
        <f t="shared" si="124"/>
        <v>100</v>
      </c>
      <c r="AR291" s="1">
        <f t="shared" si="104"/>
        <v>0.2890995260663507</v>
      </c>
      <c r="AS291" s="1">
        <f t="shared" si="105"/>
        <v>0</v>
      </c>
      <c r="AT291" s="1">
        <f t="shared" si="106"/>
        <v>0.23696682464454979</v>
      </c>
      <c r="AU291" s="1">
        <f t="shared" si="107"/>
        <v>0.47393364928909953</v>
      </c>
      <c r="AV291" s="1">
        <f t="shared" si="108"/>
        <v>0.66</v>
      </c>
      <c r="AX291" s="1">
        <f t="shared" si="109"/>
        <v>1.9999999999999998</v>
      </c>
      <c r="AY291" s="1">
        <f t="shared" si="110"/>
        <v>1.2199999999999998</v>
      </c>
      <c r="AZ291" s="1">
        <f t="shared" si="111"/>
        <v>0.625</v>
      </c>
      <c r="BA291" s="1">
        <f t="shared" si="112"/>
        <v>1</v>
      </c>
      <c r="BB291" s="1">
        <f t="shared" si="113"/>
        <v>0.57916666666666672</v>
      </c>
      <c r="BC291" s="1">
        <f t="shared" si="114"/>
        <v>0.57916666666666672</v>
      </c>
      <c r="BD291" s="1">
        <f t="shared" si="115"/>
        <v>8.0833333333333313E-2</v>
      </c>
      <c r="BF291">
        <f t="shared" si="116"/>
        <v>23.69668246445498</v>
      </c>
      <c r="BG291">
        <f t="shared" si="126"/>
        <v>28.90995260663507</v>
      </c>
      <c r="BH291" s="1">
        <f t="shared" si="117"/>
        <v>1.9999999999999998</v>
      </c>
      <c r="BI291" s="1">
        <f t="shared" si="118"/>
        <v>1.2199999999999998</v>
      </c>
      <c r="BJ291" s="1">
        <f t="shared" si="119"/>
        <v>0.628</v>
      </c>
      <c r="BK291" s="1">
        <f t="shared" si="120"/>
        <v>1.0999999999999999</v>
      </c>
      <c r="BL291" s="1">
        <f t="shared" si="121"/>
        <v>0.60299999999999998</v>
      </c>
      <c r="BM291" s="1">
        <f t="shared" si="122"/>
        <v>0.60299999999999998</v>
      </c>
      <c r="BN291" s="1">
        <f t="shared" si="125"/>
        <v>3.2490000000000058E-3</v>
      </c>
      <c r="BO291" s="1">
        <f t="shared" si="123"/>
        <v>6.3685102773510957E-2</v>
      </c>
    </row>
    <row r="292" spans="1:67" x14ac:dyDescent="0.25">
      <c r="A292" s="3"/>
      <c r="B292" s="3"/>
      <c r="C292" t="s">
        <v>516</v>
      </c>
      <c r="D292" s="5">
        <v>1</v>
      </c>
      <c r="E292" s="9">
        <f t="shared" si="102"/>
        <v>36.170212765957437</v>
      </c>
      <c r="F292" s="9">
        <f t="shared" si="103"/>
        <v>0.66666666666666663</v>
      </c>
      <c r="G292">
        <v>0</v>
      </c>
      <c r="H292">
        <v>21.276595744680851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36.170212765957437</v>
      </c>
      <c r="P292">
        <v>0</v>
      </c>
      <c r="Q292">
        <v>42.553191489361701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63</v>
      </c>
      <c r="AK292" t="s">
        <v>1</v>
      </c>
      <c r="AL292" t="s">
        <v>372</v>
      </c>
      <c r="AQ292" s="1">
        <f t="shared" si="124"/>
        <v>100</v>
      </c>
      <c r="AR292" s="1">
        <f t="shared" si="104"/>
        <v>0.36170212765957438</v>
      </c>
      <c r="AS292" s="1">
        <f t="shared" si="105"/>
        <v>0</v>
      </c>
      <c r="AT292" s="1">
        <f t="shared" si="106"/>
        <v>0.21276595744680851</v>
      </c>
      <c r="AU292" s="1">
        <f t="shared" si="107"/>
        <v>0.42553191489361702</v>
      </c>
      <c r="AV292" s="1">
        <f t="shared" si="108"/>
        <v>0.63</v>
      </c>
      <c r="AX292" s="1">
        <f t="shared" si="109"/>
        <v>2</v>
      </c>
      <c r="AY292" s="1">
        <f t="shared" si="110"/>
        <v>1.6999999999999995</v>
      </c>
      <c r="AZ292" s="1">
        <f t="shared" si="111"/>
        <v>0.625</v>
      </c>
      <c r="BA292" s="1">
        <f t="shared" si="112"/>
        <v>1</v>
      </c>
      <c r="BB292" s="1">
        <f t="shared" si="113"/>
        <v>0.47916666666666674</v>
      </c>
      <c r="BC292" s="1">
        <f t="shared" si="114"/>
        <v>0.47916666666666674</v>
      </c>
      <c r="BD292" s="1">
        <f t="shared" si="115"/>
        <v>0.15083333333333326</v>
      </c>
      <c r="BF292">
        <f t="shared" si="116"/>
        <v>21.276595744680851</v>
      </c>
      <c r="BG292">
        <f t="shared" si="126"/>
        <v>36.170212765957437</v>
      </c>
      <c r="BH292" s="1">
        <f t="shared" si="117"/>
        <v>2</v>
      </c>
      <c r="BI292" s="1">
        <f t="shared" si="118"/>
        <v>1.6999999999999995</v>
      </c>
      <c r="BJ292" s="1">
        <f t="shared" si="119"/>
        <v>0.628</v>
      </c>
      <c r="BK292" s="1">
        <f t="shared" si="120"/>
        <v>1.1000000000000001</v>
      </c>
      <c r="BL292" s="1">
        <f t="shared" si="121"/>
        <v>0.50300000000000011</v>
      </c>
      <c r="BM292" s="1">
        <f t="shared" si="122"/>
        <v>0.50300000000000011</v>
      </c>
      <c r="BN292" s="1">
        <f t="shared" si="125"/>
        <v>1.6128999999999973E-2</v>
      </c>
      <c r="BO292" s="1">
        <f t="shared" si="123"/>
        <v>4.9443558268915666E-2</v>
      </c>
    </row>
    <row r="293" spans="1:67" x14ac:dyDescent="0.25">
      <c r="A293" s="3"/>
      <c r="B293" s="3"/>
      <c r="C293" t="s">
        <v>517</v>
      </c>
      <c r="D293" s="6">
        <v>1</v>
      </c>
      <c r="E293" s="1"/>
      <c r="F293" s="1"/>
      <c r="G293">
        <v>0</v>
      </c>
      <c r="H293">
        <v>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40</v>
      </c>
      <c r="P293">
        <v>0</v>
      </c>
      <c r="Q293">
        <v>40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63</v>
      </c>
      <c r="AK293" t="s">
        <v>1</v>
      </c>
      <c r="AL293" t="s">
        <v>372</v>
      </c>
      <c r="AQ293" s="1">
        <f t="shared" si="124"/>
        <v>100</v>
      </c>
      <c r="AR293" s="1">
        <f t="shared" si="104"/>
        <v>0.4</v>
      </c>
      <c r="AS293" s="1">
        <f t="shared" si="105"/>
        <v>0</v>
      </c>
      <c r="AT293" s="1">
        <f t="shared" si="106"/>
        <v>0.2</v>
      </c>
      <c r="AU293" s="1">
        <f t="shared" si="107"/>
        <v>0.4</v>
      </c>
      <c r="AV293" s="1">
        <f t="shared" si="108"/>
        <v>0.63</v>
      </c>
      <c r="AX293" s="1">
        <f t="shared" si="109"/>
        <v>2</v>
      </c>
      <c r="AY293" s="1">
        <f t="shared" si="110"/>
        <v>2</v>
      </c>
      <c r="AZ293" s="1">
        <f t="shared" si="111"/>
        <v>0.625</v>
      </c>
      <c r="BA293" s="1">
        <f t="shared" si="112"/>
        <v>1</v>
      </c>
      <c r="BB293" s="1">
        <f t="shared" si="113"/>
        <v>0.41666666666666663</v>
      </c>
      <c r="BC293" s="1">
        <f t="shared" si="114"/>
        <v>0.41666666666666663</v>
      </c>
      <c r="BD293" s="1">
        <f t="shared" si="115"/>
        <v>0.21333333333333337</v>
      </c>
      <c r="BF293">
        <f t="shared" si="116"/>
        <v>20</v>
      </c>
      <c r="BG293">
        <f t="shared" si="126"/>
        <v>40</v>
      </c>
      <c r="BH293" s="1">
        <f t="shared" si="117"/>
        <v>2</v>
      </c>
      <c r="BI293" s="1">
        <f t="shared" si="118"/>
        <v>2</v>
      </c>
      <c r="BJ293" s="1">
        <f t="shared" si="119"/>
        <v>0.628</v>
      </c>
      <c r="BK293" s="1">
        <f t="shared" si="120"/>
        <v>1.1000000000000001</v>
      </c>
      <c r="BL293" s="1">
        <f t="shared" si="121"/>
        <v>0.4405</v>
      </c>
      <c r="BM293" s="1">
        <f t="shared" si="122"/>
        <v>0.4405</v>
      </c>
      <c r="BN293" s="1">
        <f t="shared" si="125"/>
        <v>3.5910249999999998E-2</v>
      </c>
      <c r="BO293" s="1">
        <f t="shared" si="123"/>
        <v>4.9443558268915666E-2</v>
      </c>
    </row>
    <row r="294" spans="1:67" x14ac:dyDescent="0.25">
      <c r="A294" s="3"/>
      <c r="B294" s="3"/>
      <c r="C294" t="s">
        <v>518</v>
      </c>
      <c r="D294" s="5">
        <v>1</v>
      </c>
      <c r="E294" s="9">
        <f t="shared" ref="E294:E357" si="127">I294+L294+M294+N294+O294+V294+X294+AB294+AD294</f>
        <v>42.965779467680598</v>
      </c>
      <c r="F294" s="9">
        <f t="shared" ref="F294:F357" si="128">Q294/(H294+P294+Q294+AC294)</f>
        <v>0.66666666666666674</v>
      </c>
      <c r="G294">
        <v>0</v>
      </c>
      <c r="H294">
        <v>19.01140684410646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42.965779467680598</v>
      </c>
      <c r="P294">
        <v>0</v>
      </c>
      <c r="Q294">
        <v>38.022813688212928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56.999999999999993</v>
      </c>
      <c r="AK294" t="s">
        <v>1</v>
      </c>
      <c r="AL294" t="s">
        <v>372</v>
      </c>
      <c r="AQ294" s="1">
        <f t="shared" si="124"/>
        <v>99.999999999999986</v>
      </c>
      <c r="AR294" s="1">
        <f t="shared" si="104"/>
        <v>0.42965779467680598</v>
      </c>
      <c r="AS294" s="1">
        <f t="shared" si="105"/>
        <v>0</v>
      </c>
      <c r="AT294" s="1">
        <f t="shared" si="106"/>
        <v>0.1901140684410646</v>
      </c>
      <c r="AU294" s="1">
        <f t="shared" si="107"/>
        <v>0.38022813688212925</v>
      </c>
      <c r="AV294" s="1">
        <f t="shared" si="108"/>
        <v>0.56999999999999995</v>
      </c>
      <c r="AX294" s="1">
        <f t="shared" si="109"/>
        <v>2.0000000000000004</v>
      </c>
      <c r="AY294" s="1">
        <f t="shared" si="110"/>
        <v>2.2599999999999998</v>
      </c>
      <c r="AZ294" s="1">
        <f t="shared" si="111"/>
        <v>0.625</v>
      </c>
      <c r="BA294" s="1">
        <f t="shared" si="112"/>
        <v>1</v>
      </c>
      <c r="BB294" s="1">
        <f t="shared" si="113"/>
        <v>0.36250000000000004</v>
      </c>
      <c r="BC294" s="1">
        <f t="shared" si="114"/>
        <v>0.36250000000000004</v>
      </c>
      <c r="BD294" s="1">
        <f t="shared" si="115"/>
        <v>0.20749999999999991</v>
      </c>
      <c r="BF294">
        <f t="shared" si="116"/>
        <v>19.01140684410646</v>
      </c>
      <c r="BG294">
        <f t="shared" si="126"/>
        <v>42.965779467680598</v>
      </c>
      <c r="BH294" s="1">
        <f t="shared" si="117"/>
        <v>2.0000000000000004</v>
      </c>
      <c r="BI294" s="1">
        <f t="shared" si="118"/>
        <v>2.2599999999999998</v>
      </c>
      <c r="BJ294" s="1">
        <f t="shared" si="119"/>
        <v>0.628</v>
      </c>
      <c r="BK294" s="1">
        <f t="shared" si="120"/>
        <v>1.1000000000000003</v>
      </c>
      <c r="BL294" s="1">
        <f t="shared" si="121"/>
        <v>0.38633333333333342</v>
      </c>
      <c r="BM294" s="1">
        <f t="shared" si="122"/>
        <v>0.38633333333333342</v>
      </c>
      <c r="BN294" s="1">
        <f t="shared" si="125"/>
        <v>3.3733444444444392E-2</v>
      </c>
      <c r="BO294" s="1">
        <f t="shared" si="123"/>
        <v>2.6360469259725097E-2</v>
      </c>
    </row>
    <row r="295" spans="1:67" x14ac:dyDescent="0.25">
      <c r="A295" s="3"/>
      <c r="B295" s="3"/>
      <c r="C295" t="s">
        <v>519</v>
      </c>
      <c r="D295" s="5">
        <v>1</v>
      </c>
      <c r="E295" s="9">
        <f t="shared" si="127"/>
        <v>45.454545454545453</v>
      </c>
      <c r="F295" s="9">
        <f t="shared" si="128"/>
        <v>0.66666666666666674</v>
      </c>
      <c r="G295">
        <v>0</v>
      </c>
      <c r="H295">
        <v>18.18181818181818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45.454545454545453</v>
      </c>
      <c r="P295">
        <v>0</v>
      </c>
      <c r="Q295">
        <v>36.363636363636367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52</v>
      </c>
      <c r="AK295" t="s">
        <v>1</v>
      </c>
      <c r="AL295" t="s">
        <v>372</v>
      </c>
      <c r="AQ295" s="1">
        <f t="shared" si="124"/>
        <v>100</v>
      </c>
      <c r="AR295" s="1">
        <f t="shared" si="104"/>
        <v>0.45454545454545453</v>
      </c>
      <c r="AS295" s="1">
        <f t="shared" si="105"/>
        <v>0</v>
      </c>
      <c r="AT295" s="1">
        <f t="shared" si="106"/>
        <v>0.1818181818181818</v>
      </c>
      <c r="AU295" s="1">
        <f t="shared" si="107"/>
        <v>0.36363636363636365</v>
      </c>
      <c r="AV295" s="1">
        <f t="shared" si="108"/>
        <v>0.52</v>
      </c>
      <c r="AX295" s="1">
        <f t="shared" si="109"/>
        <v>2.0000000000000004</v>
      </c>
      <c r="AY295" s="1">
        <f t="shared" si="110"/>
        <v>2.5000000000000004</v>
      </c>
      <c r="AZ295" s="1">
        <f t="shared" si="111"/>
        <v>0.625</v>
      </c>
      <c r="BA295" s="1">
        <f t="shared" si="112"/>
        <v>1</v>
      </c>
      <c r="BB295" s="1">
        <f t="shared" si="113"/>
        <v>0.31249999999999994</v>
      </c>
      <c r="BC295" s="1">
        <f t="shared" si="114"/>
        <v>0.31249999999999994</v>
      </c>
      <c r="BD295" s="1">
        <f t="shared" si="115"/>
        <v>0.20750000000000007</v>
      </c>
      <c r="BF295">
        <f t="shared" si="116"/>
        <v>18.18181818181818</v>
      </c>
      <c r="BG295">
        <f t="shared" si="126"/>
        <v>45.454545454545453</v>
      </c>
      <c r="BH295" s="1">
        <f t="shared" si="117"/>
        <v>2.0000000000000004</v>
      </c>
      <c r="BI295" s="1">
        <f t="shared" si="118"/>
        <v>2.5</v>
      </c>
      <c r="BJ295" s="1">
        <f t="shared" si="119"/>
        <v>0.628</v>
      </c>
      <c r="BK295" s="1">
        <f t="shared" si="120"/>
        <v>1.1000000000000003</v>
      </c>
      <c r="BL295" s="1">
        <f t="shared" si="121"/>
        <v>0.33633333333333343</v>
      </c>
      <c r="BM295" s="1">
        <f t="shared" si="122"/>
        <v>0.33633333333333343</v>
      </c>
      <c r="BN295" s="1">
        <f t="shared" si="125"/>
        <v>3.3733444444444413E-2</v>
      </c>
      <c r="BO295" s="1">
        <f t="shared" si="123"/>
        <v>1.2624561752066324E-2</v>
      </c>
    </row>
    <row r="296" spans="1:67" x14ac:dyDescent="0.25">
      <c r="A296" s="3"/>
      <c r="B296" s="3"/>
      <c r="C296" t="s">
        <v>520</v>
      </c>
      <c r="D296" s="5">
        <v>1</v>
      </c>
      <c r="E296" s="9">
        <f t="shared" si="127"/>
        <v>4.213483146067416</v>
      </c>
      <c r="F296" s="9">
        <f t="shared" si="128"/>
        <v>0.70674486803519054</v>
      </c>
      <c r="G296">
        <v>0</v>
      </c>
      <c r="H296">
        <v>28.08988764044944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4.213483146067416</v>
      </c>
      <c r="P296">
        <v>0</v>
      </c>
      <c r="Q296">
        <v>67.696629213483149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17</v>
      </c>
      <c r="AK296" t="s">
        <v>1</v>
      </c>
      <c r="AL296" t="s">
        <v>372</v>
      </c>
      <c r="AQ296" s="1">
        <f t="shared" si="124"/>
        <v>100</v>
      </c>
      <c r="AR296" s="1">
        <f t="shared" si="104"/>
        <v>4.2134831460674163E-2</v>
      </c>
      <c r="AS296" s="1">
        <f t="shared" si="105"/>
        <v>0</v>
      </c>
      <c r="AT296" s="1">
        <f t="shared" si="106"/>
        <v>0.2808988764044944</v>
      </c>
      <c r="AU296" s="1">
        <f t="shared" si="107"/>
        <v>0.6769662921348315</v>
      </c>
      <c r="AV296" s="1">
        <f t="shared" si="108"/>
        <v>0.17</v>
      </c>
      <c r="AX296" s="1">
        <f t="shared" si="109"/>
        <v>2.41</v>
      </c>
      <c r="AY296" s="1">
        <f t="shared" si="110"/>
        <v>0.15000000000000002</v>
      </c>
      <c r="AZ296" s="1">
        <f t="shared" si="111"/>
        <v>0.65062500000000001</v>
      </c>
      <c r="BA296" s="1">
        <f t="shared" si="112"/>
        <v>1.1025</v>
      </c>
      <c r="BB296" s="1">
        <f t="shared" si="113"/>
        <v>0.15000000000000002</v>
      </c>
      <c r="BC296" s="1">
        <f t="shared" si="114"/>
        <v>0.15000000000000002</v>
      </c>
      <c r="BD296" s="1">
        <f t="shared" si="115"/>
        <v>1.999999999999999E-2</v>
      </c>
      <c r="BF296">
        <f t="shared" si="116"/>
        <v>28.08988764044944</v>
      </c>
      <c r="BG296">
        <f t="shared" si="126"/>
        <v>4.213483146067416</v>
      </c>
      <c r="BH296" s="1">
        <f t="shared" si="117"/>
        <v>2.41</v>
      </c>
      <c r="BI296" s="1">
        <f t="shared" si="118"/>
        <v>0.15</v>
      </c>
      <c r="BJ296" s="1">
        <f t="shared" si="119"/>
        <v>0.63578999999999997</v>
      </c>
      <c r="BK296" s="1">
        <f t="shared" si="120"/>
        <v>1.3058200000000002</v>
      </c>
      <c r="BL296" s="1">
        <f t="shared" si="121"/>
        <v>0.15</v>
      </c>
      <c r="BM296" s="1">
        <f t="shared" si="122"/>
        <v>0.15</v>
      </c>
      <c r="BN296" s="1">
        <f t="shared" si="125"/>
        <v>4.0000000000000072E-4</v>
      </c>
      <c r="BO296" s="1">
        <f t="shared" si="123"/>
        <v>5.647320919845477E-2</v>
      </c>
    </row>
    <row r="297" spans="1:67" x14ac:dyDescent="0.25">
      <c r="A297" s="3"/>
      <c r="B297" s="3"/>
      <c r="C297" t="s">
        <v>521</v>
      </c>
      <c r="D297" s="5">
        <v>1</v>
      </c>
      <c r="E297" s="9">
        <f t="shared" si="127"/>
        <v>6.830601092896174</v>
      </c>
      <c r="F297" s="9">
        <f t="shared" si="128"/>
        <v>0.70674486803519065</v>
      </c>
      <c r="G297">
        <v>0</v>
      </c>
      <c r="H297">
        <v>27.3224043715847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6.830601092896174</v>
      </c>
      <c r="P297">
        <v>0</v>
      </c>
      <c r="Q297">
        <v>65.84699453551913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26</v>
      </c>
      <c r="AK297" t="s">
        <v>1</v>
      </c>
      <c r="AL297" t="s">
        <v>372</v>
      </c>
      <c r="AQ297" s="1">
        <f t="shared" si="124"/>
        <v>100</v>
      </c>
      <c r="AR297" s="1">
        <f t="shared" si="104"/>
        <v>6.8306010928961741E-2</v>
      </c>
      <c r="AS297" s="1">
        <f t="shared" si="105"/>
        <v>0</v>
      </c>
      <c r="AT297" s="1">
        <f t="shared" si="106"/>
        <v>0.27322404371584702</v>
      </c>
      <c r="AU297" s="1">
        <f t="shared" si="107"/>
        <v>0.65846994535519132</v>
      </c>
      <c r="AV297" s="1">
        <f t="shared" si="108"/>
        <v>0.26</v>
      </c>
      <c r="AX297" s="1">
        <f t="shared" si="109"/>
        <v>2.41</v>
      </c>
      <c r="AY297" s="1">
        <f t="shared" si="110"/>
        <v>0.24999999999999994</v>
      </c>
      <c r="AZ297" s="1">
        <f t="shared" si="111"/>
        <v>0.65062500000000001</v>
      </c>
      <c r="BA297" s="1">
        <f t="shared" si="112"/>
        <v>1.1025</v>
      </c>
      <c r="BB297" s="1">
        <f t="shared" si="113"/>
        <v>0.24999999999999994</v>
      </c>
      <c r="BC297" s="1">
        <f t="shared" si="114"/>
        <v>0.24999999999999994</v>
      </c>
      <c r="BD297" s="1">
        <f t="shared" si="115"/>
        <v>1.0000000000000064E-2</v>
      </c>
      <c r="BF297">
        <f t="shared" si="116"/>
        <v>27.3224043715847</v>
      </c>
      <c r="BG297">
        <f t="shared" si="126"/>
        <v>6.830601092896174</v>
      </c>
      <c r="BH297" s="1">
        <f t="shared" si="117"/>
        <v>2.41</v>
      </c>
      <c r="BI297" s="1">
        <f t="shared" si="118"/>
        <v>0.24999999999999997</v>
      </c>
      <c r="BJ297" s="1">
        <f t="shared" si="119"/>
        <v>0.63578999999999997</v>
      </c>
      <c r="BK297" s="1">
        <f t="shared" si="120"/>
        <v>1.3058200000000002</v>
      </c>
      <c r="BL297" s="1">
        <f t="shared" si="121"/>
        <v>0.24999999999999997</v>
      </c>
      <c r="BM297" s="1">
        <f t="shared" si="122"/>
        <v>0.24999999999999997</v>
      </c>
      <c r="BN297" s="1">
        <f t="shared" si="125"/>
        <v>1.0000000000000074E-4</v>
      </c>
      <c r="BO297" s="1">
        <f t="shared" si="123"/>
        <v>2.1797842712240601E-2</v>
      </c>
    </row>
    <row r="298" spans="1:67" x14ac:dyDescent="0.25">
      <c r="A298" s="3"/>
      <c r="B298" s="3"/>
      <c r="C298" t="s">
        <v>522</v>
      </c>
      <c r="D298" s="5">
        <v>1</v>
      </c>
      <c r="E298" s="9">
        <f t="shared" si="127"/>
        <v>10.00263921879124</v>
      </c>
      <c r="F298" s="9">
        <f t="shared" si="128"/>
        <v>0.70674486803519065</v>
      </c>
      <c r="G298">
        <v>0</v>
      </c>
      <c r="H298">
        <v>26.392187912377931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10.00263921879124</v>
      </c>
      <c r="P298">
        <v>0</v>
      </c>
      <c r="Q298">
        <v>63.605172868830827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38</v>
      </c>
      <c r="AK298" t="s">
        <v>1</v>
      </c>
      <c r="AL298" t="s">
        <v>372</v>
      </c>
      <c r="AQ298" s="1">
        <f t="shared" si="124"/>
        <v>100</v>
      </c>
      <c r="AR298" s="1">
        <f t="shared" si="104"/>
        <v>0.1000263921879124</v>
      </c>
      <c r="AS298" s="1">
        <f t="shared" si="105"/>
        <v>0</v>
      </c>
      <c r="AT298" s="1">
        <f t="shared" si="106"/>
        <v>0.26392187912377929</v>
      </c>
      <c r="AU298" s="1">
        <f t="shared" si="107"/>
        <v>0.63605172868830828</v>
      </c>
      <c r="AV298" s="1">
        <f t="shared" si="108"/>
        <v>0.38</v>
      </c>
      <c r="AX298" s="1">
        <f t="shared" si="109"/>
        <v>2.4100000000000006</v>
      </c>
      <c r="AY298" s="1">
        <f t="shared" si="110"/>
        <v>0.37900000000000017</v>
      </c>
      <c r="AZ298" s="1">
        <f t="shared" si="111"/>
        <v>0.65062500000000001</v>
      </c>
      <c r="BA298" s="1">
        <f t="shared" si="112"/>
        <v>1.1025</v>
      </c>
      <c r="BB298" s="1">
        <f t="shared" si="113"/>
        <v>0.37900000000000017</v>
      </c>
      <c r="BC298" s="1">
        <f t="shared" si="114"/>
        <v>0.37900000000000017</v>
      </c>
      <c r="BD298" s="1">
        <f t="shared" si="115"/>
        <v>9.9999999999983435E-4</v>
      </c>
      <c r="BF298">
        <f t="shared" si="116"/>
        <v>26.392187912377931</v>
      </c>
      <c r="BG298">
        <f t="shared" si="126"/>
        <v>10.00263921879124</v>
      </c>
      <c r="BH298" s="1">
        <f t="shared" si="117"/>
        <v>2.4100000000000006</v>
      </c>
      <c r="BI298" s="1">
        <f t="shared" si="118"/>
        <v>0.37900000000000011</v>
      </c>
      <c r="BJ298" s="1">
        <f t="shared" si="119"/>
        <v>0.63578999999999997</v>
      </c>
      <c r="BK298" s="1">
        <f t="shared" si="120"/>
        <v>1.3058200000000004</v>
      </c>
      <c r="BL298" s="1">
        <f t="shared" si="121"/>
        <v>0.37900000000000011</v>
      </c>
      <c r="BM298" s="1">
        <f t="shared" si="122"/>
        <v>0.37900000000000011</v>
      </c>
      <c r="BN298" s="1">
        <f t="shared" si="125"/>
        <v>9.9999999999977973E-7</v>
      </c>
      <c r="BO298" s="1">
        <f t="shared" si="123"/>
        <v>7.6402073062170313E-4</v>
      </c>
    </row>
    <row r="299" spans="1:67" x14ac:dyDescent="0.25">
      <c r="A299" s="3"/>
      <c r="B299" s="3"/>
      <c r="C299" t="s">
        <v>523</v>
      </c>
      <c r="D299" s="5">
        <v>1</v>
      </c>
      <c r="E299" s="9">
        <f t="shared" si="127"/>
        <v>14.75</v>
      </c>
      <c r="F299" s="9">
        <f t="shared" si="128"/>
        <v>0.70674486803519065</v>
      </c>
      <c r="G299">
        <v>0</v>
      </c>
      <c r="H299">
        <v>25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14.75</v>
      </c>
      <c r="P299">
        <v>0</v>
      </c>
      <c r="Q299">
        <v>60.25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54</v>
      </c>
      <c r="AK299" t="s">
        <v>1</v>
      </c>
      <c r="AL299" t="s">
        <v>372</v>
      </c>
      <c r="AQ299" s="1">
        <f t="shared" si="124"/>
        <v>100</v>
      </c>
      <c r="AR299" s="1">
        <f t="shared" si="104"/>
        <v>0.14749999999999999</v>
      </c>
      <c r="AS299" s="1">
        <f t="shared" si="105"/>
        <v>0</v>
      </c>
      <c r="AT299" s="1">
        <f t="shared" si="106"/>
        <v>0.25</v>
      </c>
      <c r="AU299" s="1">
        <f t="shared" si="107"/>
        <v>0.60250000000000004</v>
      </c>
      <c r="AV299" s="1">
        <f t="shared" si="108"/>
        <v>0.54</v>
      </c>
      <c r="AX299" s="1">
        <f t="shared" si="109"/>
        <v>2.41</v>
      </c>
      <c r="AY299" s="1">
        <f t="shared" si="110"/>
        <v>0.59</v>
      </c>
      <c r="AZ299" s="1">
        <f t="shared" si="111"/>
        <v>0.65062500000000001</v>
      </c>
      <c r="BA299" s="1">
        <f t="shared" si="112"/>
        <v>1.1025</v>
      </c>
      <c r="BB299" s="1">
        <f t="shared" si="113"/>
        <v>0.59</v>
      </c>
      <c r="BC299" s="1">
        <f t="shared" si="114"/>
        <v>0.59</v>
      </c>
      <c r="BD299" s="1">
        <f t="shared" si="115"/>
        <v>4.9999999999999933E-2</v>
      </c>
      <c r="BF299">
        <f t="shared" si="116"/>
        <v>25</v>
      </c>
      <c r="BG299">
        <f t="shared" si="126"/>
        <v>14.75</v>
      </c>
      <c r="BH299" s="1">
        <f t="shared" si="117"/>
        <v>2.41</v>
      </c>
      <c r="BI299" s="1">
        <f t="shared" si="118"/>
        <v>0.59</v>
      </c>
      <c r="BJ299" s="1">
        <f t="shared" si="119"/>
        <v>0.63578999999999997</v>
      </c>
      <c r="BK299" s="1">
        <f t="shared" si="120"/>
        <v>1.3058200000000002</v>
      </c>
      <c r="BL299" s="1">
        <f t="shared" si="121"/>
        <v>0.59</v>
      </c>
      <c r="BM299" s="1">
        <f t="shared" si="122"/>
        <v>0.59</v>
      </c>
      <c r="BN299" s="1">
        <f t="shared" si="125"/>
        <v>2.4999999999999935E-3</v>
      </c>
      <c r="BO299" s="1">
        <f t="shared" si="123"/>
        <v>1.7518924755129846E-2</v>
      </c>
    </row>
    <row r="300" spans="1:67" x14ac:dyDescent="0.25">
      <c r="A300" s="3"/>
      <c r="B300" s="3"/>
      <c r="C300" t="s">
        <v>524</v>
      </c>
      <c r="D300" s="5">
        <v>1</v>
      </c>
      <c r="E300" s="9">
        <f t="shared" si="127"/>
        <v>17.672621921776919</v>
      </c>
      <c r="F300" s="9">
        <f t="shared" si="128"/>
        <v>0.70674486803519065</v>
      </c>
      <c r="G300">
        <v>0</v>
      </c>
      <c r="H300">
        <v>24.14292612264606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17.672621921776919</v>
      </c>
      <c r="P300">
        <v>0</v>
      </c>
      <c r="Q300">
        <v>58.184451955577011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57.999999999999993</v>
      </c>
      <c r="AK300" t="s">
        <v>1</v>
      </c>
      <c r="AL300" t="s">
        <v>372</v>
      </c>
      <c r="AQ300" s="1">
        <f t="shared" si="124"/>
        <v>100</v>
      </c>
      <c r="AR300" s="1">
        <f t="shared" si="104"/>
        <v>0.17672621921776918</v>
      </c>
      <c r="AS300" s="1">
        <f t="shared" si="105"/>
        <v>0</v>
      </c>
      <c r="AT300" s="1">
        <f t="shared" si="106"/>
        <v>0.24142926122646061</v>
      </c>
      <c r="AU300" s="1">
        <f t="shared" si="107"/>
        <v>0.5818445195557701</v>
      </c>
      <c r="AV300" s="1">
        <f t="shared" si="108"/>
        <v>0.57999999999999996</v>
      </c>
      <c r="AX300" s="1">
        <f t="shared" si="109"/>
        <v>2.41</v>
      </c>
      <c r="AY300" s="1">
        <f t="shared" si="110"/>
        <v>0.7320000000000001</v>
      </c>
      <c r="AZ300" s="1">
        <f t="shared" si="111"/>
        <v>0.65062500000000001</v>
      </c>
      <c r="BA300" s="1">
        <f t="shared" si="112"/>
        <v>1.1025</v>
      </c>
      <c r="BB300" s="1">
        <f t="shared" si="113"/>
        <v>0.65062500000000001</v>
      </c>
      <c r="BC300" s="1">
        <f t="shared" si="114"/>
        <v>0.65062500000000001</v>
      </c>
      <c r="BD300" s="1">
        <f t="shared" si="115"/>
        <v>7.0625000000000049E-2</v>
      </c>
      <c r="BF300">
        <f t="shared" si="116"/>
        <v>24.14292612264606</v>
      </c>
      <c r="BG300">
        <f t="shared" si="126"/>
        <v>17.672621921776919</v>
      </c>
      <c r="BH300" s="1">
        <f t="shared" si="117"/>
        <v>2.41</v>
      </c>
      <c r="BI300" s="1">
        <f t="shared" si="118"/>
        <v>0.7320000000000001</v>
      </c>
      <c r="BJ300" s="1">
        <f t="shared" si="119"/>
        <v>0.63578999999999997</v>
      </c>
      <c r="BK300" s="1">
        <f t="shared" si="120"/>
        <v>1.3058200000000002</v>
      </c>
      <c r="BL300" s="1">
        <f t="shared" si="121"/>
        <v>0.63578999999999997</v>
      </c>
      <c r="BM300" s="1">
        <f t="shared" si="122"/>
        <v>0.63578999999999997</v>
      </c>
      <c r="BN300" s="1">
        <f t="shared" si="125"/>
        <v>3.1125241000000007E-3</v>
      </c>
      <c r="BO300" s="1">
        <f t="shared" si="123"/>
        <v>2.9707650761256855E-2</v>
      </c>
    </row>
    <row r="301" spans="1:67" x14ac:dyDescent="0.25">
      <c r="A301" s="3"/>
      <c r="B301" s="3"/>
      <c r="C301" t="s">
        <v>525</v>
      </c>
      <c r="D301" s="5">
        <v>1</v>
      </c>
      <c r="E301" s="9">
        <f t="shared" si="127"/>
        <v>19.990614734866259</v>
      </c>
      <c r="F301" s="9">
        <f t="shared" si="128"/>
        <v>0.70674486803519054</v>
      </c>
      <c r="G301">
        <v>0</v>
      </c>
      <c r="H301">
        <v>23.463162834350069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19.990614734866259</v>
      </c>
      <c r="P301">
        <v>0</v>
      </c>
      <c r="Q301">
        <v>56.546222430783658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59</v>
      </c>
      <c r="AK301" t="s">
        <v>1</v>
      </c>
      <c r="AL301" t="s">
        <v>372</v>
      </c>
      <c r="AQ301" s="1">
        <f t="shared" si="124"/>
        <v>99.999999999999986</v>
      </c>
      <c r="AR301" s="1">
        <f t="shared" si="104"/>
        <v>0.19990614734866261</v>
      </c>
      <c r="AS301" s="1">
        <f t="shared" si="105"/>
        <v>0</v>
      </c>
      <c r="AT301" s="1">
        <f t="shared" si="106"/>
        <v>0.23463162834350068</v>
      </c>
      <c r="AU301" s="1">
        <f t="shared" si="107"/>
        <v>0.56546222430783655</v>
      </c>
      <c r="AV301" s="1">
        <f t="shared" si="108"/>
        <v>0.59</v>
      </c>
      <c r="AX301" s="1">
        <f t="shared" si="109"/>
        <v>2.4099999999999997</v>
      </c>
      <c r="AY301" s="1">
        <f t="shared" si="110"/>
        <v>0.85200000000000009</v>
      </c>
      <c r="AZ301" s="1">
        <f t="shared" si="111"/>
        <v>0.65062500000000001</v>
      </c>
      <c r="BA301" s="1">
        <f t="shared" si="112"/>
        <v>1.1025</v>
      </c>
      <c r="BB301" s="1">
        <f t="shared" si="113"/>
        <v>0.65062500000000001</v>
      </c>
      <c r="BC301" s="1">
        <f t="shared" si="114"/>
        <v>0.65062500000000001</v>
      </c>
      <c r="BD301" s="1">
        <f t="shared" si="115"/>
        <v>6.062500000000004E-2</v>
      </c>
      <c r="BF301">
        <f t="shared" si="116"/>
        <v>23.463162834350069</v>
      </c>
      <c r="BG301">
        <f t="shared" si="126"/>
        <v>19.990614734866259</v>
      </c>
      <c r="BH301" s="1">
        <f t="shared" si="117"/>
        <v>2.4099999999999997</v>
      </c>
      <c r="BI301" s="1">
        <f t="shared" si="118"/>
        <v>0.85199999999999998</v>
      </c>
      <c r="BJ301" s="1">
        <f t="shared" si="119"/>
        <v>0.63578999999999997</v>
      </c>
      <c r="BK301" s="1">
        <f t="shared" si="120"/>
        <v>1.30582</v>
      </c>
      <c r="BL301" s="1">
        <f t="shared" si="121"/>
        <v>0.63578999999999997</v>
      </c>
      <c r="BM301" s="1">
        <f t="shared" si="122"/>
        <v>0.63578999999999997</v>
      </c>
      <c r="BN301" s="1">
        <f t="shared" si="125"/>
        <v>2.0967240999999999E-3</v>
      </c>
      <c r="BO301" s="1">
        <f t="shared" si="123"/>
        <v>3.3254832262788615E-2</v>
      </c>
    </row>
    <row r="302" spans="1:67" x14ac:dyDescent="0.25">
      <c r="A302" s="3"/>
      <c r="B302" s="3"/>
      <c r="C302" t="s">
        <v>526</v>
      </c>
      <c r="D302" s="5">
        <v>1</v>
      </c>
      <c r="E302" s="9">
        <f t="shared" si="127"/>
        <v>24.98900131984162</v>
      </c>
      <c r="F302" s="9">
        <f t="shared" si="128"/>
        <v>0.70674486803519054</v>
      </c>
      <c r="G302">
        <v>0</v>
      </c>
      <c r="H302">
        <v>21.997360316761991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24.98900131984162</v>
      </c>
      <c r="P302">
        <v>0</v>
      </c>
      <c r="Q302">
        <v>53.013638363396389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65</v>
      </c>
      <c r="AK302" t="s">
        <v>1</v>
      </c>
      <c r="AL302" t="s">
        <v>372</v>
      </c>
      <c r="AQ302" s="1">
        <f t="shared" si="124"/>
        <v>100</v>
      </c>
      <c r="AR302" s="1">
        <f t="shared" si="104"/>
        <v>0.24989001319841619</v>
      </c>
      <c r="AS302" s="1">
        <f t="shared" si="105"/>
        <v>0</v>
      </c>
      <c r="AT302" s="1">
        <f t="shared" si="106"/>
        <v>0.21997360316761991</v>
      </c>
      <c r="AU302" s="1">
        <f t="shared" si="107"/>
        <v>0.53013638363396387</v>
      </c>
      <c r="AV302" s="1">
        <f t="shared" si="108"/>
        <v>0.65</v>
      </c>
      <c r="AX302" s="1">
        <f t="shared" si="109"/>
        <v>2.4099999999999997</v>
      </c>
      <c r="AY302" s="1">
        <f t="shared" si="110"/>
        <v>1.1359999999999999</v>
      </c>
      <c r="AZ302" s="1">
        <f t="shared" si="111"/>
        <v>0.65062500000000001</v>
      </c>
      <c r="BA302" s="1">
        <f t="shared" si="112"/>
        <v>1.1025</v>
      </c>
      <c r="BB302" s="1">
        <f t="shared" si="113"/>
        <v>0.64403514739229029</v>
      </c>
      <c r="BC302" s="1">
        <f t="shared" si="114"/>
        <v>0.64403514739229029</v>
      </c>
      <c r="BD302" s="1">
        <f t="shared" si="115"/>
        <v>5.9648526077097364E-3</v>
      </c>
      <c r="BF302">
        <f t="shared" si="116"/>
        <v>21.997360316761991</v>
      </c>
      <c r="BG302">
        <f t="shared" si="126"/>
        <v>24.98900131984162</v>
      </c>
      <c r="BH302" s="1">
        <f t="shared" si="117"/>
        <v>2.4099999999999997</v>
      </c>
      <c r="BI302" s="1">
        <f t="shared" si="118"/>
        <v>1.1359999999999999</v>
      </c>
      <c r="BJ302" s="1">
        <f t="shared" si="119"/>
        <v>0.63578999999999997</v>
      </c>
      <c r="BK302" s="1">
        <f t="shared" si="120"/>
        <v>1.30582</v>
      </c>
      <c r="BL302" s="1">
        <f t="shared" si="121"/>
        <v>0.63578999999999997</v>
      </c>
      <c r="BM302" s="1">
        <f t="shared" si="122"/>
        <v>0.63578999999999997</v>
      </c>
      <c r="BN302" s="1">
        <f t="shared" si="125"/>
        <v>2.0192410000000158E-4</v>
      </c>
      <c r="BO302" s="1">
        <f t="shared" si="123"/>
        <v>5.8737921271979188E-2</v>
      </c>
    </row>
    <row r="303" spans="1:67" x14ac:dyDescent="0.25">
      <c r="A303" s="3"/>
      <c r="B303" s="3"/>
      <c r="C303" t="s">
        <v>527</v>
      </c>
      <c r="D303" s="5">
        <v>1</v>
      </c>
      <c r="E303" s="9">
        <f t="shared" si="127"/>
        <v>27.446808510638299</v>
      </c>
      <c r="F303" s="9">
        <f t="shared" si="128"/>
        <v>0.70674486803519065</v>
      </c>
      <c r="G303">
        <v>0</v>
      </c>
      <c r="H303">
        <v>21.276595744680851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27.446808510638299</v>
      </c>
      <c r="P303">
        <v>0</v>
      </c>
      <c r="Q303">
        <v>51.276595744680847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69</v>
      </c>
      <c r="AK303" t="s">
        <v>1</v>
      </c>
      <c r="AL303" t="s">
        <v>372</v>
      </c>
      <c r="AQ303" s="1">
        <f t="shared" si="124"/>
        <v>100</v>
      </c>
      <c r="AR303" s="1">
        <f t="shared" si="104"/>
        <v>0.27446808510638299</v>
      </c>
      <c r="AS303" s="1">
        <f t="shared" si="105"/>
        <v>0</v>
      </c>
      <c r="AT303" s="1">
        <f t="shared" si="106"/>
        <v>0.21276595744680851</v>
      </c>
      <c r="AU303" s="1">
        <f t="shared" si="107"/>
        <v>0.51276595744680842</v>
      </c>
      <c r="AV303" s="1">
        <f t="shared" si="108"/>
        <v>0.69</v>
      </c>
      <c r="AX303" s="1">
        <f t="shared" si="109"/>
        <v>2.4099999999999997</v>
      </c>
      <c r="AY303" s="1">
        <f t="shared" si="110"/>
        <v>1.29</v>
      </c>
      <c r="AZ303" s="1">
        <f t="shared" si="111"/>
        <v>0.65062500000000001</v>
      </c>
      <c r="BA303" s="1">
        <f t="shared" si="112"/>
        <v>1.1025</v>
      </c>
      <c r="BB303" s="1">
        <f t="shared" si="113"/>
        <v>0.61374149659863941</v>
      </c>
      <c r="BC303" s="1">
        <f t="shared" si="114"/>
        <v>0.61374149659863941</v>
      </c>
      <c r="BD303" s="1">
        <f t="shared" si="115"/>
        <v>7.6258503401360533E-2</v>
      </c>
      <c r="BF303">
        <f t="shared" si="116"/>
        <v>21.276595744680851</v>
      </c>
      <c r="BG303">
        <f t="shared" si="126"/>
        <v>27.446808510638299</v>
      </c>
      <c r="BH303" s="1">
        <f t="shared" si="117"/>
        <v>2.4099999999999997</v>
      </c>
      <c r="BI303" s="1">
        <f t="shared" si="118"/>
        <v>1.29</v>
      </c>
      <c r="BJ303" s="1">
        <f t="shared" si="119"/>
        <v>0.63578999999999997</v>
      </c>
      <c r="BK303" s="1">
        <f t="shared" si="120"/>
        <v>1.30582</v>
      </c>
      <c r="BL303" s="1">
        <f t="shared" si="121"/>
        <v>0.63578999999999997</v>
      </c>
      <c r="BM303" s="1">
        <f t="shared" si="122"/>
        <v>0.63578999999999997</v>
      </c>
      <c r="BN303" s="1">
        <f t="shared" si="125"/>
        <v>2.9387240999999981E-3</v>
      </c>
      <c r="BO303" s="1">
        <f t="shared" si="123"/>
        <v>7.9726647278106175E-2</v>
      </c>
    </row>
    <row r="304" spans="1:67" x14ac:dyDescent="0.25">
      <c r="A304" s="3"/>
      <c r="B304" s="3"/>
      <c r="C304" t="s">
        <v>528</v>
      </c>
      <c r="D304" s="5">
        <v>1</v>
      </c>
      <c r="E304" s="9">
        <f t="shared" si="127"/>
        <v>29.979466119096511</v>
      </c>
      <c r="F304" s="9">
        <f t="shared" si="128"/>
        <v>0.70674486803519065</v>
      </c>
      <c r="G304">
        <v>0</v>
      </c>
      <c r="H304">
        <v>20.533880903490761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29.979466119096511</v>
      </c>
      <c r="P304">
        <v>0</v>
      </c>
      <c r="Q304">
        <v>49.486652977412732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70</v>
      </c>
      <c r="AK304" t="s">
        <v>1</v>
      </c>
      <c r="AL304" t="s">
        <v>372</v>
      </c>
      <c r="AQ304" s="1">
        <f t="shared" si="124"/>
        <v>100</v>
      </c>
      <c r="AR304" s="1">
        <f t="shared" si="104"/>
        <v>0.29979466119096509</v>
      </c>
      <c r="AS304" s="1">
        <f t="shared" si="105"/>
        <v>0</v>
      </c>
      <c r="AT304" s="1">
        <f t="shared" si="106"/>
        <v>0.20533880903490762</v>
      </c>
      <c r="AU304" s="1">
        <f t="shared" si="107"/>
        <v>0.49486652977412732</v>
      </c>
      <c r="AV304" s="1">
        <f t="shared" si="108"/>
        <v>0.7</v>
      </c>
      <c r="AX304" s="1">
        <f t="shared" si="109"/>
        <v>2.4099999999999997</v>
      </c>
      <c r="AY304" s="1">
        <f t="shared" si="110"/>
        <v>1.46</v>
      </c>
      <c r="AZ304" s="1">
        <f t="shared" si="111"/>
        <v>0.65062500000000001</v>
      </c>
      <c r="BA304" s="1">
        <f t="shared" si="112"/>
        <v>1.1025</v>
      </c>
      <c r="BB304" s="1">
        <f t="shared" si="113"/>
        <v>0.58030045351473925</v>
      </c>
      <c r="BC304" s="1">
        <f t="shared" si="114"/>
        <v>0.58030045351473925</v>
      </c>
      <c r="BD304" s="1">
        <f t="shared" si="115"/>
        <v>0.11969954648526071</v>
      </c>
      <c r="BF304">
        <f t="shared" si="116"/>
        <v>20.533880903490761</v>
      </c>
      <c r="BG304">
        <f t="shared" si="126"/>
        <v>29.979466119096511</v>
      </c>
      <c r="BH304" s="1">
        <f t="shared" si="117"/>
        <v>2.4099999999999997</v>
      </c>
      <c r="BI304" s="1">
        <f t="shared" si="118"/>
        <v>1.46</v>
      </c>
      <c r="BJ304" s="1">
        <f t="shared" si="119"/>
        <v>0.63578999999999997</v>
      </c>
      <c r="BK304" s="1">
        <f t="shared" si="120"/>
        <v>1.30582</v>
      </c>
      <c r="BL304" s="1">
        <f t="shared" si="121"/>
        <v>0.6054609410430839</v>
      </c>
      <c r="BM304" s="1">
        <f t="shared" si="122"/>
        <v>0.6054609410430839</v>
      </c>
      <c r="BN304" s="1">
        <f t="shared" si="125"/>
        <v>8.9376336684592501E-3</v>
      </c>
      <c r="BO304" s="1">
        <f t="shared" si="123"/>
        <v>8.5473828779637939E-2</v>
      </c>
    </row>
    <row r="305" spans="1:67" x14ac:dyDescent="0.25">
      <c r="A305" s="3"/>
      <c r="B305" s="3"/>
      <c r="C305" t="s">
        <v>529</v>
      </c>
      <c r="D305" s="5">
        <v>1</v>
      </c>
      <c r="E305" s="9">
        <f t="shared" si="127"/>
        <v>33.914728682170541</v>
      </c>
      <c r="F305" s="9">
        <f t="shared" si="128"/>
        <v>0.70674486803519054</v>
      </c>
      <c r="G305">
        <v>0</v>
      </c>
      <c r="H305">
        <v>19.379844961240309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33.914728682170541</v>
      </c>
      <c r="P305">
        <v>0</v>
      </c>
      <c r="Q305">
        <v>46.70542635658915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68</v>
      </c>
      <c r="AK305" t="s">
        <v>1</v>
      </c>
      <c r="AL305" t="s">
        <v>372</v>
      </c>
      <c r="AQ305" s="1">
        <f t="shared" si="124"/>
        <v>100</v>
      </c>
      <c r="AR305" s="1">
        <f t="shared" si="104"/>
        <v>0.33914728682170542</v>
      </c>
      <c r="AS305" s="1">
        <f t="shared" si="105"/>
        <v>0</v>
      </c>
      <c r="AT305" s="1">
        <f t="shared" si="106"/>
        <v>0.19379844961240308</v>
      </c>
      <c r="AU305" s="1">
        <f t="shared" si="107"/>
        <v>0.46705426356589153</v>
      </c>
      <c r="AV305" s="1">
        <f t="shared" si="108"/>
        <v>0.68</v>
      </c>
      <c r="AX305" s="1">
        <f t="shared" si="109"/>
        <v>2.4100000000000006</v>
      </c>
      <c r="AY305" s="1">
        <f t="shared" si="110"/>
        <v>1.75</v>
      </c>
      <c r="AZ305" s="1">
        <f t="shared" si="111"/>
        <v>0.65062500000000001</v>
      </c>
      <c r="BA305" s="1">
        <f t="shared" si="112"/>
        <v>1.1025</v>
      </c>
      <c r="BB305" s="1">
        <f t="shared" si="113"/>
        <v>0.5232539682539683</v>
      </c>
      <c r="BC305" s="1">
        <f t="shared" si="114"/>
        <v>0.5232539682539683</v>
      </c>
      <c r="BD305" s="1">
        <f t="shared" si="115"/>
        <v>0.15674603174603174</v>
      </c>
      <c r="BF305">
        <f t="shared" si="116"/>
        <v>19.379844961240309</v>
      </c>
      <c r="BG305">
        <f t="shared" si="126"/>
        <v>33.914728682170541</v>
      </c>
      <c r="BH305" s="1">
        <f t="shared" si="117"/>
        <v>2.41</v>
      </c>
      <c r="BI305" s="1">
        <f t="shared" si="118"/>
        <v>1.75</v>
      </c>
      <c r="BJ305" s="1">
        <f t="shared" si="119"/>
        <v>0.63578999999999997</v>
      </c>
      <c r="BK305" s="1">
        <f t="shared" si="120"/>
        <v>1.3058200000000002</v>
      </c>
      <c r="BL305" s="1">
        <f t="shared" si="121"/>
        <v>0.54841445578231296</v>
      </c>
      <c r="BM305" s="1">
        <f t="shared" si="122"/>
        <v>0.54841445578231296</v>
      </c>
      <c r="BN305" s="1">
        <f t="shared" si="125"/>
        <v>1.7314755447064883E-2</v>
      </c>
      <c r="BO305" s="1">
        <f t="shared" si="123"/>
        <v>7.4179465776574485E-2</v>
      </c>
    </row>
    <row r="306" spans="1:67" x14ac:dyDescent="0.25">
      <c r="A306" s="3"/>
      <c r="B306" s="3"/>
      <c r="C306" t="s">
        <v>530</v>
      </c>
      <c r="D306" s="5">
        <v>1</v>
      </c>
      <c r="E306" s="9">
        <f t="shared" si="127"/>
        <v>39.85890652557319</v>
      </c>
      <c r="F306" s="9">
        <f t="shared" si="128"/>
        <v>0.70674486803519065</v>
      </c>
      <c r="G306">
        <v>0</v>
      </c>
      <c r="H306">
        <v>17.636684303350972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39.85890652557319</v>
      </c>
      <c r="P306">
        <v>0</v>
      </c>
      <c r="Q306">
        <v>42.504409171075842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61</v>
      </c>
      <c r="AK306" t="s">
        <v>1</v>
      </c>
      <c r="AL306" t="s">
        <v>372</v>
      </c>
      <c r="AQ306" s="1">
        <f t="shared" si="124"/>
        <v>100</v>
      </c>
      <c r="AR306" s="1">
        <f t="shared" si="104"/>
        <v>0.3985890652557319</v>
      </c>
      <c r="AS306" s="1">
        <f t="shared" si="105"/>
        <v>0</v>
      </c>
      <c r="AT306" s="1">
        <f t="shared" si="106"/>
        <v>0.17636684303350972</v>
      </c>
      <c r="AU306" s="1">
        <f t="shared" si="107"/>
        <v>0.42504409171075841</v>
      </c>
      <c r="AV306" s="1">
        <f t="shared" si="108"/>
        <v>0.61</v>
      </c>
      <c r="AX306" s="1">
        <f t="shared" si="109"/>
        <v>2.41</v>
      </c>
      <c r="AY306" s="1">
        <f t="shared" si="110"/>
        <v>2.2599999999999998</v>
      </c>
      <c r="AZ306" s="1">
        <f t="shared" si="111"/>
        <v>0.65062500000000001</v>
      </c>
      <c r="BA306" s="1">
        <f t="shared" si="112"/>
        <v>1.1025</v>
      </c>
      <c r="BB306" s="1">
        <f t="shared" si="113"/>
        <v>0.42293083900226763</v>
      </c>
      <c r="BC306" s="1">
        <f t="shared" si="114"/>
        <v>0.42293083900226763</v>
      </c>
      <c r="BD306" s="1">
        <f t="shared" si="115"/>
        <v>0.18706916099773235</v>
      </c>
      <c r="BF306">
        <f t="shared" si="116"/>
        <v>17.636684303350972</v>
      </c>
      <c r="BG306">
        <f t="shared" si="126"/>
        <v>39.85890652557319</v>
      </c>
      <c r="BH306" s="1">
        <f t="shared" si="117"/>
        <v>2.41</v>
      </c>
      <c r="BI306" s="1">
        <f t="shared" si="118"/>
        <v>2.2599999999999998</v>
      </c>
      <c r="BJ306" s="1">
        <f t="shared" si="119"/>
        <v>0.63578999999999997</v>
      </c>
      <c r="BK306" s="1">
        <f t="shared" si="120"/>
        <v>1.3058200000000002</v>
      </c>
      <c r="BL306" s="1">
        <f t="shared" si="121"/>
        <v>0.44809132653061229</v>
      </c>
      <c r="BM306" s="1">
        <f t="shared" si="122"/>
        <v>0.44809132653061229</v>
      </c>
      <c r="BN306" s="1">
        <f t="shared" si="125"/>
        <v>2.6214418544616806E-2</v>
      </c>
      <c r="BO306" s="1">
        <f t="shared" si="123"/>
        <v>4.094919526585214E-2</v>
      </c>
    </row>
    <row r="307" spans="1:67" x14ac:dyDescent="0.25">
      <c r="A307" s="3"/>
      <c r="B307" s="3"/>
      <c r="C307" t="s">
        <v>531</v>
      </c>
      <c r="D307" s="5">
        <v>1</v>
      </c>
      <c r="E307" s="9">
        <f t="shared" si="127"/>
        <v>3.6144578313253009</v>
      </c>
      <c r="F307" s="9">
        <f t="shared" si="128"/>
        <v>0.75000000000000011</v>
      </c>
      <c r="G307">
        <v>0</v>
      </c>
      <c r="H307">
        <v>24.096385542168669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3.6144578313253009</v>
      </c>
      <c r="P307">
        <v>0</v>
      </c>
      <c r="Q307">
        <v>72.289156626506013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18</v>
      </c>
      <c r="AK307" t="s">
        <v>1</v>
      </c>
      <c r="AL307" t="s">
        <v>372</v>
      </c>
      <c r="AQ307" s="1">
        <f t="shared" si="124"/>
        <v>99.999999999999986</v>
      </c>
      <c r="AR307" s="1">
        <f t="shared" si="104"/>
        <v>3.614457831325301E-2</v>
      </c>
      <c r="AS307" s="1">
        <f t="shared" si="105"/>
        <v>0</v>
      </c>
      <c r="AT307" s="1">
        <f t="shared" si="106"/>
        <v>0.24096385542168669</v>
      </c>
      <c r="AU307" s="1">
        <f t="shared" si="107"/>
        <v>0.72289156626506013</v>
      </c>
      <c r="AV307" s="1">
        <f t="shared" si="108"/>
        <v>0.18</v>
      </c>
      <c r="AX307" s="1">
        <f t="shared" si="109"/>
        <v>3.0000000000000004</v>
      </c>
      <c r="AY307" s="1">
        <f t="shared" si="110"/>
        <v>0.15000000000000002</v>
      </c>
      <c r="AZ307" s="1">
        <f t="shared" si="111"/>
        <v>0.6875</v>
      </c>
      <c r="BA307" s="1">
        <f t="shared" si="112"/>
        <v>1.25</v>
      </c>
      <c r="BB307" s="1">
        <f t="shared" si="113"/>
        <v>0.15000000000000002</v>
      </c>
      <c r="BC307" s="1">
        <f t="shared" si="114"/>
        <v>0.15000000000000002</v>
      </c>
      <c r="BD307" s="1">
        <f t="shared" si="115"/>
        <v>2.9999999999999971E-2</v>
      </c>
      <c r="BF307">
        <f t="shared" si="116"/>
        <v>24.096385542168669</v>
      </c>
      <c r="BG307">
        <f t="shared" si="126"/>
        <v>3.6144578313253009</v>
      </c>
      <c r="BH307" s="1">
        <f t="shared" si="117"/>
        <v>3.0000000000000004</v>
      </c>
      <c r="BI307" s="1">
        <f t="shared" si="118"/>
        <v>0.15000000000000002</v>
      </c>
      <c r="BJ307" s="1">
        <f t="shared" si="119"/>
        <v>0.64700000000000002</v>
      </c>
      <c r="BK307" s="1">
        <f t="shared" si="120"/>
        <v>1.6020000000000003</v>
      </c>
      <c r="BL307" s="1">
        <f t="shared" si="121"/>
        <v>0.15000000000000002</v>
      </c>
      <c r="BM307" s="1">
        <f t="shared" si="122"/>
        <v>0.15000000000000002</v>
      </c>
      <c r="BN307" s="1">
        <f t="shared" si="125"/>
        <v>8.9999999999999824E-4</v>
      </c>
      <c r="BO307" s="1">
        <f t="shared" si="123"/>
        <v>5.1820390699986542E-2</v>
      </c>
    </row>
    <row r="308" spans="1:67" x14ac:dyDescent="0.25">
      <c r="A308" s="3"/>
      <c r="B308" s="3"/>
      <c r="C308" t="s">
        <v>532</v>
      </c>
      <c r="D308" s="5">
        <v>1</v>
      </c>
      <c r="E308" s="9">
        <f t="shared" si="127"/>
        <v>5.8823529411764701</v>
      </c>
      <c r="F308" s="9">
        <f t="shared" si="128"/>
        <v>0.75</v>
      </c>
      <c r="G308">
        <v>0</v>
      </c>
      <c r="H308">
        <v>23.52941176470588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5.8823529411764701</v>
      </c>
      <c r="P308">
        <v>0</v>
      </c>
      <c r="Q308">
        <v>70.588235294117652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28</v>
      </c>
      <c r="AK308" t="s">
        <v>1</v>
      </c>
      <c r="AL308" t="s">
        <v>372</v>
      </c>
      <c r="AQ308" s="1">
        <f t="shared" si="124"/>
        <v>100</v>
      </c>
      <c r="AR308" s="1">
        <f t="shared" si="104"/>
        <v>5.8823529411764698E-2</v>
      </c>
      <c r="AS308" s="1">
        <f t="shared" si="105"/>
        <v>0</v>
      </c>
      <c r="AT308" s="1">
        <f t="shared" si="106"/>
        <v>0.23529411764705879</v>
      </c>
      <c r="AU308" s="1">
        <f t="shared" si="107"/>
        <v>0.70588235294117652</v>
      </c>
      <c r="AV308" s="1">
        <f t="shared" si="108"/>
        <v>0.28000000000000003</v>
      </c>
      <c r="AX308" s="1">
        <f t="shared" si="109"/>
        <v>3.0000000000000004</v>
      </c>
      <c r="AY308" s="1">
        <f t="shared" si="110"/>
        <v>0.25</v>
      </c>
      <c r="AZ308" s="1">
        <f t="shared" si="111"/>
        <v>0.6875</v>
      </c>
      <c r="BA308" s="1">
        <f t="shared" si="112"/>
        <v>1.25</v>
      </c>
      <c r="BB308" s="1">
        <f t="shared" si="113"/>
        <v>0.25</v>
      </c>
      <c r="BC308" s="1">
        <f t="shared" si="114"/>
        <v>0.25</v>
      </c>
      <c r="BD308" s="1">
        <f t="shared" si="115"/>
        <v>3.0000000000000027E-2</v>
      </c>
      <c r="BF308">
        <f t="shared" si="116"/>
        <v>23.52941176470588</v>
      </c>
      <c r="BG308">
        <f t="shared" si="126"/>
        <v>5.8823529411764701</v>
      </c>
      <c r="BH308" s="1">
        <f t="shared" si="117"/>
        <v>3.0000000000000004</v>
      </c>
      <c r="BI308" s="1">
        <f t="shared" si="118"/>
        <v>0.25</v>
      </c>
      <c r="BJ308" s="1">
        <f t="shared" si="119"/>
        <v>0.64700000000000002</v>
      </c>
      <c r="BK308" s="1">
        <f t="shared" si="120"/>
        <v>1.6020000000000003</v>
      </c>
      <c r="BL308" s="1">
        <f t="shared" si="121"/>
        <v>0.25</v>
      </c>
      <c r="BM308" s="1">
        <f t="shared" si="122"/>
        <v>0.25</v>
      </c>
      <c r="BN308" s="1">
        <f t="shared" si="125"/>
        <v>9.000000000000016E-4</v>
      </c>
      <c r="BO308" s="1">
        <f t="shared" si="123"/>
        <v>1.6292205715304115E-2</v>
      </c>
    </row>
    <row r="309" spans="1:67" x14ac:dyDescent="0.25">
      <c r="A309" s="3"/>
      <c r="B309" s="3"/>
      <c r="C309" t="s">
        <v>533</v>
      </c>
      <c r="D309" s="5">
        <v>1</v>
      </c>
      <c r="E309" s="9">
        <f t="shared" si="127"/>
        <v>8.6549440511532314</v>
      </c>
      <c r="F309" s="9">
        <f t="shared" si="128"/>
        <v>0.75</v>
      </c>
      <c r="G309">
        <v>0</v>
      </c>
      <c r="H309">
        <v>22.836263987211691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8.6549440511532314</v>
      </c>
      <c r="P309">
        <v>0</v>
      </c>
      <c r="Q309">
        <v>68.508791961635083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37</v>
      </c>
      <c r="AK309" t="s">
        <v>1</v>
      </c>
      <c r="AL309" t="s">
        <v>372</v>
      </c>
      <c r="AQ309" s="1">
        <f t="shared" si="124"/>
        <v>100</v>
      </c>
      <c r="AR309" s="1">
        <f t="shared" si="104"/>
        <v>8.6549440511532308E-2</v>
      </c>
      <c r="AS309" s="1">
        <f t="shared" si="105"/>
        <v>0</v>
      </c>
      <c r="AT309" s="1">
        <f t="shared" si="106"/>
        <v>0.22836263987211691</v>
      </c>
      <c r="AU309" s="1">
        <f t="shared" si="107"/>
        <v>0.68508791961635085</v>
      </c>
      <c r="AV309" s="1">
        <f t="shared" si="108"/>
        <v>0.37</v>
      </c>
      <c r="AX309" s="1">
        <f t="shared" si="109"/>
        <v>3.0000000000000004</v>
      </c>
      <c r="AY309" s="1">
        <f t="shared" si="110"/>
        <v>0.379</v>
      </c>
      <c r="AZ309" s="1">
        <f t="shared" si="111"/>
        <v>0.6875</v>
      </c>
      <c r="BA309" s="1">
        <f t="shared" si="112"/>
        <v>1.25</v>
      </c>
      <c r="BB309" s="1">
        <f t="shared" si="113"/>
        <v>0.379</v>
      </c>
      <c r="BC309" s="1">
        <f t="shared" si="114"/>
        <v>0.379</v>
      </c>
      <c r="BD309" s="1">
        <f t="shared" si="115"/>
        <v>9.000000000000008E-3</v>
      </c>
      <c r="BF309">
        <f t="shared" si="116"/>
        <v>22.836263987211691</v>
      </c>
      <c r="BG309">
        <f t="shared" si="126"/>
        <v>8.6549440511532314</v>
      </c>
      <c r="BH309" s="1">
        <f t="shared" si="117"/>
        <v>3.0000000000000004</v>
      </c>
      <c r="BI309" s="1">
        <f t="shared" si="118"/>
        <v>0.379</v>
      </c>
      <c r="BJ309" s="1">
        <f t="shared" si="119"/>
        <v>0.64700000000000002</v>
      </c>
      <c r="BK309" s="1">
        <f t="shared" si="120"/>
        <v>1.6020000000000003</v>
      </c>
      <c r="BL309" s="1">
        <f t="shared" si="121"/>
        <v>0.379</v>
      </c>
      <c r="BM309" s="1">
        <f t="shared" si="122"/>
        <v>0.379</v>
      </c>
      <c r="BN309" s="1">
        <f t="shared" si="125"/>
        <v>8.1000000000000139E-5</v>
      </c>
      <c r="BO309" s="1">
        <f t="shared" si="123"/>
        <v>1.4168392290899454E-3</v>
      </c>
    </row>
    <row r="310" spans="1:67" x14ac:dyDescent="0.25">
      <c r="A310" s="3"/>
      <c r="B310" s="3"/>
      <c r="C310" t="s">
        <v>534</v>
      </c>
      <c r="D310" s="5">
        <v>1</v>
      </c>
      <c r="E310" s="9">
        <f t="shared" si="127"/>
        <v>11.111111111111111</v>
      </c>
      <c r="F310" s="9">
        <f t="shared" si="128"/>
        <v>0.74999999999999989</v>
      </c>
      <c r="G310">
        <v>0</v>
      </c>
      <c r="H310">
        <v>22.222222222222221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11.111111111111111</v>
      </c>
      <c r="P310">
        <v>0</v>
      </c>
      <c r="Q310">
        <v>66.666666666666657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50</v>
      </c>
      <c r="AK310" t="s">
        <v>1</v>
      </c>
      <c r="AL310" t="s">
        <v>372</v>
      </c>
      <c r="AQ310" s="1">
        <f t="shared" si="124"/>
        <v>99.999999999999986</v>
      </c>
      <c r="AR310" s="1">
        <f t="shared" si="104"/>
        <v>0.1111111111111111</v>
      </c>
      <c r="AS310" s="1">
        <f t="shared" si="105"/>
        <v>0</v>
      </c>
      <c r="AT310" s="1">
        <f t="shared" si="106"/>
        <v>0.22222222222222221</v>
      </c>
      <c r="AU310" s="1">
        <f t="shared" si="107"/>
        <v>0.66666666666666652</v>
      </c>
      <c r="AV310" s="1">
        <f t="shared" si="108"/>
        <v>0.5</v>
      </c>
      <c r="AX310" s="1">
        <f t="shared" si="109"/>
        <v>2.9999999999999996</v>
      </c>
      <c r="AY310" s="1">
        <f t="shared" si="110"/>
        <v>0.5</v>
      </c>
      <c r="AZ310" s="1">
        <f t="shared" si="111"/>
        <v>0.6875</v>
      </c>
      <c r="BA310" s="1">
        <f t="shared" si="112"/>
        <v>1.25</v>
      </c>
      <c r="BB310" s="1">
        <f t="shared" si="113"/>
        <v>0.5</v>
      </c>
      <c r="BC310" s="1">
        <f t="shared" si="114"/>
        <v>0.5</v>
      </c>
      <c r="BD310" s="1">
        <f t="shared" si="115"/>
        <v>0</v>
      </c>
      <c r="BF310">
        <f t="shared" si="116"/>
        <v>22.222222222222221</v>
      </c>
      <c r="BG310">
        <f t="shared" si="126"/>
        <v>11.111111111111111</v>
      </c>
      <c r="BH310" s="1">
        <f t="shared" si="117"/>
        <v>2.9999999999999996</v>
      </c>
      <c r="BI310" s="1">
        <f t="shared" si="118"/>
        <v>0.5</v>
      </c>
      <c r="BJ310" s="1">
        <f t="shared" si="119"/>
        <v>0.64699999999999991</v>
      </c>
      <c r="BK310" s="1">
        <f t="shared" si="120"/>
        <v>1.6019999999999999</v>
      </c>
      <c r="BL310" s="1">
        <f t="shared" si="121"/>
        <v>0.5</v>
      </c>
      <c r="BM310" s="1">
        <f t="shared" si="122"/>
        <v>0.5</v>
      </c>
      <c r="BN310" s="1">
        <f t="shared" si="125"/>
        <v>0</v>
      </c>
      <c r="BO310" s="1">
        <f t="shared" si="123"/>
        <v>8.5301987490028035E-3</v>
      </c>
    </row>
    <row r="311" spans="1:67" x14ac:dyDescent="0.25">
      <c r="A311" s="3"/>
      <c r="B311" s="3"/>
      <c r="C311" t="s">
        <v>535</v>
      </c>
      <c r="D311" s="5">
        <v>1</v>
      </c>
      <c r="E311" s="9">
        <f t="shared" si="127"/>
        <v>11.99119911991199</v>
      </c>
      <c r="F311" s="9">
        <f t="shared" si="128"/>
        <v>0.75</v>
      </c>
      <c r="G311">
        <v>0</v>
      </c>
      <c r="H311">
        <v>22.002200220022001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11.99119911991199</v>
      </c>
      <c r="P311">
        <v>0</v>
      </c>
      <c r="Q311">
        <v>66.006600660065999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51</v>
      </c>
      <c r="AK311" t="s">
        <v>1</v>
      </c>
      <c r="AL311" t="s">
        <v>372</v>
      </c>
      <c r="AQ311" s="1">
        <f t="shared" si="124"/>
        <v>99.999999999999986</v>
      </c>
      <c r="AR311" s="1">
        <f t="shared" si="104"/>
        <v>0.1199119911991199</v>
      </c>
      <c r="AS311" s="1">
        <f t="shared" si="105"/>
        <v>0</v>
      </c>
      <c r="AT311" s="1">
        <f t="shared" si="106"/>
        <v>0.22002200220022</v>
      </c>
      <c r="AU311" s="1">
        <f t="shared" si="107"/>
        <v>0.66006600660065995</v>
      </c>
      <c r="AV311" s="1">
        <f t="shared" si="108"/>
        <v>0.51</v>
      </c>
      <c r="AX311" s="1">
        <f t="shared" si="109"/>
        <v>2.9999999999999996</v>
      </c>
      <c r="AY311" s="1">
        <f t="shared" si="110"/>
        <v>0.54499999999999993</v>
      </c>
      <c r="AZ311" s="1">
        <f t="shared" si="111"/>
        <v>0.6875</v>
      </c>
      <c r="BA311" s="1">
        <f t="shared" si="112"/>
        <v>1.25</v>
      </c>
      <c r="BB311" s="1">
        <f t="shared" si="113"/>
        <v>0.54499999999999993</v>
      </c>
      <c r="BC311" s="1">
        <f t="shared" si="114"/>
        <v>0.54499999999999993</v>
      </c>
      <c r="BD311" s="1">
        <f t="shared" si="115"/>
        <v>3.499999999999992E-2</v>
      </c>
      <c r="BF311">
        <f t="shared" si="116"/>
        <v>22.002200220022001</v>
      </c>
      <c r="BG311">
        <f t="shared" si="126"/>
        <v>11.99119911991199</v>
      </c>
      <c r="BH311" s="1">
        <f t="shared" si="117"/>
        <v>3</v>
      </c>
      <c r="BI311" s="1">
        <f t="shared" si="118"/>
        <v>0.54499999999999993</v>
      </c>
      <c r="BJ311" s="1">
        <f t="shared" si="119"/>
        <v>0.64700000000000002</v>
      </c>
      <c r="BK311" s="1">
        <f t="shared" si="120"/>
        <v>1.6020000000000001</v>
      </c>
      <c r="BL311" s="1">
        <f t="shared" si="121"/>
        <v>0.54499999999999993</v>
      </c>
      <c r="BM311" s="1">
        <f t="shared" si="122"/>
        <v>0.54499999999999993</v>
      </c>
      <c r="BN311" s="1">
        <f t="shared" si="125"/>
        <v>1.2249999999999943E-3</v>
      </c>
      <c r="BO311" s="1">
        <f t="shared" si="123"/>
        <v>1.0477380250534563E-2</v>
      </c>
    </row>
    <row r="312" spans="1:67" x14ac:dyDescent="0.25">
      <c r="A312" s="3"/>
      <c r="B312" s="3"/>
      <c r="C312" t="s">
        <v>536</v>
      </c>
      <c r="D312" s="5">
        <v>1</v>
      </c>
      <c r="E312" s="9">
        <f t="shared" si="127"/>
        <v>15.789473684210529</v>
      </c>
      <c r="F312" s="9">
        <f t="shared" si="128"/>
        <v>0.74999999999999989</v>
      </c>
      <c r="G312">
        <v>0</v>
      </c>
      <c r="H312">
        <v>21.05263157894737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15.789473684210529</v>
      </c>
      <c r="P312">
        <v>0</v>
      </c>
      <c r="Q312">
        <v>63.157894736842103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61</v>
      </c>
      <c r="AK312" t="s">
        <v>1</v>
      </c>
      <c r="AL312" t="s">
        <v>372</v>
      </c>
      <c r="AQ312" s="1">
        <f t="shared" si="124"/>
        <v>100</v>
      </c>
      <c r="AR312" s="1">
        <f t="shared" si="104"/>
        <v>0.15789473684210528</v>
      </c>
      <c r="AS312" s="1">
        <f t="shared" si="105"/>
        <v>0</v>
      </c>
      <c r="AT312" s="1">
        <f t="shared" si="106"/>
        <v>0.2105263157894737</v>
      </c>
      <c r="AU312" s="1">
        <f t="shared" si="107"/>
        <v>0.63157894736842102</v>
      </c>
      <c r="AV312" s="1">
        <f t="shared" si="108"/>
        <v>0.61</v>
      </c>
      <c r="AX312" s="1">
        <f t="shared" si="109"/>
        <v>2.9999999999999996</v>
      </c>
      <c r="AY312" s="1">
        <f t="shared" si="110"/>
        <v>0.75</v>
      </c>
      <c r="AZ312" s="1">
        <f t="shared" si="111"/>
        <v>0.6875</v>
      </c>
      <c r="BA312" s="1">
        <f t="shared" si="112"/>
        <v>1.25</v>
      </c>
      <c r="BB312" s="1">
        <f t="shared" si="113"/>
        <v>0.6875</v>
      </c>
      <c r="BC312" s="1">
        <f t="shared" si="114"/>
        <v>0.6875</v>
      </c>
      <c r="BD312" s="1">
        <f t="shared" si="115"/>
        <v>7.7500000000000013E-2</v>
      </c>
      <c r="BF312">
        <f t="shared" si="116"/>
        <v>21.05263157894737</v>
      </c>
      <c r="BG312">
        <f t="shared" si="126"/>
        <v>15.789473684210529</v>
      </c>
      <c r="BH312" s="1">
        <f t="shared" si="117"/>
        <v>2.9999999999999996</v>
      </c>
      <c r="BI312" s="1">
        <f t="shared" si="118"/>
        <v>0.75000000000000011</v>
      </c>
      <c r="BJ312" s="1">
        <f t="shared" si="119"/>
        <v>0.64699999999999991</v>
      </c>
      <c r="BK312" s="1">
        <f t="shared" si="120"/>
        <v>1.6019999999999999</v>
      </c>
      <c r="BL312" s="1">
        <f t="shared" si="121"/>
        <v>0.64699999999999991</v>
      </c>
      <c r="BM312" s="1">
        <f t="shared" si="122"/>
        <v>0.64699999999999991</v>
      </c>
      <c r="BN312" s="1">
        <f t="shared" si="125"/>
        <v>1.3689999999999941E-3</v>
      </c>
      <c r="BO312" s="1">
        <f t="shared" si="123"/>
        <v>4.094919526585214E-2</v>
      </c>
    </row>
    <row r="313" spans="1:67" x14ac:dyDescent="0.25">
      <c r="A313" s="3"/>
      <c r="B313" s="3"/>
      <c r="C313" t="s">
        <v>537</v>
      </c>
      <c r="D313" s="5">
        <v>1</v>
      </c>
      <c r="E313" s="9">
        <f t="shared" si="127"/>
        <v>20</v>
      </c>
      <c r="F313" s="9">
        <f t="shared" si="128"/>
        <v>0.75</v>
      </c>
      <c r="G313">
        <v>0</v>
      </c>
      <c r="H313">
        <v>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20</v>
      </c>
      <c r="P313">
        <v>0</v>
      </c>
      <c r="Q313">
        <v>60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67</v>
      </c>
      <c r="AK313" t="s">
        <v>1</v>
      </c>
      <c r="AL313" t="s">
        <v>372</v>
      </c>
      <c r="AQ313" s="1">
        <f t="shared" si="124"/>
        <v>100</v>
      </c>
      <c r="AR313" s="1">
        <f t="shared" si="104"/>
        <v>0.2</v>
      </c>
      <c r="AS313" s="1">
        <f t="shared" si="105"/>
        <v>0</v>
      </c>
      <c r="AT313" s="1">
        <f t="shared" si="106"/>
        <v>0.2</v>
      </c>
      <c r="AU313" s="1">
        <f t="shared" si="107"/>
        <v>0.6</v>
      </c>
      <c r="AV313" s="1">
        <f t="shared" si="108"/>
        <v>0.67</v>
      </c>
      <c r="AX313" s="1">
        <f t="shared" si="109"/>
        <v>2.9999999999999996</v>
      </c>
      <c r="AY313" s="1">
        <f t="shared" si="110"/>
        <v>1</v>
      </c>
      <c r="AZ313" s="1">
        <f t="shared" si="111"/>
        <v>0.6875</v>
      </c>
      <c r="BA313" s="1">
        <f t="shared" si="112"/>
        <v>1.25</v>
      </c>
      <c r="BB313" s="1">
        <f t="shared" si="113"/>
        <v>0.6875</v>
      </c>
      <c r="BC313" s="1">
        <f t="shared" si="114"/>
        <v>0.6875</v>
      </c>
      <c r="BD313" s="1">
        <f t="shared" si="115"/>
        <v>1.749999999999996E-2</v>
      </c>
      <c r="BF313">
        <f t="shared" si="116"/>
        <v>20</v>
      </c>
      <c r="BG313">
        <f t="shared" si="126"/>
        <v>20</v>
      </c>
      <c r="BH313" s="1">
        <f t="shared" si="117"/>
        <v>3</v>
      </c>
      <c r="BI313" s="1">
        <f t="shared" si="118"/>
        <v>1</v>
      </c>
      <c r="BJ313" s="1">
        <f t="shared" si="119"/>
        <v>0.64700000000000002</v>
      </c>
      <c r="BK313" s="1">
        <f t="shared" si="120"/>
        <v>1.6020000000000001</v>
      </c>
      <c r="BL313" s="1">
        <f t="shared" si="121"/>
        <v>0.64700000000000002</v>
      </c>
      <c r="BM313" s="1">
        <f t="shared" si="122"/>
        <v>0.64700000000000002</v>
      </c>
      <c r="BN313" s="1">
        <f t="shared" si="125"/>
        <v>5.2900000000000093E-4</v>
      </c>
      <c r="BO313" s="1">
        <f t="shared" si="123"/>
        <v>6.8832284275042718E-2</v>
      </c>
    </row>
    <row r="314" spans="1:67" x14ac:dyDescent="0.25">
      <c r="A314" s="3"/>
      <c r="B314" s="3"/>
      <c r="C314" t="s">
        <v>538</v>
      </c>
      <c r="D314" s="5">
        <v>1</v>
      </c>
      <c r="E314" s="9">
        <f t="shared" si="127"/>
        <v>23.997719931597949</v>
      </c>
      <c r="F314" s="9">
        <f t="shared" si="128"/>
        <v>0.75</v>
      </c>
      <c r="G314">
        <v>0</v>
      </c>
      <c r="H314">
        <v>19.000570017100511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23.997719931597949</v>
      </c>
      <c r="P314">
        <v>0</v>
      </c>
      <c r="Q314">
        <v>57.001710051301536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69</v>
      </c>
      <c r="AK314" t="s">
        <v>1</v>
      </c>
      <c r="AL314" t="s">
        <v>372</v>
      </c>
      <c r="AQ314" s="1">
        <f t="shared" si="124"/>
        <v>100</v>
      </c>
      <c r="AR314" s="1">
        <f t="shared" si="104"/>
        <v>0.23997719931597949</v>
      </c>
      <c r="AS314" s="1">
        <f t="shared" si="105"/>
        <v>0</v>
      </c>
      <c r="AT314" s="1">
        <f t="shared" si="106"/>
        <v>0.1900057001710051</v>
      </c>
      <c r="AU314" s="1">
        <f t="shared" si="107"/>
        <v>0.57001710051301535</v>
      </c>
      <c r="AV314" s="1">
        <f t="shared" si="108"/>
        <v>0.69</v>
      </c>
      <c r="AX314" s="1">
        <f t="shared" si="109"/>
        <v>3.0000000000000004</v>
      </c>
      <c r="AY314" s="1">
        <f t="shared" si="110"/>
        <v>1.2630000000000003</v>
      </c>
      <c r="AZ314" s="1">
        <f t="shared" si="111"/>
        <v>0.6875</v>
      </c>
      <c r="BA314" s="1">
        <f t="shared" si="112"/>
        <v>1.25</v>
      </c>
      <c r="BB314" s="1">
        <f t="shared" si="113"/>
        <v>0.6851166666666666</v>
      </c>
      <c r="BC314" s="1">
        <f t="shared" si="114"/>
        <v>0.6851166666666666</v>
      </c>
      <c r="BD314" s="1">
        <f t="shared" si="115"/>
        <v>4.8833333333333506E-3</v>
      </c>
      <c r="BF314">
        <f t="shared" si="116"/>
        <v>19.000570017100511</v>
      </c>
      <c r="BG314">
        <f t="shared" si="126"/>
        <v>23.997719931597949</v>
      </c>
      <c r="BH314" s="1">
        <f t="shared" si="117"/>
        <v>3</v>
      </c>
      <c r="BI314" s="1">
        <f t="shared" si="118"/>
        <v>1.2630000000000001</v>
      </c>
      <c r="BJ314" s="1">
        <f t="shared" si="119"/>
        <v>0.64700000000000002</v>
      </c>
      <c r="BK314" s="1">
        <f t="shared" si="120"/>
        <v>1.6020000000000001</v>
      </c>
      <c r="BL314" s="1">
        <f t="shared" si="121"/>
        <v>0.64700000000000002</v>
      </c>
      <c r="BM314" s="1">
        <f t="shared" si="122"/>
        <v>0.64700000000000002</v>
      </c>
      <c r="BN314" s="1">
        <f t="shared" si="125"/>
        <v>1.8489999999999937E-3</v>
      </c>
      <c r="BO314" s="1">
        <f t="shared" si="123"/>
        <v>7.9726647278106175E-2</v>
      </c>
    </row>
    <row r="315" spans="1:67" x14ac:dyDescent="0.25">
      <c r="A315" s="3"/>
      <c r="B315" s="3"/>
      <c r="C315" t="s">
        <v>539</v>
      </c>
      <c r="D315" s="5">
        <v>1</v>
      </c>
      <c r="E315" s="9">
        <f t="shared" si="127"/>
        <v>28.57142857142858</v>
      </c>
      <c r="F315" s="9">
        <f t="shared" si="128"/>
        <v>0.75</v>
      </c>
      <c r="G315">
        <v>0</v>
      </c>
      <c r="H315">
        <v>17.857142857142861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28.57142857142858</v>
      </c>
      <c r="P315">
        <v>0</v>
      </c>
      <c r="Q315">
        <v>53.571428571428569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73</v>
      </c>
      <c r="AK315" t="s">
        <v>1</v>
      </c>
      <c r="AL315" t="s">
        <v>372</v>
      </c>
      <c r="AQ315" s="1">
        <f t="shared" si="124"/>
        <v>100.00000000000001</v>
      </c>
      <c r="AR315" s="1">
        <f t="shared" si="104"/>
        <v>0.28571428571428581</v>
      </c>
      <c r="AS315" s="1">
        <f t="shared" si="105"/>
        <v>0</v>
      </c>
      <c r="AT315" s="1">
        <f t="shared" si="106"/>
        <v>0.1785714285714286</v>
      </c>
      <c r="AU315" s="1">
        <f t="shared" si="107"/>
        <v>0.5357142857142857</v>
      </c>
      <c r="AV315" s="1">
        <f t="shared" si="108"/>
        <v>0.73</v>
      </c>
      <c r="AX315" s="1">
        <f t="shared" si="109"/>
        <v>2.9999999999999996</v>
      </c>
      <c r="AY315" s="1">
        <f t="shared" si="110"/>
        <v>1.6000000000000003</v>
      </c>
      <c r="AZ315" s="1">
        <f t="shared" si="111"/>
        <v>0.6875</v>
      </c>
      <c r="BA315" s="1">
        <f t="shared" si="112"/>
        <v>1.25</v>
      </c>
      <c r="BB315" s="1">
        <f t="shared" si="113"/>
        <v>0.62333333333333329</v>
      </c>
      <c r="BC315" s="1">
        <f t="shared" si="114"/>
        <v>0.62333333333333329</v>
      </c>
      <c r="BD315" s="1">
        <f t="shared" si="115"/>
        <v>0.10666666666666669</v>
      </c>
      <c r="BF315">
        <f t="shared" si="116"/>
        <v>17.857142857142861</v>
      </c>
      <c r="BG315">
        <f t="shared" si="126"/>
        <v>28.57142857142858</v>
      </c>
      <c r="BH315" s="1">
        <f t="shared" si="117"/>
        <v>2.9999999999999991</v>
      </c>
      <c r="BI315" s="1">
        <f t="shared" si="118"/>
        <v>1.6</v>
      </c>
      <c r="BJ315" s="1">
        <f t="shared" si="119"/>
        <v>0.64699999999999991</v>
      </c>
      <c r="BK315" s="1">
        <f t="shared" si="120"/>
        <v>1.6019999999999996</v>
      </c>
      <c r="BL315" s="1">
        <f t="shared" si="121"/>
        <v>0.64699999999999991</v>
      </c>
      <c r="BM315" s="1">
        <f t="shared" si="122"/>
        <v>0.64699999999999991</v>
      </c>
      <c r="BN315" s="1">
        <f t="shared" si="125"/>
        <v>6.8890000000000123E-3</v>
      </c>
      <c r="BO315" s="1">
        <f t="shared" si="123"/>
        <v>0.10391537328423324</v>
      </c>
    </row>
    <row r="316" spans="1:67" x14ac:dyDescent="0.25">
      <c r="A316" s="3"/>
      <c r="B316" s="3"/>
      <c r="C316" t="s">
        <v>540</v>
      </c>
      <c r="D316" s="5">
        <v>1</v>
      </c>
      <c r="E316" s="9">
        <f t="shared" si="127"/>
        <v>29.82456140350877</v>
      </c>
      <c r="F316" s="9">
        <f t="shared" si="128"/>
        <v>0.75</v>
      </c>
      <c r="G316">
        <v>0</v>
      </c>
      <c r="H316">
        <v>17.543859649122801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29.82456140350877</v>
      </c>
      <c r="P316">
        <v>0</v>
      </c>
      <c r="Q316">
        <v>52.631578947368418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71</v>
      </c>
      <c r="AK316" t="s">
        <v>1</v>
      </c>
      <c r="AL316" t="s">
        <v>372</v>
      </c>
      <c r="AQ316" s="1">
        <f t="shared" si="124"/>
        <v>100</v>
      </c>
      <c r="AR316" s="1">
        <f t="shared" si="104"/>
        <v>0.2982456140350877</v>
      </c>
      <c r="AS316" s="1">
        <f t="shared" si="105"/>
        <v>0</v>
      </c>
      <c r="AT316" s="1">
        <f t="shared" si="106"/>
        <v>0.175438596491228</v>
      </c>
      <c r="AU316" s="1">
        <f t="shared" si="107"/>
        <v>0.52631578947368418</v>
      </c>
      <c r="AV316" s="1">
        <f t="shared" si="108"/>
        <v>0.71</v>
      </c>
      <c r="AX316" s="1">
        <f t="shared" si="109"/>
        <v>3.0000000000000009</v>
      </c>
      <c r="AY316" s="1">
        <f t="shared" si="110"/>
        <v>1.7000000000000006</v>
      </c>
      <c r="AZ316" s="1">
        <f t="shared" si="111"/>
        <v>0.6875</v>
      </c>
      <c r="BA316" s="1">
        <f t="shared" si="112"/>
        <v>1.2500000000000002</v>
      </c>
      <c r="BB316" s="1">
        <f t="shared" si="113"/>
        <v>0.60499999999999998</v>
      </c>
      <c r="BC316" s="1">
        <f t="shared" si="114"/>
        <v>0.60499999999999998</v>
      </c>
      <c r="BD316" s="1">
        <f t="shared" si="115"/>
        <v>0.10499999999999998</v>
      </c>
      <c r="BF316">
        <f t="shared" si="116"/>
        <v>17.543859649122801</v>
      </c>
      <c r="BG316">
        <f t="shared" si="126"/>
        <v>29.82456140350877</v>
      </c>
      <c r="BH316" s="1">
        <f t="shared" si="117"/>
        <v>3.0000000000000009</v>
      </c>
      <c r="BI316" s="1">
        <f t="shared" si="118"/>
        <v>1.7000000000000004</v>
      </c>
      <c r="BJ316" s="1">
        <f t="shared" si="119"/>
        <v>0.64700000000000002</v>
      </c>
      <c r="BK316" s="1">
        <f t="shared" si="120"/>
        <v>1.6020000000000005</v>
      </c>
      <c r="BL316" s="1">
        <f t="shared" si="121"/>
        <v>0.62903333333333333</v>
      </c>
      <c r="BM316" s="1">
        <f t="shared" si="122"/>
        <v>0.62903333333333333</v>
      </c>
      <c r="BN316" s="1">
        <f t="shared" si="125"/>
        <v>6.555601111111105E-3</v>
      </c>
      <c r="BO316" s="1">
        <f t="shared" si="123"/>
        <v>9.142101028116971E-2</v>
      </c>
    </row>
    <row r="317" spans="1:67" x14ac:dyDescent="0.25">
      <c r="A317" s="3"/>
      <c r="B317" s="3"/>
      <c r="C317" t="s">
        <v>541</v>
      </c>
      <c r="D317" s="5">
        <v>1</v>
      </c>
      <c r="E317" s="9">
        <f t="shared" si="127"/>
        <v>36</v>
      </c>
      <c r="F317" s="9">
        <f t="shared" si="128"/>
        <v>0.75</v>
      </c>
      <c r="G317">
        <v>0</v>
      </c>
      <c r="H317">
        <v>16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36</v>
      </c>
      <c r="P317">
        <v>0</v>
      </c>
      <c r="Q317">
        <v>48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66</v>
      </c>
      <c r="AK317" t="s">
        <v>1</v>
      </c>
      <c r="AL317" t="s">
        <v>372</v>
      </c>
      <c r="AQ317" s="1">
        <f t="shared" si="124"/>
        <v>100</v>
      </c>
      <c r="AR317" s="1">
        <f t="shared" si="104"/>
        <v>0.36</v>
      </c>
      <c r="AS317" s="1">
        <f t="shared" si="105"/>
        <v>0</v>
      </c>
      <c r="AT317" s="1">
        <f t="shared" si="106"/>
        <v>0.16</v>
      </c>
      <c r="AU317" s="1">
        <f t="shared" si="107"/>
        <v>0.48</v>
      </c>
      <c r="AV317" s="1">
        <f t="shared" si="108"/>
        <v>0.66</v>
      </c>
      <c r="AX317" s="1">
        <f t="shared" si="109"/>
        <v>3</v>
      </c>
      <c r="AY317" s="1">
        <f t="shared" si="110"/>
        <v>2.25</v>
      </c>
      <c r="AZ317" s="1">
        <f t="shared" si="111"/>
        <v>0.6875</v>
      </c>
      <c r="BA317" s="1">
        <f t="shared" si="112"/>
        <v>1.25</v>
      </c>
      <c r="BB317" s="1">
        <f t="shared" si="113"/>
        <v>0.50416666666666665</v>
      </c>
      <c r="BC317" s="1">
        <f t="shared" si="114"/>
        <v>0.50416666666666665</v>
      </c>
      <c r="BD317" s="1">
        <f t="shared" si="115"/>
        <v>0.15583333333333338</v>
      </c>
      <c r="BF317">
        <f t="shared" si="116"/>
        <v>16</v>
      </c>
      <c r="BG317">
        <f t="shared" si="126"/>
        <v>36</v>
      </c>
      <c r="BH317" s="1">
        <f t="shared" si="117"/>
        <v>3</v>
      </c>
      <c r="BI317" s="1">
        <f t="shared" si="118"/>
        <v>2.25</v>
      </c>
      <c r="BJ317" s="1">
        <f t="shared" si="119"/>
        <v>0.64700000000000002</v>
      </c>
      <c r="BK317" s="1">
        <f t="shared" si="120"/>
        <v>1.6020000000000001</v>
      </c>
      <c r="BL317" s="1">
        <f t="shared" si="121"/>
        <v>0.5282</v>
      </c>
      <c r="BM317" s="1">
        <f t="shared" si="122"/>
        <v>0.5282</v>
      </c>
      <c r="BN317" s="1">
        <f t="shared" si="125"/>
        <v>1.7371240000000007E-2</v>
      </c>
      <c r="BO317" s="1">
        <f t="shared" si="123"/>
        <v>6.3685102773510957E-2</v>
      </c>
    </row>
    <row r="318" spans="1:67" x14ac:dyDescent="0.25">
      <c r="A318" s="3"/>
      <c r="B318" s="3"/>
      <c r="C318" t="s">
        <v>542</v>
      </c>
      <c r="D318" s="5">
        <v>1</v>
      </c>
      <c r="E318" s="9">
        <f t="shared" si="127"/>
        <v>6.2441402587661727</v>
      </c>
      <c r="F318" s="9">
        <f t="shared" si="128"/>
        <v>0.8</v>
      </c>
      <c r="G318">
        <v>0</v>
      </c>
      <c r="H318">
        <v>18.75117194824676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6.2441402587661727</v>
      </c>
      <c r="P318">
        <v>0</v>
      </c>
      <c r="Q318">
        <v>75.004687792987056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37</v>
      </c>
      <c r="AK318" t="s">
        <v>1</v>
      </c>
      <c r="AL318" t="s">
        <v>372</v>
      </c>
      <c r="AQ318" s="1">
        <f t="shared" si="124"/>
        <v>99.999999999999986</v>
      </c>
      <c r="AR318" s="1">
        <f t="shared" si="104"/>
        <v>6.2441402587661725E-2</v>
      </c>
      <c r="AS318" s="1">
        <f t="shared" si="105"/>
        <v>0</v>
      </c>
      <c r="AT318" s="1">
        <f t="shared" si="106"/>
        <v>0.18751171948246761</v>
      </c>
      <c r="AU318" s="1">
        <f t="shared" si="107"/>
        <v>0.75004687792987057</v>
      </c>
      <c r="AV318" s="1">
        <f t="shared" si="108"/>
        <v>0.37</v>
      </c>
      <c r="AX318" s="1">
        <f t="shared" si="109"/>
        <v>4.0000000000000009</v>
      </c>
      <c r="AY318" s="1">
        <f t="shared" si="110"/>
        <v>0.33300000000000007</v>
      </c>
      <c r="AZ318" s="1">
        <f t="shared" si="111"/>
        <v>0.75</v>
      </c>
      <c r="BA318" s="1">
        <f t="shared" si="112"/>
        <v>1.5000000000000002</v>
      </c>
      <c r="BB318" s="1">
        <f t="shared" si="113"/>
        <v>0.33300000000000007</v>
      </c>
      <c r="BC318" s="1">
        <f t="shared" si="114"/>
        <v>0.33300000000000007</v>
      </c>
      <c r="BD318" s="1">
        <f t="shared" si="115"/>
        <v>3.6999999999999922E-2</v>
      </c>
      <c r="BF318">
        <f t="shared" si="116"/>
        <v>18.75117194824676</v>
      </c>
      <c r="BG318">
        <f t="shared" si="126"/>
        <v>6.2441402587661727</v>
      </c>
      <c r="BH318" s="1">
        <f t="shared" si="117"/>
        <v>4.0000000000000009</v>
      </c>
      <c r="BI318" s="1">
        <f t="shared" si="118"/>
        <v>0.33300000000000007</v>
      </c>
      <c r="BJ318" s="1">
        <f t="shared" si="119"/>
        <v>0.66599999999999993</v>
      </c>
      <c r="BK318" s="1">
        <f t="shared" si="120"/>
        <v>2.1040000000000005</v>
      </c>
      <c r="BL318" s="1">
        <f t="shared" si="121"/>
        <v>0.33300000000000007</v>
      </c>
      <c r="BM318" s="1">
        <f t="shared" si="122"/>
        <v>0.33300000000000007</v>
      </c>
      <c r="BN318" s="1">
        <f t="shared" si="125"/>
        <v>1.3689999999999941E-3</v>
      </c>
      <c r="BO318" s="1">
        <f t="shared" si="123"/>
        <v>1.4168392290899454E-3</v>
      </c>
    </row>
    <row r="319" spans="1:67" x14ac:dyDescent="0.25">
      <c r="A319" s="3"/>
      <c r="B319" s="3"/>
      <c r="C319" t="s">
        <v>543</v>
      </c>
      <c r="D319" s="5">
        <v>1</v>
      </c>
      <c r="E319" s="9">
        <f t="shared" si="127"/>
        <v>12.49562478123906</v>
      </c>
      <c r="F319" s="9">
        <f t="shared" si="128"/>
        <v>0.8</v>
      </c>
      <c r="G319">
        <v>0</v>
      </c>
      <c r="H319">
        <v>17.500875043752188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12.49562478123906</v>
      </c>
      <c r="P319">
        <v>0</v>
      </c>
      <c r="Q319">
        <v>70.003500175008753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68</v>
      </c>
      <c r="AK319" t="s">
        <v>1</v>
      </c>
      <c r="AL319" t="s">
        <v>372</v>
      </c>
      <c r="AQ319" s="1">
        <f t="shared" si="124"/>
        <v>100</v>
      </c>
      <c r="AR319" s="1">
        <f t="shared" si="104"/>
        <v>0.12495624781239061</v>
      </c>
      <c r="AS319" s="1">
        <f t="shared" si="105"/>
        <v>0</v>
      </c>
      <c r="AT319" s="1">
        <f t="shared" si="106"/>
        <v>0.17500875043752187</v>
      </c>
      <c r="AU319" s="1">
        <f t="shared" si="107"/>
        <v>0.70003500175008748</v>
      </c>
      <c r="AV319" s="1">
        <f t="shared" si="108"/>
        <v>0.68</v>
      </c>
      <c r="AX319" s="1">
        <f t="shared" si="109"/>
        <v>4</v>
      </c>
      <c r="AY319" s="1">
        <f t="shared" si="110"/>
        <v>0.71399999999999997</v>
      </c>
      <c r="AZ319" s="1">
        <f t="shared" si="111"/>
        <v>0.75</v>
      </c>
      <c r="BA319" s="1">
        <f t="shared" si="112"/>
        <v>1.5</v>
      </c>
      <c r="BB319" s="1">
        <f t="shared" si="113"/>
        <v>0.71399999999999997</v>
      </c>
      <c r="BC319" s="1">
        <f t="shared" si="114"/>
        <v>0.71399999999999997</v>
      </c>
      <c r="BD319" s="1">
        <f t="shared" si="115"/>
        <v>3.3999999999999919E-2</v>
      </c>
      <c r="BF319">
        <f t="shared" si="116"/>
        <v>17.500875043752188</v>
      </c>
      <c r="BG319">
        <f t="shared" si="126"/>
        <v>12.49562478123906</v>
      </c>
      <c r="BH319" s="1">
        <f t="shared" si="117"/>
        <v>4</v>
      </c>
      <c r="BI319" s="1">
        <f t="shared" si="118"/>
        <v>0.71399999999999986</v>
      </c>
      <c r="BJ319" s="1">
        <f t="shared" si="119"/>
        <v>0.66599999999999993</v>
      </c>
      <c r="BK319" s="1">
        <f t="shared" si="120"/>
        <v>2.1040000000000001</v>
      </c>
      <c r="BL319" s="1">
        <f t="shared" si="121"/>
        <v>0.66599999999999993</v>
      </c>
      <c r="BM319" s="1">
        <f t="shared" si="122"/>
        <v>0.66599999999999993</v>
      </c>
      <c r="BN319" s="1">
        <f t="shared" si="125"/>
        <v>1.9600000000000346E-4</v>
      </c>
      <c r="BO319" s="1">
        <f t="shared" si="123"/>
        <v>7.4179465776574485E-2</v>
      </c>
    </row>
    <row r="320" spans="1:67" x14ac:dyDescent="0.25">
      <c r="A320" s="3"/>
      <c r="B320" s="3"/>
      <c r="C320" t="s">
        <v>544</v>
      </c>
      <c r="D320" s="5">
        <v>1</v>
      </c>
      <c r="E320" s="9">
        <f t="shared" si="127"/>
        <v>16.666666666666661</v>
      </c>
      <c r="F320" s="9">
        <f t="shared" si="128"/>
        <v>0.8</v>
      </c>
      <c r="G320">
        <v>0</v>
      </c>
      <c r="H320">
        <v>16.666666666666661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16.666666666666661</v>
      </c>
      <c r="P320">
        <v>0</v>
      </c>
      <c r="Q320">
        <v>66.666666666666657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71</v>
      </c>
      <c r="AK320" t="s">
        <v>1</v>
      </c>
      <c r="AL320" t="s">
        <v>372</v>
      </c>
      <c r="AQ320" s="1">
        <f t="shared" si="124"/>
        <v>99.999999999999972</v>
      </c>
      <c r="AR320" s="1">
        <f t="shared" si="104"/>
        <v>0.1666666666666666</v>
      </c>
      <c r="AS320" s="1">
        <f t="shared" si="105"/>
        <v>0</v>
      </c>
      <c r="AT320" s="1">
        <f t="shared" si="106"/>
        <v>0.1666666666666666</v>
      </c>
      <c r="AU320" s="1">
        <f t="shared" si="107"/>
        <v>0.66666666666666652</v>
      </c>
      <c r="AV320" s="1">
        <f t="shared" si="108"/>
        <v>0.71</v>
      </c>
      <c r="AX320" s="1">
        <f t="shared" si="109"/>
        <v>4.0000000000000009</v>
      </c>
      <c r="AY320" s="1">
        <f t="shared" si="110"/>
        <v>1</v>
      </c>
      <c r="AZ320" s="1">
        <f t="shared" si="111"/>
        <v>0.75</v>
      </c>
      <c r="BA320" s="1">
        <f t="shared" si="112"/>
        <v>1.5000000000000002</v>
      </c>
      <c r="BB320" s="1">
        <f t="shared" si="113"/>
        <v>0.75</v>
      </c>
      <c r="BC320" s="1">
        <f t="shared" si="114"/>
        <v>0.75</v>
      </c>
      <c r="BD320" s="1">
        <f t="shared" si="115"/>
        <v>4.0000000000000036E-2</v>
      </c>
      <c r="BF320">
        <f t="shared" si="116"/>
        <v>16.666666666666661</v>
      </c>
      <c r="BG320">
        <f t="shared" si="126"/>
        <v>16.666666666666661</v>
      </c>
      <c r="BH320" s="1">
        <f t="shared" si="117"/>
        <v>4.0000000000000009</v>
      </c>
      <c r="BI320" s="1">
        <f t="shared" si="118"/>
        <v>1</v>
      </c>
      <c r="BJ320" s="1">
        <f t="shared" si="119"/>
        <v>0.66599999999999993</v>
      </c>
      <c r="BK320" s="1">
        <f t="shared" si="120"/>
        <v>2.1040000000000005</v>
      </c>
      <c r="BL320" s="1">
        <f t="shared" si="121"/>
        <v>0.66599999999999993</v>
      </c>
      <c r="BM320" s="1">
        <f t="shared" si="122"/>
        <v>0.66599999999999993</v>
      </c>
      <c r="BN320" s="1">
        <f t="shared" si="125"/>
        <v>1.9360000000000035E-3</v>
      </c>
      <c r="BO320" s="1">
        <f t="shared" si="123"/>
        <v>9.142101028116971E-2</v>
      </c>
    </row>
    <row r="321" spans="1:67" x14ac:dyDescent="0.25">
      <c r="A321" s="3"/>
      <c r="B321" s="3"/>
      <c r="C321" t="s">
        <v>545</v>
      </c>
      <c r="D321" s="5">
        <v>1</v>
      </c>
      <c r="E321" s="9">
        <f t="shared" si="127"/>
        <v>18.73882658865594</v>
      </c>
      <c r="F321" s="9">
        <f t="shared" si="128"/>
        <v>0.8</v>
      </c>
      <c r="G321">
        <v>0</v>
      </c>
      <c r="H321">
        <v>16.25223468226881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18.73882658865594</v>
      </c>
      <c r="P321">
        <v>0</v>
      </c>
      <c r="Q321">
        <v>65.00893872907524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66</v>
      </c>
      <c r="AK321" t="s">
        <v>1</v>
      </c>
      <c r="AL321" t="s">
        <v>372</v>
      </c>
      <c r="AQ321" s="1">
        <f t="shared" si="124"/>
        <v>99.999999999999986</v>
      </c>
      <c r="AR321" s="1">
        <f t="shared" si="104"/>
        <v>0.18738826588655941</v>
      </c>
      <c r="AS321" s="1">
        <f t="shared" si="105"/>
        <v>0</v>
      </c>
      <c r="AT321" s="1">
        <f t="shared" si="106"/>
        <v>0.1625223468226881</v>
      </c>
      <c r="AU321" s="1">
        <f t="shared" si="107"/>
        <v>0.65008938729075239</v>
      </c>
      <c r="AV321" s="1">
        <f t="shared" si="108"/>
        <v>0.66</v>
      </c>
      <c r="AX321" s="1">
        <f t="shared" si="109"/>
        <v>4</v>
      </c>
      <c r="AY321" s="1">
        <f t="shared" si="110"/>
        <v>1.1530000000000002</v>
      </c>
      <c r="AZ321" s="1">
        <f t="shared" si="111"/>
        <v>0.75</v>
      </c>
      <c r="BA321" s="1">
        <f t="shared" si="112"/>
        <v>1.5</v>
      </c>
      <c r="BB321" s="1">
        <f t="shared" si="113"/>
        <v>0.75</v>
      </c>
      <c r="BC321" s="1">
        <f t="shared" si="114"/>
        <v>0.75</v>
      </c>
      <c r="BD321" s="1">
        <f t="shared" si="115"/>
        <v>8.9999999999999969E-2</v>
      </c>
      <c r="BF321">
        <f t="shared" si="116"/>
        <v>16.25223468226881</v>
      </c>
      <c r="BG321">
        <f t="shared" si="126"/>
        <v>18.73882658865594</v>
      </c>
      <c r="BH321" s="1">
        <f t="shared" si="117"/>
        <v>4</v>
      </c>
      <c r="BI321" s="1">
        <f t="shared" si="118"/>
        <v>1.153</v>
      </c>
      <c r="BJ321" s="1">
        <f t="shared" si="119"/>
        <v>0.66599999999999993</v>
      </c>
      <c r="BK321" s="1">
        <f t="shared" si="120"/>
        <v>2.1040000000000001</v>
      </c>
      <c r="BL321" s="1">
        <f t="shared" si="121"/>
        <v>0.66599999999999993</v>
      </c>
      <c r="BM321" s="1">
        <f t="shared" si="122"/>
        <v>0.66599999999999993</v>
      </c>
      <c r="BN321" s="1">
        <f t="shared" si="125"/>
        <v>3.5999999999998734E-5</v>
      </c>
      <c r="BO321" s="1">
        <f t="shared" si="123"/>
        <v>6.3685102773510957E-2</v>
      </c>
    </row>
    <row r="322" spans="1:67" x14ac:dyDescent="0.25">
      <c r="A322" s="3"/>
      <c r="B322" s="3"/>
      <c r="C322" t="s">
        <v>546</v>
      </c>
      <c r="D322" s="5">
        <v>1</v>
      </c>
      <c r="E322" s="9">
        <f t="shared" si="127"/>
        <v>24.99249924992499</v>
      </c>
      <c r="F322" s="9">
        <f t="shared" si="128"/>
        <v>0.8</v>
      </c>
      <c r="G322">
        <v>0</v>
      </c>
      <c r="H322">
        <v>15.001500150015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24.99249924992499</v>
      </c>
      <c r="P322">
        <v>0</v>
      </c>
      <c r="Q322">
        <v>60.006000600060013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77</v>
      </c>
      <c r="AK322" t="s">
        <v>1</v>
      </c>
      <c r="AL322" t="s">
        <v>372</v>
      </c>
      <c r="AQ322" s="1">
        <f t="shared" si="124"/>
        <v>100</v>
      </c>
      <c r="AR322" s="1">
        <f t="shared" ref="AR322:AR385" si="129">(L322+M322+O322+X322)/100</f>
        <v>0.2499249924992499</v>
      </c>
      <c r="AS322" s="1">
        <f t="shared" ref="AS322:AS385" si="130">G322/100</f>
        <v>0</v>
      </c>
      <c r="AT322" s="1">
        <f t="shared" ref="AT322:AT385" si="131">H322/100</f>
        <v>0.15001500150014999</v>
      </c>
      <c r="AU322" s="1">
        <f t="shared" ref="AU322:AU385" si="132">Q322/100</f>
        <v>0.60006000600060017</v>
      </c>
      <c r="AV322" s="1">
        <f t="shared" ref="AV322:AV385" si="133">AJ322/100</f>
        <v>0.77</v>
      </c>
      <c r="AX322" s="1">
        <f t="shared" ref="AX322:AX385" si="134">AU322/(AT322+AS322)</f>
        <v>4.0000000000000018</v>
      </c>
      <c r="AY322" s="1">
        <f t="shared" ref="AY322:AY385" si="135">AR322/(AS322+AT322)</f>
        <v>1.6660000000000001</v>
      </c>
      <c r="AZ322" s="1">
        <f t="shared" ref="AZ322:AZ385" si="136">0.5+AX322/16</f>
        <v>0.75000000000000011</v>
      </c>
      <c r="BA322" s="1">
        <f t="shared" ref="BA322:BA385" si="137">0.5+AX322/4</f>
        <v>1.5000000000000004</v>
      </c>
      <c r="BB322" s="1">
        <f t="shared" ref="BB322:BB385" si="138">IF(AY322&lt;=AZ322,AY322,IF(AY322&lt;=BA322,AZ322,AZ322-(AY322-BA322)*(8+AX322)/(12*(2+AX322))))</f>
        <v>0.72233333333333349</v>
      </c>
      <c r="BC322" s="1">
        <f t="shared" ref="BC322:BC385" si="139">IF(BB322&lt;1,BB322,1)</f>
        <v>0.72233333333333349</v>
      </c>
      <c r="BD322" s="1">
        <f t="shared" ref="BD322:BD385" si="140">ABS(BC322-AV322)</f>
        <v>4.7666666666666524E-2</v>
      </c>
      <c r="BF322">
        <f t="shared" ref="BF322:BF385" si="141">$BR$3*H322+$BR$4*G322+$BR$5*P322+$BR$6*K322+$BR$7*S322+$BR$8*U322+$BR$9*Y322+$BR$10*J322+$BR$11*AC322+$BR$12*AG322+$BR$13*AH322+$BR$14*R322+$BR$15*AE322</f>
        <v>15.001500150015</v>
      </c>
      <c r="BG322">
        <f t="shared" si="126"/>
        <v>24.99249924992499</v>
      </c>
      <c r="BH322" s="1">
        <f t="shared" ref="BH322:BH385" si="142">(Q322)/BF322</f>
        <v>4.0000000000000009</v>
      </c>
      <c r="BI322" s="1">
        <f t="shared" ref="BI322:BI385" si="143">BG322/BF322</f>
        <v>1.6659999999999999</v>
      </c>
      <c r="BJ322" s="1">
        <f t="shared" ref="BJ322:BJ385" si="144">$BR$32+BH322*$BR$33</f>
        <v>0.66599999999999993</v>
      </c>
      <c r="BK322" s="1">
        <f t="shared" ref="BK322:BK385" si="145">$BR$34+BH322*$BR$35</f>
        <v>2.1040000000000005</v>
      </c>
      <c r="BL322" s="1">
        <f t="shared" ref="BL322:BL385" si="146">IF(BI322&lt;=BJ322,BI322,IF(BI322&lt;=BK322,BJ322,BJ322-(BI322-BK322)*(8+BH322)/(12*(2+BH322))))</f>
        <v>0.66599999999999993</v>
      </c>
      <c r="BM322" s="1">
        <f t="shared" ref="BM322:BM385" si="147">IF(BL322&lt;1,IF(BL322&gt;0,BL322,0),1)</f>
        <v>0.66599999999999993</v>
      </c>
      <c r="BN322" s="1">
        <f t="shared" si="125"/>
        <v>1.081600000000002E-2</v>
      </c>
      <c r="BO322" s="1">
        <f t="shared" ref="BO322:BO385" si="148">(AV322-AVERAGE($AV$2:$AV$638))^2</f>
        <v>0.1313040992903603</v>
      </c>
    </row>
    <row r="323" spans="1:67" x14ac:dyDescent="0.25">
      <c r="A323" s="3"/>
      <c r="B323" s="3"/>
      <c r="C323" t="s">
        <v>547</v>
      </c>
      <c r="D323" s="5">
        <v>1</v>
      </c>
      <c r="E323" s="9">
        <f t="shared" si="127"/>
        <v>31.2242090784044</v>
      </c>
      <c r="F323" s="9">
        <f t="shared" si="128"/>
        <v>0.8</v>
      </c>
      <c r="G323">
        <v>0</v>
      </c>
      <c r="H323">
        <v>13.75515818431912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31.2242090784044</v>
      </c>
      <c r="P323">
        <v>0</v>
      </c>
      <c r="Q323">
        <v>55.020632737276493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76</v>
      </c>
      <c r="AK323" t="s">
        <v>1</v>
      </c>
      <c r="AL323" t="s">
        <v>372</v>
      </c>
      <c r="AQ323" s="1">
        <f t="shared" ref="AQ323:AQ386" si="149">SUM(G323:AI323)</f>
        <v>100.00000000000001</v>
      </c>
      <c r="AR323" s="1">
        <f t="shared" si="129"/>
        <v>0.31224209078404397</v>
      </c>
      <c r="AS323" s="1">
        <f t="shared" si="130"/>
        <v>0</v>
      </c>
      <c r="AT323" s="1">
        <f t="shared" si="131"/>
        <v>0.13755158184319119</v>
      </c>
      <c r="AU323" s="1">
        <f t="shared" si="132"/>
        <v>0.55020632737276498</v>
      </c>
      <c r="AV323" s="1">
        <f t="shared" si="133"/>
        <v>0.76</v>
      </c>
      <c r="AX323" s="1">
        <f t="shared" si="134"/>
        <v>4.0000000000000018</v>
      </c>
      <c r="AY323" s="1">
        <f t="shared" si="135"/>
        <v>2.2699999999999996</v>
      </c>
      <c r="AZ323" s="1">
        <f t="shared" si="136"/>
        <v>0.75000000000000011</v>
      </c>
      <c r="BA323" s="1">
        <f t="shared" si="137"/>
        <v>1.5000000000000004</v>
      </c>
      <c r="BB323" s="1">
        <f t="shared" si="138"/>
        <v>0.62166666666666692</v>
      </c>
      <c r="BC323" s="1">
        <f t="shared" si="139"/>
        <v>0.62166666666666692</v>
      </c>
      <c r="BD323" s="1">
        <f t="shared" si="140"/>
        <v>0.13833333333333309</v>
      </c>
      <c r="BF323">
        <f t="shared" si="141"/>
        <v>13.75515818431912</v>
      </c>
      <c r="BG323">
        <f t="shared" si="126"/>
        <v>31.2242090784044</v>
      </c>
      <c r="BH323" s="1">
        <f t="shared" si="142"/>
        <v>4.0000000000000009</v>
      </c>
      <c r="BI323" s="1">
        <f t="shared" si="143"/>
        <v>2.27</v>
      </c>
      <c r="BJ323" s="1">
        <f t="shared" si="144"/>
        <v>0.66599999999999993</v>
      </c>
      <c r="BK323" s="1">
        <f t="shared" si="145"/>
        <v>2.1040000000000005</v>
      </c>
      <c r="BL323" s="1">
        <f t="shared" si="146"/>
        <v>0.63833333333333331</v>
      </c>
      <c r="BM323" s="1">
        <f t="shared" si="147"/>
        <v>0.63833333333333331</v>
      </c>
      <c r="BN323" s="1">
        <f t="shared" ref="BN323:BN386" si="150">(BM323-AV323)^2</f>
        <v>1.4802777777777786E-2</v>
      </c>
      <c r="BO323" s="1">
        <f t="shared" si="148"/>
        <v>0.12415691778882852</v>
      </c>
    </row>
    <row r="324" spans="1:67" x14ac:dyDescent="0.25">
      <c r="A324" s="3"/>
      <c r="B324" s="3"/>
      <c r="C324" t="s">
        <v>548</v>
      </c>
      <c r="D324" s="5">
        <v>1</v>
      </c>
      <c r="E324" s="9">
        <f t="shared" si="127"/>
        <v>33.862433862433861</v>
      </c>
      <c r="F324" s="9">
        <f t="shared" si="128"/>
        <v>0.79999999999999993</v>
      </c>
      <c r="G324">
        <v>0</v>
      </c>
      <c r="H324">
        <v>13.22751322751323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33.862433862433861</v>
      </c>
      <c r="P324">
        <v>0</v>
      </c>
      <c r="Q324">
        <v>52.910052910052897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73</v>
      </c>
      <c r="AK324" t="s">
        <v>1</v>
      </c>
      <c r="AL324" t="s">
        <v>372</v>
      </c>
      <c r="AQ324" s="1">
        <f t="shared" si="149"/>
        <v>99.999999999999986</v>
      </c>
      <c r="AR324" s="1">
        <f t="shared" si="129"/>
        <v>0.33862433862433861</v>
      </c>
      <c r="AS324" s="1">
        <f t="shared" si="130"/>
        <v>0</v>
      </c>
      <c r="AT324" s="1">
        <f t="shared" si="131"/>
        <v>0.1322751322751323</v>
      </c>
      <c r="AU324" s="1">
        <f t="shared" si="132"/>
        <v>0.52910052910052896</v>
      </c>
      <c r="AV324" s="1">
        <f t="shared" si="133"/>
        <v>0.73</v>
      </c>
      <c r="AX324" s="1">
        <f t="shared" si="134"/>
        <v>3.9999999999999982</v>
      </c>
      <c r="AY324" s="1">
        <f t="shared" si="135"/>
        <v>2.5599999999999996</v>
      </c>
      <c r="AZ324" s="1">
        <f t="shared" si="136"/>
        <v>0.74999999999999989</v>
      </c>
      <c r="BA324" s="1">
        <f t="shared" si="137"/>
        <v>1.4999999999999996</v>
      </c>
      <c r="BB324" s="1">
        <f t="shared" si="138"/>
        <v>0.57333333333333314</v>
      </c>
      <c r="BC324" s="1">
        <f t="shared" si="139"/>
        <v>0.57333333333333314</v>
      </c>
      <c r="BD324" s="1">
        <f t="shared" si="140"/>
        <v>0.15666666666666684</v>
      </c>
      <c r="BF324">
        <f t="shared" si="141"/>
        <v>13.22751322751323</v>
      </c>
      <c r="BG324">
        <f t="shared" si="126"/>
        <v>33.862433862433861</v>
      </c>
      <c r="BH324" s="1">
        <f t="shared" si="142"/>
        <v>3.9999999999999982</v>
      </c>
      <c r="BI324" s="1">
        <f t="shared" si="143"/>
        <v>2.5599999999999996</v>
      </c>
      <c r="BJ324" s="1">
        <f t="shared" si="144"/>
        <v>0.66599999999999993</v>
      </c>
      <c r="BK324" s="1">
        <f t="shared" si="145"/>
        <v>2.1039999999999992</v>
      </c>
      <c r="BL324" s="1">
        <f t="shared" si="146"/>
        <v>0.58999999999999986</v>
      </c>
      <c r="BM324" s="1">
        <f t="shared" si="147"/>
        <v>0.58999999999999986</v>
      </c>
      <c r="BN324" s="1">
        <f t="shared" si="150"/>
        <v>1.9600000000000034E-2</v>
      </c>
      <c r="BO324" s="1">
        <f t="shared" si="148"/>
        <v>0.10391537328423324</v>
      </c>
    </row>
    <row r="325" spans="1:67" x14ac:dyDescent="0.25">
      <c r="A325" s="3"/>
      <c r="B325" s="3"/>
      <c r="C325" t="s">
        <v>549</v>
      </c>
      <c r="D325" s="5">
        <v>1</v>
      </c>
      <c r="E325" s="9">
        <f t="shared" si="127"/>
        <v>37.5</v>
      </c>
      <c r="F325" s="9">
        <f t="shared" si="128"/>
        <v>0.8</v>
      </c>
      <c r="G325">
        <v>0</v>
      </c>
      <c r="H325">
        <v>12.5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37.5</v>
      </c>
      <c r="P325">
        <v>0</v>
      </c>
      <c r="Q325">
        <v>50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68</v>
      </c>
      <c r="AK325" t="s">
        <v>1</v>
      </c>
      <c r="AL325" t="s">
        <v>372</v>
      </c>
      <c r="AQ325" s="1">
        <f t="shared" si="149"/>
        <v>100</v>
      </c>
      <c r="AR325" s="1">
        <f t="shared" si="129"/>
        <v>0.375</v>
      </c>
      <c r="AS325" s="1">
        <f t="shared" si="130"/>
        <v>0</v>
      </c>
      <c r="AT325" s="1">
        <f t="shared" si="131"/>
        <v>0.125</v>
      </c>
      <c r="AU325" s="1">
        <f t="shared" si="132"/>
        <v>0.5</v>
      </c>
      <c r="AV325" s="1">
        <f t="shared" si="133"/>
        <v>0.68</v>
      </c>
      <c r="AX325" s="1">
        <f t="shared" si="134"/>
        <v>4</v>
      </c>
      <c r="AY325" s="1">
        <f t="shared" si="135"/>
        <v>3</v>
      </c>
      <c r="AZ325" s="1">
        <f t="shared" si="136"/>
        <v>0.75</v>
      </c>
      <c r="BA325" s="1">
        <f t="shared" si="137"/>
        <v>1.5</v>
      </c>
      <c r="BB325" s="1">
        <f t="shared" si="138"/>
        <v>0.5</v>
      </c>
      <c r="BC325" s="1">
        <f t="shared" si="139"/>
        <v>0.5</v>
      </c>
      <c r="BD325" s="1">
        <f t="shared" si="140"/>
        <v>0.18000000000000005</v>
      </c>
      <c r="BF325">
        <f t="shared" si="141"/>
        <v>12.5</v>
      </c>
      <c r="BG325">
        <f t="shared" ref="BG325:BG388" si="151">O325+$BR$17*M325+$BR$18*L325+$BR$19*X325+$BR$20*AD325+$BR$21*I325+$BR$22*N325+$BR$23*AB325+$BR$24*V325+$BR$25*T325+$BR$26*AA325+$BR$28*Z325+$BR$29*AF325+$BR$30*W325+$BR$27*AI325</f>
        <v>37.5</v>
      </c>
      <c r="BH325" s="1">
        <f t="shared" si="142"/>
        <v>4</v>
      </c>
      <c r="BI325" s="1">
        <f t="shared" si="143"/>
        <v>3</v>
      </c>
      <c r="BJ325" s="1">
        <f t="shared" si="144"/>
        <v>0.66599999999999993</v>
      </c>
      <c r="BK325" s="1">
        <f t="shared" si="145"/>
        <v>2.1040000000000001</v>
      </c>
      <c r="BL325" s="1">
        <f t="shared" si="146"/>
        <v>0.51666666666666661</v>
      </c>
      <c r="BM325" s="1">
        <f t="shared" si="147"/>
        <v>0.51666666666666661</v>
      </c>
      <c r="BN325" s="1">
        <f t="shared" si="150"/>
        <v>2.6677777777777814E-2</v>
      </c>
      <c r="BO325" s="1">
        <f t="shared" si="148"/>
        <v>7.4179465776574485E-2</v>
      </c>
    </row>
    <row r="326" spans="1:67" x14ac:dyDescent="0.25">
      <c r="A326" s="3"/>
      <c r="B326" s="3"/>
      <c r="C326" t="s">
        <v>550</v>
      </c>
      <c r="D326" s="5">
        <v>1</v>
      </c>
      <c r="E326" s="9">
        <f t="shared" si="127"/>
        <v>43.693693693693703</v>
      </c>
      <c r="F326" s="9">
        <f t="shared" si="128"/>
        <v>0.8</v>
      </c>
      <c r="G326">
        <v>0</v>
      </c>
      <c r="H326">
        <v>11.261261261261261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43.693693693693703</v>
      </c>
      <c r="P326">
        <v>0</v>
      </c>
      <c r="Q326">
        <v>45.04504504504505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56.999999999999993</v>
      </c>
      <c r="AK326" t="s">
        <v>1</v>
      </c>
      <c r="AL326" t="s">
        <v>372</v>
      </c>
      <c r="AQ326" s="1">
        <f t="shared" si="149"/>
        <v>100.00000000000001</v>
      </c>
      <c r="AR326" s="1">
        <f t="shared" si="129"/>
        <v>0.43693693693693703</v>
      </c>
      <c r="AS326" s="1">
        <f t="shared" si="130"/>
        <v>0</v>
      </c>
      <c r="AT326" s="1">
        <f t="shared" si="131"/>
        <v>0.11261261261261261</v>
      </c>
      <c r="AU326" s="1">
        <f t="shared" si="132"/>
        <v>0.45045045045045051</v>
      </c>
      <c r="AV326" s="1">
        <f t="shared" si="133"/>
        <v>0.56999999999999995</v>
      </c>
      <c r="AX326" s="1">
        <f t="shared" si="134"/>
        <v>4.0000000000000009</v>
      </c>
      <c r="AY326" s="1">
        <f t="shared" si="135"/>
        <v>3.8800000000000008</v>
      </c>
      <c r="AZ326" s="1">
        <f t="shared" si="136"/>
        <v>0.75</v>
      </c>
      <c r="BA326" s="1">
        <f t="shared" si="137"/>
        <v>1.5000000000000002</v>
      </c>
      <c r="BB326" s="1">
        <f t="shared" si="138"/>
        <v>0.35333333333333328</v>
      </c>
      <c r="BC326" s="1">
        <f t="shared" si="139"/>
        <v>0.35333333333333328</v>
      </c>
      <c r="BD326" s="1">
        <f t="shared" si="140"/>
        <v>0.21666666666666667</v>
      </c>
      <c r="BF326">
        <f t="shared" si="141"/>
        <v>11.261261261261261</v>
      </c>
      <c r="BG326">
        <f t="shared" si="151"/>
        <v>43.693693693693703</v>
      </c>
      <c r="BH326" s="1">
        <f t="shared" si="142"/>
        <v>4.0000000000000009</v>
      </c>
      <c r="BI326" s="1">
        <f t="shared" si="143"/>
        <v>3.8800000000000008</v>
      </c>
      <c r="BJ326" s="1">
        <f t="shared" si="144"/>
        <v>0.66599999999999993</v>
      </c>
      <c r="BK326" s="1">
        <f t="shared" si="145"/>
        <v>2.1040000000000005</v>
      </c>
      <c r="BL326" s="1">
        <f t="shared" si="146"/>
        <v>0.36999999999999994</v>
      </c>
      <c r="BM326" s="1">
        <f t="shared" si="147"/>
        <v>0.36999999999999994</v>
      </c>
      <c r="BN326" s="1">
        <f t="shared" si="150"/>
        <v>4.0000000000000008E-2</v>
      </c>
      <c r="BO326" s="1">
        <f t="shared" si="148"/>
        <v>2.6360469259725097E-2</v>
      </c>
    </row>
    <row r="327" spans="1:67" x14ac:dyDescent="0.25">
      <c r="A327" s="3"/>
      <c r="B327" s="3"/>
      <c r="C327" t="s">
        <v>153</v>
      </c>
      <c r="D327" s="5">
        <v>1</v>
      </c>
      <c r="E327" s="9">
        <f t="shared" si="127"/>
        <v>25</v>
      </c>
      <c r="F327" s="9">
        <f t="shared" si="128"/>
        <v>0.95238095238095233</v>
      </c>
      <c r="G327">
        <v>22.5</v>
      </c>
      <c r="H327">
        <v>2.5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25</v>
      </c>
      <c r="P327">
        <v>0</v>
      </c>
      <c r="Q327">
        <v>50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13</v>
      </c>
      <c r="AK327" t="s">
        <v>1</v>
      </c>
      <c r="AL327" t="s">
        <v>381</v>
      </c>
      <c r="AO327" t="s">
        <v>375</v>
      </c>
      <c r="AP327" t="s">
        <v>393</v>
      </c>
      <c r="AQ327" s="1">
        <f t="shared" si="149"/>
        <v>100</v>
      </c>
      <c r="AR327" s="1">
        <f t="shared" si="129"/>
        <v>0.25</v>
      </c>
      <c r="AS327" s="1">
        <f t="shared" si="130"/>
        <v>0.22500000000000001</v>
      </c>
      <c r="AT327" s="1">
        <f t="shared" si="131"/>
        <v>2.5000000000000001E-2</v>
      </c>
      <c r="AU327" s="1">
        <f t="shared" si="132"/>
        <v>0.5</v>
      </c>
      <c r="AV327" s="1">
        <f t="shared" si="133"/>
        <v>0.13</v>
      </c>
      <c r="AX327" s="1">
        <f t="shared" si="134"/>
        <v>2</v>
      </c>
      <c r="AY327" s="1">
        <f t="shared" si="135"/>
        <v>1</v>
      </c>
      <c r="AZ327" s="1">
        <f t="shared" si="136"/>
        <v>0.625</v>
      </c>
      <c r="BA327" s="1">
        <f t="shared" si="137"/>
        <v>1</v>
      </c>
      <c r="BB327" s="1">
        <f t="shared" si="138"/>
        <v>0.625</v>
      </c>
      <c r="BC327" s="1">
        <f t="shared" si="139"/>
        <v>0.625</v>
      </c>
      <c r="BD327" s="1">
        <f t="shared" si="140"/>
        <v>0.495</v>
      </c>
      <c r="BF327">
        <f t="shared" si="141"/>
        <v>92.5</v>
      </c>
      <c r="BG327">
        <f t="shared" si="151"/>
        <v>25</v>
      </c>
      <c r="BH327" s="1">
        <f t="shared" si="142"/>
        <v>0.54054054054054057</v>
      </c>
      <c r="BI327" s="1">
        <f t="shared" si="143"/>
        <v>0.27027027027027029</v>
      </c>
      <c r="BJ327" s="1">
        <f t="shared" si="144"/>
        <v>0.60027027027027025</v>
      </c>
      <c r="BK327" s="1">
        <f t="shared" si="145"/>
        <v>0.36735135135135133</v>
      </c>
      <c r="BL327" s="1">
        <f t="shared" si="146"/>
        <v>0.27027027027027029</v>
      </c>
      <c r="BM327" s="1">
        <f t="shared" si="147"/>
        <v>0.27027027027027029</v>
      </c>
      <c r="BN327" s="1">
        <f t="shared" si="150"/>
        <v>1.9675748721694669E-2</v>
      </c>
      <c r="BO327" s="1">
        <f t="shared" si="148"/>
        <v>7.7084483192327746E-2</v>
      </c>
    </row>
    <row r="328" spans="1:67" x14ac:dyDescent="0.25">
      <c r="A328" s="3"/>
      <c r="B328" s="3"/>
      <c r="C328" t="s">
        <v>154</v>
      </c>
      <c r="D328" s="5">
        <v>1</v>
      </c>
      <c r="E328" s="9">
        <f t="shared" si="127"/>
        <v>25.012499999999999</v>
      </c>
      <c r="F328" s="9">
        <f t="shared" si="128"/>
        <v>0.93021632937892529</v>
      </c>
      <c r="G328">
        <v>21.25</v>
      </c>
      <c r="H328">
        <v>3.75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25.012499999999999</v>
      </c>
      <c r="P328">
        <v>0</v>
      </c>
      <c r="Q328">
        <v>49.987499999999997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18</v>
      </c>
      <c r="AK328" t="s">
        <v>1</v>
      </c>
      <c r="AL328" t="s">
        <v>381</v>
      </c>
      <c r="AQ328" s="1">
        <f t="shared" si="149"/>
        <v>100</v>
      </c>
      <c r="AR328" s="1">
        <f t="shared" si="129"/>
        <v>0.25012499999999999</v>
      </c>
      <c r="AS328" s="1">
        <f t="shared" si="130"/>
        <v>0.21249999999999999</v>
      </c>
      <c r="AT328" s="1">
        <f t="shared" si="131"/>
        <v>3.7499999999999999E-2</v>
      </c>
      <c r="AU328" s="1">
        <f t="shared" si="132"/>
        <v>0.49987499999999996</v>
      </c>
      <c r="AV328" s="1">
        <f t="shared" si="133"/>
        <v>0.18</v>
      </c>
      <c r="AX328" s="1">
        <f t="shared" si="134"/>
        <v>1.9994999999999998</v>
      </c>
      <c r="AY328" s="1">
        <f t="shared" si="135"/>
        <v>1.0004999999999999</v>
      </c>
      <c r="AZ328" s="1">
        <f t="shared" si="136"/>
        <v>0.62496874999999996</v>
      </c>
      <c r="BA328" s="1">
        <f t="shared" si="137"/>
        <v>0.99987499999999996</v>
      </c>
      <c r="BB328" s="1">
        <f t="shared" si="138"/>
        <v>0.62483853189982075</v>
      </c>
      <c r="BC328" s="1">
        <f t="shared" si="139"/>
        <v>0.62483853189982075</v>
      </c>
      <c r="BD328" s="1">
        <f t="shared" si="140"/>
        <v>0.44483853189982075</v>
      </c>
      <c r="BF328">
        <f t="shared" si="141"/>
        <v>88.75</v>
      </c>
      <c r="BG328">
        <f t="shared" si="151"/>
        <v>25.012499999999999</v>
      </c>
      <c r="BH328" s="1">
        <f t="shared" si="142"/>
        <v>0.56323943661971831</v>
      </c>
      <c r="BI328" s="1">
        <f t="shared" si="143"/>
        <v>0.28183098591549294</v>
      </c>
      <c r="BJ328" s="1">
        <f t="shared" si="144"/>
        <v>0.60070154929577457</v>
      </c>
      <c r="BK328" s="1">
        <f t="shared" si="145"/>
        <v>0.37874619718309854</v>
      </c>
      <c r="BL328" s="1">
        <f t="shared" si="146"/>
        <v>0.28183098591549294</v>
      </c>
      <c r="BM328" s="1">
        <f t="shared" si="147"/>
        <v>0.28183098591549294</v>
      </c>
      <c r="BN328" s="1">
        <f t="shared" si="150"/>
        <v>1.0369549692521322E-2</v>
      </c>
      <c r="BO328" s="1">
        <f t="shared" si="148"/>
        <v>5.1820390699986542E-2</v>
      </c>
    </row>
    <row r="329" spans="1:67" x14ac:dyDescent="0.25">
      <c r="A329" s="3"/>
      <c r="B329" s="3"/>
      <c r="C329" t="s">
        <v>155</v>
      </c>
      <c r="D329" s="5">
        <v>1</v>
      </c>
      <c r="E329" s="9">
        <f t="shared" si="127"/>
        <v>25</v>
      </c>
      <c r="F329" s="9">
        <f t="shared" si="128"/>
        <v>0.90909090909090906</v>
      </c>
      <c r="G329">
        <v>20</v>
      </c>
      <c r="H329">
        <v>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25</v>
      </c>
      <c r="P329">
        <v>0</v>
      </c>
      <c r="Q329">
        <v>50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33</v>
      </c>
      <c r="AK329" t="s">
        <v>1</v>
      </c>
      <c r="AL329" t="s">
        <v>381</v>
      </c>
      <c r="AQ329" s="1">
        <f t="shared" si="149"/>
        <v>100</v>
      </c>
      <c r="AR329" s="1">
        <f t="shared" si="129"/>
        <v>0.25</v>
      </c>
      <c r="AS329" s="1">
        <f t="shared" si="130"/>
        <v>0.2</v>
      </c>
      <c r="AT329" s="1">
        <f t="shared" si="131"/>
        <v>0.05</v>
      </c>
      <c r="AU329" s="1">
        <f t="shared" si="132"/>
        <v>0.5</v>
      </c>
      <c r="AV329" s="1">
        <f t="shared" si="133"/>
        <v>0.33</v>
      </c>
      <c r="AX329" s="1">
        <f t="shared" si="134"/>
        <v>2</v>
      </c>
      <c r="AY329" s="1">
        <f t="shared" si="135"/>
        <v>1</v>
      </c>
      <c r="AZ329" s="1">
        <f t="shared" si="136"/>
        <v>0.625</v>
      </c>
      <c r="BA329" s="1">
        <f t="shared" si="137"/>
        <v>1</v>
      </c>
      <c r="BB329" s="1">
        <f t="shared" si="138"/>
        <v>0.625</v>
      </c>
      <c r="BC329" s="1">
        <f t="shared" si="139"/>
        <v>0.625</v>
      </c>
      <c r="BD329" s="1">
        <f t="shared" si="140"/>
        <v>0.29499999999999998</v>
      </c>
      <c r="BF329">
        <f t="shared" si="141"/>
        <v>85</v>
      </c>
      <c r="BG329">
        <f t="shared" si="151"/>
        <v>25</v>
      </c>
      <c r="BH329" s="1">
        <f t="shared" si="142"/>
        <v>0.58823529411764708</v>
      </c>
      <c r="BI329" s="1">
        <f t="shared" si="143"/>
        <v>0.29411764705882354</v>
      </c>
      <c r="BJ329" s="1">
        <f t="shared" si="144"/>
        <v>0.60117647058823531</v>
      </c>
      <c r="BK329" s="1">
        <f t="shared" si="145"/>
        <v>0.39129411764705879</v>
      </c>
      <c r="BL329" s="1">
        <f t="shared" si="146"/>
        <v>0.29411764705882354</v>
      </c>
      <c r="BM329" s="1">
        <f t="shared" si="147"/>
        <v>0.29411764705882354</v>
      </c>
      <c r="BN329" s="1">
        <f t="shared" si="150"/>
        <v>1.2875432525951561E-3</v>
      </c>
      <c r="BO329" s="1">
        <f t="shared" si="148"/>
        <v>6.0281132229629093E-3</v>
      </c>
    </row>
    <row r="330" spans="1:67" x14ac:dyDescent="0.25">
      <c r="A330" s="3"/>
      <c r="B330" s="3"/>
      <c r="C330" t="s">
        <v>156</v>
      </c>
      <c r="D330" s="5">
        <v>1</v>
      </c>
      <c r="E330" s="9">
        <f t="shared" si="127"/>
        <v>25</v>
      </c>
      <c r="F330" s="9">
        <f t="shared" si="128"/>
        <v>0.83333333333333337</v>
      </c>
      <c r="G330">
        <v>15</v>
      </c>
      <c r="H330">
        <v>10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25</v>
      </c>
      <c r="P330">
        <v>0</v>
      </c>
      <c r="Q330">
        <v>50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68</v>
      </c>
      <c r="AK330" t="s">
        <v>1</v>
      </c>
      <c r="AL330" t="s">
        <v>381</v>
      </c>
      <c r="AQ330" s="1">
        <f t="shared" si="149"/>
        <v>100</v>
      </c>
      <c r="AR330" s="1">
        <f t="shared" si="129"/>
        <v>0.25</v>
      </c>
      <c r="AS330" s="1">
        <f t="shared" si="130"/>
        <v>0.15</v>
      </c>
      <c r="AT330" s="1">
        <f t="shared" si="131"/>
        <v>0.1</v>
      </c>
      <c r="AU330" s="1">
        <f t="shared" si="132"/>
        <v>0.5</v>
      </c>
      <c r="AV330" s="1">
        <f t="shared" si="133"/>
        <v>0.68</v>
      </c>
      <c r="AX330" s="1">
        <f t="shared" si="134"/>
        <v>2</v>
      </c>
      <c r="AY330" s="1">
        <f t="shared" si="135"/>
        <v>1</v>
      </c>
      <c r="AZ330" s="1">
        <f t="shared" si="136"/>
        <v>0.625</v>
      </c>
      <c r="BA330" s="1">
        <f t="shared" si="137"/>
        <v>1</v>
      </c>
      <c r="BB330" s="1">
        <f t="shared" si="138"/>
        <v>0.625</v>
      </c>
      <c r="BC330" s="1">
        <f t="shared" si="139"/>
        <v>0.625</v>
      </c>
      <c r="BD330" s="1">
        <f t="shared" si="140"/>
        <v>5.5000000000000049E-2</v>
      </c>
      <c r="BF330">
        <f t="shared" si="141"/>
        <v>70</v>
      </c>
      <c r="BG330">
        <f t="shared" si="151"/>
        <v>25</v>
      </c>
      <c r="BH330" s="1">
        <f t="shared" si="142"/>
        <v>0.7142857142857143</v>
      </c>
      <c r="BI330" s="1">
        <f t="shared" si="143"/>
        <v>0.35714285714285715</v>
      </c>
      <c r="BJ330" s="1">
        <f t="shared" si="144"/>
        <v>0.60357142857142854</v>
      </c>
      <c r="BK330" s="1">
        <f t="shared" si="145"/>
        <v>0.45457142857142863</v>
      </c>
      <c r="BL330" s="1">
        <f t="shared" si="146"/>
        <v>0.35714285714285715</v>
      </c>
      <c r="BM330" s="1">
        <f t="shared" si="147"/>
        <v>0.35714285714285715</v>
      </c>
      <c r="BN330" s="1">
        <f t="shared" si="150"/>
        <v>0.10423673469387758</v>
      </c>
      <c r="BO330" s="1">
        <f t="shared" si="148"/>
        <v>7.4179465776574485E-2</v>
      </c>
    </row>
    <row r="331" spans="1:67" x14ac:dyDescent="0.25">
      <c r="A331" s="3"/>
      <c r="B331" s="3"/>
      <c r="C331" t="s">
        <v>157</v>
      </c>
      <c r="D331" s="5">
        <v>1</v>
      </c>
      <c r="E331" s="9">
        <f t="shared" si="127"/>
        <v>25.05</v>
      </c>
      <c r="F331" s="9">
        <f t="shared" si="128"/>
        <v>0.76905311778290997</v>
      </c>
      <c r="G331">
        <v>10</v>
      </c>
      <c r="H331">
        <v>15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25.05</v>
      </c>
      <c r="P331">
        <v>0</v>
      </c>
      <c r="Q331">
        <v>49.95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78</v>
      </c>
      <c r="AK331" t="s">
        <v>1</v>
      </c>
      <c r="AL331" t="s">
        <v>381</v>
      </c>
      <c r="AQ331" s="1">
        <f t="shared" si="149"/>
        <v>100</v>
      </c>
      <c r="AR331" s="1">
        <f t="shared" si="129"/>
        <v>0.2505</v>
      </c>
      <c r="AS331" s="1">
        <f t="shared" si="130"/>
        <v>0.1</v>
      </c>
      <c r="AT331" s="1">
        <f t="shared" si="131"/>
        <v>0.15</v>
      </c>
      <c r="AU331" s="1">
        <f t="shared" si="132"/>
        <v>0.49950000000000006</v>
      </c>
      <c r="AV331" s="1">
        <f t="shared" si="133"/>
        <v>0.78</v>
      </c>
      <c r="AX331" s="1">
        <f t="shared" si="134"/>
        <v>1.9980000000000002</v>
      </c>
      <c r="AY331" s="1">
        <f t="shared" si="135"/>
        <v>1.002</v>
      </c>
      <c r="AZ331" s="1">
        <f t="shared" si="136"/>
        <v>0.62487500000000007</v>
      </c>
      <c r="BA331" s="1">
        <f t="shared" si="137"/>
        <v>0.99950000000000006</v>
      </c>
      <c r="BB331" s="1">
        <f t="shared" si="138"/>
        <v>0.62435401033850269</v>
      </c>
      <c r="BC331" s="1">
        <f t="shared" si="139"/>
        <v>0.62435401033850269</v>
      </c>
      <c r="BD331" s="1">
        <f t="shared" si="140"/>
        <v>0.15564598966149734</v>
      </c>
      <c r="BF331">
        <f t="shared" si="141"/>
        <v>55</v>
      </c>
      <c r="BG331">
        <f t="shared" si="151"/>
        <v>25.05</v>
      </c>
      <c r="BH331" s="1">
        <f t="shared" si="142"/>
        <v>0.9081818181818182</v>
      </c>
      <c r="BI331" s="1">
        <f t="shared" si="143"/>
        <v>0.45545454545454545</v>
      </c>
      <c r="BJ331" s="1">
        <f t="shared" si="144"/>
        <v>0.60725545454545449</v>
      </c>
      <c r="BK331" s="1">
        <f t="shared" si="145"/>
        <v>0.55190727272727269</v>
      </c>
      <c r="BL331" s="1">
        <f t="shared" si="146"/>
        <v>0.45545454545454545</v>
      </c>
      <c r="BM331" s="1">
        <f t="shared" si="147"/>
        <v>0.45545454545454545</v>
      </c>
      <c r="BN331" s="1">
        <f t="shared" si="150"/>
        <v>0.10532975206611572</v>
      </c>
      <c r="BO331" s="1">
        <f t="shared" si="148"/>
        <v>0.13865128079189207</v>
      </c>
    </row>
    <row r="332" spans="1:67" x14ac:dyDescent="0.25">
      <c r="A332" s="3"/>
      <c r="B332" s="3"/>
      <c r="C332" t="s">
        <v>158</v>
      </c>
      <c r="D332" s="5">
        <v>1</v>
      </c>
      <c r="E332" s="9">
        <f t="shared" si="127"/>
        <v>25</v>
      </c>
      <c r="F332" s="9">
        <f t="shared" si="128"/>
        <v>0.7142857142857143</v>
      </c>
      <c r="G332">
        <v>4.9999999999999991</v>
      </c>
      <c r="H332">
        <v>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25</v>
      </c>
      <c r="P332">
        <v>0</v>
      </c>
      <c r="Q332">
        <v>50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83</v>
      </c>
      <c r="AK332" t="s">
        <v>1</v>
      </c>
      <c r="AL332" t="s">
        <v>381</v>
      </c>
      <c r="AQ332" s="1">
        <f t="shared" si="149"/>
        <v>100</v>
      </c>
      <c r="AR332" s="1">
        <f t="shared" si="129"/>
        <v>0.25</v>
      </c>
      <c r="AS332" s="1">
        <f t="shared" si="130"/>
        <v>4.9999999999999989E-2</v>
      </c>
      <c r="AT332" s="1">
        <f t="shared" si="131"/>
        <v>0.2</v>
      </c>
      <c r="AU332" s="1">
        <f t="shared" si="132"/>
        <v>0.5</v>
      </c>
      <c r="AV332" s="1">
        <f t="shared" si="133"/>
        <v>0.83</v>
      </c>
      <c r="AX332" s="1">
        <f t="shared" si="134"/>
        <v>2</v>
      </c>
      <c r="AY332" s="1">
        <f t="shared" si="135"/>
        <v>1</v>
      </c>
      <c r="AZ332" s="1">
        <f t="shared" si="136"/>
        <v>0.625</v>
      </c>
      <c r="BA332" s="1">
        <f t="shared" si="137"/>
        <v>1</v>
      </c>
      <c r="BB332" s="1">
        <f t="shared" si="138"/>
        <v>0.625</v>
      </c>
      <c r="BC332" s="1">
        <f t="shared" si="139"/>
        <v>0.625</v>
      </c>
      <c r="BD332" s="1">
        <f t="shared" si="140"/>
        <v>0.20499999999999996</v>
      </c>
      <c r="BF332">
        <f t="shared" si="141"/>
        <v>40</v>
      </c>
      <c r="BG332">
        <f t="shared" si="151"/>
        <v>25</v>
      </c>
      <c r="BH332" s="1">
        <f t="shared" si="142"/>
        <v>1.25</v>
      </c>
      <c r="BI332" s="1">
        <f t="shared" si="143"/>
        <v>0.625</v>
      </c>
      <c r="BJ332" s="1">
        <f t="shared" si="144"/>
        <v>0.61375000000000002</v>
      </c>
      <c r="BK332" s="1">
        <f t="shared" si="145"/>
        <v>0.72349999999999992</v>
      </c>
      <c r="BL332" s="1">
        <f t="shared" si="146"/>
        <v>0.61375000000000002</v>
      </c>
      <c r="BM332" s="1">
        <f t="shared" si="147"/>
        <v>0.61375000000000002</v>
      </c>
      <c r="BN332" s="1">
        <f t="shared" si="150"/>
        <v>4.6764062499999974E-2</v>
      </c>
      <c r="BO332" s="1">
        <f t="shared" si="148"/>
        <v>0.1783871882995508</v>
      </c>
    </row>
    <row r="333" spans="1:67" x14ac:dyDescent="0.25">
      <c r="A333" s="3"/>
      <c r="B333" s="3"/>
      <c r="C333" t="s">
        <v>49</v>
      </c>
      <c r="D333" s="5">
        <v>1</v>
      </c>
      <c r="E333" s="9">
        <f t="shared" si="127"/>
        <v>25</v>
      </c>
      <c r="F333" s="9">
        <f t="shared" si="128"/>
        <v>0.66666666666666663</v>
      </c>
      <c r="G333">
        <v>0</v>
      </c>
      <c r="H333">
        <v>25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25</v>
      </c>
      <c r="P333">
        <v>0</v>
      </c>
      <c r="Q333">
        <v>50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85</v>
      </c>
      <c r="AK333" t="s">
        <v>1</v>
      </c>
      <c r="AL333" t="s">
        <v>381</v>
      </c>
      <c r="AQ333" s="1">
        <f t="shared" si="149"/>
        <v>100</v>
      </c>
      <c r="AR333" s="1">
        <f t="shared" si="129"/>
        <v>0.25</v>
      </c>
      <c r="AS333" s="1">
        <f t="shared" si="130"/>
        <v>0</v>
      </c>
      <c r="AT333" s="1">
        <f t="shared" si="131"/>
        <v>0.25</v>
      </c>
      <c r="AU333" s="1">
        <f t="shared" si="132"/>
        <v>0.5</v>
      </c>
      <c r="AV333" s="1">
        <f t="shared" si="133"/>
        <v>0.85</v>
      </c>
      <c r="AX333" s="1">
        <f t="shared" si="134"/>
        <v>2</v>
      </c>
      <c r="AY333" s="1">
        <f t="shared" si="135"/>
        <v>1</v>
      </c>
      <c r="AZ333" s="1">
        <f t="shared" si="136"/>
        <v>0.625</v>
      </c>
      <c r="BA333" s="1">
        <f t="shared" si="137"/>
        <v>1</v>
      </c>
      <c r="BB333" s="1">
        <f t="shared" si="138"/>
        <v>0.625</v>
      </c>
      <c r="BC333" s="1">
        <f t="shared" si="139"/>
        <v>0.625</v>
      </c>
      <c r="BD333" s="1">
        <f t="shared" si="140"/>
        <v>0.22499999999999998</v>
      </c>
      <c r="BF333">
        <f t="shared" si="141"/>
        <v>25</v>
      </c>
      <c r="BG333">
        <f t="shared" si="151"/>
        <v>25</v>
      </c>
      <c r="BH333" s="1">
        <f t="shared" si="142"/>
        <v>2</v>
      </c>
      <c r="BI333" s="1">
        <f t="shared" si="143"/>
        <v>1</v>
      </c>
      <c r="BJ333" s="1">
        <f t="shared" si="144"/>
        <v>0.628</v>
      </c>
      <c r="BK333" s="1">
        <f t="shared" si="145"/>
        <v>1.1000000000000001</v>
      </c>
      <c r="BL333" s="1">
        <f t="shared" si="146"/>
        <v>0.628</v>
      </c>
      <c r="BM333" s="1">
        <f t="shared" si="147"/>
        <v>0.628</v>
      </c>
      <c r="BN333" s="1">
        <f t="shared" si="150"/>
        <v>4.9283999999999988E-2</v>
      </c>
      <c r="BO333" s="1">
        <f t="shared" si="148"/>
        <v>0.19568155130261433</v>
      </c>
    </row>
    <row r="334" spans="1:67" x14ac:dyDescent="0.25">
      <c r="A334" s="3"/>
      <c r="B334" s="3"/>
      <c r="C334" t="s">
        <v>161</v>
      </c>
      <c r="D334" s="5">
        <v>1</v>
      </c>
      <c r="E334" s="9">
        <f t="shared" si="127"/>
        <v>25</v>
      </c>
      <c r="F334" s="9">
        <f t="shared" si="128"/>
        <v>0.97560975609756095</v>
      </c>
      <c r="G334">
        <v>23.75</v>
      </c>
      <c r="H334">
        <v>1.25</v>
      </c>
      <c r="I334">
        <v>0</v>
      </c>
      <c r="J334">
        <v>0</v>
      </c>
      <c r="K334">
        <v>0</v>
      </c>
      <c r="L334">
        <v>0</v>
      </c>
      <c r="M334">
        <v>25</v>
      </c>
      <c r="N334">
        <v>0</v>
      </c>
      <c r="O334">
        <v>0</v>
      </c>
      <c r="P334">
        <v>0</v>
      </c>
      <c r="Q334">
        <v>50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10</v>
      </c>
      <c r="AK334" t="s">
        <v>1</v>
      </c>
      <c r="AL334" t="s">
        <v>381</v>
      </c>
      <c r="AQ334" s="1">
        <f t="shared" si="149"/>
        <v>100</v>
      </c>
      <c r="AR334" s="1">
        <f t="shared" si="129"/>
        <v>0.25</v>
      </c>
      <c r="AS334" s="1">
        <f t="shared" si="130"/>
        <v>0.23749999999999999</v>
      </c>
      <c r="AT334" s="1">
        <f t="shared" si="131"/>
        <v>1.2500000000000001E-2</v>
      </c>
      <c r="AU334" s="1">
        <f t="shared" si="132"/>
        <v>0.5</v>
      </c>
      <c r="AV334" s="1">
        <f t="shared" si="133"/>
        <v>0.1</v>
      </c>
      <c r="AX334" s="1">
        <f t="shared" si="134"/>
        <v>2</v>
      </c>
      <c r="AY334" s="1">
        <f t="shared" si="135"/>
        <v>1</v>
      </c>
      <c r="AZ334" s="1">
        <f t="shared" si="136"/>
        <v>0.625</v>
      </c>
      <c r="BA334" s="1">
        <f t="shared" si="137"/>
        <v>1</v>
      </c>
      <c r="BB334" s="1">
        <f t="shared" si="138"/>
        <v>0.625</v>
      </c>
      <c r="BC334" s="1">
        <f t="shared" si="139"/>
        <v>0.625</v>
      </c>
      <c r="BD334" s="1">
        <f t="shared" si="140"/>
        <v>0.52500000000000002</v>
      </c>
      <c r="BF334">
        <f t="shared" si="141"/>
        <v>96.25</v>
      </c>
      <c r="BG334">
        <f t="shared" si="151"/>
        <v>25</v>
      </c>
      <c r="BH334" s="1">
        <f t="shared" si="142"/>
        <v>0.51948051948051943</v>
      </c>
      <c r="BI334" s="1">
        <f t="shared" si="143"/>
        <v>0.25974025974025972</v>
      </c>
      <c r="BJ334" s="1">
        <f t="shared" si="144"/>
        <v>0.59987012987012989</v>
      </c>
      <c r="BK334" s="1">
        <f t="shared" si="145"/>
        <v>0.35677922077922075</v>
      </c>
      <c r="BL334" s="1">
        <f t="shared" si="146"/>
        <v>0.25974025974025972</v>
      </c>
      <c r="BM334" s="1">
        <f t="shared" si="147"/>
        <v>0.25974025974025972</v>
      </c>
      <c r="BN334" s="1">
        <f t="shared" si="150"/>
        <v>2.5516950581885637E-2</v>
      </c>
      <c r="BO334" s="1">
        <f t="shared" si="148"/>
        <v>9.4642938687732478E-2</v>
      </c>
    </row>
    <row r="335" spans="1:67" x14ac:dyDescent="0.25">
      <c r="A335" s="3"/>
      <c r="B335" s="3"/>
      <c r="C335" t="s">
        <v>160</v>
      </c>
      <c r="D335" s="5">
        <v>1</v>
      </c>
      <c r="E335" s="9">
        <f t="shared" si="127"/>
        <v>25</v>
      </c>
      <c r="F335" s="9">
        <f t="shared" si="128"/>
        <v>0.95238095238095233</v>
      </c>
      <c r="G335">
        <v>22.5</v>
      </c>
      <c r="H335">
        <v>2.5</v>
      </c>
      <c r="I335">
        <v>0</v>
      </c>
      <c r="J335">
        <v>0</v>
      </c>
      <c r="K335">
        <v>0</v>
      </c>
      <c r="L335">
        <v>0</v>
      </c>
      <c r="M335">
        <v>25</v>
      </c>
      <c r="N335">
        <v>0</v>
      </c>
      <c r="O335">
        <v>0</v>
      </c>
      <c r="P335">
        <v>0</v>
      </c>
      <c r="Q335">
        <v>50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11</v>
      </c>
      <c r="AK335" t="s">
        <v>1</v>
      </c>
      <c r="AL335" t="s">
        <v>381</v>
      </c>
      <c r="AQ335" s="1">
        <f t="shared" si="149"/>
        <v>100</v>
      </c>
      <c r="AR335" s="1">
        <f t="shared" si="129"/>
        <v>0.25</v>
      </c>
      <c r="AS335" s="1">
        <f t="shared" si="130"/>
        <v>0.22500000000000001</v>
      </c>
      <c r="AT335" s="1">
        <f t="shared" si="131"/>
        <v>2.5000000000000001E-2</v>
      </c>
      <c r="AU335" s="1">
        <f t="shared" si="132"/>
        <v>0.5</v>
      </c>
      <c r="AV335" s="1">
        <f t="shared" si="133"/>
        <v>0.11</v>
      </c>
      <c r="AX335" s="1">
        <f t="shared" si="134"/>
        <v>2</v>
      </c>
      <c r="AY335" s="1">
        <f t="shared" si="135"/>
        <v>1</v>
      </c>
      <c r="AZ335" s="1">
        <f t="shared" si="136"/>
        <v>0.625</v>
      </c>
      <c r="BA335" s="1">
        <f t="shared" si="137"/>
        <v>1</v>
      </c>
      <c r="BB335" s="1">
        <f t="shared" si="138"/>
        <v>0.625</v>
      </c>
      <c r="BC335" s="1">
        <f t="shared" si="139"/>
        <v>0.625</v>
      </c>
      <c r="BD335" s="1">
        <f t="shared" si="140"/>
        <v>0.51500000000000001</v>
      </c>
      <c r="BF335">
        <f t="shared" si="141"/>
        <v>92.5</v>
      </c>
      <c r="BG335">
        <f t="shared" si="151"/>
        <v>25</v>
      </c>
      <c r="BH335" s="1">
        <f t="shared" si="142"/>
        <v>0.54054054054054057</v>
      </c>
      <c r="BI335" s="1">
        <f t="shared" si="143"/>
        <v>0.27027027027027029</v>
      </c>
      <c r="BJ335" s="1">
        <f t="shared" si="144"/>
        <v>0.60027027027027025</v>
      </c>
      <c r="BK335" s="1">
        <f t="shared" si="145"/>
        <v>0.36735135135135133</v>
      </c>
      <c r="BL335" s="1">
        <f t="shared" si="146"/>
        <v>0.27027027027027029</v>
      </c>
      <c r="BM335" s="1">
        <f t="shared" si="147"/>
        <v>0.27027027027027029</v>
      </c>
      <c r="BN335" s="1">
        <f t="shared" si="150"/>
        <v>2.5686559532505489E-2</v>
      </c>
      <c r="BO335" s="1">
        <f t="shared" si="148"/>
        <v>8.8590120189264238E-2</v>
      </c>
    </row>
    <row r="336" spans="1:67" x14ac:dyDescent="0.25">
      <c r="A336" s="3"/>
      <c r="B336" s="3"/>
      <c r="C336" t="s">
        <v>159</v>
      </c>
      <c r="D336" s="5">
        <v>1</v>
      </c>
      <c r="E336" s="9">
        <f t="shared" si="127"/>
        <v>25.012499999999999</v>
      </c>
      <c r="F336" s="9">
        <f t="shared" si="128"/>
        <v>0.93021632937892529</v>
      </c>
      <c r="G336">
        <v>21.25</v>
      </c>
      <c r="H336">
        <v>3.75</v>
      </c>
      <c r="I336">
        <v>0</v>
      </c>
      <c r="J336">
        <v>0</v>
      </c>
      <c r="K336">
        <v>0</v>
      </c>
      <c r="L336">
        <v>0</v>
      </c>
      <c r="M336">
        <v>25.012499999999999</v>
      </c>
      <c r="N336">
        <v>0</v>
      </c>
      <c r="O336">
        <v>0</v>
      </c>
      <c r="P336">
        <v>0</v>
      </c>
      <c r="Q336">
        <v>49.987499999999997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17</v>
      </c>
      <c r="AK336" t="s">
        <v>1</v>
      </c>
      <c r="AL336" t="s">
        <v>381</v>
      </c>
      <c r="AQ336" s="1">
        <f t="shared" si="149"/>
        <v>100</v>
      </c>
      <c r="AR336" s="1">
        <f t="shared" si="129"/>
        <v>0.25012499999999999</v>
      </c>
      <c r="AS336" s="1">
        <f t="shared" si="130"/>
        <v>0.21249999999999999</v>
      </c>
      <c r="AT336" s="1">
        <f t="shared" si="131"/>
        <v>3.7499999999999999E-2</v>
      </c>
      <c r="AU336" s="1">
        <f t="shared" si="132"/>
        <v>0.49987499999999996</v>
      </c>
      <c r="AV336" s="1">
        <f t="shared" si="133"/>
        <v>0.17</v>
      </c>
      <c r="AX336" s="1">
        <f t="shared" si="134"/>
        <v>1.9994999999999998</v>
      </c>
      <c r="AY336" s="1">
        <f t="shared" si="135"/>
        <v>1.0004999999999999</v>
      </c>
      <c r="AZ336" s="1">
        <f t="shared" si="136"/>
        <v>0.62496874999999996</v>
      </c>
      <c r="BA336" s="1">
        <f t="shared" si="137"/>
        <v>0.99987499999999996</v>
      </c>
      <c r="BB336" s="1">
        <f t="shared" si="138"/>
        <v>0.62483853189982075</v>
      </c>
      <c r="BC336" s="1">
        <f t="shared" si="139"/>
        <v>0.62483853189982075</v>
      </c>
      <c r="BD336" s="1">
        <f t="shared" si="140"/>
        <v>0.45483853189982071</v>
      </c>
      <c r="BF336">
        <f t="shared" si="141"/>
        <v>88.75</v>
      </c>
      <c r="BG336">
        <f t="shared" si="151"/>
        <v>25.012499999999999</v>
      </c>
      <c r="BH336" s="1">
        <f t="shared" si="142"/>
        <v>0.56323943661971831</v>
      </c>
      <c r="BI336" s="1">
        <f t="shared" si="143"/>
        <v>0.28183098591549294</v>
      </c>
      <c r="BJ336" s="1">
        <f t="shared" si="144"/>
        <v>0.60070154929577457</v>
      </c>
      <c r="BK336" s="1">
        <f t="shared" si="145"/>
        <v>0.37874619718309854</v>
      </c>
      <c r="BL336" s="1">
        <f t="shared" si="146"/>
        <v>0.28183098591549294</v>
      </c>
      <c r="BM336" s="1">
        <f t="shared" si="147"/>
        <v>0.28183098591549294</v>
      </c>
      <c r="BN336" s="1">
        <f t="shared" si="150"/>
        <v>1.2506169410831177E-2</v>
      </c>
      <c r="BO336" s="1">
        <f t="shared" si="148"/>
        <v>5.647320919845477E-2</v>
      </c>
    </row>
    <row r="337" spans="1:67" x14ac:dyDescent="0.25">
      <c r="A337" s="3"/>
      <c r="B337" s="3"/>
      <c r="C337" t="s">
        <v>162</v>
      </c>
      <c r="D337" s="5">
        <v>1</v>
      </c>
      <c r="E337" s="9">
        <f t="shared" si="127"/>
        <v>14.3</v>
      </c>
      <c r="F337" s="9">
        <f t="shared" si="128"/>
        <v>0.33372228704784129</v>
      </c>
      <c r="G337">
        <v>0</v>
      </c>
      <c r="H337">
        <v>57.1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14.3</v>
      </c>
      <c r="P337">
        <v>0</v>
      </c>
      <c r="Q337">
        <v>28.6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23.2</v>
      </c>
      <c r="AK337" t="s">
        <v>1</v>
      </c>
      <c r="AL337" t="s">
        <v>372</v>
      </c>
      <c r="AO337" t="s">
        <v>375</v>
      </c>
      <c r="AQ337" s="1">
        <f t="shared" si="149"/>
        <v>100</v>
      </c>
      <c r="AR337" s="1">
        <f t="shared" si="129"/>
        <v>0.14300000000000002</v>
      </c>
      <c r="AS337" s="1">
        <f t="shared" si="130"/>
        <v>0</v>
      </c>
      <c r="AT337" s="1">
        <f t="shared" si="131"/>
        <v>0.57100000000000006</v>
      </c>
      <c r="AU337" s="1">
        <f t="shared" si="132"/>
        <v>0.28600000000000003</v>
      </c>
      <c r="AV337" s="1">
        <f t="shared" si="133"/>
        <v>0.23199999999999998</v>
      </c>
      <c r="AX337" s="1">
        <f t="shared" si="134"/>
        <v>0.50087565674255696</v>
      </c>
      <c r="AY337" s="1">
        <f t="shared" si="135"/>
        <v>0.25043782837127848</v>
      </c>
      <c r="AZ337" s="1">
        <f t="shared" si="136"/>
        <v>0.53130472854640987</v>
      </c>
      <c r="BA337" s="1">
        <f t="shared" si="137"/>
        <v>0.62521891418563924</v>
      </c>
      <c r="BB337" s="1">
        <f t="shared" si="138"/>
        <v>0.25043782837127848</v>
      </c>
      <c r="BC337" s="1">
        <f t="shared" si="139"/>
        <v>0.25043782837127848</v>
      </c>
      <c r="BD337" s="1">
        <f t="shared" si="140"/>
        <v>1.8437828371278497E-2</v>
      </c>
      <c r="BF337">
        <f t="shared" si="141"/>
        <v>57.1</v>
      </c>
      <c r="BG337">
        <f t="shared" si="151"/>
        <v>14.3</v>
      </c>
      <c r="BH337" s="1">
        <f t="shared" si="142"/>
        <v>0.50087565674255696</v>
      </c>
      <c r="BI337" s="1">
        <f t="shared" si="143"/>
        <v>0.25043782837127848</v>
      </c>
      <c r="BJ337" s="1">
        <f t="shared" si="144"/>
        <v>0.59951663747810857</v>
      </c>
      <c r="BK337" s="1">
        <f t="shared" si="145"/>
        <v>0.34743957968476358</v>
      </c>
      <c r="BL337" s="1">
        <f t="shared" si="146"/>
        <v>0.25043782837127848</v>
      </c>
      <c r="BM337" s="1">
        <f t="shared" si="147"/>
        <v>0.25043782837127848</v>
      </c>
      <c r="BN337" s="1">
        <f t="shared" si="150"/>
        <v>3.399535150487223E-4</v>
      </c>
      <c r="BO337" s="1">
        <f t="shared" si="148"/>
        <v>3.0849734507951684E-2</v>
      </c>
    </row>
    <row r="338" spans="1:67" x14ac:dyDescent="0.25">
      <c r="A338" s="3"/>
      <c r="B338" s="3"/>
      <c r="C338" t="s">
        <v>163</v>
      </c>
      <c r="D338" s="5">
        <v>1</v>
      </c>
      <c r="E338" s="9">
        <f t="shared" si="127"/>
        <v>25</v>
      </c>
      <c r="F338" s="9">
        <f t="shared" si="128"/>
        <v>0.33333333333333331</v>
      </c>
      <c r="G338">
        <v>0</v>
      </c>
      <c r="H338">
        <v>50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25</v>
      </c>
      <c r="P338">
        <v>0</v>
      </c>
      <c r="Q338">
        <v>25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42.7</v>
      </c>
      <c r="AK338" t="s">
        <v>1</v>
      </c>
      <c r="AL338" t="s">
        <v>372</v>
      </c>
      <c r="AQ338" s="1">
        <f t="shared" si="149"/>
        <v>100</v>
      </c>
      <c r="AR338" s="1">
        <f t="shared" si="129"/>
        <v>0.25</v>
      </c>
      <c r="AS338" s="1">
        <f t="shared" si="130"/>
        <v>0</v>
      </c>
      <c r="AT338" s="1">
        <f t="shared" si="131"/>
        <v>0.5</v>
      </c>
      <c r="AU338" s="1">
        <f t="shared" si="132"/>
        <v>0.25</v>
      </c>
      <c r="AV338" s="1">
        <f t="shared" si="133"/>
        <v>0.42700000000000005</v>
      </c>
      <c r="AX338" s="1">
        <f t="shared" si="134"/>
        <v>0.5</v>
      </c>
      <c r="AY338" s="1">
        <f t="shared" si="135"/>
        <v>0.5</v>
      </c>
      <c r="AZ338" s="1">
        <f t="shared" si="136"/>
        <v>0.53125</v>
      </c>
      <c r="BA338" s="1">
        <f t="shared" si="137"/>
        <v>0.625</v>
      </c>
      <c r="BB338" s="1">
        <f t="shared" si="138"/>
        <v>0.5</v>
      </c>
      <c r="BC338" s="1">
        <f t="shared" si="139"/>
        <v>0.5</v>
      </c>
      <c r="BD338" s="1">
        <f t="shared" si="140"/>
        <v>7.2999999999999954E-2</v>
      </c>
      <c r="BF338">
        <f t="shared" si="141"/>
        <v>50</v>
      </c>
      <c r="BG338">
        <f t="shared" si="151"/>
        <v>25</v>
      </c>
      <c r="BH338" s="1">
        <f t="shared" si="142"/>
        <v>0.5</v>
      </c>
      <c r="BI338" s="1">
        <f t="shared" si="143"/>
        <v>0.5</v>
      </c>
      <c r="BJ338" s="1">
        <f t="shared" si="144"/>
        <v>0.59949999999999992</v>
      </c>
      <c r="BK338" s="1">
        <f t="shared" si="145"/>
        <v>0.34699999999999998</v>
      </c>
      <c r="BL338" s="1">
        <f t="shared" si="146"/>
        <v>0.5</v>
      </c>
      <c r="BM338" s="1">
        <f t="shared" si="147"/>
        <v>0.5</v>
      </c>
      <c r="BN338" s="1">
        <f t="shared" si="150"/>
        <v>5.3289999999999935E-3</v>
      </c>
      <c r="BO338" s="1">
        <f t="shared" si="148"/>
        <v>3.7477378782096917E-4</v>
      </c>
    </row>
    <row r="339" spans="1:67" x14ac:dyDescent="0.25">
      <c r="A339" s="3"/>
      <c r="B339" s="3"/>
      <c r="C339" t="s">
        <v>164</v>
      </c>
      <c r="D339" s="5">
        <v>1</v>
      </c>
      <c r="E339" s="9">
        <f t="shared" si="127"/>
        <v>33.299999999999997</v>
      </c>
      <c r="F339" s="9">
        <f t="shared" si="128"/>
        <v>0.33333333333333337</v>
      </c>
      <c r="G339">
        <v>0</v>
      </c>
      <c r="H339">
        <v>44.4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33.299999999999997</v>
      </c>
      <c r="P339">
        <v>0</v>
      </c>
      <c r="Q339">
        <v>22.2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48.7</v>
      </c>
      <c r="AK339" t="s">
        <v>1</v>
      </c>
      <c r="AL339" t="s">
        <v>372</v>
      </c>
      <c r="AQ339" s="1">
        <f t="shared" si="149"/>
        <v>99.899999999999991</v>
      </c>
      <c r="AR339" s="1">
        <f t="shared" si="129"/>
        <v>0.33299999999999996</v>
      </c>
      <c r="AS339" s="1">
        <f t="shared" si="130"/>
        <v>0</v>
      </c>
      <c r="AT339" s="1">
        <f t="shared" si="131"/>
        <v>0.44400000000000001</v>
      </c>
      <c r="AU339" s="1">
        <f t="shared" si="132"/>
        <v>0.222</v>
      </c>
      <c r="AV339" s="1">
        <f t="shared" si="133"/>
        <v>0.48700000000000004</v>
      </c>
      <c r="AX339" s="1">
        <f t="shared" si="134"/>
        <v>0.5</v>
      </c>
      <c r="AY339" s="1">
        <f t="shared" si="135"/>
        <v>0.74999999999999989</v>
      </c>
      <c r="AZ339" s="1">
        <f t="shared" si="136"/>
        <v>0.53125</v>
      </c>
      <c r="BA339" s="1">
        <f t="shared" si="137"/>
        <v>0.625</v>
      </c>
      <c r="BB339" s="1">
        <f t="shared" si="138"/>
        <v>0.49583333333333335</v>
      </c>
      <c r="BC339" s="1">
        <f t="shared" si="139"/>
        <v>0.49583333333333335</v>
      </c>
      <c r="BD339" s="1">
        <f t="shared" si="140"/>
        <v>8.8333333333333042E-3</v>
      </c>
      <c r="BF339">
        <f t="shared" si="141"/>
        <v>44.4</v>
      </c>
      <c r="BG339">
        <f t="shared" si="151"/>
        <v>33.299999999999997</v>
      </c>
      <c r="BH339" s="1">
        <f t="shared" si="142"/>
        <v>0.5</v>
      </c>
      <c r="BI339" s="1">
        <f t="shared" si="143"/>
        <v>0.75</v>
      </c>
      <c r="BJ339" s="1">
        <f t="shared" si="144"/>
        <v>0.59949999999999992</v>
      </c>
      <c r="BK339" s="1">
        <f t="shared" si="145"/>
        <v>0.34699999999999998</v>
      </c>
      <c r="BL339" s="1">
        <f t="shared" si="146"/>
        <v>0.48531666666666656</v>
      </c>
      <c r="BM339" s="1">
        <f t="shared" si="147"/>
        <v>0.48531666666666656</v>
      </c>
      <c r="BN339" s="1">
        <f t="shared" si="150"/>
        <v>2.8336111111116085E-6</v>
      </c>
      <c r="BO339" s="1">
        <f t="shared" si="148"/>
        <v>6.297862797011524E-3</v>
      </c>
    </row>
    <row r="340" spans="1:67" x14ac:dyDescent="0.25">
      <c r="A340" s="3"/>
      <c r="B340" s="3"/>
      <c r="C340" t="s">
        <v>165</v>
      </c>
      <c r="D340" s="5">
        <v>1</v>
      </c>
      <c r="E340" s="9">
        <f t="shared" si="127"/>
        <v>7.7</v>
      </c>
      <c r="F340" s="9">
        <f t="shared" si="128"/>
        <v>0.66630552546045507</v>
      </c>
      <c r="G340">
        <v>0</v>
      </c>
      <c r="H340">
        <v>30.8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</v>
      </c>
      <c r="P340">
        <v>0</v>
      </c>
      <c r="Q340">
        <v>61.5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18.7</v>
      </c>
      <c r="AK340" t="s">
        <v>1</v>
      </c>
      <c r="AL340" t="s">
        <v>372</v>
      </c>
      <c r="AQ340" s="1">
        <f t="shared" si="149"/>
        <v>100</v>
      </c>
      <c r="AR340" s="1">
        <f t="shared" si="129"/>
        <v>7.6999999999999999E-2</v>
      </c>
      <c r="AS340" s="1">
        <f t="shared" si="130"/>
        <v>0</v>
      </c>
      <c r="AT340" s="1">
        <f t="shared" si="131"/>
        <v>0.308</v>
      </c>
      <c r="AU340" s="1">
        <f t="shared" si="132"/>
        <v>0.61499999999999999</v>
      </c>
      <c r="AV340" s="1">
        <f t="shared" si="133"/>
        <v>0.187</v>
      </c>
      <c r="AX340" s="1">
        <f t="shared" si="134"/>
        <v>1.9967532467532467</v>
      </c>
      <c r="AY340" s="1">
        <f t="shared" si="135"/>
        <v>0.25</v>
      </c>
      <c r="AZ340" s="1">
        <f t="shared" si="136"/>
        <v>0.62479707792207795</v>
      </c>
      <c r="BA340" s="1">
        <f t="shared" si="137"/>
        <v>0.99918831168831168</v>
      </c>
      <c r="BB340" s="1">
        <f t="shared" si="138"/>
        <v>0.25</v>
      </c>
      <c r="BC340" s="1">
        <f t="shared" si="139"/>
        <v>0.25</v>
      </c>
      <c r="BD340" s="1">
        <f t="shared" si="140"/>
        <v>6.3E-2</v>
      </c>
      <c r="BF340">
        <f t="shared" si="141"/>
        <v>30.8</v>
      </c>
      <c r="BG340">
        <f t="shared" si="151"/>
        <v>7.7</v>
      </c>
      <c r="BH340" s="1">
        <f t="shared" si="142"/>
        <v>1.9967532467532467</v>
      </c>
      <c r="BI340" s="1">
        <f t="shared" si="143"/>
        <v>0.25</v>
      </c>
      <c r="BJ340" s="1">
        <f t="shared" si="144"/>
        <v>0.62793831168831171</v>
      </c>
      <c r="BK340" s="1">
        <f t="shared" si="145"/>
        <v>1.0983701298701301</v>
      </c>
      <c r="BL340" s="1">
        <f t="shared" si="146"/>
        <v>0.25</v>
      </c>
      <c r="BM340" s="1">
        <f t="shared" si="147"/>
        <v>0.25</v>
      </c>
      <c r="BN340" s="1">
        <f t="shared" si="150"/>
        <v>3.9690000000000003E-3</v>
      </c>
      <c r="BO340" s="1">
        <f t="shared" si="148"/>
        <v>4.8682417751058769E-2</v>
      </c>
    </row>
    <row r="341" spans="1:67" x14ac:dyDescent="0.25">
      <c r="A341" s="3"/>
      <c r="B341" s="3"/>
      <c r="C341" t="s">
        <v>166</v>
      </c>
      <c r="D341" s="5">
        <v>1</v>
      </c>
      <c r="E341" s="9">
        <f t="shared" si="127"/>
        <v>14.3</v>
      </c>
      <c r="F341" s="9">
        <f t="shared" si="128"/>
        <v>0.66627771295215865</v>
      </c>
      <c r="G341">
        <v>0</v>
      </c>
      <c r="H341">
        <v>28.6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14.3</v>
      </c>
      <c r="P341">
        <v>0</v>
      </c>
      <c r="Q341">
        <v>57.1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40.4</v>
      </c>
      <c r="AK341" t="s">
        <v>1</v>
      </c>
      <c r="AL341" t="s">
        <v>372</v>
      </c>
      <c r="AQ341" s="1">
        <f t="shared" si="149"/>
        <v>100</v>
      </c>
      <c r="AR341" s="1">
        <f t="shared" si="129"/>
        <v>0.14300000000000002</v>
      </c>
      <c r="AS341" s="1">
        <f t="shared" si="130"/>
        <v>0</v>
      </c>
      <c r="AT341" s="1">
        <f t="shared" si="131"/>
        <v>0.28600000000000003</v>
      </c>
      <c r="AU341" s="1">
        <f t="shared" si="132"/>
        <v>0.57100000000000006</v>
      </c>
      <c r="AV341" s="1">
        <f t="shared" si="133"/>
        <v>0.40399999999999997</v>
      </c>
      <c r="AX341" s="1">
        <f t="shared" si="134"/>
        <v>1.9965034965034965</v>
      </c>
      <c r="AY341" s="1">
        <f t="shared" si="135"/>
        <v>0.5</v>
      </c>
      <c r="AZ341" s="1">
        <f t="shared" si="136"/>
        <v>0.62478146853146854</v>
      </c>
      <c r="BA341" s="1">
        <f t="shared" si="137"/>
        <v>0.99912587412587417</v>
      </c>
      <c r="BB341" s="1">
        <f t="shared" si="138"/>
        <v>0.5</v>
      </c>
      <c r="BC341" s="1">
        <f t="shared" si="139"/>
        <v>0.5</v>
      </c>
      <c r="BD341" s="1">
        <f t="shared" si="140"/>
        <v>9.600000000000003E-2</v>
      </c>
      <c r="BF341">
        <f t="shared" si="141"/>
        <v>28.6</v>
      </c>
      <c r="BG341">
        <f t="shared" si="151"/>
        <v>14.3</v>
      </c>
      <c r="BH341" s="1">
        <f t="shared" si="142"/>
        <v>1.9965034965034965</v>
      </c>
      <c r="BI341" s="1">
        <f t="shared" si="143"/>
        <v>0.5</v>
      </c>
      <c r="BJ341" s="1">
        <f t="shared" si="144"/>
        <v>0.62793356643356635</v>
      </c>
      <c r="BK341" s="1">
        <f t="shared" si="145"/>
        <v>1.0982447552447554</v>
      </c>
      <c r="BL341" s="1">
        <f t="shared" si="146"/>
        <v>0.5</v>
      </c>
      <c r="BM341" s="1">
        <f t="shared" si="147"/>
        <v>0.5</v>
      </c>
      <c r="BN341" s="1">
        <f t="shared" si="150"/>
        <v>9.2160000000000054E-3</v>
      </c>
      <c r="BO341" s="1">
        <f t="shared" si="148"/>
        <v>1.3256334297923511E-5</v>
      </c>
    </row>
    <row r="342" spans="1:67" x14ac:dyDescent="0.25">
      <c r="A342" s="3"/>
      <c r="B342" s="3"/>
      <c r="C342" t="s">
        <v>167</v>
      </c>
      <c r="D342" s="5">
        <v>1</v>
      </c>
      <c r="E342" s="9">
        <f t="shared" si="127"/>
        <v>20</v>
      </c>
      <c r="F342" s="9">
        <f t="shared" si="128"/>
        <v>0.66625000000000001</v>
      </c>
      <c r="G342">
        <v>0</v>
      </c>
      <c r="H342">
        <v>26.7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20</v>
      </c>
      <c r="P342">
        <v>0</v>
      </c>
      <c r="Q342">
        <v>53.3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56.6</v>
      </c>
      <c r="AK342" t="s">
        <v>1</v>
      </c>
      <c r="AL342" t="s">
        <v>372</v>
      </c>
      <c r="AQ342" s="1">
        <f t="shared" si="149"/>
        <v>100</v>
      </c>
      <c r="AR342" s="1">
        <f t="shared" si="129"/>
        <v>0.2</v>
      </c>
      <c r="AS342" s="1">
        <f t="shared" si="130"/>
        <v>0</v>
      </c>
      <c r="AT342" s="1">
        <f t="shared" si="131"/>
        <v>0.26700000000000002</v>
      </c>
      <c r="AU342" s="1">
        <f t="shared" si="132"/>
        <v>0.53299999999999992</v>
      </c>
      <c r="AV342" s="1">
        <f t="shared" si="133"/>
        <v>0.56600000000000006</v>
      </c>
      <c r="AX342" s="1">
        <f t="shared" si="134"/>
        <v>1.9962546816479396</v>
      </c>
      <c r="AY342" s="1">
        <f t="shared" si="135"/>
        <v>0.74906367041198507</v>
      </c>
      <c r="AZ342" s="1">
        <f t="shared" si="136"/>
        <v>0.62476591760299627</v>
      </c>
      <c r="BA342" s="1">
        <f t="shared" si="137"/>
        <v>0.99906367041198485</v>
      </c>
      <c r="BB342" s="1">
        <f t="shared" si="138"/>
        <v>0.62476591760299627</v>
      </c>
      <c r="BC342" s="1">
        <f t="shared" si="139"/>
        <v>0.62476591760299627</v>
      </c>
      <c r="BD342" s="1">
        <f t="shared" si="140"/>
        <v>5.8765917602996209E-2</v>
      </c>
      <c r="BF342">
        <f t="shared" si="141"/>
        <v>26.7</v>
      </c>
      <c r="BG342">
        <f t="shared" si="151"/>
        <v>20</v>
      </c>
      <c r="BH342" s="1">
        <f t="shared" si="142"/>
        <v>1.9962546816479401</v>
      </c>
      <c r="BI342" s="1">
        <f t="shared" si="143"/>
        <v>0.74906367041198507</v>
      </c>
      <c r="BJ342" s="1">
        <f t="shared" si="144"/>
        <v>0.6279288389513108</v>
      </c>
      <c r="BK342" s="1">
        <f t="shared" si="145"/>
        <v>1.098119850187266</v>
      </c>
      <c r="BL342" s="1">
        <f t="shared" si="146"/>
        <v>0.6279288389513108</v>
      </c>
      <c r="BM342" s="1">
        <f t="shared" si="147"/>
        <v>0.6279288389513108</v>
      </c>
      <c r="BN342" s="1">
        <f t="shared" si="150"/>
        <v>3.8351810938573819E-3</v>
      </c>
      <c r="BO342" s="1">
        <f t="shared" si="148"/>
        <v>2.5077596659112425E-2</v>
      </c>
    </row>
    <row r="343" spans="1:67" x14ac:dyDescent="0.25">
      <c r="A343" s="3"/>
      <c r="B343" s="3"/>
      <c r="C343" t="s">
        <v>168</v>
      </c>
      <c r="D343" s="5">
        <v>1</v>
      </c>
      <c r="E343" s="9">
        <f t="shared" si="127"/>
        <v>4.8</v>
      </c>
      <c r="F343" s="9">
        <f t="shared" si="128"/>
        <v>0.80042016806722693</v>
      </c>
      <c r="G343">
        <v>0</v>
      </c>
      <c r="H343">
        <v>19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4.8</v>
      </c>
      <c r="P343">
        <v>0</v>
      </c>
      <c r="Q343">
        <v>76.2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19.2</v>
      </c>
      <c r="AK343" t="s">
        <v>1</v>
      </c>
      <c r="AL343" t="s">
        <v>372</v>
      </c>
      <c r="AQ343" s="1">
        <f t="shared" si="149"/>
        <v>100</v>
      </c>
      <c r="AR343" s="1">
        <f t="shared" si="129"/>
        <v>4.8000000000000001E-2</v>
      </c>
      <c r="AS343" s="1">
        <f t="shared" si="130"/>
        <v>0</v>
      </c>
      <c r="AT343" s="1">
        <f t="shared" si="131"/>
        <v>0.19</v>
      </c>
      <c r="AU343" s="1">
        <f t="shared" si="132"/>
        <v>0.76200000000000001</v>
      </c>
      <c r="AV343" s="1">
        <f t="shared" si="133"/>
        <v>0.192</v>
      </c>
      <c r="AX343" s="1">
        <f t="shared" si="134"/>
        <v>4.0105263157894733</v>
      </c>
      <c r="AY343" s="1">
        <f t="shared" si="135"/>
        <v>0.25263157894736843</v>
      </c>
      <c r="AZ343" s="1">
        <f t="shared" si="136"/>
        <v>0.75065789473684208</v>
      </c>
      <c r="BA343" s="1">
        <f t="shared" si="137"/>
        <v>1.5026315789473683</v>
      </c>
      <c r="BB343" s="1">
        <f t="shared" si="138"/>
        <v>0.25263157894736843</v>
      </c>
      <c r="BC343" s="1">
        <f t="shared" si="139"/>
        <v>0.25263157894736843</v>
      </c>
      <c r="BD343" s="1">
        <f t="shared" si="140"/>
        <v>6.0631578947368425E-2</v>
      </c>
      <c r="BF343">
        <f t="shared" si="141"/>
        <v>19</v>
      </c>
      <c r="BG343">
        <f t="shared" si="151"/>
        <v>4.8</v>
      </c>
      <c r="BH343" s="1">
        <f t="shared" si="142"/>
        <v>4.0105263157894742</v>
      </c>
      <c r="BI343" s="1">
        <f t="shared" si="143"/>
        <v>0.25263157894736843</v>
      </c>
      <c r="BJ343" s="1">
        <f t="shared" si="144"/>
        <v>0.66620000000000001</v>
      </c>
      <c r="BK343" s="1">
        <f t="shared" si="145"/>
        <v>2.1092842105263161</v>
      </c>
      <c r="BL343" s="1">
        <f t="shared" si="146"/>
        <v>0.25263157894736843</v>
      </c>
      <c r="BM343" s="1">
        <f t="shared" si="147"/>
        <v>0.25263157894736843</v>
      </c>
      <c r="BN343" s="1">
        <f t="shared" si="150"/>
        <v>3.6761883656509699E-3</v>
      </c>
      <c r="BO343" s="1">
        <f t="shared" si="148"/>
        <v>4.6501008501824648E-2</v>
      </c>
    </row>
    <row r="344" spans="1:67" x14ac:dyDescent="0.25">
      <c r="A344" s="3"/>
      <c r="B344" s="3"/>
      <c r="C344" t="s">
        <v>169</v>
      </c>
      <c r="D344" s="5">
        <v>1</v>
      </c>
      <c r="E344" s="9">
        <f t="shared" si="127"/>
        <v>9.1</v>
      </c>
      <c r="F344" s="9">
        <f t="shared" si="128"/>
        <v>0.79977997799779976</v>
      </c>
      <c r="G344">
        <v>0</v>
      </c>
      <c r="H344">
        <v>18.2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9.1</v>
      </c>
      <c r="P344">
        <v>0</v>
      </c>
      <c r="Q344">
        <v>72.7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41.2</v>
      </c>
      <c r="AK344" t="s">
        <v>1</v>
      </c>
      <c r="AL344" t="s">
        <v>372</v>
      </c>
      <c r="AQ344" s="1">
        <f t="shared" si="149"/>
        <v>100</v>
      </c>
      <c r="AR344" s="1">
        <f t="shared" si="129"/>
        <v>9.0999999999999998E-2</v>
      </c>
      <c r="AS344" s="1">
        <f t="shared" si="130"/>
        <v>0</v>
      </c>
      <c r="AT344" s="1">
        <f t="shared" si="131"/>
        <v>0.182</v>
      </c>
      <c r="AU344" s="1">
        <f t="shared" si="132"/>
        <v>0.72699999999999998</v>
      </c>
      <c r="AV344" s="1">
        <f t="shared" si="133"/>
        <v>0.41200000000000003</v>
      </c>
      <c r="AX344" s="1">
        <f t="shared" si="134"/>
        <v>3.9945054945054945</v>
      </c>
      <c r="AY344" s="1">
        <f t="shared" si="135"/>
        <v>0.5</v>
      </c>
      <c r="AZ344" s="1">
        <f t="shared" si="136"/>
        <v>0.74965659340659341</v>
      </c>
      <c r="BA344" s="1">
        <f t="shared" si="137"/>
        <v>1.4986263736263736</v>
      </c>
      <c r="BB344" s="1">
        <f t="shared" si="138"/>
        <v>0.5</v>
      </c>
      <c r="BC344" s="1">
        <f t="shared" si="139"/>
        <v>0.5</v>
      </c>
      <c r="BD344" s="1">
        <f t="shared" si="140"/>
        <v>8.7999999999999967E-2</v>
      </c>
      <c r="BF344">
        <f t="shared" si="141"/>
        <v>18.2</v>
      </c>
      <c r="BG344">
        <f t="shared" si="151"/>
        <v>9.1</v>
      </c>
      <c r="BH344" s="1">
        <f t="shared" si="142"/>
        <v>3.994505494505495</v>
      </c>
      <c r="BI344" s="1">
        <f t="shared" si="143"/>
        <v>0.5</v>
      </c>
      <c r="BJ344" s="1">
        <f t="shared" si="144"/>
        <v>0.66589560439560436</v>
      </c>
      <c r="BK344" s="1">
        <f t="shared" si="145"/>
        <v>2.1012417582417586</v>
      </c>
      <c r="BL344" s="1">
        <f t="shared" si="146"/>
        <v>0.5</v>
      </c>
      <c r="BM344" s="1">
        <f t="shared" si="147"/>
        <v>0.5</v>
      </c>
      <c r="BN344" s="1">
        <f t="shared" si="150"/>
        <v>7.7439999999999939E-3</v>
      </c>
      <c r="BO344" s="1">
        <f t="shared" si="148"/>
        <v>1.9001535523330226E-5</v>
      </c>
    </row>
    <row r="345" spans="1:67" x14ac:dyDescent="0.25">
      <c r="A345" s="3"/>
      <c r="B345" s="3"/>
      <c r="C345" t="s">
        <v>170</v>
      </c>
      <c r="D345" s="5">
        <v>1</v>
      </c>
      <c r="E345" s="9">
        <f t="shared" si="127"/>
        <v>13</v>
      </c>
      <c r="F345" s="9">
        <f t="shared" si="128"/>
        <v>0.79999999999999993</v>
      </c>
      <c r="G345">
        <v>0</v>
      </c>
      <c r="H345">
        <v>17.399999999999999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13</v>
      </c>
      <c r="P345">
        <v>0</v>
      </c>
      <c r="Q345">
        <v>69.599999999999994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56.3</v>
      </c>
      <c r="AK345" t="s">
        <v>1</v>
      </c>
      <c r="AL345" t="s">
        <v>372</v>
      </c>
      <c r="AQ345" s="1">
        <f t="shared" si="149"/>
        <v>100</v>
      </c>
      <c r="AR345" s="1">
        <f t="shared" si="129"/>
        <v>0.13</v>
      </c>
      <c r="AS345" s="1">
        <f t="shared" si="130"/>
        <v>0</v>
      </c>
      <c r="AT345" s="1">
        <f t="shared" si="131"/>
        <v>0.17399999999999999</v>
      </c>
      <c r="AU345" s="1">
        <f t="shared" si="132"/>
        <v>0.69599999999999995</v>
      </c>
      <c r="AV345" s="1">
        <f t="shared" si="133"/>
        <v>0.56299999999999994</v>
      </c>
      <c r="AX345" s="1">
        <f t="shared" si="134"/>
        <v>4</v>
      </c>
      <c r="AY345" s="1">
        <f t="shared" si="135"/>
        <v>0.74712643678160928</v>
      </c>
      <c r="AZ345" s="1">
        <f t="shared" si="136"/>
        <v>0.75</v>
      </c>
      <c r="BA345" s="1">
        <f t="shared" si="137"/>
        <v>1.5</v>
      </c>
      <c r="BB345" s="1">
        <f t="shared" si="138"/>
        <v>0.74712643678160928</v>
      </c>
      <c r="BC345" s="1">
        <f t="shared" si="139"/>
        <v>0.74712643678160928</v>
      </c>
      <c r="BD345" s="1">
        <f t="shared" si="140"/>
        <v>0.18412643678160934</v>
      </c>
      <c r="BF345">
        <f t="shared" si="141"/>
        <v>17.399999999999999</v>
      </c>
      <c r="BG345">
        <f t="shared" si="151"/>
        <v>13</v>
      </c>
      <c r="BH345" s="1">
        <f t="shared" si="142"/>
        <v>4</v>
      </c>
      <c r="BI345" s="1">
        <f t="shared" si="143"/>
        <v>0.74712643678160928</v>
      </c>
      <c r="BJ345" s="1">
        <f t="shared" si="144"/>
        <v>0.66599999999999993</v>
      </c>
      <c r="BK345" s="1">
        <f t="shared" si="145"/>
        <v>2.1040000000000001</v>
      </c>
      <c r="BL345" s="1">
        <f t="shared" si="146"/>
        <v>0.66599999999999993</v>
      </c>
      <c r="BM345" s="1">
        <f t="shared" si="147"/>
        <v>0.66599999999999993</v>
      </c>
      <c r="BN345" s="1">
        <f t="shared" si="150"/>
        <v>1.0608999999999995E-2</v>
      </c>
      <c r="BO345" s="1">
        <f t="shared" si="148"/>
        <v>2.4136442208652863E-2</v>
      </c>
    </row>
    <row r="346" spans="1:67" x14ac:dyDescent="0.25">
      <c r="A346" s="3"/>
      <c r="B346" s="3"/>
      <c r="C346">
        <v>1</v>
      </c>
      <c r="D346" s="5">
        <v>1</v>
      </c>
      <c r="E346" s="9">
        <f t="shared" si="127"/>
        <v>50</v>
      </c>
      <c r="F346" s="9">
        <f t="shared" si="128"/>
        <v>0.5</v>
      </c>
      <c r="G346">
        <v>0</v>
      </c>
      <c r="H346">
        <v>25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50</v>
      </c>
      <c r="P346">
        <v>0</v>
      </c>
      <c r="Q346">
        <v>25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25</v>
      </c>
      <c r="AK346" t="s">
        <v>1</v>
      </c>
      <c r="AL346" t="s">
        <v>374</v>
      </c>
      <c r="AO346" t="s">
        <v>378</v>
      </c>
      <c r="AQ346" s="1">
        <f t="shared" si="149"/>
        <v>100</v>
      </c>
      <c r="AR346" s="1">
        <f t="shared" si="129"/>
        <v>0.5</v>
      </c>
      <c r="AS346" s="1">
        <f t="shared" si="130"/>
        <v>0</v>
      </c>
      <c r="AT346" s="1">
        <f t="shared" si="131"/>
        <v>0.25</v>
      </c>
      <c r="AU346" s="1">
        <f t="shared" si="132"/>
        <v>0.25</v>
      </c>
      <c r="AV346" s="1">
        <f t="shared" si="133"/>
        <v>0.25</v>
      </c>
      <c r="AX346" s="1">
        <f t="shared" si="134"/>
        <v>1</v>
      </c>
      <c r="AY346" s="1">
        <f t="shared" si="135"/>
        <v>2</v>
      </c>
      <c r="AZ346" s="1">
        <f t="shared" si="136"/>
        <v>0.5625</v>
      </c>
      <c r="BA346" s="1">
        <f t="shared" si="137"/>
        <v>0.75</v>
      </c>
      <c r="BB346" s="1">
        <f t="shared" si="138"/>
        <v>0.25</v>
      </c>
      <c r="BC346" s="1">
        <f t="shared" si="139"/>
        <v>0.25</v>
      </c>
      <c r="BD346" s="1">
        <f t="shared" si="140"/>
        <v>0</v>
      </c>
      <c r="BF346">
        <f t="shared" si="141"/>
        <v>25</v>
      </c>
      <c r="BG346">
        <f t="shared" si="151"/>
        <v>50</v>
      </c>
      <c r="BH346" s="1">
        <f t="shared" si="142"/>
        <v>1</v>
      </c>
      <c r="BI346" s="1">
        <f t="shared" si="143"/>
        <v>2</v>
      </c>
      <c r="BJ346" s="1">
        <f t="shared" si="144"/>
        <v>0.60899999999999999</v>
      </c>
      <c r="BK346" s="1">
        <f t="shared" si="145"/>
        <v>0.59799999999999998</v>
      </c>
      <c r="BL346" s="1">
        <f t="shared" si="146"/>
        <v>0.25849999999999995</v>
      </c>
      <c r="BM346" s="1">
        <f t="shared" si="147"/>
        <v>0.25849999999999995</v>
      </c>
      <c r="BN346" s="1">
        <f t="shared" si="150"/>
        <v>7.2249999999999181E-5</v>
      </c>
      <c r="BO346" s="1">
        <f t="shared" si="148"/>
        <v>2.4850661210708846E-2</v>
      </c>
    </row>
    <row r="347" spans="1:67" x14ac:dyDescent="0.25">
      <c r="A347" s="3"/>
      <c r="B347" s="3"/>
      <c r="C347">
        <v>2</v>
      </c>
      <c r="D347" s="5">
        <v>1</v>
      </c>
      <c r="E347" s="9">
        <f t="shared" si="127"/>
        <v>55.555555555555557</v>
      </c>
      <c r="F347" s="9">
        <f t="shared" si="128"/>
        <v>0.5</v>
      </c>
      <c r="G347">
        <v>0</v>
      </c>
      <c r="H347">
        <v>22.222222222222221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55.555555555555557</v>
      </c>
      <c r="P347">
        <v>0</v>
      </c>
      <c r="Q347">
        <v>22.222222222222221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13</v>
      </c>
      <c r="AK347" t="s">
        <v>1</v>
      </c>
      <c r="AL347" t="s">
        <v>374</v>
      </c>
      <c r="AQ347" s="1">
        <f t="shared" si="149"/>
        <v>100</v>
      </c>
      <c r="AR347" s="1">
        <f t="shared" si="129"/>
        <v>0.55555555555555558</v>
      </c>
      <c r="AS347" s="1">
        <f t="shared" si="130"/>
        <v>0</v>
      </c>
      <c r="AT347" s="1">
        <f t="shared" si="131"/>
        <v>0.22222222222222221</v>
      </c>
      <c r="AU347" s="1">
        <f t="shared" si="132"/>
        <v>0.22222222222222221</v>
      </c>
      <c r="AV347" s="1">
        <f t="shared" si="133"/>
        <v>0.13</v>
      </c>
      <c r="AX347" s="1">
        <f t="shared" si="134"/>
        <v>1</v>
      </c>
      <c r="AY347" s="1">
        <f t="shared" si="135"/>
        <v>2.5000000000000004</v>
      </c>
      <c r="AZ347" s="1">
        <f t="shared" si="136"/>
        <v>0.5625</v>
      </c>
      <c r="BA347" s="1">
        <f t="shared" si="137"/>
        <v>0.75</v>
      </c>
      <c r="BB347" s="1">
        <f t="shared" si="138"/>
        <v>0.12499999999999989</v>
      </c>
      <c r="BC347" s="1">
        <f t="shared" si="139"/>
        <v>0.12499999999999989</v>
      </c>
      <c r="BD347" s="1">
        <f t="shared" si="140"/>
        <v>5.0000000000001155E-3</v>
      </c>
      <c r="BF347">
        <f t="shared" si="141"/>
        <v>22.222222222222221</v>
      </c>
      <c r="BG347">
        <f t="shared" si="151"/>
        <v>55.555555555555557</v>
      </c>
      <c r="BH347" s="1">
        <f t="shared" si="142"/>
        <v>1</v>
      </c>
      <c r="BI347" s="1">
        <f t="shared" si="143"/>
        <v>2.5</v>
      </c>
      <c r="BJ347" s="1">
        <f t="shared" si="144"/>
        <v>0.60899999999999999</v>
      </c>
      <c r="BK347" s="1">
        <f t="shared" si="145"/>
        <v>0.59799999999999998</v>
      </c>
      <c r="BL347" s="1">
        <f t="shared" si="146"/>
        <v>0.13349999999999995</v>
      </c>
      <c r="BM347" s="1">
        <f t="shared" si="147"/>
        <v>0.13349999999999995</v>
      </c>
      <c r="BN347" s="1">
        <f t="shared" si="150"/>
        <v>1.2249999999999634E-5</v>
      </c>
      <c r="BO347" s="1">
        <f t="shared" si="148"/>
        <v>7.7084483192327746E-2</v>
      </c>
    </row>
    <row r="348" spans="1:67" x14ac:dyDescent="0.25">
      <c r="A348" s="3"/>
      <c r="B348" s="3"/>
      <c r="C348">
        <v>3</v>
      </c>
      <c r="D348" s="5">
        <v>1</v>
      </c>
      <c r="E348" s="9">
        <f t="shared" si="127"/>
        <v>60</v>
      </c>
      <c r="F348" s="9">
        <f t="shared" si="128"/>
        <v>0.5</v>
      </c>
      <c r="G348">
        <v>0</v>
      </c>
      <c r="H348">
        <v>20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60</v>
      </c>
      <c r="P348">
        <v>0</v>
      </c>
      <c r="Q348">
        <v>20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</v>
      </c>
      <c r="AK348" t="s">
        <v>1</v>
      </c>
      <c r="AL348" t="s">
        <v>374</v>
      </c>
      <c r="AQ348" s="1">
        <f t="shared" si="149"/>
        <v>100</v>
      </c>
      <c r="AR348" s="1">
        <f t="shared" si="129"/>
        <v>0.6</v>
      </c>
      <c r="AS348" s="1">
        <f t="shared" si="130"/>
        <v>0</v>
      </c>
      <c r="AT348" s="1">
        <f t="shared" si="131"/>
        <v>0.2</v>
      </c>
      <c r="AU348" s="1">
        <f t="shared" si="132"/>
        <v>0.2</v>
      </c>
      <c r="AV348" s="1">
        <f t="shared" si="133"/>
        <v>0.03</v>
      </c>
      <c r="AX348" s="1">
        <f t="shared" si="134"/>
        <v>1</v>
      </c>
      <c r="AY348" s="1">
        <f t="shared" si="135"/>
        <v>2.9999999999999996</v>
      </c>
      <c r="AZ348" s="1">
        <f t="shared" si="136"/>
        <v>0.5625</v>
      </c>
      <c r="BA348" s="1">
        <f t="shared" si="137"/>
        <v>0.75</v>
      </c>
      <c r="BB348" s="1">
        <f t="shared" si="138"/>
        <v>1.1102230246251565E-16</v>
      </c>
      <c r="BC348" s="1">
        <f t="shared" si="139"/>
        <v>1.1102230246251565E-16</v>
      </c>
      <c r="BD348" s="1">
        <f t="shared" si="140"/>
        <v>2.9999999999999888E-2</v>
      </c>
      <c r="BF348">
        <f t="shared" si="141"/>
        <v>20</v>
      </c>
      <c r="BG348">
        <f t="shared" si="151"/>
        <v>60</v>
      </c>
      <c r="BH348" s="1">
        <f t="shared" si="142"/>
        <v>1</v>
      </c>
      <c r="BI348" s="1">
        <f t="shared" si="143"/>
        <v>3</v>
      </c>
      <c r="BJ348" s="1">
        <f t="shared" si="144"/>
        <v>0.60899999999999999</v>
      </c>
      <c r="BK348" s="1">
        <f t="shared" si="145"/>
        <v>0.59799999999999998</v>
      </c>
      <c r="BL348" s="1">
        <f t="shared" si="146"/>
        <v>8.499999999999952E-3</v>
      </c>
      <c r="BM348" s="1">
        <f t="shared" si="147"/>
        <v>8.499999999999952E-3</v>
      </c>
      <c r="BN348" s="1">
        <f t="shared" si="150"/>
        <v>4.6225000000000199E-4</v>
      </c>
      <c r="BO348" s="1">
        <f t="shared" si="148"/>
        <v>0.14261266817701015</v>
      </c>
    </row>
    <row r="349" spans="1:67" x14ac:dyDescent="0.25">
      <c r="A349" s="3"/>
      <c r="B349" s="3"/>
      <c r="C349">
        <v>4</v>
      </c>
      <c r="D349" s="5">
        <v>1</v>
      </c>
      <c r="E349" s="9">
        <f t="shared" si="127"/>
        <v>66.666666666666657</v>
      </c>
      <c r="F349" s="9">
        <f t="shared" si="128"/>
        <v>0.5</v>
      </c>
      <c r="G349">
        <v>0</v>
      </c>
      <c r="H349">
        <v>16.666666666666661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66.666666666666657</v>
      </c>
      <c r="P349">
        <v>0</v>
      </c>
      <c r="Q349">
        <v>16.666666666666661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1</v>
      </c>
      <c r="AL349" t="s">
        <v>374</v>
      </c>
      <c r="AQ349" s="1">
        <f t="shared" si="149"/>
        <v>99.999999999999972</v>
      </c>
      <c r="AR349" s="1">
        <f t="shared" si="129"/>
        <v>0.66666666666666652</v>
      </c>
      <c r="AS349" s="1">
        <f t="shared" si="130"/>
        <v>0</v>
      </c>
      <c r="AT349" s="1">
        <f t="shared" si="131"/>
        <v>0.1666666666666666</v>
      </c>
      <c r="AU349" s="1">
        <f t="shared" si="132"/>
        <v>0.1666666666666666</v>
      </c>
      <c r="AV349" s="1">
        <f t="shared" si="133"/>
        <v>0</v>
      </c>
      <c r="AX349" s="1">
        <f t="shared" si="134"/>
        <v>1</v>
      </c>
      <c r="AY349" s="1">
        <f t="shared" si="135"/>
        <v>4.0000000000000009</v>
      </c>
      <c r="AZ349" s="1">
        <f t="shared" si="136"/>
        <v>0.5625</v>
      </c>
      <c r="BA349" s="1">
        <f t="shared" si="137"/>
        <v>0.75</v>
      </c>
      <c r="BB349" s="1">
        <f t="shared" si="138"/>
        <v>-0.25000000000000022</v>
      </c>
      <c r="BC349" s="1">
        <f t="shared" si="139"/>
        <v>-0.25000000000000022</v>
      </c>
      <c r="BD349" s="1">
        <f t="shared" si="140"/>
        <v>0.25000000000000022</v>
      </c>
      <c r="BF349">
        <f t="shared" si="141"/>
        <v>16.666666666666661</v>
      </c>
      <c r="BG349">
        <f t="shared" si="151"/>
        <v>66.666666666666657</v>
      </c>
      <c r="BH349" s="1">
        <f t="shared" si="142"/>
        <v>1</v>
      </c>
      <c r="BI349" s="1">
        <f t="shared" si="143"/>
        <v>4.0000000000000009</v>
      </c>
      <c r="BJ349" s="1">
        <f t="shared" si="144"/>
        <v>0.60899999999999999</v>
      </c>
      <c r="BK349" s="1">
        <f t="shared" si="145"/>
        <v>0.59799999999999998</v>
      </c>
      <c r="BL349" s="1">
        <f t="shared" si="146"/>
        <v>-0.24150000000000027</v>
      </c>
      <c r="BM349" s="1">
        <f t="shared" si="147"/>
        <v>0</v>
      </c>
      <c r="BN349" s="1">
        <f t="shared" si="150"/>
        <v>0</v>
      </c>
      <c r="BO349" s="1">
        <f t="shared" si="148"/>
        <v>0.16617112367241488</v>
      </c>
    </row>
    <row r="350" spans="1:67" x14ac:dyDescent="0.25">
      <c r="A350" s="3"/>
      <c r="B350" s="3"/>
      <c r="C350">
        <v>5</v>
      </c>
      <c r="D350" s="5">
        <v>1</v>
      </c>
      <c r="E350" s="9">
        <f t="shared" si="127"/>
        <v>33.333333333333329</v>
      </c>
      <c r="F350" s="9">
        <f t="shared" si="128"/>
        <v>0.66666666666666674</v>
      </c>
      <c r="G350">
        <v>0</v>
      </c>
      <c r="H350">
        <v>22.222222222222221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33.333333333333329</v>
      </c>
      <c r="P350">
        <v>0</v>
      </c>
      <c r="Q350">
        <v>44.444444444444443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52</v>
      </c>
      <c r="AK350" t="s">
        <v>1</v>
      </c>
      <c r="AL350" t="s">
        <v>374</v>
      </c>
      <c r="AQ350" s="1">
        <f t="shared" si="149"/>
        <v>100</v>
      </c>
      <c r="AR350" s="1">
        <f t="shared" si="129"/>
        <v>0.33333333333333326</v>
      </c>
      <c r="AS350" s="1">
        <f t="shared" si="130"/>
        <v>0</v>
      </c>
      <c r="AT350" s="1">
        <f t="shared" si="131"/>
        <v>0.22222222222222221</v>
      </c>
      <c r="AU350" s="1">
        <f t="shared" si="132"/>
        <v>0.44444444444444442</v>
      </c>
      <c r="AV350" s="1">
        <f t="shared" si="133"/>
        <v>0.52</v>
      </c>
      <c r="AX350" s="1">
        <f t="shared" si="134"/>
        <v>2</v>
      </c>
      <c r="AY350" s="1">
        <f t="shared" si="135"/>
        <v>1.4999999999999998</v>
      </c>
      <c r="AZ350" s="1">
        <f t="shared" si="136"/>
        <v>0.625</v>
      </c>
      <c r="BA350" s="1">
        <f t="shared" si="137"/>
        <v>1</v>
      </c>
      <c r="BB350" s="1">
        <f t="shared" si="138"/>
        <v>0.52083333333333337</v>
      </c>
      <c r="BC350" s="1">
        <f t="shared" si="139"/>
        <v>0.52083333333333337</v>
      </c>
      <c r="BD350" s="1">
        <f t="shared" si="140"/>
        <v>8.3333333333335258E-4</v>
      </c>
      <c r="BF350">
        <f t="shared" si="141"/>
        <v>22.222222222222221</v>
      </c>
      <c r="BG350">
        <f t="shared" si="151"/>
        <v>33.333333333333329</v>
      </c>
      <c r="BH350" s="1">
        <f t="shared" si="142"/>
        <v>2</v>
      </c>
      <c r="BI350" s="1">
        <f t="shared" si="143"/>
        <v>1.4999999999999998</v>
      </c>
      <c r="BJ350" s="1">
        <f t="shared" si="144"/>
        <v>0.628</v>
      </c>
      <c r="BK350" s="1">
        <f t="shared" si="145"/>
        <v>1.1000000000000001</v>
      </c>
      <c r="BL350" s="1">
        <f t="shared" si="146"/>
        <v>0.54466666666666674</v>
      </c>
      <c r="BM350" s="1">
        <f t="shared" si="147"/>
        <v>0.54466666666666674</v>
      </c>
      <c r="BN350" s="1">
        <f t="shared" si="150"/>
        <v>6.0844444444444737E-4</v>
      </c>
      <c r="BO350" s="1">
        <f t="shared" si="148"/>
        <v>1.2624561752066324E-2</v>
      </c>
    </row>
    <row r="351" spans="1:67" x14ac:dyDescent="0.25">
      <c r="A351" s="3"/>
      <c r="B351" s="3"/>
      <c r="C351">
        <v>6</v>
      </c>
      <c r="D351" s="5">
        <v>1</v>
      </c>
      <c r="E351" s="9">
        <f t="shared" si="127"/>
        <v>40</v>
      </c>
      <c r="F351" s="9">
        <f t="shared" si="128"/>
        <v>0.66666666666666663</v>
      </c>
      <c r="G351">
        <v>0</v>
      </c>
      <c r="H351">
        <v>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40</v>
      </c>
      <c r="P351">
        <v>0</v>
      </c>
      <c r="Q351">
        <v>40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43</v>
      </c>
      <c r="AK351" t="s">
        <v>1</v>
      </c>
      <c r="AL351" t="s">
        <v>374</v>
      </c>
      <c r="AQ351" s="1">
        <f t="shared" si="149"/>
        <v>100</v>
      </c>
      <c r="AR351" s="1">
        <f t="shared" si="129"/>
        <v>0.4</v>
      </c>
      <c r="AS351" s="1">
        <f t="shared" si="130"/>
        <v>0</v>
      </c>
      <c r="AT351" s="1">
        <f t="shared" si="131"/>
        <v>0.2</v>
      </c>
      <c r="AU351" s="1">
        <f t="shared" si="132"/>
        <v>0.4</v>
      </c>
      <c r="AV351" s="1">
        <f t="shared" si="133"/>
        <v>0.43</v>
      </c>
      <c r="AX351" s="1">
        <f t="shared" si="134"/>
        <v>2</v>
      </c>
      <c r="AY351" s="1">
        <f t="shared" si="135"/>
        <v>2</v>
      </c>
      <c r="AZ351" s="1">
        <f t="shared" si="136"/>
        <v>0.625</v>
      </c>
      <c r="BA351" s="1">
        <f t="shared" si="137"/>
        <v>1</v>
      </c>
      <c r="BB351" s="1">
        <f t="shared" si="138"/>
        <v>0.41666666666666663</v>
      </c>
      <c r="BC351" s="1">
        <f t="shared" si="139"/>
        <v>0.41666666666666663</v>
      </c>
      <c r="BD351" s="1">
        <f t="shared" si="140"/>
        <v>1.3333333333333364E-2</v>
      </c>
      <c r="BF351">
        <f t="shared" si="141"/>
        <v>20</v>
      </c>
      <c r="BG351">
        <f t="shared" si="151"/>
        <v>40</v>
      </c>
      <c r="BH351" s="1">
        <f t="shared" si="142"/>
        <v>2</v>
      </c>
      <c r="BI351" s="1">
        <f t="shared" si="143"/>
        <v>2</v>
      </c>
      <c r="BJ351" s="1">
        <f t="shared" si="144"/>
        <v>0.628</v>
      </c>
      <c r="BK351" s="1">
        <f t="shared" si="145"/>
        <v>1.1000000000000001</v>
      </c>
      <c r="BL351" s="1">
        <f t="shared" si="146"/>
        <v>0.4405</v>
      </c>
      <c r="BM351" s="1">
        <f t="shared" si="147"/>
        <v>0.4405</v>
      </c>
      <c r="BN351" s="1">
        <f t="shared" si="150"/>
        <v>1.102500000000002E-4</v>
      </c>
      <c r="BO351" s="1">
        <f t="shared" si="148"/>
        <v>4.9992823828049458E-4</v>
      </c>
    </row>
    <row r="352" spans="1:67" x14ac:dyDescent="0.25">
      <c r="A352" s="3"/>
      <c r="B352" s="3"/>
      <c r="C352">
        <v>7</v>
      </c>
      <c r="D352" s="5">
        <v>1</v>
      </c>
      <c r="E352" s="9">
        <f t="shared" si="127"/>
        <v>45.454545454545453</v>
      </c>
      <c r="F352" s="9">
        <f t="shared" si="128"/>
        <v>0.66666666666666674</v>
      </c>
      <c r="G352">
        <v>0</v>
      </c>
      <c r="H352">
        <v>18.18181818181818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45.454545454545453</v>
      </c>
      <c r="P352">
        <v>0</v>
      </c>
      <c r="Q352">
        <v>36.363636363636367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35</v>
      </c>
      <c r="AK352" t="s">
        <v>1</v>
      </c>
      <c r="AL352" t="s">
        <v>374</v>
      </c>
      <c r="AQ352" s="1">
        <f t="shared" si="149"/>
        <v>100</v>
      </c>
      <c r="AR352" s="1">
        <f t="shared" si="129"/>
        <v>0.45454545454545453</v>
      </c>
      <c r="AS352" s="1">
        <f t="shared" si="130"/>
        <v>0</v>
      </c>
      <c r="AT352" s="1">
        <f t="shared" si="131"/>
        <v>0.1818181818181818</v>
      </c>
      <c r="AU352" s="1">
        <f t="shared" si="132"/>
        <v>0.36363636363636365</v>
      </c>
      <c r="AV352" s="1">
        <f t="shared" si="133"/>
        <v>0.35</v>
      </c>
      <c r="AX352" s="1">
        <f t="shared" si="134"/>
        <v>2.0000000000000004</v>
      </c>
      <c r="AY352" s="1">
        <f t="shared" si="135"/>
        <v>2.5000000000000004</v>
      </c>
      <c r="AZ352" s="1">
        <f t="shared" si="136"/>
        <v>0.625</v>
      </c>
      <c r="BA352" s="1">
        <f t="shared" si="137"/>
        <v>1</v>
      </c>
      <c r="BB352" s="1">
        <f t="shared" si="138"/>
        <v>0.31249999999999994</v>
      </c>
      <c r="BC352" s="1">
        <f t="shared" si="139"/>
        <v>0.31249999999999994</v>
      </c>
      <c r="BD352" s="1">
        <f t="shared" si="140"/>
        <v>3.7500000000000033E-2</v>
      </c>
      <c r="BF352">
        <f t="shared" si="141"/>
        <v>18.18181818181818</v>
      </c>
      <c r="BG352">
        <f t="shared" si="151"/>
        <v>45.454545454545453</v>
      </c>
      <c r="BH352" s="1">
        <f t="shared" si="142"/>
        <v>2.0000000000000004</v>
      </c>
      <c r="BI352" s="1">
        <f t="shared" si="143"/>
        <v>2.5</v>
      </c>
      <c r="BJ352" s="1">
        <f t="shared" si="144"/>
        <v>0.628</v>
      </c>
      <c r="BK352" s="1">
        <f t="shared" si="145"/>
        <v>1.1000000000000003</v>
      </c>
      <c r="BL352" s="1">
        <f t="shared" si="146"/>
        <v>0.33633333333333343</v>
      </c>
      <c r="BM352" s="1">
        <f t="shared" si="147"/>
        <v>0.33633333333333343</v>
      </c>
      <c r="BN352" s="1">
        <f t="shared" si="150"/>
        <v>1.8677777777777456E-4</v>
      </c>
      <c r="BO352" s="1">
        <f t="shared" si="148"/>
        <v>3.3224762260264311E-3</v>
      </c>
    </row>
    <row r="353" spans="1:67" x14ac:dyDescent="0.25">
      <c r="A353" s="3"/>
      <c r="B353" s="3"/>
      <c r="C353">
        <v>8</v>
      </c>
      <c r="D353" s="5">
        <v>1</v>
      </c>
      <c r="E353" s="9">
        <f t="shared" si="127"/>
        <v>50</v>
      </c>
      <c r="F353" s="9">
        <f t="shared" si="128"/>
        <v>0.66666666666666674</v>
      </c>
      <c r="G353">
        <v>0</v>
      </c>
      <c r="H353">
        <v>16.666666666666661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50</v>
      </c>
      <c r="P353">
        <v>0</v>
      </c>
      <c r="Q353">
        <v>33.333333333333329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22</v>
      </c>
      <c r="AK353" t="s">
        <v>1</v>
      </c>
      <c r="AL353" t="s">
        <v>374</v>
      </c>
      <c r="AQ353" s="1">
        <f t="shared" si="149"/>
        <v>99.999999999999986</v>
      </c>
      <c r="AR353" s="1">
        <f t="shared" si="129"/>
        <v>0.5</v>
      </c>
      <c r="AS353" s="1">
        <f t="shared" si="130"/>
        <v>0</v>
      </c>
      <c r="AT353" s="1">
        <f t="shared" si="131"/>
        <v>0.1666666666666666</v>
      </c>
      <c r="AU353" s="1">
        <f t="shared" si="132"/>
        <v>0.33333333333333326</v>
      </c>
      <c r="AV353" s="1">
        <f t="shared" si="133"/>
        <v>0.22</v>
      </c>
      <c r="AX353" s="1">
        <f t="shared" si="134"/>
        <v>2.0000000000000004</v>
      </c>
      <c r="AY353" s="1">
        <f t="shared" si="135"/>
        <v>3.0000000000000013</v>
      </c>
      <c r="AZ353" s="1">
        <f t="shared" si="136"/>
        <v>0.625</v>
      </c>
      <c r="BA353" s="1">
        <f t="shared" si="137"/>
        <v>1</v>
      </c>
      <c r="BB353" s="1">
        <f t="shared" si="138"/>
        <v>0.20833333333333304</v>
      </c>
      <c r="BC353" s="1">
        <f t="shared" si="139"/>
        <v>0.20833333333333304</v>
      </c>
      <c r="BD353" s="1">
        <f t="shared" si="140"/>
        <v>1.1666666666666964E-2</v>
      </c>
      <c r="BF353">
        <f t="shared" si="141"/>
        <v>16.666666666666661</v>
      </c>
      <c r="BG353">
        <f t="shared" si="151"/>
        <v>50</v>
      </c>
      <c r="BH353" s="1">
        <f t="shared" si="142"/>
        <v>2.0000000000000004</v>
      </c>
      <c r="BI353" s="1">
        <f t="shared" si="143"/>
        <v>3.0000000000000009</v>
      </c>
      <c r="BJ353" s="1">
        <f t="shared" si="144"/>
        <v>0.628</v>
      </c>
      <c r="BK353" s="1">
        <f t="shared" si="145"/>
        <v>1.1000000000000003</v>
      </c>
      <c r="BL353" s="1">
        <f t="shared" si="146"/>
        <v>0.23216666666666652</v>
      </c>
      <c r="BM353" s="1">
        <f t="shared" si="147"/>
        <v>0.23216666666666652</v>
      </c>
      <c r="BN353" s="1">
        <f t="shared" si="150"/>
        <v>1.4802777777777422E-4</v>
      </c>
      <c r="BO353" s="1">
        <f t="shared" si="148"/>
        <v>3.5209116706113569E-2</v>
      </c>
    </row>
    <row r="354" spans="1:67" x14ac:dyDescent="0.25">
      <c r="A354" s="3"/>
      <c r="B354" s="3"/>
      <c r="C354">
        <v>9</v>
      </c>
      <c r="D354" s="5">
        <v>1</v>
      </c>
      <c r="E354" s="9">
        <f t="shared" si="127"/>
        <v>57.142857142857139</v>
      </c>
      <c r="F354" s="9">
        <f t="shared" si="128"/>
        <v>0.66666666666666674</v>
      </c>
      <c r="G354">
        <v>0</v>
      </c>
      <c r="H354">
        <v>14.285714285714279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57.142857142857139</v>
      </c>
      <c r="P354">
        <v>0</v>
      </c>
      <c r="Q354">
        <v>28.571428571428569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</v>
      </c>
      <c r="AK354" t="s">
        <v>1</v>
      </c>
      <c r="AL354" t="s">
        <v>374</v>
      </c>
      <c r="AQ354" s="1">
        <f t="shared" si="149"/>
        <v>99.999999999999986</v>
      </c>
      <c r="AR354" s="1">
        <f t="shared" si="129"/>
        <v>0.5714285714285714</v>
      </c>
      <c r="AS354" s="1">
        <f t="shared" si="130"/>
        <v>0</v>
      </c>
      <c r="AT354" s="1">
        <f t="shared" si="131"/>
        <v>0.14285714285714279</v>
      </c>
      <c r="AU354" s="1">
        <f t="shared" si="132"/>
        <v>0.2857142857142857</v>
      </c>
      <c r="AV354" s="1">
        <f t="shared" si="133"/>
        <v>0.02</v>
      </c>
      <c r="AX354" s="1">
        <f t="shared" si="134"/>
        <v>2.0000000000000009</v>
      </c>
      <c r="AY354" s="1">
        <f t="shared" si="135"/>
        <v>4.0000000000000018</v>
      </c>
      <c r="AZ354" s="1">
        <f t="shared" si="136"/>
        <v>0.625</v>
      </c>
      <c r="BA354" s="1">
        <f t="shared" si="137"/>
        <v>1.0000000000000002</v>
      </c>
      <c r="BB354" s="1">
        <f t="shared" si="138"/>
        <v>-2.2204460492503131E-16</v>
      </c>
      <c r="BC354" s="1">
        <f t="shared" si="139"/>
        <v>-2.2204460492503131E-16</v>
      </c>
      <c r="BD354" s="1">
        <f t="shared" si="140"/>
        <v>2.0000000000000222E-2</v>
      </c>
      <c r="BF354">
        <f t="shared" si="141"/>
        <v>14.285714285714279</v>
      </c>
      <c r="BG354">
        <f t="shared" si="151"/>
        <v>57.142857142857139</v>
      </c>
      <c r="BH354" s="1">
        <f t="shared" si="142"/>
        <v>2.0000000000000009</v>
      </c>
      <c r="BI354" s="1">
        <f t="shared" si="143"/>
        <v>4.0000000000000018</v>
      </c>
      <c r="BJ354" s="1">
        <f t="shared" si="144"/>
        <v>0.628</v>
      </c>
      <c r="BK354" s="1">
        <f t="shared" si="145"/>
        <v>1.1000000000000005</v>
      </c>
      <c r="BL354" s="1">
        <f t="shared" si="146"/>
        <v>2.3833333333333262E-2</v>
      </c>
      <c r="BM354" s="1">
        <f t="shared" si="147"/>
        <v>2.3833333333333262E-2</v>
      </c>
      <c r="BN354" s="1">
        <f t="shared" si="150"/>
        <v>1.4694444444443895E-5</v>
      </c>
      <c r="BO354" s="1">
        <f t="shared" si="148"/>
        <v>0.1502654866754784</v>
      </c>
    </row>
    <row r="355" spans="1:67" x14ac:dyDescent="0.25">
      <c r="A355" s="3"/>
      <c r="B355" s="3"/>
      <c r="C355">
        <v>10</v>
      </c>
      <c r="D355" s="5">
        <v>1</v>
      </c>
      <c r="E355" s="9">
        <f t="shared" si="127"/>
        <v>62.5</v>
      </c>
      <c r="F355" s="9">
        <f t="shared" si="128"/>
        <v>0.66666666666666663</v>
      </c>
      <c r="G355">
        <v>0</v>
      </c>
      <c r="H355">
        <v>12.5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62.5</v>
      </c>
      <c r="P355">
        <v>0</v>
      </c>
      <c r="Q355">
        <v>25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1</v>
      </c>
      <c r="AL355" t="s">
        <v>374</v>
      </c>
      <c r="AQ355" s="1">
        <f t="shared" si="149"/>
        <v>100</v>
      </c>
      <c r="AR355" s="1">
        <f t="shared" si="129"/>
        <v>0.625</v>
      </c>
      <c r="AS355" s="1">
        <f t="shared" si="130"/>
        <v>0</v>
      </c>
      <c r="AT355" s="1">
        <f t="shared" si="131"/>
        <v>0.125</v>
      </c>
      <c r="AU355" s="1">
        <f t="shared" si="132"/>
        <v>0.25</v>
      </c>
      <c r="AV355" s="1">
        <f t="shared" si="133"/>
        <v>0</v>
      </c>
      <c r="AX355" s="1">
        <f t="shared" si="134"/>
        <v>2</v>
      </c>
      <c r="AY355" s="1">
        <f t="shared" si="135"/>
        <v>5</v>
      </c>
      <c r="AZ355" s="1">
        <f t="shared" si="136"/>
        <v>0.625</v>
      </c>
      <c r="BA355" s="1">
        <f t="shared" si="137"/>
        <v>1</v>
      </c>
      <c r="BB355" s="1">
        <f t="shared" si="138"/>
        <v>-0.20833333333333337</v>
      </c>
      <c r="BC355" s="1">
        <f t="shared" si="139"/>
        <v>-0.20833333333333337</v>
      </c>
      <c r="BD355" s="1">
        <f t="shared" si="140"/>
        <v>0.20833333333333337</v>
      </c>
      <c r="BF355">
        <f t="shared" si="141"/>
        <v>12.5</v>
      </c>
      <c r="BG355">
        <f t="shared" si="151"/>
        <v>62.5</v>
      </c>
      <c r="BH355" s="1">
        <f t="shared" si="142"/>
        <v>2</v>
      </c>
      <c r="BI355" s="1">
        <f t="shared" si="143"/>
        <v>5</v>
      </c>
      <c r="BJ355" s="1">
        <f t="shared" si="144"/>
        <v>0.628</v>
      </c>
      <c r="BK355" s="1">
        <f t="shared" si="145"/>
        <v>1.1000000000000001</v>
      </c>
      <c r="BL355" s="1">
        <f t="shared" si="146"/>
        <v>-0.1845</v>
      </c>
      <c r="BM355" s="1">
        <f t="shared" si="147"/>
        <v>0</v>
      </c>
      <c r="BN355" s="1">
        <f t="shared" si="150"/>
        <v>0</v>
      </c>
      <c r="BO355" s="1">
        <f t="shared" si="148"/>
        <v>0.16617112367241488</v>
      </c>
    </row>
    <row r="356" spans="1:67" x14ac:dyDescent="0.25">
      <c r="A356" s="3"/>
      <c r="B356" s="3"/>
      <c r="C356">
        <v>11</v>
      </c>
      <c r="D356" s="5">
        <v>1</v>
      </c>
      <c r="E356" s="9">
        <f t="shared" si="127"/>
        <v>27.27272727272727</v>
      </c>
      <c r="F356" s="9">
        <f t="shared" si="128"/>
        <v>0.75</v>
      </c>
      <c r="G356">
        <v>0</v>
      </c>
      <c r="H356">
        <v>18.18181818181818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27.27272727272727</v>
      </c>
      <c r="P356">
        <v>0</v>
      </c>
      <c r="Q356">
        <v>54.54545454545454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64</v>
      </c>
      <c r="AK356" t="s">
        <v>1</v>
      </c>
      <c r="AL356" t="s">
        <v>374</v>
      </c>
      <c r="AQ356" s="1">
        <f t="shared" si="149"/>
        <v>100</v>
      </c>
      <c r="AR356" s="1">
        <f t="shared" si="129"/>
        <v>0.27272727272727271</v>
      </c>
      <c r="AS356" s="1">
        <f t="shared" si="130"/>
        <v>0</v>
      </c>
      <c r="AT356" s="1">
        <f t="shared" si="131"/>
        <v>0.1818181818181818</v>
      </c>
      <c r="AU356" s="1">
        <f t="shared" si="132"/>
        <v>0.54545454545454541</v>
      </c>
      <c r="AV356" s="1">
        <f t="shared" si="133"/>
        <v>0.64</v>
      </c>
      <c r="AX356" s="1">
        <f t="shared" si="134"/>
        <v>3</v>
      </c>
      <c r="AY356" s="1">
        <f t="shared" si="135"/>
        <v>1.5</v>
      </c>
      <c r="AZ356" s="1">
        <f t="shared" si="136"/>
        <v>0.6875</v>
      </c>
      <c r="BA356" s="1">
        <f t="shared" si="137"/>
        <v>1.25</v>
      </c>
      <c r="BB356" s="1">
        <f t="shared" si="138"/>
        <v>0.64166666666666672</v>
      </c>
      <c r="BC356" s="1">
        <f t="shared" si="139"/>
        <v>0.64166666666666672</v>
      </c>
      <c r="BD356" s="1">
        <f t="shared" si="140"/>
        <v>1.6666666666667052E-3</v>
      </c>
      <c r="BF356">
        <f t="shared" si="141"/>
        <v>18.18181818181818</v>
      </c>
      <c r="BG356">
        <f t="shared" si="151"/>
        <v>27.27272727272727</v>
      </c>
      <c r="BH356" s="1">
        <f t="shared" si="142"/>
        <v>3</v>
      </c>
      <c r="BI356" s="1">
        <f t="shared" si="143"/>
        <v>1.5</v>
      </c>
      <c r="BJ356" s="1">
        <f t="shared" si="144"/>
        <v>0.64700000000000002</v>
      </c>
      <c r="BK356" s="1">
        <f t="shared" si="145"/>
        <v>1.6020000000000001</v>
      </c>
      <c r="BL356" s="1">
        <f t="shared" si="146"/>
        <v>0.64700000000000002</v>
      </c>
      <c r="BM356" s="1">
        <f t="shared" si="147"/>
        <v>0.64700000000000002</v>
      </c>
      <c r="BN356" s="1">
        <f t="shared" si="150"/>
        <v>4.9000000000000087E-5</v>
      </c>
      <c r="BO356" s="1">
        <f t="shared" si="148"/>
        <v>5.3990739770447424E-2</v>
      </c>
    </row>
    <row r="357" spans="1:67" x14ac:dyDescent="0.25">
      <c r="A357" s="3"/>
      <c r="B357" s="3"/>
      <c r="C357">
        <v>12</v>
      </c>
      <c r="D357" s="5">
        <v>1</v>
      </c>
      <c r="E357" s="9">
        <f t="shared" si="127"/>
        <v>33.333333333333329</v>
      </c>
      <c r="F357" s="9">
        <f t="shared" si="128"/>
        <v>0.75000000000000011</v>
      </c>
      <c r="G357">
        <v>0</v>
      </c>
      <c r="H357">
        <v>16.666666666666661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33.333333333333329</v>
      </c>
      <c r="P357">
        <v>0</v>
      </c>
      <c r="Q357">
        <v>50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57.999999999999993</v>
      </c>
      <c r="AK357" t="s">
        <v>1</v>
      </c>
      <c r="AL357" t="s">
        <v>374</v>
      </c>
      <c r="AQ357" s="1">
        <f t="shared" si="149"/>
        <v>99.999999999999986</v>
      </c>
      <c r="AR357" s="1">
        <f t="shared" si="129"/>
        <v>0.33333333333333326</v>
      </c>
      <c r="AS357" s="1">
        <f t="shared" si="130"/>
        <v>0</v>
      </c>
      <c r="AT357" s="1">
        <f t="shared" si="131"/>
        <v>0.1666666666666666</v>
      </c>
      <c r="AU357" s="1">
        <f t="shared" si="132"/>
        <v>0.5</v>
      </c>
      <c r="AV357" s="1">
        <f t="shared" si="133"/>
        <v>0.57999999999999996</v>
      </c>
      <c r="AX357" s="1">
        <f t="shared" si="134"/>
        <v>3.0000000000000013</v>
      </c>
      <c r="AY357" s="1">
        <f t="shared" si="135"/>
        <v>2.0000000000000004</v>
      </c>
      <c r="AZ357" s="1">
        <f t="shared" si="136"/>
        <v>0.68750000000000011</v>
      </c>
      <c r="BA357" s="1">
        <f t="shared" si="137"/>
        <v>1.2500000000000004</v>
      </c>
      <c r="BB357" s="1">
        <f t="shared" si="138"/>
        <v>0.55000000000000016</v>
      </c>
      <c r="BC357" s="1">
        <f t="shared" si="139"/>
        <v>0.55000000000000016</v>
      </c>
      <c r="BD357" s="1">
        <f t="shared" si="140"/>
        <v>2.9999999999999805E-2</v>
      </c>
      <c r="BF357">
        <f t="shared" si="141"/>
        <v>16.666666666666661</v>
      </c>
      <c r="BG357">
        <f t="shared" si="151"/>
        <v>33.333333333333329</v>
      </c>
      <c r="BH357" s="1">
        <f t="shared" si="142"/>
        <v>3.0000000000000009</v>
      </c>
      <c r="BI357" s="1">
        <f t="shared" si="143"/>
        <v>2.0000000000000004</v>
      </c>
      <c r="BJ357" s="1">
        <f t="shared" si="144"/>
        <v>0.64700000000000002</v>
      </c>
      <c r="BK357" s="1">
        <f t="shared" si="145"/>
        <v>1.6020000000000005</v>
      </c>
      <c r="BL357" s="1">
        <f t="shared" si="146"/>
        <v>0.5740333333333334</v>
      </c>
      <c r="BM357" s="1">
        <f t="shared" si="147"/>
        <v>0.5740333333333334</v>
      </c>
      <c r="BN357" s="1">
        <f t="shared" si="150"/>
        <v>3.5601111111109896E-5</v>
      </c>
      <c r="BO357" s="1">
        <f t="shared" si="148"/>
        <v>2.9707650761256855E-2</v>
      </c>
    </row>
    <row r="358" spans="1:67" x14ac:dyDescent="0.25">
      <c r="A358" s="3"/>
      <c r="B358" s="3"/>
      <c r="C358">
        <v>13</v>
      </c>
      <c r="D358" s="5">
        <v>1</v>
      </c>
      <c r="E358" s="9">
        <f t="shared" ref="E358:E421" si="152">I358+L358+M358+N358+O358+V358+X358+AB358+AD358</f>
        <v>38.461538461538467</v>
      </c>
      <c r="F358" s="9">
        <f t="shared" ref="F358:F421" si="153">Q358/(H358+P358+Q358+AC358)</f>
        <v>0.74999999999999989</v>
      </c>
      <c r="G358">
        <v>0</v>
      </c>
      <c r="H358">
        <v>15.38461538461539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38.461538461538467</v>
      </c>
      <c r="P358">
        <v>0</v>
      </c>
      <c r="Q358">
        <v>46.153846153846153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49</v>
      </c>
      <c r="AK358" t="s">
        <v>1</v>
      </c>
      <c r="AL358" t="s">
        <v>374</v>
      </c>
      <c r="AQ358" s="1">
        <f t="shared" si="149"/>
        <v>100</v>
      </c>
      <c r="AR358" s="1">
        <f t="shared" si="129"/>
        <v>0.38461538461538469</v>
      </c>
      <c r="AS358" s="1">
        <f t="shared" si="130"/>
        <v>0</v>
      </c>
      <c r="AT358" s="1">
        <f t="shared" si="131"/>
        <v>0.15384615384615391</v>
      </c>
      <c r="AU358" s="1">
        <f t="shared" si="132"/>
        <v>0.46153846153846151</v>
      </c>
      <c r="AV358" s="1">
        <f t="shared" si="133"/>
        <v>0.49</v>
      </c>
      <c r="AX358" s="1">
        <f t="shared" si="134"/>
        <v>2.9999999999999987</v>
      </c>
      <c r="AY358" s="1">
        <f t="shared" si="135"/>
        <v>2.4999999999999996</v>
      </c>
      <c r="AZ358" s="1">
        <f t="shared" si="136"/>
        <v>0.68749999999999989</v>
      </c>
      <c r="BA358" s="1">
        <f t="shared" si="137"/>
        <v>1.2499999999999996</v>
      </c>
      <c r="BB358" s="1">
        <f t="shared" si="138"/>
        <v>0.45833333333333315</v>
      </c>
      <c r="BC358" s="1">
        <f t="shared" si="139"/>
        <v>0.45833333333333315</v>
      </c>
      <c r="BD358" s="1">
        <f t="shared" si="140"/>
        <v>3.1666666666666843E-2</v>
      </c>
      <c r="BF358">
        <f t="shared" si="141"/>
        <v>15.38461538461539</v>
      </c>
      <c r="BG358">
        <f t="shared" si="151"/>
        <v>38.461538461538467</v>
      </c>
      <c r="BH358" s="1">
        <f t="shared" si="142"/>
        <v>2.9999999999999987</v>
      </c>
      <c r="BI358" s="1">
        <f t="shared" si="143"/>
        <v>2.4999999999999996</v>
      </c>
      <c r="BJ358" s="1">
        <f t="shared" si="144"/>
        <v>0.64699999999999991</v>
      </c>
      <c r="BK358" s="1">
        <f t="shared" si="145"/>
        <v>1.6019999999999994</v>
      </c>
      <c r="BL358" s="1">
        <f t="shared" si="146"/>
        <v>0.4823666666666665</v>
      </c>
      <c r="BM358" s="1">
        <f t="shared" si="147"/>
        <v>0.4823666666666665</v>
      </c>
      <c r="BN358" s="1">
        <f t="shared" si="150"/>
        <v>5.8267777777780199E-5</v>
      </c>
      <c r="BO358" s="1">
        <f t="shared" si="148"/>
        <v>6.7830172474710433E-3</v>
      </c>
    </row>
    <row r="359" spans="1:67" x14ac:dyDescent="0.25">
      <c r="A359" s="3"/>
      <c r="B359" s="3"/>
      <c r="C359">
        <v>14</v>
      </c>
      <c r="D359" s="5">
        <v>1</v>
      </c>
      <c r="E359" s="9">
        <f t="shared" si="152"/>
        <v>42.857142857142847</v>
      </c>
      <c r="F359" s="9">
        <f t="shared" si="153"/>
        <v>0.75000000000000011</v>
      </c>
      <c r="G359">
        <v>0</v>
      </c>
      <c r="H359">
        <v>14.285714285714279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42.857142857142847</v>
      </c>
      <c r="P359">
        <v>0</v>
      </c>
      <c r="Q359">
        <v>42.857142857142847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40</v>
      </c>
      <c r="AK359" t="s">
        <v>1</v>
      </c>
      <c r="AL359" t="s">
        <v>374</v>
      </c>
      <c r="AQ359" s="1">
        <f t="shared" si="149"/>
        <v>99.999999999999972</v>
      </c>
      <c r="AR359" s="1">
        <f t="shared" si="129"/>
        <v>0.42857142857142849</v>
      </c>
      <c r="AS359" s="1">
        <f t="shared" si="130"/>
        <v>0</v>
      </c>
      <c r="AT359" s="1">
        <f t="shared" si="131"/>
        <v>0.14285714285714279</v>
      </c>
      <c r="AU359" s="1">
        <f t="shared" si="132"/>
        <v>0.42857142857142849</v>
      </c>
      <c r="AV359" s="1">
        <f t="shared" si="133"/>
        <v>0.4</v>
      </c>
      <c r="AX359" s="1">
        <f t="shared" si="134"/>
        <v>3.0000000000000009</v>
      </c>
      <c r="AY359" s="1">
        <f t="shared" si="135"/>
        <v>3.0000000000000009</v>
      </c>
      <c r="AZ359" s="1">
        <f t="shared" si="136"/>
        <v>0.6875</v>
      </c>
      <c r="BA359" s="1">
        <f t="shared" si="137"/>
        <v>1.2500000000000002</v>
      </c>
      <c r="BB359" s="1">
        <f t="shared" si="138"/>
        <v>0.36666666666666664</v>
      </c>
      <c r="BC359" s="1">
        <f t="shared" si="139"/>
        <v>0.36666666666666664</v>
      </c>
      <c r="BD359" s="1">
        <f t="shared" si="140"/>
        <v>3.3333333333333381E-2</v>
      </c>
      <c r="BF359">
        <f t="shared" si="141"/>
        <v>14.285714285714279</v>
      </c>
      <c r="BG359">
        <f t="shared" si="151"/>
        <v>42.857142857142847</v>
      </c>
      <c r="BH359" s="1">
        <f t="shared" si="142"/>
        <v>3.0000000000000004</v>
      </c>
      <c r="BI359" s="1">
        <f t="shared" si="143"/>
        <v>3.0000000000000004</v>
      </c>
      <c r="BJ359" s="1">
        <f t="shared" si="144"/>
        <v>0.64700000000000002</v>
      </c>
      <c r="BK359" s="1">
        <f t="shared" si="145"/>
        <v>1.6020000000000003</v>
      </c>
      <c r="BL359" s="1">
        <f t="shared" si="146"/>
        <v>0.39069999999999999</v>
      </c>
      <c r="BM359" s="1">
        <f t="shared" si="147"/>
        <v>0.39069999999999999</v>
      </c>
      <c r="BN359" s="1">
        <f t="shared" si="150"/>
        <v>8.6490000000000563E-5</v>
      </c>
      <c r="BO359" s="1">
        <f t="shared" si="148"/>
        <v>5.8383733685219634E-5</v>
      </c>
    </row>
    <row r="360" spans="1:67" x14ac:dyDescent="0.25">
      <c r="A360" s="3"/>
      <c r="B360" s="3"/>
      <c r="C360">
        <v>15</v>
      </c>
      <c r="D360" s="5">
        <v>1</v>
      </c>
      <c r="E360" s="9">
        <f t="shared" si="152"/>
        <v>50</v>
      </c>
      <c r="F360" s="9">
        <f t="shared" si="153"/>
        <v>0.75</v>
      </c>
      <c r="G360">
        <v>0</v>
      </c>
      <c r="H360">
        <v>12.5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50</v>
      </c>
      <c r="P360">
        <v>0</v>
      </c>
      <c r="Q360">
        <v>37.5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22</v>
      </c>
      <c r="AK360" t="s">
        <v>1</v>
      </c>
      <c r="AL360" t="s">
        <v>374</v>
      </c>
      <c r="AQ360" s="1">
        <f t="shared" si="149"/>
        <v>100</v>
      </c>
      <c r="AR360" s="1">
        <f t="shared" si="129"/>
        <v>0.5</v>
      </c>
      <c r="AS360" s="1">
        <f t="shared" si="130"/>
        <v>0</v>
      </c>
      <c r="AT360" s="1">
        <f t="shared" si="131"/>
        <v>0.125</v>
      </c>
      <c r="AU360" s="1">
        <f t="shared" si="132"/>
        <v>0.375</v>
      </c>
      <c r="AV360" s="1">
        <f t="shared" si="133"/>
        <v>0.22</v>
      </c>
      <c r="AX360" s="1">
        <f t="shared" si="134"/>
        <v>3</v>
      </c>
      <c r="AY360" s="1">
        <f t="shared" si="135"/>
        <v>4</v>
      </c>
      <c r="AZ360" s="1">
        <f t="shared" si="136"/>
        <v>0.6875</v>
      </c>
      <c r="BA360" s="1">
        <f t="shared" si="137"/>
        <v>1.25</v>
      </c>
      <c r="BB360" s="1">
        <f t="shared" si="138"/>
        <v>0.18333333333333335</v>
      </c>
      <c r="BC360" s="1">
        <f t="shared" si="139"/>
        <v>0.18333333333333335</v>
      </c>
      <c r="BD360" s="1">
        <f t="shared" si="140"/>
        <v>3.6666666666666653E-2</v>
      </c>
      <c r="BF360">
        <f t="shared" si="141"/>
        <v>12.5</v>
      </c>
      <c r="BG360">
        <f t="shared" si="151"/>
        <v>50</v>
      </c>
      <c r="BH360" s="1">
        <f t="shared" si="142"/>
        <v>3</v>
      </c>
      <c r="BI360" s="1">
        <f t="shared" si="143"/>
        <v>4</v>
      </c>
      <c r="BJ360" s="1">
        <f t="shared" si="144"/>
        <v>0.64700000000000002</v>
      </c>
      <c r="BK360" s="1">
        <f t="shared" si="145"/>
        <v>1.6020000000000001</v>
      </c>
      <c r="BL360" s="1">
        <f t="shared" si="146"/>
        <v>0.20736666666666675</v>
      </c>
      <c r="BM360" s="1">
        <f t="shared" si="147"/>
        <v>0.20736666666666675</v>
      </c>
      <c r="BN360" s="1">
        <f t="shared" si="150"/>
        <v>1.5960111111110891E-4</v>
      </c>
      <c r="BO360" s="1">
        <f t="shared" si="148"/>
        <v>3.5209116706113569E-2</v>
      </c>
    </row>
    <row r="361" spans="1:67" x14ac:dyDescent="0.25">
      <c r="A361" s="3"/>
      <c r="B361" s="3"/>
      <c r="C361">
        <v>16</v>
      </c>
      <c r="D361" s="5">
        <v>1</v>
      </c>
      <c r="E361" s="9">
        <f t="shared" si="152"/>
        <v>55.555555555555557</v>
      </c>
      <c r="F361" s="9">
        <f t="shared" si="153"/>
        <v>0.74999999999999989</v>
      </c>
      <c r="G361">
        <v>0</v>
      </c>
      <c r="H361">
        <v>11.111111111111111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55.555555555555557</v>
      </c>
      <c r="P361">
        <v>0</v>
      </c>
      <c r="Q361">
        <v>33.333333333333329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 t="s">
        <v>1</v>
      </c>
      <c r="AL361" t="s">
        <v>374</v>
      </c>
      <c r="AQ361" s="1">
        <f t="shared" si="149"/>
        <v>100</v>
      </c>
      <c r="AR361" s="1">
        <f t="shared" si="129"/>
        <v>0.55555555555555558</v>
      </c>
      <c r="AS361" s="1">
        <f t="shared" si="130"/>
        <v>0</v>
      </c>
      <c r="AT361" s="1">
        <f t="shared" si="131"/>
        <v>0.1111111111111111</v>
      </c>
      <c r="AU361" s="1">
        <f t="shared" si="132"/>
        <v>0.33333333333333326</v>
      </c>
      <c r="AV361" s="1">
        <f t="shared" si="133"/>
        <v>0.01</v>
      </c>
      <c r="AX361" s="1">
        <f t="shared" si="134"/>
        <v>2.9999999999999996</v>
      </c>
      <c r="AY361" s="1">
        <f t="shared" si="135"/>
        <v>5.0000000000000009</v>
      </c>
      <c r="AZ361" s="1">
        <f t="shared" si="136"/>
        <v>0.6875</v>
      </c>
      <c r="BA361" s="1">
        <f t="shared" si="137"/>
        <v>1.25</v>
      </c>
      <c r="BB361" s="1">
        <f t="shared" si="138"/>
        <v>-1.1102230246251565E-16</v>
      </c>
      <c r="BC361" s="1">
        <f t="shared" si="139"/>
        <v>-1.1102230246251565E-16</v>
      </c>
      <c r="BD361" s="1">
        <f t="shared" si="140"/>
        <v>1.0000000000000111E-2</v>
      </c>
      <c r="BF361">
        <f t="shared" si="141"/>
        <v>11.111111111111111</v>
      </c>
      <c r="BG361">
        <f t="shared" si="151"/>
        <v>55.555555555555557</v>
      </c>
      <c r="BH361" s="1">
        <f t="shared" si="142"/>
        <v>2.9999999999999996</v>
      </c>
      <c r="BI361" s="1">
        <f t="shared" si="143"/>
        <v>5</v>
      </c>
      <c r="BJ361" s="1">
        <f t="shared" si="144"/>
        <v>0.64699999999999991</v>
      </c>
      <c r="BK361" s="1">
        <f t="shared" si="145"/>
        <v>1.6019999999999999</v>
      </c>
      <c r="BL361" s="1">
        <f t="shared" si="146"/>
        <v>2.403333333333324E-2</v>
      </c>
      <c r="BM361" s="1">
        <f t="shared" si="147"/>
        <v>2.403333333333324E-2</v>
      </c>
      <c r="BN361" s="1">
        <f t="shared" si="150"/>
        <v>1.9693444444444182E-4</v>
      </c>
      <c r="BO361" s="1">
        <f t="shared" si="148"/>
        <v>0.15811830517394665</v>
      </c>
    </row>
    <row r="362" spans="1:67" x14ac:dyDescent="0.25">
      <c r="A362" s="3"/>
      <c r="B362" s="3"/>
      <c r="C362">
        <v>17</v>
      </c>
      <c r="D362" s="5">
        <v>1</v>
      </c>
      <c r="E362" s="9">
        <f t="shared" si="152"/>
        <v>60</v>
      </c>
      <c r="F362" s="9">
        <f t="shared" si="153"/>
        <v>0.75</v>
      </c>
      <c r="G362">
        <v>0</v>
      </c>
      <c r="H362">
        <v>10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60</v>
      </c>
      <c r="P362">
        <v>0</v>
      </c>
      <c r="Q362">
        <v>30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s">
        <v>1</v>
      </c>
      <c r="AL362" t="s">
        <v>374</v>
      </c>
      <c r="AQ362" s="1">
        <f t="shared" si="149"/>
        <v>100</v>
      </c>
      <c r="AR362" s="1">
        <f t="shared" si="129"/>
        <v>0.6</v>
      </c>
      <c r="AS362" s="1">
        <f t="shared" si="130"/>
        <v>0</v>
      </c>
      <c r="AT362" s="1">
        <f t="shared" si="131"/>
        <v>0.1</v>
      </c>
      <c r="AU362" s="1">
        <f t="shared" si="132"/>
        <v>0.3</v>
      </c>
      <c r="AV362" s="1">
        <f t="shared" si="133"/>
        <v>0</v>
      </c>
      <c r="AX362" s="1">
        <f t="shared" si="134"/>
        <v>2.9999999999999996</v>
      </c>
      <c r="AY362" s="1">
        <f t="shared" si="135"/>
        <v>5.9999999999999991</v>
      </c>
      <c r="AZ362" s="1">
        <f t="shared" si="136"/>
        <v>0.6875</v>
      </c>
      <c r="BA362" s="1">
        <f t="shared" si="137"/>
        <v>1.25</v>
      </c>
      <c r="BB362" s="1">
        <f t="shared" si="138"/>
        <v>-0.18333333333333324</v>
      </c>
      <c r="BC362" s="1">
        <f t="shared" si="139"/>
        <v>-0.18333333333333324</v>
      </c>
      <c r="BD362" s="1">
        <f t="shared" si="140"/>
        <v>0.18333333333333324</v>
      </c>
      <c r="BF362">
        <f t="shared" si="141"/>
        <v>10</v>
      </c>
      <c r="BG362">
        <f t="shared" si="151"/>
        <v>60</v>
      </c>
      <c r="BH362" s="1">
        <f t="shared" si="142"/>
        <v>3</v>
      </c>
      <c r="BI362" s="1">
        <f t="shared" si="143"/>
        <v>6</v>
      </c>
      <c r="BJ362" s="1">
        <f t="shared" si="144"/>
        <v>0.64700000000000002</v>
      </c>
      <c r="BK362" s="1">
        <f t="shared" si="145"/>
        <v>1.6020000000000001</v>
      </c>
      <c r="BL362" s="1">
        <f t="shared" si="146"/>
        <v>-0.1593</v>
      </c>
      <c r="BM362" s="1">
        <f t="shared" si="147"/>
        <v>0</v>
      </c>
      <c r="BN362" s="1">
        <f t="shared" si="150"/>
        <v>0</v>
      </c>
      <c r="BO362" s="1">
        <f t="shared" si="148"/>
        <v>0.16617112367241488</v>
      </c>
    </row>
    <row r="363" spans="1:67" x14ac:dyDescent="0.25">
      <c r="A363" s="3"/>
      <c r="B363" s="3"/>
      <c r="C363">
        <v>18</v>
      </c>
      <c r="D363" s="5">
        <v>1</v>
      </c>
      <c r="E363" s="9">
        <f t="shared" si="152"/>
        <v>63.636363636363633</v>
      </c>
      <c r="F363" s="9">
        <f t="shared" si="153"/>
        <v>0.75</v>
      </c>
      <c r="G363">
        <v>0</v>
      </c>
      <c r="H363">
        <v>9.0909090909090917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63.636363636363633</v>
      </c>
      <c r="P363">
        <v>0</v>
      </c>
      <c r="Q363">
        <v>27.27272727272727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1</v>
      </c>
      <c r="AL363" t="s">
        <v>374</v>
      </c>
      <c r="AQ363" s="1">
        <f t="shared" si="149"/>
        <v>99.999999999999986</v>
      </c>
      <c r="AR363" s="1">
        <f t="shared" si="129"/>
        <v>0.63636363636363635</v>
      </c>
      <c r="AS363" s="1">
        <f t="shared" si="130"/>
        <v>0</v>
      </c>
      <c r="AT363" s="1">
        <f t="shared" si="131"/>
        <v>9.0909090909090912E-2</v>
      </c>
      <c r="AU363" s="1">
        <f t="shared" si="132"/>
        <v>0.27272727272727271</v>
      </c>
      <c r="AV363" s="1">
        <f t="shared" si="133"/>
        <v>0</v>
      </c>
      <c r="AX363" s="1">
        <f t="shared" si="134"/>
        <v>2.9999999999999996</v>
      </c>
      <c r="AY363" s="1">
        <f t="shared" si="135"/>
        <v>7</v>
      </c>
      <c r="AZ363" s="1">
        <f t="shared" si="136"/>
        <v>0.6875</v>
      </c>
      <c r="BA363" s="1">
        <f t="shared" si="137"/>
        <v>1.25</v>
      </c>
      <c r="BB363" s="1">
        <f t="shared" si="138"/>
        <v>-0.3666666666666667</v>
      </c>
      <c r="BC363" s="1">
        <f t="shared" si="139"/>
        <v>-0.3666666666666667</v>
      </c>
      <c r="BD363" s="1">
        <f t="shared" si="140"/>
        <v>0.3666666666666667</v>
      </c>
      <c r="BF363">
        <f t="shared" si="141"/>
        <v>9.0909090909090917</v>
      </c>
      <c r="BG363">
        <f t="shared" si="151"/>
        <v>63.636363636363633</v>
      </c>
      <c r="BH363" s="1">
        <f t="shared" si="142"/>
        <v>2.9999999999999996</v>
      </c>
      <c r="BI363" s="1">
        <f t="shared" si="143"/>
        <v>6.9999999999999991</v>
      </c>
      <c r="BJ363" s="1">
        <f t="shared" si="144"/>
        <v>0.64699999999999991</v>
      </c>
      <c r="BK363" s="1">
        <f t="shared" si="145"/>
        <v>1.6019999999999999</v>
      </c>
      <c r="BL363" s="1">
        <f t="shared" si="146"/>
        <v>-0.34263333333333346</v>
      </c>
      <c r="BM363" s="1">
        <f t="shared" si="147"/>
        <v>0</v>
      </c>
      <c r="BN363" s="1">
        <f t="shared" si="150"/>
        <v>0</v>
      </c>
      <c r="BO363" s="1">
        <f t="shared" si="148"/>
        <v>0.16617112367241488</v>
      </c>
    </row>
    <row r="364" spans="1:67" x14ac:dyDescent="0.25">
      <c r="A364" s="3"/>
      <c r="B364" s="3"/>
      <c r="C364">
        <v>19</v>
      </c>
      <c r="D364" s="5">
        <v>1</v>
      </c>
      <c r="E364" s="9">
        <f t="shared" si="152"/>
        <v>16.666666666666661</v>
      </c>
      <c r="F364" s="9">
        <f t="shared" si="153"/>
        <v>0.8</v>
      </c>
      <c r="G364">
        <v>0</v>
      </c>
      <c r="H364">
        <v>16.666666666666661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16.666666666666661</v>
      </c>
      <c r="P364">
        <v>0</v>
      </c>
      <c r="Q364">
        <v>66.666666666666657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72</v>
      </c>
      <c r="AK364" t="s">
        <v>1</v>
      </c>
      <c r="AL364" t="s">
        <v>374</v>
      </c>
      <c r="AQ364" s="1">
        <f t="shared" si="149"/>
        <v>99.999999999999972</v>
      </c>
      <c r="AR364" s="1">
        <f t="shared" si="129"/>
        <v>0.1666666666666666</v>
      </c>
      <c r="AS364" s="1">
        <f t="shared" si="130"/>
        <v>0</v>
      </c>
      <c r="AT364" s="1">
        <f t="shared" si="131"/>
        <v>0.1666666666666666</v>
      </c>
      <c r="AU364" s="1">
        <f t="shared" si="132"/>
        <v>0.66666666666666652</v>
      </c>
      <c r="AV364" s="1">
        <f t="shared" si="133"/>
        <v>0.72</v>
      </c>
      <c r="AX364" s="1">
        <f t="shared" si="134"/>
        <v>4.0000000000000009</v>
      </c>
      <c r="AY364" s="1">
        <f t="shared" si="135"/>
        <v>1</v>
      </c>
      <c r="AZ364" s="1">
        <f t="shared" si="136"/>
        <v>0.75</v>
      </c>
      <c r="BA364" s="1">
        <f t="shared" si="137"/>
        <v>1.5000000000000002</v>
      </c>
      <c r="BB364" s="1">
        <f t="shared" si="138"/>
        <v>0.75</v>
      </c>
      <c r="BC364" s="1">
        <f t="shared" si="139"/>
        <v>0.75</v>
      </c>
      <c r="BD364" s="1">
        <f t="shared" si="140"/>
        <v>3.0000000000000027E-2</v>
      </c>
      <c r="BF364">
        <f t="shared" si="141"/>
        <v>16.666666666666661</v>
      </c>
      <c r="BG364">
        <f t="shared" si="151"/>
        <v>16.666666666666661</v>
      </c>
      <c r="BH364" s="1">
        <f t="shared" si="142"/>
        <v>4.0000000000000009</v>
      </c>
      <c r="BI364" s="1">
        <f t="shared" si="143"/>
        <v>1</v>
      </c>
      <c r="BJ364" s="1">
        <f t="shared" si="144"/>
        <v>0.66599999999999993</v>
      </c>
      <c r="BK364" s="1">
        <f t="shared" si="145"/>
        <v>2.1040000000000005</v>
      </c>
      <c r="BL364" s="1">
        <f t="shared" si="146"/>
        <v>0.66599999999999993</v>
      </c>
      <c r="BM364" s="1">
        <f t="shared" si="147"/>
        <v>0.66599999999999993</v>
      </c>
      <c r="BN364" s="1">
        <f t="shared" si="150"/>
        <v>2.9160000000000054E-3</v>
      </c>
      <c r="BO364" s="1">
        <f t="shared" si="148"/>
        <v>9.7568191782701472E-2</v>
      </c>
    </row>
    <row r="365" spans="1:67" x14ac:dyDescent="0.25">
      <c r="A365" s="3"/>
      <c r="B365" s="3"/>
      <c r="C365">
        <v>20</v>
      </c>
      <c r="D365" s="5">
        <v>1</v>
      </c>
      <c r="E365" s="9">
        <f t="shared" si="152"/>
        <v>23.07692307692308</v>
      </c>
      <c r="F365" s="9">
        <f t="shared" si="153"/>
        <v>0.79999999999999993</v>
      </c>
      <c r="G365">
        <v>0</v>
      </c>
      <c r="H365">
        <v>15.38461538461539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23.07692307692308</v>
      </c>
      <c r="P365">
        <v>0</v>
      </c>
      <c r="Q365">
        <v>61.53846153846154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70</v>
      </c>
      <c r="AK365" t="s">
        <v>1</v>
      </c>
      <c r="AL365" t="s">
        <v>374</v>
      </c>
      <c r="AQ365" s="1">
        <f t="shared" si="149"/>
        <v>100</v>
      </c>
      <c r="AR365" s="1">
        <f t="shared" si="129"/>
        <v>0.23076923076923081</v>
      </c>
      <c r="AS365" s="1">
        <f t="shared" si="130"/>
        <v>0</v>
      </c>
      <c r="AT365" s="1">
        <f t="shared" si="131"/>
        <v>0.15384615384615391</v>
      </c>
      <c r="AU365" s="1">
        <f t="shared" si="132"/>
        <v>0.61538461538461542</v>
      </c>
      <c r="AV365" s="1">
        <f t="shared" si="133"/>
        <v>0.7</v>
      </c>
      <c r="AX365" s="1">
        <f t="shared" si="134"/>
        <v>3.9999999999999987</v>
      </c>
      <c r="AY365" s="1">
        <f t="shared" si="135"/>
        <v>1.4999999999999996</v>
      </c>
      <c r="AZ365" s="1">
        <f t="shared" si="136"/>
        <v>0.74999999999999989</v>
      </c>
      <c r="BA365" s="1">
        <f t="shared" si="137"/>
        <v>1.4999999999999996</v>
      </c>
      <c r="BB365" s="1">
        <f t="shared" si="138"/>
        <v>0.74999999999999989</v>
      </c>
      <c r="BC365" s="1">
        <f t="shared" si="139"/>
        <v>0.74999999999999989</v>
      </c>
      <c r="BD365" s="1">
        <f t="shared" si="140"/>
        <v>4.9999999999999933E-2</v>
      </c>
      <c r="BF365">
        <f t="shared" si="141"/>
        <v>15.38461538461539</v>
      </c>
      <c r="BG365">
        <f t="shared" si="151"/>
        <v>23.07692307692308</v>
      </c>
      <c r="BH365" s="1">
        <f t="shared" si="142"/>
        <v>3.9999999999999987</v>
      </c>
      <c r="BI365" s="1">
        <f t="shared" si="143"/>
        <v>1.4999999999999996</v>
      </c>
      <c r="BJ365" s="1">
        <f t="shared" si="144"/>
        <v>0.66599999999999993</v>
      </c>
      <c r="BK365" s="1">
        <f t="shared" si="145"/>
        <v>2.1039999999999992</v>
      </c>
      <c r="BL365" s="1">
        <f t="shared" si="146"/>
        <v>0.66599999999999993</v>
      </c>
      <c r="BM365" s="1">
        <f t="shared" si="147"/>
        <v>0.66599999999999993</v>
      </c>
      <c r="BN365" s="1">
        <f t="shared" si="150"/>
        <v>1.1560000000000021E-3</v>
      </c>
      <c r="BO365" s="1">
        <f t="shared" si="148"/>
        <v>8.5473828779637939E-2</v>
      </c>
    </row>
    <row r="366" spans="1:67" x14ac:dyDescent="0.25">
      <c r="A366" s="3"/>
      <c r="B366" s="3"/>
      <c r="C366">
        <v>21</v>
      </c>
      <c r="D366" s="5">
        <v>1</v>
      </c>
      <c r="E366" s="9">
        <f t="shared" si="152"/>
        <v>28.571428571428569</v>
      </c>
      <c r="F366" s="9">
        <f t="shared" si="153"/>
        <v>0.8</v>
      </c>
      <c r="G366">
        <v>0</v>
      </c>
      <c r="H366">
        <v>14.285714285714279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28.571428571428569</v>
      </c>
      <c r="P366">
        <v>0</v>
      </c>
      <c r="Q366">
        <v>57.142857142857139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66</v>
      </c>
      <c r="AK366" t="s">
        <v>1</v>
      </c>
      <c r="AL366" t="s">
        <v>374</v>
      </c>
      <c r="AQ366" s="1">
        <f t="shared" si="149"/>
        <v>99.999999999999986</v>
      </c>
      <c r="AR366" s="1">
        <f t="shared" si="129"/>
        <v>0.2857142857142857</v>
      </c>
      <c r="AS366" s="1">
        <f t="shared" si="130"/>
        <v>0</v>
      </c>
      <c r="AT366" s="1">
        <f t="shared" si="131"/>
        <v>0.14285714285714279</v>
      </c>
      <c r="AU366" s="1">
        <f t="shared" si="132"/>
        <v>0.5714285714285714</v>
      </c>
      <c r="AV366" s="1">
        <f t="shared" si="133"/>
        <v>0.66</v>
      </c>
      <c r="AX366" s="1">
        <f t="shared" si="134"/>
        <v>4.0000000000000018</v>
      </c>
      <c r="AY366" s="1">
        <f t="shared" si="135"/>
        <v>2.0000000000000009</v>
      </c>
      <c r="AZ366" s="1">
        <f t="shared" si="136"/>
        <v>0.75000000000000011</v>
      </c>
      <c r="BA366" s="1">
        <f t="shared" si="137"/>
        <v>1.5000000000000004</v>
      </c>
      <c r="BB366" s="1">
        <f t="shared" si="138"/>
        <v>0.66666666666666674</v>
      </c>
      <c r="BC366" s="1">
        <f t="shared" si="139"/>
        <v>0.66666666666666674</v>
      </c>
      <c r="BD366" s="1">
        <f t="shared" si="140"/>
        <v>6.6666666666667096E-3</v>
      </c>
      <c r="BF366">
        <f t="shared" si="141"/>
        <v>14.285714285714279</v>
      </c>
      <c r="BG366">
        <f t="shared" si="151"/>
        <v>28.571428571428569</v>
      </c>
      <c r="BH366" s="1">
        <f t="shared" si="142"/>
        <v>4.0000000000000018</v>
      </c>
      <c r="BI366" s="1">
        <f t="shared" si="143"/>
        <v>2.0000000000000009</v>
      </c>
      <c r="BJ366" s="1">
        <f t="shared" si="144"/>
        <v>0.66600000000000004</v>
      </c>
      <c r="BK366" s="1">
        <f t="shared" si="145"/>
        <v>2.104000000000001</v>
      </c>
      <c r="BL366" s="1">
        <f t="shared" si="146"/>
        <v>0.66600000000000004</v>
      </c>
      <c r="BM366" s="1">
        <f t="shared" si="147"/>
        <v>0.66600000000000004</v>
      </c>
      <c r="BN366" s="1">
        <f t="shared" si="150"/>
        <v>3.6000000000000062E-5</v>
      </c>
      <c r="BO366" s="1">
        <f t="shared" si="148"/>
        <v>6.3685102773510957E-2</v>
      </c>
    </row>
    <row r="367" spans="1:67" x14ac:dyDescent="0.25">
      <c r="A367" s="3"/>
      <c r="B367" s="3"/>
      <c r="C367">
        <v>22</v>
      </c>
      <c r="D367" s="5">
        <v>1</v>
      </c>
      <c r="E367" s="9">
        <f t="shared" si="152"/>
        <v>33.333333333333329</v>
      </c>
      <c r="F367" s="9">
        <f t="shared" si="153"/>
        <v>0.8</v>
      </c>
      <c r="G367">
        <v>0</v>
      </c>
      <c r="H367">
        <v>13.33333333333333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33.333333333333329</v>
      </c>
      <c r="P367">
        <v>0</v>
      </c>
      <c r="Q367">
        <v>53.333333333333343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63</v>
      </c>
      <c r="AK367" t="s">
        <v>1</v>
      </c>
      <c r="AL367" t="s">
        <v>374</v>
      </c>
      <c r="AQ367" s="1">
        <f t="shared" si="149"/>
        <v>100</v>
      </c>
      <c r="AR367" s="1">
        <f t="shared" si="129"/>
        <v>0.33333333333333326</v>
      </c>
      <c r="AS367" s="1">
        <f t="shared" si="130"/>
        <v>0</v>
      </c>
      <c r="AT367" s="1">
        <f t="shared" si="131"/>
        <v>0.1333333333333333</v>
      </c>
      <c r="AU367" s="1">
        <f t="shared" si="132"/>
        <v>0.53333333333333344</v>
      </c>
      <c r="AV367" s="1">
        <f t="shared" si="133"/>
        <v>0.63</v>
      </c>
      <c r="AX367" s="1">
        <f t="shared" si="134"/>
        <v>4.0000000000000018</v>
      </c>
      <c r="AY367" s="1">
        <f t="shared" si="135"/>
        <v>2.5</v>
      </c>
      <c r="AZ367" s="1">
        <f t="shared" si="136"/>
        <v>0.75000000000000011</v>
      </c>
      <c r="BA367" s="1">
        <f t="shared" si="137"/>
        <v>1.5000000000000004</v>
      </c>
      <c r="BB367" s="1">
        <f t="shared" si="138"/>
        <v>0.58333333333333359</v>
      </c>
      <c r="BC367" s="1">
        <f t="shared" si="139"/>
        <v>0.58333333333333359</v>
      </c>
      <c r="BD367" s="1">
        <f t="shared" si="140"/>
        <v>4.6666666666666412E-2</v>
      </c>
      <c r="BF367">
        <f t="shared" si="141"/>
        <v>13.33333333333333</v>
      </c>
      <c r="BG367">
        <f t="shared" si="151"/>
        <v>33.333333333333329</v>
      </c>
      <c r="BH367" s="1">
        <f t="shared" si="142"/>
        <v>4.0000000000000018</v>
      </c>
      <c r="BI367" s="1">
        <f t="shared" si="143"/>
        <v>2.5</v>
      </c>
      <c r="BJ367" s="1">
        <f t="shared" si="144"/>
        <v>0.66600000000000004</v>
      </c>
      <c r="BK367" s="1">
        <f t="shared" si="145"/>
        <v>2.104000000000001</v>
      </c>
      <c r="BL367" s="1">
        <f t="shared" si="146"/>
        <v>0.6000000000000002</v>
      </c>
      <c r="BM367" s="1">
        <f t="shared" si="147"/>
        <v>0.6000000000000002</v>
      </c>
      <c r="BN367" s="1">
        <f t="shared" si="150"/>
        <v>8.9999999999998827E-4</v>
      </c>
      <c r="BO367" s="1">
        <f t="shared" si="148"/>
        <v>4.9443558268915666E-2</v>
      </c>
    </row>
    <row r="368" spans="1:67" x14ac:dyDescent="0.25">
      <c r="A368" s="3"/>
      <c r="B368" s="3"/>
      <c r="C368">
        <v>23</v>
      </c>
      <c r="D368" s="5">
        <v>1</v>
      </c>
      <c r="E368" s="9">
        <f t="shared" si="152"/>
        <v>37.5</v>
      </c>
      <c r="F368" s="9">
        <f t="shared" si="153"/>
        <v>0.8</v>
      </c>
      <c r="G368">
        <v>0</v>
      </c>
      <c r="H368">
        <v>12.5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37.5</v>
      </c>
      <c r="P368">
        <v>0</v>
      </c>
      <c r="Q368">
        <v>50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56.999999999999993</v>
      </c>
      <c r="AK368" t="s">
        <v>1</v>
      </c>
      <c r="AL368" t="s">
        <v>374</v>
      </c>
      <c r="AQ368" s="1">
        <f t="shared" si="149"/>
        <v>100</v>
      </c>
      <c r="AR368" s="1">
        <f t="shared" si="129"/>
        <v>0.375</v>
      </c>
      <c r="AS368" s="1">
        <f t="shared" si="130"/>
        <v>0</v>
      </c>
      <c r="AT368" s="1">
        <f t="shared" si="131"/>
        <v>0.125</v>
      </c>
      <c r="AU368" s="1">
        <f t="shared" si="132"/>
        <v>0.5</v>
      </c>
      <c r="AV368" s="1">
        <f t="shared" si="133"/>
        <v>0.56999999999999995</v>
      </c>
      <c r="AX368" s="1">
        <f t="shared" si="134"/>
        <v>4</v>
      </c>
      <c r="AY368" s="1">
        <f t="shared" si="135"/>
        <v>3</v>
      </c>
      <c r="AZ368" s="1">
        <f t="shared" si="136"/>
        <v>0.75</v>
      </c>
      <c r="BA368" s="1">
        <f t="shared" si="137"/>
        <v>1.5</v>
      </c>
      <c r="BB368" s="1">
        <f t="shared" si="138"/>
        <v>0.5</v>
      </c>
      <c r="BC368" s="1">
        <f t="shared" si="139"/>
        <v>0.5</v>
      </c>
      <c r="BD368" s="1">
        <f t="shared" si="140"/>
        <v>6.9999999999999951E-2</v>
      </c>
      <c r="BF368">
        <f t="shared" si="141"/>
        <v>12.5</v>
      </c>
      <c r="BG368">
        <f t="shared" si="151"/>
        <v>37.5</v>
      </c>
      <c r="BH368" s="1">
        <f t="shared" si="142"/>
        <v>4</v>
      </c>
      <c r="BI368" s="1">
        <f t="shared" si="143"/>
        <v>3</v>
      </c>
      <c r="BJ368" s="1">
        <f t="shared" si="144"/>
        <v>0.66599999999999993</v>
      </c>
      <c r="BK368" s="1">
        <f t="shared" si="145"/>
        <v>2.1040000000000001</v>
      </c>
      <c r="BL368" s="1">
        <f t="shared" si="146"/>
        <v>0.51666666666666661</v>
      </c>
      <c r="BM368" s="1">
        <f t="shared" si="147"/>
        <v>0.51666666666666661</v>
      </c>
      <c r="BN368" s="1">
        <f t="shared" si="150"/>
        <v>2.8444444444444454E-3</v>
      </c>
      <c r="BO368" s="1">
        <f t="shared" si="148"/>
        <v>2.6360469259725097E-2</v>
      </c>
    </row>
    <row r="369" spans="1:67" x14ac:dyDescent="0.25">
      <c r="A369" s="3"/>
      <c r="B369" s="3"/>
      <c r="C369">
        <v>24</v>
      </c>
      <c r="D369" s="5">
        <v>1</v>
      </c>
      <c r="E369" s="9">
        <f t="shared" si="152"/>
        <v>44.444444444444443</v>
      </c>
      <c r="F369" s="9">
        <f t="shared" si="153"/>
        <v>0.79999999999999993</v>
      </c>
      <c r="G369">
        <v>0</v>
      </c>
      <c r="H369">
        <v>11.111111111111111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44.444444444444443</v>
      </c>
      <c r="P369">
        <v>0</v>
      </c>
      <c r="Q369">
        <v>44.444444444444443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43</v>
      </c>
      <c r="AK369" t="s">
        <v>1</v>
      </c>
      <c r="AL369" t="s">
        <v>374</v>
      </c>
      <c r="AQ369" s="1">
        <f t="shared" si="149"/>
        <v>100</v>
      </c>
      <c r="AR369" s="1">
        <f t="shared" si="129"/>
        <v>0.44444444444444442</v>
      </c>
      <c r="AS369" s="1">
        <f t="shared" si="130"/>
        <v>0</v>
      </c>
      <c r="AT369" s="1">
        <f t="shared" si="131"/>
        <v>0.1111111111111111</v>
      </c>
      <c r="AU369" s="1">
        <f t="shared" si="132"/>
        <v>0.44444444444444442</v>
      </c>
      <c r="AV369" s="1">
        <f t="shared" si="133"/>
        <v>0.43</v>
      </c>
      <c r="AX369" s="1">
        <f t="shared" si="134"/>
        <v>4</v>
      </c>
      <c r="AY369" s="1">
        <f t="shared" si="135"/>
        <v>4</v>
      </c>
      <c r="AZ369" s="1">
        <f t="shared" si="136"/>
        <v>0.75</v>
      </c>
      <c r="BA369" s="1">
        <f t="shared" si="137"/>
        <v>1.5</v>
      </c>
      <c r="BB369" s="1">
        <f t="shared" si="138"/>
        <v>0.33333333333333331</v>
      </c>
      <c r="BC369" s="1">
        <f t="shared" si="139"/>
        <v>0.33333333333333331</v>
      </c>
      <c r="BD369" s="1">
        <f t="shared" si="140"/>
        <v>9.6666666666666679E-2</v>
      </c>
      <c r="BF369">
        <f t="shared" si="141"/>
        <v>11.111111111111111</v>
      </c>
      <c r="BG369">
        <f t="shared" si="151"/>
        <v>44.444444444444443</v>
      </c>
      <c r="BH369" s="1">
        <f t="shared" si="142"/>
        <v>4</v>
      </c>
      <c r="BI369" s="1">
        <f t="shared" si="143"/>
        <v>4</v>
      </c>
      <c r="BJ369" s="1">
        <f t="shared" si="144"/>
        <v>0.66599999999999993</v>
      </c>
      <c r="BK369" s="1">
        <f t="shared" si="145"/>
        <v>2.1040000000000001</v>
      </c>
      <c r="BL369" s="1">
        <f t="shared" si="146"/>
        <v>0.34999999999999992</v>
      </c>
      <c r="BM369" s="1">
        <f t="shared" si="147"/>
        <v>0.34999999999999992</v>
      </c>
      <c r="BN369" s="1">
        <f t="shared" si="150"/>
        <v>6.4000000000000116E-3</v>
      </c>
      <c r="BO369" s="1">
        <f t="shared" si="148"/>
        <v>4.9992823828049458E-4</v>
      </c>
    </row>
    <row r="370" spans="1:67" x14ac:dyDescent="0.25">
      <c r="A370" s="3"/>
      <c r="B370" s="3"/>
      <c r="C370">
        <v>25</v>
      </c>
      <c r="D370" s="5">
        <v>1</v>
      </c>
      <c r="E370" s="9">
        <f t="shared" si="152"/>
        <v>50</v>
      </c>
      <c r="F370" s="9">
        <f t="shared" si="153"/>
        <v>0.8</v>
      </c>
      <c r="G370">
        <v>0</v>
      </c>
      <c r="H370">
        <v>10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50</v>
      </c>
      <c r="P370">
        <v>0</v>
      </c>
      <c r="Q370">
        <v>40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27</v>
      </c>
      <c r="AK370" t="s">
        <v>1</v>
      </c>
      <c r="AL370" t="s">
        <v>374</v>
      </c>
      <c r="AQ370" s="1">
        <f t="shared" si="149"/>
        <v>100</v>
      </c>
      <c r="AR370" s="1">
        <f t="shared" si="129"/>
        <v>0.5</v>
      </c>
      <c r="AS370" s="1">
        <f t="shared" si="130"/>
        <v>0</v>
      </c>
      <c r="AT370" s="1">
        <f t="shared" si="131"/>
        <v>0.1</v>
      </c>
      <c r="AU370" s="1">
        <f t="shared" si="132"/>
        <v>0.4</v>
      </c>
      <c r="AV370" s="1">
        <f t="shared" si="133"/>
        <v>0.27</v>
      </c>
      <c r="AX370" s="1">
        <f t="shared" si="134"/>
        <v>4</v>
      </c>
      <c r="AY370" s="1">
        <f t="shared" si="135"/>
        <v>5</v>
      </c>
      <c r="AZ370" s="1">
        <f t="shared" si="136"/>
        <v>0.75</v>
      </c>
      <c r="BA370" s="1">
        <f t="shared" si="137"/>
        <v>1.5</v>
      </c>
      <c r="BB370" s="1">
        <f t="shared" si="138"/>
        <v>0.16666666666666663</v>
      </c>
      <c r="BC370" s="1">
        <f t="shared" si="139"/>
        <v>0.16666666666666663</v>
      </c>
      <c r="BD370" s="1">
        <f t="shared" si="140"/>
        <v>0.10333333333333339</v>
      </c>
      <c r="BF370">
        <f t="shared" si="141"/>
        <v>10</v>
      </c>
      <c r="BG370">
        <f t="shared" si="151"/>
        <v>50</v>
      </c>
      <c r="BH370" s="1">
        <f t="shared" si="142"/>
        <v>4</v>
      </c>
      <c r="BI370" s="1">
        <f t="shared" si="143"/>
        <v>5</v>
      </c>
      <c r="BJ370" s="1">
        <f t="shared" si="144"/>
        <v>0.66599999999999993</v>
      </c>
      <c r="BK370" s="1">
        <f t="shared" si="145"/>
        <v>2.1040000000000001</v>
      </c>
      <c r="BL370" s="1">
        <f t="shared" si="146"/>
        <v>0.18333333333333335</v>
      </c>
      <c r="BM370" s="1">
        <f t="shared" si="147"/>
        <v>0.18333333333333335</v>
      </c>
      <c r="BN370" s="1">
        <f t="shared" si="150"/>
        <v>7.5111111111111116E-3</v>
      </c>
      <c r="BO370" s="1">
        <f t="shared" si="148"/>
        <v>1.8945024213772359E-2</v>
      </c>
    </row>
    <row r="371" spans="1:67" x14ac:dyDescent="0.25">
      <c r="A371" s="3"/>
      <c r="B371" s="3"/>
      <c r="C371">
        <v>26</v>
      </c>
      <c r="D371" s="5">
        <v>1</v>
      </c>
      <c r="E371" s="9">
        <f t="shared" si="152"/>
        <v>54.54545454545454</v>
      </c>
      <c r="F371" s="9">
        <f t="shared" si="153"/>
        <v>0.79999999999999993</v>
      </c>
      <c r="G371">
        <v>0</v>
      </c>
      <c r="H371">
        <v>9.0909090909090917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54.54545454545454</v>
      </c>
      <c r="P371">
        <v>0</v>
      </c>
      <c r="Q371">
        <v>36.363636363636367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6</v>
      </c>
      <c r="AK371" t="s">
        <v>1</v>
      </c>
      <c r="AL371" t="s">
        <v>374</v>
      </c>
      <c r="AQ371" s="1">
        <f t="shared" si="149"/>
        <v>100</v>
      </c>
      <c r="AR371" s="1">
        <f t="shared" si="129"/>
        <v>0.54545454545454541</v>
      </c>
      <c r="AS371" s="1">
        <f t="shared" si="130"/>
        <v>0</v>
      </c>
      <c r="AT371" s="1">
        <f t="shared" si="131"/>
        <v>9.0909090909090912E-2</v>
      </c>
      <c r="AU371" s="1">
        <f t="shared" si="132"/>
        <v>0.36363636363636365</v>
      </c>
      <c r="AV371" s="1">
        <f t="shared" si="133"/>
        <v>0.06</v>
      </c>
      <c r="AX371" s="1">
        <f t="shared" si="134"/>
        <v>4</v>
      </c>
      <c r="AY371" s="1">
        <f t="shared" si="135"/>
        <v>5.9999999999999991</v>
      </c>
      <c r="AZ371" s="1">
        <f t="shared" si="136"/>
        <v>0.75</v>
      </c>
      <c r="BA371" s="1">
        <f t="shared" si="137"/>
        <v>1.5</v>
      </c>
      <c r="BB371" s="1">
        <f t="shared" si="138"/>
        <v>2.2204460492503131E-16</v>
      </c>
      <c r="BC371" s="1">
        <f t="shared" si="139"/>
        <v>2.2204460492503131E-16</v>
      </c>
      <c r="BD371" s="1">
        <f t="shared" si="140"/>
        <v>5.9999999999999776E-2</v>
      </c>
      <c r="BF371">
        <f t="shared" si="141"/>
        <v>9.0909090909090917</v>
      </c>
      <c r="BG371">
        <f t="shared" si="151"/>
        <v>54.54545454545454</v>
      </c>
      <c r="BH371" s="1">
        <f t="shared" si="142"/>
        <v>4</v>
      </c>
      <c r="BI371" s="1">
        <f t="shared" si="143"/>
        <v>5.9999999999999991</v>
      </c>
      <c r="BJ371" s="1">
        <f t="shared" si="144"/>
        <v>0.66599999999999993</v>
      </c>
      <c r="BK371" s="1">
        <f t="shared" si="145"/>
        <v>2.1040000000000001</v>
      </c>
      <c r="BL371" s="1">
        <f t="shared" si="146"/>
        <v>1.6666666666666718E-2</v>
      </c>
      <c r="BM371" s="1">
        <f t="shared" si="147"/>
        <v>1.6666666666666718E-2</v>
      </c>
      <c r="BN371" s="1">
        <f t="shared" si="150"/>
        <v>1.8777777777777731E-3</v>
      </c>
      <c r="BO371" s="1">
        <f t="shared" si="148"/>
        <v>0.12085421268160544</v>
      </c>
    </row>
    <row r="372" spans="1:67" x14ac:dyDescent="0.25">
      <c r="A372" s="3"/>
      <c r="B372" s="3"/>
      <c r="C372">
        <v>27</v>
      </c>
      <c r="D372" s="5">
        <v>1</v>
      </c>
      <c r="E372" s="9">
        <f t="shared" si="152"/>
        <v>58.333333333333343</v>
      </c>
      <c r="F372" s="9">
        <f t="shared" si="153"/>
        <v>0.8</v>
      </c>
      <c r="G372">
        <v>0</v>
      </c>
      <c r="H372">
        <v>8.3333333333333321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58.333333333333343</v>
      </c>
      <c r="P372">
        <v>0</v>
      </c>
      <c r="Q372">
        <v>33.333333333333329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s">
        <v>1</v>
      </c>
      <c r="AL372" t="s">
        <v>374</v>
      </c>
      <c r="AQ372" s="1">
        <f t="shared" si="149"/>
        <v>100</v>
      </c>
      <c r="AR372" s="1">
        <f t="shared" si="129"/>
        <v>0.58333333333333348</v>
      </c>
      <c r="AS372" s="1">
        <f t="shared" si="130"/>
        <v>0</v>
      </c>
      <c r="AT372" s="1">
        <f t="shared" si="131"/>
        <v>8.3333333333333315E-2</v>
      </c>
      <c r="AU372" s="1">
        <f t="shared" si="132"/>
        <v>0.33333333333333326</v>
      </c>
      <c r="AV372" s="1">
        <f t="shared" si="133"/>
        <v>0</v>
      </c>
      <c r="AX372" s="1">
        <f t="shared" si="134"/>
        <v>4</v>
      </c>
      <c r="AY372" s="1">
        <f t="shared" si="135"/>
        <v>7.0000000000000036</v>
      </c>
      <c r="AZ372" s="1">
        <f t="shared" si="136"/>
        <v>0.75</v>
      </c>
      <c r="BA372" s="1">
        <f t="shared" si="137"/>
        <v>1.5</v>
      </c>
      <c r="BB372" s="1">
        <f t="shared" si="138"/>
        <v>-0.1666666666666673</v>
      </c>
      <c r="BC372" s="1">
        <f t="shared" si="139"/>
        <v>-0.1666666666666673</v>
      </c>
      <c r="BD372" s="1">
        <f t="shared" si="140"/>
        <v>0.1666666666666673</v>
      </c>
      <c r="BF372">
        <f t="shared" si="141"/>
        <v>8.3333333333333321</v>
      </c>
      <c r="BG372">
        <f t="shared" si="151"/>
        <v>58.333333333333343</v>
      </c>
      <c r="BH372" s="1">
        <f t="shared" si="142"/>
        <v>4</v>
      </c>
      <c r="BI372" s="1">
        <f t="shared" si="143"/>
        <v>7.0000000000000018</v>
      </c>
      <c r="BJ372" s="1">
        <f t="shared" si="144"/>
        <v>0.66599999999999993</v>
      </c>
      <c r="BK372" s="1">
        <f t="shared" si="145"/>
        <v>2.1040000000000001</v>
      </c>
      <c r="BL372" s="1">
        <f t="shared" si="146"/>
        <v>-0.15000000000000036</v>
      </c>
      <c r="BM372" s="1">
        <f t="shared" si="147"/>
        <v>0</v>
      </c>
      <c r="BN372" s="1">
        <f t="shared" si="150"/>
        <v>0</v>
      </c>
      <c r="BO372" s="1">
        <f t="shared" si="148"/>
        <v>0.16617112367241488</v>
      </c>
    </row>
    <row r="373" spans="1:67" x14ac:dyDescent="0.25">
      <c r="A373" s="3"/>
      <c r="B373" s="3"/>
      <c r="C373">
        <v>28</v>
      </c>
      <c r="D373" s="5">
        <v>1</v>
      </c>
      <c r="E373" s="9">
        <f t="shared" si="152"/>
        <v>17.647058823529409</v>
      </c>
      <c r="F373" s="9">
        <f t="shared" si="153"/>
        <v>0.8571428571428571</v>
      </c>
      <c r="G373">
        <v>0</v>
      </c>
      <c r="H373">
        <v>11.76470588235294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17.647058823529409</v>
      </c>
      <c r="P373">
        <v>0</v>
      </c>
      <c r="Q373">
        <v>70.588235294117652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81</v>
      </c>
      <c r="AK373" t="s">
        <v>1</v>
      </c>
      <c r="AL373" t="s">
        <v>374</v>
      </c>
      <c r="AQ373" s="1">
        <f t="shared" si="149"/>
        <v>100</v>
      </c>
      <c r="AR373" s="1">
        <f t="shared" si="129"/>
        <v>0.1764705882352941</v>
      </c>
      <c r="AS373" s="1">
        <f t="shared" si="130"/>
        <v>0</v>
      </c>
      <c r="AT373" s="1">
        <f t="shared" si="131"/>
        <v>0.1176470588235294</v>
      </c>
      <c r="AU373" s="1">
        <f t="shared" si="132"/>
        <v>0.70588235294117652</v>
      </c>
      <c r="AV373" s="1">
        <f t="shared" si="133"/>
        <v>0.81</v>
      </c>
      <c r="AX373" s="1">
        <f t="shared" si="134"/>
        <v>6.0000000000000009</v>
      </c>
      <c r="AY373" s="1">
        <f t="shared" si="135"/>
        <v>1.5</v>
      </c>
      <c r="AZ373" s="1">
        <f t="shared" si="136"/>
        <v>0.875</v>
      </c>
      <c r="BA373" s="1">
        <f t="shared" si="137"/>
        <v>2</v>
      </c>
      <c r="BB373" s="1">
        <f t="shared" si="138"/>
        <v>0.875</v>
      </c>
      <c r="BC373" s="1">
        <f t="shared" si="139"/>
        <v>0.875</v>
      </c>
      <c r="BD373" s="1">
        <f t="shared" si="140"/>
        <v>6.4999999999999947E-2</v>
      </c>
      <c r="BF373">
        <f t="shared" si="141"/>
        <v>11.76470588235294</v>
      </c>
      <c r="BG373">
        <f t="shared" si="151"/>
        <v>17.647058823529409</v>
      </c>
      <c r="BH373" s="1">
        <f t="shared" si="142"/>
        <v>6.0000000000000009</v>
      </c>
      <c r="BI373" s="1">
        <f t="shared" si="143"/>
        <v>1.5</v>
      </c>
      <c r="BJ373" s="1">
        <f t="shared" si="144"/>
        <v>0.70399999999999996</v>
      </c>
      <c r="BK373" s="1">
        <f t="shared" si="145"/>
        <v>3.1080000000000005</v>
      </c>
      <c r="BL373" s="1">
        <f t="shared" si="146"/>
        <v>0.70399999999999996</v>
      </c>
      <c r="BM373" s="1">
        <f t="shared" si="147"/>
        <v>0.70399999999999996</v>
      </c>
      <c r="BN373" s="1">
        <f t="shared" si="150"/>
        <v>1.123600000000002E-2</v>
      </c>
      <c r="BO373" s="1">
        <f t="shared" si="148"/>
        <v>0.16189282529648735</v>
      </c>
    </row>
    <row r="374" spans="1:67" x14ac:dyDescent="0.25">
      <c r="A374" s="3"/>
      <c r="B374" s="3"/>
      <c r="C374">
        <v>29</v>
      </c>
      <c r="D374" s="5">
        <v>1</v>
      </c>
      <c r="E374" s="9">
        <f t="shared" si="152"/>
        <v>22.222222222222221</v>
      </c>
      <c r="F374" s="9">
        <f t="shared" si="153"/>
        <v>0.8571428571428571</v>
      </c>
      <c r="G374">
        <v>0</v>
      </c>
      <c r="H374">
        <v>11.111111111111111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22.222222222222221</v>
      </c>
      <c r="P374">
        <v>0</v>
      </c>
      <c r="Q374">
        <v>66.666666666666657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79</v>
      </c>
      <c r="AK374" t="s">
        <v>1</v>
      </c>
      <c r="AL374" t="s">
        <v>374</v>
      </c>
      <c r="AQ374" s="1">
        <f t="shared" si="149"/>
        <v>99.999999999999986</v>
      </c>
      <c r="AR374" s="1">
        <f t="shared" si="129"/>
        <v>0.22222222222222221</v>
      </c>
      <c r="AS374" s="1">
        <f t="shared" si="130"/>
        <v>0</v>
      </c>
      <c r="AT374" s="1">
        <f t="shared" si="131"/>
        <v>0.1111111111111111</v>
      </c>
      <c r="AU374" s="1">
        <f t="shared" si="132"/>
        <v>0.66666666666666652</v>
      </c>
      <c r="AV374" s="1">
        <f t="shared" si="133"/>
        <v>0.79</v>
      </c>
      <c r="AX374" s="1">
        <f t="shared" si="134"/>
        <v>5.9999999999999991</v>
      </c>
      <c r="AY374" s="1">
        <f t="shared" si="135"/>
        <v>2</v>
      </c>
      <c r="AZ374" s="1">
        <f t="shared" si="136"/>
        <v>0.875</v>
      </c>
      <c r="BA374" s="1">
        <f t="shared" si="137"/>
        <v>1.9999999999999998</v>
      </c>
      <c r="BB374" s="1">
        <f t="shared" si="138"/>
        <v>0.875</v>
      </c>
      <c r="BC374" s="1">
        <f t="shared" si="139"/>
        <v>0.875</v>
      </c>
      <c r="BD374" s="1">
        <f t="shared" si="140"/>
        <v>8.4999999999999964E-2</v>
      </c>
      <c r="BF374">
        <f t="shared" si="141"/>
        <v>11.111111111111111</v>
      </c>
      <c r="BG374">
        <f t="shared" si="151"/>
        <v>22.222222222222221</v>
      </c>
      <c r="BH374" s="1">
        <f t="shared" si="142"/>
        <v>5.9999999999999991</v>
      </c>
      <c r="BI374" s="1">
        <f t="shared" si="143"/>
        <v>2</v>
      </c>
      <c r="BJ374" s="1">
        <f t="shared" si="144"/>
        <v>0.70399999999999996</v>
      </c>
      <c r="BK374" s="1">
        <f t="shared" si="145"/>
        <v>3.1079999999999997</v>
      </c>
      <c r="BL374" s="1">
        <f t="shared" si="146"/>
        <v>0.70399999999999996</v>
      </c>
      <c r="BM374" s="1">
        <f t="shared" si="147"/>
        <v>0.70399999999999996</v>
      </c>
      <c r="BN374" s="1">
        <f t="shared" si="150"/>
        <v>7.3960000000000128E-3</v>
      </c>
      <c r="BO374" s="1">
        <f t="shared" si="148"/>
        <v>0.14619846229342381</v>
      </c>
    </row>
    <row r="375" spans="1:67" x14ac:dyDescent="0.25">
      <c r="A375" s="3"/>
      <c r="B375" s="3"/>
      <c r="C375">
        <v>30</v>
      </c>
      <c r="D375" s="5">
        <v>1</v>
      </c>
      <c r="E375" s="9">
        <f t="shared" si="152"/>
        <v>26.315789473684209</v>
      </c>
      <c r="F375" s="9">
        <f t="shared" si="153"/>
        <v>0.85714285714285721</v>
      </c>
      <c r="G375">
        <v>0</v>
      </c>
      <c r="H375">
        <v>10.52631578947368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26.315789473684209</v>
      </c>
      <c r="P375">
        <v>0</v>
      </c>
      <c r="Q375">
        <v>63.157894736842103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79</v>
      </c>
      <c r="AK375" t="s">
        <v>1</v>
      </c>
      <c r="AL375" t="s">
        <v>374</v>
      </c>
      <c r="AQ375" s="1">
        <f t="shared" si="149"/>
        <v>100</v>
      </c>
      <c r="AR375" s="1">
        <f t="shared" si="129"/>
        <v>0.26315789473684209</v>
      </c>
      <c r="AS375" s="1">
        <f t="shared" si="130"/>
        <v>0</v>
      </c>
      <c r="AT375" s="1">
        <f t="shared" si="131"/>
        <v>0.10526315789473679</v>
      </c>
      <c r="AU375" s="1">
        <f t="shared" si="132"/>
        <v>0.63157894736842102</v>
      </c>
      <c r="AV375" s="1">
        <f t="shared" si="133"/>
        <v>0.79</v>
      </c>
      <c r="AX375" s="1">
        <f t="shared" si="134"/>
        <v>6.0000000000000027</v>
      </c>
      <c r="AY375" s="1">
        <f t="shared" si="135"/>
        <v>2.5000000000000009</v>
      </c>
      <c r="AZ375" s="1">
        <f t="shared" si="136"/>
        <v>0.87500000000000022</v>
      </c>
      <c r="BA375" s="1">
        <f t="shared" si="137"/>
        <v>2.0000000000000009</v>
      </c>
      <c r="BB375" s="1">
        <f t="shared" si="138"/>
        <v>0.80208333333333359</v>
      </c>
      <c r="BC375" s="1">
        <f t="shared" si="139"/>
        <v>0.80208333333333359</v>
      </c>
      <c r="BD375" s="1">
        <f t="shared" si="140"/>
        <v>1.2083333333333557E-2</v>
      </c>
      <c r="BF375">
        <f t="shared" si="141"/>
        <v>10.52631578947368</v>
      </c>
      <c r="BG375">
        <f t="shared" si="151"/>
        <v>26.315789473684209</v>
      </c>
      <c r="BH375" s="1">
        <f t="shared" si="142"/>
        <v>6.0000000000000027</v>
      </c>
      <c r="BI375" s="1">
        <f t="shared" si="143"/>
        <v>2.5000000000000009</v>
      </c>
      <c r="BJ375" s="1">
        <f t="shared" si="144"/>
        <v>0.70399999999999996</v>
      </c>
      <c r="BK375" s="1">
        <f t="shared" si="145"/>
        <v>3.1080000000000014</v>
      </c>
      <c r="BL375" s="1">
        <f t="shared" si="146"/>
        <v>0.70399999999999996</v>
      </c>
      <c r="BM375" s="1">
        <f t="shared" si="147"/>
        <v>0.70399999999999996</v>
      </c>
      <c r="BN375" s="1">
        <f t="shared" si="150"/>
        <v>7.3960000000000128E-3</v>
      </c>
      <c r="BO375" s="1">
        <f t="shared" si="148"/>
        <v>0.14619846229342381</v>
      </c>
    </row>
    <row r="376" spans="1:67" x14ac:dyDescent="0.25">
      <c r="A376" s="3"/>
      <c r="B376" s="3"/>
      <c r="C376">
        <v>31</v>
      </c>
      <c r="D376" s="5">
        <v>1</v>
      </c>
      <c r="E376" s="9">
        <f t="shared" si="152"/>
        <v>30</v>
      </c>
      <c r="F376" s="9">
        <f t="shared" si="153"/>
        <v>0.8571428571428571</v>
      </c>
      <c r="G376">
        <v>0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30</v>
      </c>
      <c r="P376">
        <v>0</v>
      </c>
      <c r="Q376">
        <v>60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75</v>
      </c>
      <c r="AK376" t="s">
        <v>1</v>
      </c>
      <c r="AL376" t="s">
        <v>374</v>
      </c>
      <c r="AQ376" s="1">
        <f t="shared" si="149"/>
        <v>100</v>
      </c>
      <c r="AR376" s="1">
        <f t="shared" si="129"/>
        <v>0.3</v>
      </c>
      <c r="AS376" s="1">
        <f t="shared" si="130"/>
        <v>0</v>
      </c>
      <c r="AT376" s="1">
        <f t="shared" si="131"/>
        <v>0.1</v>
      </c>
      <c r="AU376" s="1">
        <f t="shared" si="132"/>
        <v>0.6</v>
      </c>
      <c r="AV376" s="1">
        <f t="shared" si="133"/>
        <v>0.75</v>
      </c>
      <c r="AX376" s="1">
        <f t="shared" si="134"/>
        <v>5.9999999999999991</v>
      </c>
      <c r="AY376" s="1">
        <f t="shared" si="135"/>
        <v>2.9999999999999996</v>
      </c>
      <c r="AZ376" s="1">
        <f t="shared" si="136"/>
        <v>0.875</v>
      </c>
      <c r="BA376" s="1">
        <f t="shared" si="137"/>
        <v>1.9999999999999998</v>
      </c>
      <c r="BB376" s="1">
        <f t="shared" si="138"/>
        <v>0.72916666666666674</v>
      </c>
      <c r="BC376" s="1">
        <f t="shared" si="139"/>
        <v>0.72916666666666674</v>
      </c>
      <c r="BD376" s="1">
        <f t="shared" si="140"/>
        <v>2.0833333333333259E-2</v>
      </c>
      <c r="BF376">
        <f t="shared" si="141"/>
        <v>10</v>
      </c>
      <c r="BG376">
        <f t="shared" si="151"/>
        <v>30</v>
      </c>
      <c r="BH376" s="1">
        <f t="shared" si="142"/>
        <v>6</v>
      </c>
      <c r="BI376" s="1">
        <f t="shared" si="143"/>
        <v>3</v>
      </c>
      <c r="BJ376" s="1">
        <f t="shared" si="144"/>
        <v>0.70399999999999996</v>
      </c>
      <c r="BK376" s="1">
        <f t="shared" si="145"/>
        <v>3.1080000000000001</v>
      </c>
      <c r="BL376" s="1">
        <f t="shared" si="146"/>
        <v>0.70399999999999996</v>
      </c>
      <c r="BM376" s="1">
        <f t="shared" si="147"/>
        <v>0.70399999999999996</v>
      </c>
      <c r="BN376" s="1">
        <f t="shared" si="150"/>
        <v>2.1160000000000037E-3</v>
      </c>
      <c r="BO376" s="1">
        <f t="shared" si="148"/>
        <v>0.11720973628729676</v>
      </c>
    </row>
    <row r="377" spans="1:67" x14ac:dyDescent="0.25">
      <c r="A377" s="3"/>
      <c r="B377" s="3"/>
      <c r="C377">
        <v>32</v>
      </c>
      <c r="D377" s="5">
        <v>1</v>
      </c>
      <c r="E377" s="9">
        <f t="shared" si="152"/>
        <v>36.363636363636367</v>
      </c>
      <c r="F377" s="9">
        <f t="shared" si="153"/>
        <v>0.8571428571428571</v>
      </c>
      <c r="G377">
        <v>0</v>
      </c>
      <c r="H377">
        <v>9.0909090909090917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36.363636363636367</v>
      </c>
      <c r="P377">
        <v>0</v>
      </c>
      <c r="Q377">
        <v>54.54545454545454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62</v>
      </c>
      <c r="AK377" t="s">
        <v>1</v>
      </c>
      <c r="AL377" t="s">
        <v>374</v>
      </c>
      <c r="AQ377" s="1">
        <f t="shared" si="149"/>
        <v>100</v>
      </c>
      <c r="AR377" s="1">
        <f t="shared" si="129"/>
        <v>0.36363636363636365</v>
      </c>
      <c r="AS377" s="1">
        <f t="shared" si="130"/>
        <v>0</v>
      </c>
      <c r="AT377" s="1">
        <f t="shared" si="131"/>
        <v>9.0909090909090912E-2</v>
      </c>
      <c r="AU377" s="1">
        <f t="shared" si="132"/>
        <v>0.54545454545454541</v>
      </c>
      <c r="AV377" s="1">
        <f t="shared" si="133"/>
        <v>0.62</v>
      </c>
      <c r="AX377" s="1">
        <f t="shared" si="134"/>
        <v>5.9999999999999991</v>
      </c>
      <c r="AY377" s="1">
        <f t="shared" si="135"/>
        <v>4</v>
      </c>
      <c r="AZ377" s="1">
        <f t="shared" si="136"/>
        <v>0.875</v>
      </c>
      <c r="BA377" s="1">
        <f t="shared" si="137"/>
        <v>1.9999999999999998</v>
      </c>
      <c r="BB377" s="1">
        <f t="shared" si="138"/>
        <v>0.58333333333333326</v>
      </c>
      <c r="BC377" s="1">
        <f t="shared" si="139"/>
        <v>0.58333333333333326</v>
      </c>
      <c r="BD377" s="1">
        <f t="shared" si="140"/>
        <v>3.6666666666666736E-2</v>
      </c>
      <c r="BF377">
        <f t="shared" si="141"/>
        <v>9.0909090909090917</v>
      </c>
      <c r="BG377">
        <f t="shared" si="151"/>
        <v>36.363636363636367</v>
      </c>
      <c r="BH377" s="1">
        <f t="shared" si="142"/>
        <v>5.9999999999999991</v>
      </c>
      <c r="BI377" s="1">
        <f t="shared" si="143"/>
        <v>4</v>
      </c>
      <c r="BJ377" s="1">
        <f t="shared" si="144"/>
        <v>0.70399999999999996</v>
      </c>
      <c r="BK377" s="1">
        <f t="shared" si="145"/>
        <v>3.1079999999999997</v>
      </c>
      <c r="BL377" s="1">
        <f t="shared" si="146"/>
        <v>0.57391666666666652</v>
      </c>
      <c r="BM377" s="1">
        <f t="shared" si="147"/>
        <v>0.57391666666666652</v>
      </c>
      <c r="BN377" s="1">
        <f t="shared" si="150"/>
        <v>2.1236736111111243E-3</v>
      </c>
      <c r="BO377" s="1">
        <f t="shared" si="148"/>
        <v>4.50963767673839E-2</v>
      </c>
    </row>
    <row r="378" spans="1:67" x14ac:dyDescent="0.25">
      <c r="A378" s="3"/>
      <c r="B378" s="3"/>
      <c r="C378">
        <v>33</v>
      </c>
      <c r="D378" s="5">
        <v>1</v>
      </c>
      <c r="E378" s="9">
        <f t="shared" si="152"/>
        <v>41.666666666666671</v>
      </c>
      <c r="F378" s="9">
        <f t="shared" si="153"/>
        <v>0.85714285714285721</v>
      </c>
      <c r="G378">
        <v>0</v>
      </c>
      <c r="H378">
        <v>8.3333333333333321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41.666666666666671</v>
      </c>
      <c r="P378">
        <v>0</v>
      </c>
      <c r="Q378">
        <v>50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50</v>
      </c>
      <c r="AK378" t="s">
        <v>1</v>
      </c>
      <c r="AL378" t="s">
        <v>374</v>
      </c>
      <c r="AQ378" s="1">
        <f t="shared" si="149"/>
        <v>100</v>
      </c>
      <c r="AR378" s="1">
        <f t="shared" si="129"/>
        <v>0.41666666666666674</v>
      </c>
      <c r="AS378" s="1">
        <f t="shared" si="130"/>
        <v>0</v>
      </c>
      <c r="AT378" s="1">
        <f t="shared" si="131"/>
        <v>8.3333333333333315E-2</v>
      </c>
      <c r="AU378" s="1">
        <f t="shared" si="132"/>
        <v>0.5</v>
      </c>
      <c r="AV378" s="1">
        <f t="shared" si="133"/>
        <v>0.5</v>
      </c>
      <c r="AX378" s="1">
        <f t="shared" si="134"/>
        <v>6.0000000000000018</v>
      </c>
      <c r="AY378" s="1">
        <f t="shared" si="135"/>
        <v>5.0000000000000018</v>
      </c>
      <c r="AZ378" s="1">
        <f t="shared" si="136"/>
        <v>0.87500000000000011</v>
      </c>
      <c r="BA378" s="1">
        <f t="shared" si="137"/>
        <v>2.0000000000000004</v>
      </c>
      <c r="BB378" s="1">
        <f t="shared" si="138"/>
        <v>0.4375</v>
      </c>
      <c r="BC378" s="1">
        <f t="shared" si="139"/>
        <v>0.4375</v>
      </c>
      <c r="BD378" s="1">
        <f t="shared" si="140"/>
        <v>6.25E-2</v>
      </c>
      <c r="BF378">
        <f t="shared" si="141"/>
        <v>8.3333333333333321</v>
      </c>
      <c r="BG378">
        <f t="shared" si="151"/>
        <v>41.666666666666671</v>
      </c>
      <c r="BH378" s="1">
        <f t="shared" si="142"/>
        <v>6.0000000000000009</v>
      </c>
      <c r="BI378" s="1">
        <f t="shared" si="143"/>
        <v>5.0000000000000009</v>
      </c>
      <c r="BJ378" s="1">
        <f t="shared" si="144"/>
        <v>0.70399999999999996</v>
      </c>
      <c r="BK378" s="1">
        <f t="shared" si="145"/>
        <v>3.1080000000000005</v>
      </c>
      <c r="BL378" s="1">
        <f t="shared" si="146"/>
        <v>0.4280833333333332</v>
      </c>
      <c r="BM378" s="1">
        <f t="shared" si="147"/>
        <v>0.4280833333333332</v>
      </c>
      <c r="BN378" s="1">
        <f t="shared" si="150"/>
        <v>5.1720069444444626E-3</v>
      </c>
      <c r="BO378" s="1">
        <f t="shared" si="148"/>
        <v>8.5301987490028035E-3</v>
      </c>
    </row>
    <row r="379" spans="1:67" x14ac:dyDescent="0.25">
      <c r="A379" s="3"/>
      <c r="B379" s="3"/>
      <c r="C379">
        <v>34</v>
      </c>
      <c r="D379" s="5">
        <v>1</v>
      </c>
      <c r="E379" s="9">
        <f t="shared" si="152"/>
        <v>46.153846153846153</v>
      </c>
      <c r="F379" s="9">
        <f t="shared" si="153"/>
        <v>0.8571428571428571</v>
      </c>
      <c r="G379">
        <v>0</v>
      </c>
      <c r="H379">
        <v>7.6923076923076934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46.153846153846153</v>
      </c>
      <c r="P379">
        <v>0</v>
      </c>
      <c r="Q379">
        <v>46.153846153846153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27</v>
      </c>
      <c r="AK379" t="s">
        <v>1</v>
      </c>
      <c r="AL379" t="s">
        <v>374</v>
      </c>
      <c r="AQ379" s="1">
        <f t="shared" si="149"/>
        <v>100</v>
      </c>
      <c r="AR379" s="1">
        <f t="shared" si="129"/>
        <v>0.46153846153846151</v>
      </c>
      <c r="AS379" s="1">
        <f t="shared" si="130"/>
        <v>0</v>
      </c>
      <c r="AT379" s="1">
        <f t="shared" si="131"/>
        <v>7.6923076923076927E-2</v>
      </c>
      <c r="AU379" s="1">
        <f t="shared" si="132"/>
        <v>0.46153846153846151</v>
      </c>
      <c r="AV379" s="1">
        <f t="shared" si="133"/>
        <v>0.27</v>
      </c>
      <c r="AX379" s="1">
        <f t="shared" si="134"/>
        <v>5.9999999999999991</v>
      </c>
      <c r="AY379" s="1">
        <f t="shared" si="135"/>
        <v>5.9999999999999991</v>
      </c>
      <c r="AZ379" s="1">
        <f t="shared" si="136"/>
        <v>0.875</v>
      </c>
      <c r="BA379" s="1">
        <f t="shared" si="137"/>
        <v>1.9999999999999998</v>
      </c>
      <c r="BB379" s="1">
        <f t="shared" si="138"/>
        <v>0.29166666666666674</v>
      </c>
      <c r="BC379" s="1">
        <f t="shared" si="139"/>
        <v>0.29166666666666674</v>
      </c>
      <c r="BD379" s="1">
        <f t="shared" si="140"/>
        <v>2.1666666666666723E-2</v>
      </c>
      <c r="BF379">
        <f t="shared" si="141"/>
        <v>7.6923076923076934</v>
      </c>
      <c r="BG379">
        <f t="shared" si="151"/>
        <v>46.153846153846153</v>
      </c>
      <c r="BH379" s="1">
        <f t="shared" si="142"/>
        <v>5.9999999999999991</v>
      </c>
      <c r="BI379" s="1">
        <f t="shared" si="143"/>
        <v>5.9999999999999991</v>
      </c>
      <c r="BJ379" s="1">
        <f t="shared" si="144"/>
        <v>0.70399999999999996</v>
      </c>
      <c r="BK379" s="1">
        <f t="shared" si="145"/>
        <v>3.1079999999999997</v>
      </c>
      <c r="BL379" s="1">
        <f t="shared" si="146"/>
        <v>0.28225</v>
      </c>
      <c r="BM379" s="1">
        <f t="shared" si="147"/>
        <v>0.28225</v>
      </c>
      <c r="BN379" s="1">
        <f t="shared" si="150"/>
        <v>1.5006249999999959E-4</v>
      </c>
      <c r="BO379" s="1">
        <f t="shared" si="148"/>
        <v>1.8945024213772359E-2</v>
      </c>
    </row>
    <row r="380" spans="1:67" x14ac:dyDescent="0.25">
      <c r="A380" s="3"/>
      <c r="B380" s="3"/>
      <c r="C380">
        <v>35</v>
      </c>
      <c r="D380" s="5">
        <v>1</v>
      </c>
      <c r="E380" s="9">
        <f t="shared" si="152"/>
        <v>50</v>
      </c>
      <c r="F380" s="9">
        <f t="shared" si="153"/>
        <v>0.85714285714285721</v>
      </c>
      <c r="G380">
        <v>0</v>
      </c>
      <c r="H380">
        <v>7.1428571428571423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50</v>
      </c>
      <c r="P380">
        <v>0</v>
      </c>
      <c r="Q380">
        <v>42.857142857142847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16</v>
      </c>
      <c r="AK380" t="s">
        <v>1</v>
      </c>
      <c r="AL380" t="s">
        <v>374</v>
      </c>
      <c r="AQ380" s="1">
        <f t="shared" si="149"/>
        <v>99.999999999999986</v>
      </c>
      <c r="AR380" s="1">
        <f t="shared" si="129"/>
        <v>0.5</v>
      </c>
      <c r="AS380" s="1">
        <f t="shared" si="130"/>
        <v>0</v>
      </c>
      <c r="AT380" s="1">
        <f t="shared" si="131"/>
        <v>7.1428571428571425E-2</v>
      </c>
      <c r="AU380" s="1">
        <f t="shared" si="132"/>
        <v>0.42857142857142849</v>
      </c>
      <c r="AV380" s="1">
        <f t="shared" si="133"/>
        <v>0.16</v>
      </c>
      <c r="AX380" s="1">
        <f t="shared" si="134"/>
        <v>5.9999999999999991</v>
      </c>
      <c r="AY380" s="1">
        <f t="shared" si="135"/>
        <v>7</v>
      </c>
      <c r="AZ380" s="1">
        <f t="shared" si="136"/>
        <v>0.875</v>
      </c>
      <c r="BA380" s="1">
        <f t="shared" si="137"/>
        <v>1.9999999999999998</v>
      </c>
      <c r="BB380" s="1">
        <f t="shared" si="138"/>
        <v>0.14583333333333326</v>
      </c>
      <c r="BC380" s="1">
        <f t="shared" si="139"/>
        <v>0.14583333333333326</v>
      </c>
      <c r="BD380" s="1">
        <f t="shared" si="140"/>
        <v>1.4166666666666744E-2</v>
      </c>
      <c r="BF380">
        <f t="shared" si="141"/>
        <v>7.1428571428571423</v>
      </c>
      <c r="BG380">
        <f t="shared" si="151"/>
        <v>50</v>
      </c>
      <c r="BH380" s="1">
        <f t="shared" si="142"/>
        <v>5.9999999999999991</v>
      </c>
      <c r="BI380" s="1">
        <f t="shared" si="143"/>
        <v>7.0000000000000009</v>
      </c>
      <c r="BJ380" s="1">
        <f t="shared" si="144"/>
        <v>0.70399999999999996</v>
      </c>
      <c r="BK380" s="1">
        <f t="shared" si="145"/>
        <v>3.1079999999999997</v>
      </c>
      <c r="BL380" s="1">
        <f t="shared" si="146"/>
        <v>0.13641666666666641</v>
      </c>
      <c r="BM380" s="1">
        <f t="shared" si="147"/>
        <v>0.13641666666666641</v>
      </c>
      <c r="BN380" s="1">
        <f t="shared" si="150"/>
        <v>5.5617361111112349E-4</v>
      </c>
      <c r="BO380" s="1">
        <f t="shared" si="148"/>
        <v>6.1326027696923018E-2</v>
      </c>
    </row>
    <row r="381" spans="1:67" ht="14.45" customHeight="1" x14ac:dyDescent="0.25">
      <c r="A381" s="3"/>
      <c r="B381" s="3"/>
      <c r="C381" t="s">
        <v>171</v>
      </c>
      <c r="D381" s="5">
        <v>1</v>
      </c>
      <c r="E381" s="9">
        <f t="shared" si="152"/>
        <v>18.3</v>
      </c>
      <c r="F381" s="9">
        <f t="shared" si="153"/>
        <v>0.79002624671916011</v>
      </c>
      <c r="G381">
        <v>3.8</v>
      </c>
      <c r="H381">
        <v>16</v>
      </c>
      <c r="I381">
        <v>5.7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12.6</v>
      </c>
      <c r="P381">
        <v>0</v>
      </c>
      <c r="Q381">
        <v>60.2</v>
      </c>
      <c r="R381">
        <v>0</v>
      </c>
      <c r="S381">
        <v>0</v>
      </c>
      <c r="T381">
        <v>0</v>
      </c>
      <c r="U381">
        <v>1.7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45</v>
      </c>
      <c r="AK381" t="s">
        <v>1</v>
      </c>
      <c r="AL381" t="s">
        <v>372</v>
      </c>
      <c r="AO381" t="s">
        <v>378</v>
      </c>
      <c r="AQ381" s="1">
        <f t="shared" si="149"/>
        <v>100.00000000000001</v>
      </c>
      <c r="AR381" s="1">
        <f t="shared" si="129"/>
        <v>0.126</v>
      </c>
      <c r="AS381" s="1">
        <f t="shared" si="130"/>
        <v>3.7999999999999999E-2</v>
      </c>
      <c r="AT381" s="1">
        <f t="shared" si="131"/>
        <v>0.16</v>
      </c>
      <c r="AU381" s="1">
        <f t="shared" si="132"/>
        <v>0.60199999999999998</v>
      </c>
      <c r="AV381" s="1">
        <f t="shared" si="133"/>
        <v>0.45</v>
      </c>
      <c r="AX381" s="1">
        <f t="shared" si="134"/>
        <v>3.0404040404040402</v>
      </c>
      <c r="AY381" s="1">
        <f t="shared" si="135"/>
        <v>0.63636363636363635</v>
      </c>
      <c r="AZ381" s="1">
        <f t="shared" si="136"/>
        <v>0.69002525252525249</v>
      </c>
      <c r="BA381" s="1">
        <f t="shared" si="137"/>
        <v>1.2601010101010099</v>
      </c>
      <c r="BB381" s="1">
        <f t="shared" si="138"/>
        <v>0.63636363636363635</v>
      </c>
      <c r="BC381" s="1">
        <f t="shared" si="139"/>
        <v>0.63636363636363635</v>
      </c>
      <c r="BD381" s="1">
        <f t="shared" si="140"/>
        <v>0.18636363636363634</v>
      </c>
      <c r="BF381">
        <f t="shared" si="141"/>
        <v>36.299999999999997</v>
      </c>
      <c r="BG381">
        <f t="shared" si="151"/>
        <v>15.45</v>
      </c>
      <c r="BH381" s="1">
        <f t="shared" si="142"/>
        <v>1.6584022038567494</v>
      </c>
      <c r="BI381" s="1">
        <f t="shared" si="143"/>
        <v>0.42561983471074383</v>
      </c>
      <c r="BJ381" s="1">
        <f t="shared" si="144"/>
        <v>0.62150964187327817</v>
      </c>
      <c r="BK381" s="1">
        <f t="shared" si="145"/>
        <v>0.92851790633608822</v>
      </c>
      <c r="BL381" s="1">
        <f t="shared" si="146"/>
        <v>0.42561983471074383</v>
      </c>
      <c r="BM381" s="1">
        <f t="shared" si="147"/>
        <v>0.42561983471074383</v>
      </c>
      <c r="BN381" s="1">
        <f t="shared" si="150"/>
        <v>5.9439245953145207E-4</v>
      </c>
      <c r="BO381" s="1">
        <f t="shared" si="148"/>
        <v>1.7942912413440124E-3</v>
      </c>
    </row>
    <row r="382" spans="1:67" x14ac:dyDescent="0.25">
      <c r="A382" s="3"/>
      <c r="B382" s="3"/>
      <c r="C382" t="s">
        <v>172</v>
      </c>
      <c r="D382" s="5">
        <v>1</v>
      </c>
      <c r="E382" s="9">
        <f t="shared" si="152"/>
        <v>18.600000000000001</v>
      </c>
      <c r="F382" s="9">
        <f t="shared" si="153"/>
        <v>0.78967741935483871</v>
      </c>
      <c r="G382">
        <v>3.9</v>
      </c>
      <c r="H382">
        <v>16.3</v>
      </c>
      <c r="I382">
        <v>5.8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12.8</v>
      </c>
      <c r="P382">
        <v>0</v>
      </c>
      <c r="Q382">
        <v>61.2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57</v>
      </c>
      <c r="AK382" t="s">
        <v>1</v>
      </c>
      <c r="AL382" t="s">
        <v>372</v>
      </c>
      <c r="AQ382" s="1">
        <f t="shared" si="149"/>
        <v>100</v>
      </c>
      <c r="AR382" s="1">
        <f t="shared" si="129"/>
        <v>0.128</v>
      </c>
      <c r="AS382" s="1">
        <f t="shared" si="130"/>
        <v>3.9E-2</v>
      </c>
      <c r="AT382" s="1">
        <f t="shared" si="131"/>
        <v>0.16300000000000001</v>
      </c>
      <c r="AU382" s="1">
        <f t="shared" si="132"/>
        <v>0.61199999999999999</v>
      </c>
      <c r="AV382" s="1">
        <f t="shared" si="133"/>
        <v>0.56999999999999995</v>
      </c>
      <c r="AX382" s="1">
        <f t="shared" si="134"/>
        <v>3.0297029702970293</v>
      </c>
      <c r="AY382" s="1">
        <f t="shared" si="135"/>
        <v>0.63366336633663367</v>
      </c>
      <c r="AZ382" s="1">
        <f t="shared" si="136"/>
        <v>0.6893564356435643</v>
      </c>
      <c r="BA382" s="1">
        <f t="shared" si="137"/>
        <v>1.2574257425742572</v>
      </c>
      <c r="BB382" s="1">
        <f t="shared" si="138"/>
        <v>0.63366336633663367</v>
      </c>
      <c r="BC382" s="1">
        <f t="shared" si="139"/>
        <v>0.63366336633663367</v>
      </c>
      <c r="BD382" s="1">
        <f t="shared" si="140"/>
        <v>6.366336633663372E-2</v>
      </c>
      <c r="BF382">
        <f t="shared" si="141"/>
        <v>31.9</v>
      </c>
      <c r="BG382">
        <f t="shared" si="151"/>
        <v>15.700000000000001</v>
      </c>
      <c r="BH382" s="1">
        <f t="shared" si="142"/>
        <v>1.9184952978056429</v>
      </c>
      <c r="BI382" s="1">
        <f t="shared" si="143"/>
        <v>0.49216300940438878</v>
      </c>
      <c r="BJ382" s="1">
        <f t="shared" si="144"/>
        <v>0.62645141065830723</v>
      </c>
      <c r="BK382" s="1">
        <f t="shared" si="145"/>
        <v>1.0590846394984328</v>
      </c>
      <c r="BL382" s="1">
        <f t="shared" si="146"/>
        <v>0.49216300940438878</v>
      </c>
      <c r="BM382" s="1">
        <f t="shared" si="147"/>
        <v>0.49216300940438878</v>
      </c>
      <c r="BN382" s="1">
        <f t="shared" si="150"/>
        <v>6.0585971049812613E-3</v>
      </c>
      <c r="BO382" s="1">
        <f t="shared" si="148"/>
        <v>2.6360469259725097E-2</v>
      </c>
    </row>
    <row r="383" spans="1:67" x14ac:dyDescent="0.25">
      <c r="A383" s="3"/>
      <c r="B383" s="3"/>
      <c r="C383" t="s">
        <v>173</v>
      </c>
      <c r="D383" s="5">
        <v>1</v>
      </c>
      <c r="E383" s="9">
        <f t="shared" si="152"/>
        <v>18.5</v>
      </c>
      <c r="F383" s="9">
        <f t="shared" si="153"/>
        <v>0.85070785070785071</v>
      </c>
      <c r="G383">
        <v>3.8</v>
      </c>
      <c r="H383">
        <v>11.6</v>
      </c>
      <c r="I383">
        <v>5.7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12.8</v>
      </c>
      <c r="P383">
        <v>0</v>
      </c>
      <c r="Q383">
        <v>66.099999999999994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81</v>
      </c>
      <c r="AK383" t="s">
        <v>1</v>
      </c>
      <c r="AL383" t="s">
        <v>372</v>
      </c>
      <c r="AQ383" s="1">
        <f t="shared" si="149"/>
        <v>100</v>
      </c>
      <c r="AR383" s="1">
        <f t="shared" si="129"/>
        <v>0.128</v>
      </c>
      <c r="AS383" s="1">
        <f t="shared" si="130"/>
        <v>3.7999999999999999E-2</v>
      </c>
      <c r="AT383" s="1">
        <f t="shared" si="131"/>
        <v>0.11599999999999999</v>
      </c>
      <c r="AU383" s="1">
        <f t="shared" si="132"/>
        <v>0.66099999999999992</v>
      </c>
      <c r="AV383" s="1">
        <f t="shared" si="133"/>
        <v>0.81</v>
      </c>
      <c r="AX383" s="1">
        <f t="shared" si="134"/>
        <v>4.2922077922077921</v>
      </c>
      <c r="AY383" s="1">
        <f t="shared" si="135"/>
        <v>0.83116883116883122</v>
      </c>
      <c r="AZ383" s="1">
        <f t="shared" si="136"/>
        <v>0.76826298701298701</v>
      </c>
      <c r="BA383" s="1">
        <f t="shared" si="137"/>
        <v>1.573051948051948</v>
      </c>
      <c r="BB383" s="1">
        <f t="shared" si="138"/>
        <v>0.76826298701298701</v>
      </c>
      <c r="BC383" s="1">
        <f t="shared" si="139"/>
        <v>0.76826298701298701</v>
      </c>
      <c r="BD383" s="1">
        <f t="shared" si="140"/>
        <v>4.1737012987013045E-2</v>
      </c>
      <c r="BF383">
        <f t="shared" si="141"/>
        <v>26.799999999999997</v>
      </c>
      <c r="BG383">
        <f t="shared" si="151"/>
        <v>15.65</v>
      </c>
      <c r="BH383" s="1">
        <f t="shared" si="142"/>
        <v>2.466417910447761</v>
      </c>
      <c r="BI383" s="1">
        <f t="shared" si="143"/>
        <v>0.58395522388059706</v>
      </c>
      <c r="BJ383" s="1">
        <f t="shared" si="144"/>
        <v>0.6368619402985074</v>
      </c>
      <c r="BK383" s="1">
        <f t="shared" si="145"/>
        <v>1.3341417910447761</v>
      </c>
      <c r="BL383" s="1">
        <f t="shared" si="146"/>
        <v>0.58395522388059706</v>
      </c>
      <c r="BM383" s="1">
        <f t="shared" si="147"/>
        <v>0.58395522388059706</v>
      </c>
      <c r="BN383" s="1">
        <f t="shared" si="150"/>
        <v>5.1096240810871017E-2</v>
      </c>
      <c r="BO383" s="1">
        <f t="shared" si="148"/>
        <v>0.16189282529648735</v>
      </c>
    </row>
    <row r="384" spans="1:67" x14ac:dyDescent="0.25">
      <c r="A384" s="3"/>
      <c r="B384" s="3"/>
      <c r="C384" t="s">
        <v>174</v>
      </c>
      <c r="D384" s="5">
        <v>1</v>
      </c>
      <c r="E384" s="9">
        <f t="shared" si="152"/>
        <v>33.9</v>
      </c>
      <c r="F384" s="9">
        <f t="shared" si="153"/>
        <v>0.66902654867256628</v>
      </c>
      <c r="G384">
        <v>9.6</v>
      </c>
      <c r="H384">
        <v>18.7</v>
      </c>
      <c r="I384">
        <v>26.6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7.3</v>
      </c>
      <c r="P384">
        <v>0</v>
      </c>
      <c r="Q384">
        <v>37.799999999999997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29</v>
      </c>
      <c r="AK384" t="s">
        <v>1</v>
      </c>
      <c r="AL384" t="s">
        <v>372</v>
      </c>
      <c r="AQ384" s="1">
        <f t="shared" si="149"/>
        <v>100</v>
      </c>
      <c r="AR384" s="1">
        <f t="shared" si="129"/>
        <v>7.2999999999999995E-2</v>
      </c>
      <c r="AS384" s="1">
        <f t="shared" si="130"/>
        <v>9.6000000000000002E-2</v>
      </c>
      <c r="AT384" s="1">
        <f t="shared" si="131"/>
        <v>0.187</v>
      </c>
      <c r="AU384" s="1">
        <f t="shared" si="132"/>
        <v>0.37799999999999995</v>
      </c>
      <c r="AV384" s="1">
        <f t="shared" si="133"/>
        <v>0.28999999999999998</v>
      </c>
      <c r="AX384" s="1">
        <f t="shared" si="134"/>
        <v>1.3356890459363955</v>
      </c>
      <c r="AY384" s="1">
        <f t="shared" si="135"/>
        <v>0.25795053003533563</v>
      </c>
      <c r="AZ384" s="1">
        <f t="shared" si="136"/>
        <v>0.58348056537102466</v>
      </c>
      <c r="BA384" s="1">
        <f t="shared" si="137"/>
        <v>0.83392226148409887</v>
      </c>
      <c r="BB384" s="1">
        <f t="shared" si="138"/>
        <v>0.25795053003533563</v>
      </c>
      <c r="BC384" s="1">
        <f t="shared" si="139"/>
        <v>0.25795053003533563</v>
      </c>
      <c r="BD384" s="1">
        <f t="shared" si="140"/>
        <v>3.2049469964664346E-2</v>
      </c>
      <c r="BF384">
        <f t="shared" si="141"/>
        <v>57.099999999999994</v>
      </c>
      <c r="BG384">
        <f t="shared" si="151"/>
        <v>20.6</v>
      </c>
      <c r="BH384" s="1">
        <f t="shared" si="142"/>
        <v>0.66199649737302979</v>
      </c>
      <c r="BI384" s="1">
        <f t="shared" si="143"/>
        <v>0.36077057793345013</v>
      </c>
      <c r="BJ384" s="1">
        <f t="shared" si="144"/>
        <v>0.60257793345008759</v>
      </c>
      <c r="BK384" s="1">
        <f t="shared" si="145"/>
        <v>0.42832224168126098</v>
      </c>
      <c r="BL384" s="1">
        <f t="shared" si="146"/>
        <v>0.36077057793345013</v>
      </c>
      <c r="BM384" s="1">
        <f t="shared" si="147"/>
        <v>0.36077057793345013</v>
      </c>
      <c r="BN384" s="1">
        <f t="shared" si="150"/>
        <v>5.0084747010345418E-3</v>
      </c>
      <c r="BO384" s="1">
        <f t="shared" si="148"/>
        <v>1.3839387216835882E-2</v>
      </c>
    </row>
    <row r="385" spans="1:67" x14ac:dyDescent="0.25">
      <c r="A385" s="3"/>
      <c r="B385" s="3"/>
      <c r="C385" t="s">
        <v>175</v>
      </c>
      <c r="D385" s="5">
        <v>1</v>
      </c>
      <c r="E385" s="9">
        <f t="shared" si="152"/>
        <v>33.699999999999996</v>
      </c>
      <c r="F385" s="9">
        <f t="shared" si="153"/>
        <v>0.75528169014084512</v>
      </c>
      <c r="G385">
        <v>9.5</v>
      </c>
      <c r="H385">
        <v>13.9</v>
      </c>
      <c r="I385">
        <v>26.4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7.3</v>
      </c>
      <c r="P385">
        <v>0</v>
      </c>
      <c r="Q385">
        <v>42.9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33</v>
      </c>
      <c r="AK385" t="s">
        <v>1</v>
      </c>
      <c r="AL385" t="s">
        <v>372</v>
      </c>
      <c r="AQ385" s="1">
        <f t="shared" si="149"/>
        <v>100</v>
      </c>
      <c r="AR385" s="1">
        <f t="shared" si="129"/>
        <v>7.2999999999999995E-2</v>
      </c>
      <c r="AS385" s="1">
        <f t="shared" si="130"/>
        <v>9.5000000000000001E-2</v>
      </c>
      <c r="AT385" s="1">
        <f t="shared" si="131"/>
        <v>0.13900000000000001</v>
      </c>
      <c r="AU385" s="1">
        <f t="shared" si="132"/>
        <v>0.42899999999999999</v>
      </c>
      <c r="AV385" s="1">
        <f t="shared" si="133"/>
        <v>0.33</v>
      </c>
      <c r="AX385" s="1">
        <f t="shared" si="134"/>
        <v>1.8333333333333333</v>
      </c>
      <c r="AY385" s="1">
        <f t="shared" si="135"/>
        <v>0.31196581196581191</v>
      </c>
      <c r="AZ385" s="1">
        <f t="shared" si="136"/>
        <v>0.61458333333333337</v>
      </c>
      <c r="BA385" s="1">
        <f t="shared" si="137"/>
        <v>0.95833333333333326</v>
      </c>
      <c r="BB385" s="1">
        <f t="shared" si="138"/>
        <v>0.31196581196581191</v>
      </c>
      <c r="BC385" s="1">
        <f t="shared" si="139"/>
        <v>0.31196581196581191</v>
      </c>
      <c r="BD385" s="1">
        <f t="shared" si="140"/>
        <v>1.8034188034188103E-2</v>
      </c>
      <c r="BF385">
        <f t="shared" si="141"/>
        <v>51.9</v>
      </c>
      <c r="BG385">
        <f t="shared" si="151"/>
        <v>20.5</v>
      </c>
      <c r="BH385" s="1">
        <f t="shared" si="142"/>
        <v>0.82658959537572252</v>
      </c>
      <c r="BI385" s="1">
        <f t="shared" si="143"/>
        <v>0.39499036608863197</v>
      </c>
      <c r="BJ385" s="1">
        <f t="shared" si="144"/>
        <v>0.60570520231213865</v>
      </c>
      <c r="BK385" s="1">
        <f t="shared" si="145"/>
        <v>0.51094797687861271</v>
      </c>
      <c r="BL385" s="1">
        <f t="shared" si="146"/>
        <v>0.39499036608863197</v>
      </c>
      <c r="BM385" s="1">
        <f t="shared" si="147"/>
        <v>0.39499036608863197</v>
      </c>
      <c r="BN385" s="1">
        <f t="shared" si="150"/>
        <v>4.2237476843344024E-3</v>
      </c>
      <c r="BO385" s="1">
        <f t="shared" si="148"/>
        <v>6.0281132229629093E-3</v>
      </c>
    </row>
    <row r="386" spans="1:67" x14ac:dyDescent="0.25">
      <c r="A386" s="3"/>
      <c r="B386" s="3"/>
      <c r="C386" t="s">
        <v>176</v>
      </c>
      <c r="D386" s="5">
        <v>1</v>
      </c>
      <c r="E386" s="9">
        <f t="shared" si="152"/>
        <v>34.200000000000003</v>
      </c>
      <c r="F386" s="9">
        <f t="shared" si="153"/>
        <v>0.58185053380782925</v>
      </c>
      <c r="G386">
        <v>9.6</v>
      </c>
      <c r="H386">
        <v>23.5</v>
      </c>
      <c r="I386">
        <v>26.8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7.4</v>
      </c>
      <c r="P386">
        <v>0</v>
      </c>
      <c r="Q386">
        <v>32.700000000000003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28</v>
      </c>
      <c r="AK386" t="s">
        <v>1</v>
      </c>
      <c r="AL386" t="s">
        <v>372</v>
      </c>
      <c r="AQ386" s="1">
        <f t="shared" si="149"/>
        <v>100.00000000000001</v>
      </c>
      <c r="AR386" s="1">
        <f t="shared" ref="AR386:AR449" si="154">(L386+M386+O386+X386)/100</f>
        <v>7.400000000000001E-2</v>
      </c>
      <c r="AS386" s="1">
        <f t="shared" ref="AS386:AS449" si="155">G386/100</f>
        <v>9.6000000000000002E-2</v>
      </c>
      <c r="AT386" s="1">
        <f t="shared" ref="AT386:AT449" si="156">H386/100</f>
        <v>0.23499999999999999</v>
      </c>
      <c r="AU386" s="1">
        <f t="shared" ref="AU386:AU449" si="157">Q386/100</f>
        <v>0.32700000000000001</v>
      </c>
      <c r="AV386" s="1">
        <f t="shared" ref="AV386:AV449" si="158">AJ386/100</f>
        <v>0.28000000000000003</v>
      </c>
      <c r="AX386" s="1">
        <f t="shared" ref="AX386:AX449" si="159">AU386/(AT386+AS386)</f>
        <v>0.98791540785498499</v>
      </c>
      <c r="AY386" s="1">
        <f t="shared" ref="AY386:AY449" si="160">AR386/(AS386+AT386)</f>
        <v>0.22356495468277951</v>
      </c>
      <c r="AZ386" s="1">
        <f t="shared" ref="AZ386:AZ449" si="161">0.5+AX386/16</f>
        <v>0.56174471299093653</v>
      </c>
      <c r="BA386" s="1">
        <f t="shared" ref="BA386:BA449" si="162">0.5+AX386/4</f>
        <v>0.74697885196374625</v>
      </c>
      <c r="BB386" s="1">
        <f t="shared" ref="BB386:BB449" si="163">IF(AY386&lt;=AZ386,AY386,IF(AY386&lt;=BA386,AZ386,AZ386-(AY386-BA386)*(8+AX386)/(12*(2+AX386))))</f>
        <v>0.22356495468277951</v>
      </c>
      <c r="BC386" s="1">
        <f t="shared" ref="BC386:BC449" si="164">IF(BB386&lt;1,BB386,1)</f>
        <v>0.22356495468277951</v>
      </c>
      <c r="BD386" s="1">
        <f t="shared" ref="BD386:BD449" si="165">ABS(BC386-AV386)</f>
        <v>5.6435045317220517E-2</v>
      </c>
      <c r="BF386">
        <f t="shared" ref="BF386:BF449" si="166">$BR$3*H386+$BR$4*G386+$BR$5*P386+$BR$6*K386+$BR$7*S386+$BR$8*U386+$BR$9*Y386+$BR$10*J386+$BR$11*AC386+$BR$12*AG386+$BR$13*AH386+$BR$14*R386+$BR$15*AE386</f>
        <v>61.9</v>
      </c>
      <c r="BG386">
        <f t="shared" si="151"/>
        <v>20.8</v>
      </c>
      <c r="BH386" s="1">
        <f t="shared" ref="BH386:BH449" si="167">(Q386)/BF386</f>
        <v>0.52827140549273022</v>
      </c>
      <c r="BI386" s="1">
        <f t="shared" ref="BI386:BI449" si="168">BG386/BF386</f>
        <v>0.3360258481421648</v>
      </c>
      <c r="BJ386" s="1">
        <f t="shared" ref="BJ386:BJ449" si="169">$BR$32+BH386*$BR$33</f>
        <v>0.60003715670436186</v>
      </c>
      <c r="BK386" s="1">
        <f t="shared" ref="BK386:BK449" si="170">$BR$34+BH386*$BR$35</f>
        <v>0.36119224555735052</v>
      </c>
      <c r="BL386" s="1">
        <f t="shared" ref="BL386:BL449" si="171">IF(BI386&lt;=BJ386,BI386,IF(BI386&lt;=BK386,BJ386,BJ386-(BI386-BK386)*(8+BH386)/(12*(2+BH386))))</f>
        <v>0.3360258481421648</v>
      </c>
      <c r="BM386" s="1">
        <f t="shared" ref="BM386:BM449" si="172">IF(BL386&lt;1,IF(BL386&gt;0,BL386,0),1)</f>
        <v>0.3360258481421648</v>
      </c>
      <c r="BN386" s="1">
        <f t="shared" si="150"/>
        <v>3.1388956600489075E-3</v>
      </c>
      <c r="BO386" s="1">
        <f t="shared" ref="BO386:BO449" si="173">(AV386-AVERAGE($AV$2:$AV$638))^2</f>
        <v>1.6292205715304115E-2</v>
      </c>
    </row>
    <row r="387" spans="1:67" x14ac:dyDescent="0.25">
      <c r="A387" s="3"/>
      <c r="B387" s="3"/>
      <c r="C387" t="s">
        <v>177</v>
      </c>
      <c r="D387" s="5">
        <v>1</v>
      </c>
      <c r="E387" s="9">
        <f t="shared" si="152"/>
        <v>34.1</v>
      </c>
      <c r="F387" s="9">
        <f t="shared" si="153"/>
        <v>0.61743772241992889</v>
      </c>
      <c r="G387">
        <v>9.6</v>
      </c>
      <c r="H387">
        <v>21.5</v>
      </c>
      <c r="I387">
        <v>26.7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7.4</v>
      </c>
      <c r="P387">
        <v>0</v>
      </c>
      <c r="Q387">
        <v>34.700000000000003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25</v>
      </c>
      <c r="AK387" t="s">
        <v>1</v>
      </c>
      <c r="AL387" t="s">
        <v>372</v>
      </c>
      <c r="AQ387" s="1">
        <f t="shared" ref="AQ387:AQ450" si="174">SUM(G387:AI387)</f>
        <v>99.9</v>
      </c>
      <c r="AR387" s="1">
        <f t="shared" si="154"/>
        <v>7.400000000000001E-2</v>
      </c>
      <c r="AS387" s="1">
        <f t="shared" si="155"/>
        <v>9.6000000000000002E-2</v>
      </c>
      <c r="AT387" s="1">
        <f t="shared" si="156"/>
        <v>0.215</v>
      </c>
      <c r="AU387" s="1">
        <f t="shared" si="157"/>
        <v>0.34700000000000003</v>
      </c>
      <c r="AV387" s="1">
        <f t="shared" si="158"/>
        <v>0.25</v>
      </c>
      <c r="AX387" s="1">
        <f t="shared" si="159"/>
        <v>1.1157556270096465</v>
      </c>
      <c r="AY387" s="1">
        <f t="shared" si="160"/>
        <v>0.23794212218649521</v>
      </c>
      <c r="AZ387" s="1">
        <f t="shared" si="161"/>
        <v>0.56973472668810288</v>
      </c>
      <c r="BA387" s="1">
        <f t="shared" si="162"/>
        <v>0.77893890675241162</v>
      </c>
      <c r="BB387" s="1">
        <f t="shared" si="163"/>
        <v>0.23794212218649521</v>
      </c>
      <c r="BC387" s="1">
        <f t="shared" si="164"/>
        <v>0.23794212218649521</v>
      </c>
      <c r="BD387" s="1">
        <f t="shared" si="165"/>
        <v>1.2057877813504786E-2</v>
      </c>
      <c r="BF387">
        <f t="shared" si="166"/>
        <v>59.9</v>
      </c>
      <c r="BG387">
        <f t="shared" si="151"/>
        <v>20.75</v>
      </c>
      <c r="BH387" s="1">
        <f t="shared" si="167"/>
        <v>0.57929883138564275</v>
      </c>
      <c r="BI387" s="1">
        <f t="shared" si="168"/>
        <v>0.34641068447412354</v>
      </c>
      <c r="BJ387" s="1">
        <f t="shared" si="169"/>
        <v>0.60100667779632722</v>
      </c>
      <c r="BK387" s="1">
        <f t="shared" si="170"/>
        <v>0.38680801335559267</v>
      </c>
      <c r="BL387" s="1">
        <f t="shared" si="171"/>
        <v>0.34641068447412354</v>
      </c>
      <c r="BM387" s="1">
        <f t="shared" si="172"/>
        <v>0.34641068447412354</v>
      </c>
      <c r="BN387" s="1">
        <f t="shared" ref="BN387:BN450" si="175">(BM387-AV387)^2</f>
        <v>9.2950200807690071E-3</v>
      </c>
      <c r="BO387" s="1">
        <f t="shared" si="173"/>
        <v>2.4850661210708846E-2</v>
      </c>
    </row>
    <row r="388" spans="1:67" x14ac:dyDescent="0.25">
      <c r="A388" s="3"/>
      <c r="B388" s="3"/>
      <c r="C388" t="s">
        <v>178</v>
      </c>
      <c r="D388" s="5">
        <v>1</v>
      </c>
      <c r="E388" s="9">
        <f t="shared" si="152"/>
        <v>21.8</v>
      </c>
      <c r="F388" s="9">
        <f t="shared" si="153"/>
        <v>0.57456140350877183</v>
      </c>
      <c r="G388">
        <v>9.9</v>
      </c>
      <c r="H388">
        <v>29.1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21.8</v>
      </c>
      <c r="P388">
        <v>0</v>
      </c>
      <c r="Q388">
        <v>39.299999999999997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31</v>
      </c>
      <c r="AK388" t="s">
        <v>1</v>
      </c>
      <c r="AL388" t="s">
        <v>372</v>
      </c>
      <c r="AQ388" s="1">
        <f t="shared" si="174"/>
        <v>100.1</v>
      </c>
      <c r="AR388" s="1">
        <f t="shared" si="154"/>
        <v>0.218</v>
      </c>
      <c r="AS388" s="1">
        <f t="shared" si="155"/>
        <v>9.9000000000000005E-2</v>
      </c>
      <c r="AT388" s="1">
        <f t="shared" si="156"/>
        <v>0.29100000000000004</v>
      </c>
      <c r="AU388" s="1">
        <f t="shared" si="157"/>
        <v>0.39299999999999996</v>
      </c>
      <c r="AV388" s="1">
        <f t="shared" si="158"/>
        <v>0.31</v>
      </c>
      <c r="AX388" s="1">
        <f t="shared" si="159"/>
        <v>1.0076923076923077</v>
      </c>
      <c r="AY388" s="1">
        <f t="shared" si="160"/>
        <v>0.55897435897435899</v>
      </c>
      <c r="AZ388" s="1">
        <f t="shared" si="161"/>
        <v>0.56298076923076923</v>
      </c>
      <c r="BA388" s="1">
        <f t="shared" si="162"/>
        <v>0.75192307692307692</v>
      </c>
      <c r="BB388" s="1">
        <f t="shared" si="163"/>
        <v>0.55897435897435899</v>
      </c>
      <c r="BC388" s="1">
        <f t="shared" si="164"/>
        <v>0.55897435897435899</v>
      </c>
      <c r="BD388" s="1">
        <f t="shared" si="165"/>
        <v>0.24897435897435899</v>
      </c>
      <c r="BF388">
        <f t="shared" si="166"/>
        <v>68.7</v>
      </c>
      <c r="BG388">
        <f t="shared" si="151"/>
        <v>21.8</v>
      </c>
      <c r="BH388" s="1">
        <f t="shared" si="167"/>
        <v>0.57205240174672478</v>
      </c>
      <c r="BI388" s="1">
        <f t="shared" si="168"/>
        <v>0.31732168850072778</v>
      </c>
      <c r="BJ388" s="1">
        <f t="shared" si="169"/>
        <v>0.60086899563318774</v>
      </c>
      <c r="BK388" s="1">
        <f t="shared" si="170"/>
        <v>0.38317030567685584</v>
      </c>
      <c r="BL388" s="1">
        <f t="shared" si="171"/>
        <v>0.31732168850072778</v>
      </c>
      <c r="BM388" s="1">
        <f t="shared" si="172"/>
        <v>0.31732168850072778</v>
      </c>
      <c r="BN388" s="1">
        <f t="shared" si="175"/>
        <v>5.3607122501689487E-5</v>
      </c>
      <c r="BO388" s="1">
        <f t="shared" si="173"/>
        <v>9.5337502198993961E-3</v>
      </c>
    </row>
    <row r="389" spans="1:67" x14ac:dyDescent="0.25">
      <c r="A389" s="3"/>
      <c r="B389" s="3"/>
      <c r="C389" t="s">
        <v>179</v>
      </c>
      <c r="D389" s="5">
        <v>1</v>
      </c>
      <c r="E389" s="9">
        <f t="shared" si="152"/>
        <v>21.9</v>
      </c>
      <c r="F389" s="9">
        <f t="shared" si="153"/>
        <v>0.49779735682819387</v>
      </c>
      <c r="G389">
        <v>10</v>
      </c>
      <c r="H389">
        <v>34.200000000000003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21.9</v>
      </c>
      <c r="P389">
        <v>0</v>
      </c>
      <c r="Q389">
        <v>33.9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28</v>
      </c>
      <c r="AK389" t="s">
        <v>1</v>
      </c>
      <c r="AL389" t="s">
        <v>372</v>
      </c>
      <c r="AQ389" s="1">
        <f t="shared" si="174"/>
        <v>100</v>
      </c>
      <c r="AR389" s="1">
        <f t="shared" si="154"/>
        <v>0.21899999999999997</v>
      </c>
      <c r="AS389" s="1">
        <f t="shared" si="155"/>
        <v>0.1</v>
      </c>
      <c r="AT389" s="1">
        <f t="shared" si="156"/>
        <v>0.34200000000000003</v>
      </c>
      <c r="AU389" s="1">
        <f t="shared" si="157"/>
        <v>0.33899999999999997</v>
      </c>
      <c r="AV389" s="1">
        <f t="shared" si="158"/>
        <v>0.28000000000000003</v>
      </c>
      <c r="AX389" s="1">
        <f t="shared" si="159"/>
        <v>0.76696832579185503</v>
      </c>
      <c r="AY389" s="1">
        <f t="shared" si="160"/>
        <v>0.4954751131221718</v>
      </c>
      <c r="AZ389" s="1">
        <f t="shared" si="161"/>
        <v>0.54793552036199089</v>
      </c>
      <c r="BA389" s="1">
        <f t="shared" si="162"/>
        <v>0.69174208144796379</v>
      </c>
      <c r="BB389" s="1">
        <f t="shared" si="163"/>
        <v>0.4954751131221718</v>
      </c>
      <c r="BC389" s="1">
        <f t="shared" si="164"/>
        <v>0.4954751131221718</v>
      </c>
      <c r="BD389" s="1">
        <f t="shared" si="165"/>
        <v>0.21547511312217177</v>
      </c>
      <c r="BF389">
        <f t="shared" si="166"/>
        <v>74.2</v>
      </c>
      <c r="BG389">
        <f t="shared" ref="BG389:BG452" si="176">O389+$BR$17*M389+$BR$18*L389+$BR$19*X389+$BR$20*AD389+$BR$21*I389+$BR$22*N389+$BR$23*AB389+$BR$24*V389+$BR$25*T389+$BR$26*AA389+$BR$28*Z389+$BR$29*AF389+$BR$30*W389+$BR$27*AI389</f>
        <v>21.9</v>
      </c>
      <c r="BH389" s="1">
        <f t="shared" si="167"/>
        <v>0.45687331536388137</v>
      </c>
      <c r="BI389" s="1">
        <f t="shared" si="168"/>
        <v>0.29514824797843664</v>
      </c>
      <c r="BJ389" s="1">
        <f t="shared" si="169"/>
        <v>0.59868059299191367</v>
      </c>
      <c r="BK389" s="1">
        <f t="shared" si="170"/>
        <v>0.32535040431266848</v>
      </c>
      <c r="BL389" s="1">
        <f t="shared" si="171"/>
        <v>0.29514824797843664</v>
      </c>
      <c r="BM389" s="1">
        <f t="shared" si="172"/>
        <v>0.29514824797843664</v>
      </c>
      <c r="BN389" s="1">
        <f t="shared" si="175"/>
        <v>2.2946941681620893E-4</v>
      </c>
      <c r="BO389" s="1">
        <f t="shared" si="173"/>
        <v>1.6292205715304115E-2</v>
      </c>
    </row>
    <row r="390" spans="1:67" x14ac:dyDescent="0.25">
      <c r="A390" s="3"/>
      <c r="B390" s="3"/>
      <c r="C390" t="s">
        <v>180</v>
      </c>
      <c r="D390" s="5">
        <v>1</v>
      </c>
      <c r="E390" s="9">
        <f t="shared" si="152"/>
        <v>21</v>
      </c>
      <c r="F390" s="9">
        <f t="shared" si="153"/>
        <v>0.93237410071942439</v>
      </c>
      <c r="G390">
        <v>9.6</v>
      </c>
      <c r="H390">
        <v>4.7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21</v>
      </c>
      <c r="P390">
        <v>0</v>
      </c>
      <c r="Q390">
        <v>64.8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52</v>
      </c>
      <c r="AK390" t="s">
        <v>1</v>
      </c>
      <c r="AL390" t="s">
        <v>372</v>
      </c>
      <c r="AQ390" s="1">
        <f t="shared" si="174"/>
        <v>100.1</v>
      </c>
      <c r="AR390" s="1">
        <f t="shared" si="154"/>
        <v>0.21</v>
      </c>
      <c r="AS390" s="1">
        <f t="shared" si="155"/>
        <v>9.6000000000000002E-2</v>
      </c>
      <c r="AT390" s="1">
        <f t="shared" si="156"/>
        <v>4.7E-2</v>
      </c>
      <c r="AU390" s="1">
        <f t="shared" si="157"/>
        <v>0.64800000000000002</v>
      </c>
      <c r="AV390" s="1">
        <f t="shared" si="158"/>
        <v>0.52</v>
      </c>
      <c r="AX390" s="1">
        <f t="shared" si="159"/>
        <v>4.5314685314685308</v>
      </c>
      <c r="AY390" s="1">
        <f t="shared" si="160"/>
        <v>1.4685314685314683</v>
      </c>
      <c r="AZ390" s="1">
        <f t="shared" si="161"/>
        <v>0.78321678321678312</v>
      </c>
      <c r="BA390" s="1">
        <f t="shared" si="162"/>
        <v>1.6328671328671327</v>
      </c>
      <c r="BB390" s="1">
        <f t="shared" si="163"/>
        <v>0.78321678321678312</v>
      </c>
      <c r="BC390" s="1">
        <f t="shared" si="164"/>
        <v>0.78321678321678312</v>
      </c>
      <c r="BD390" s="1">
        <f t="shared" si="165"/>
        <v>0.2632167832167831</v>
      </c>
      <c r="BF390">
        <f t="shared" si="166"/>
        <v>43.1</v>
      </c>
      <c r="BG390">
        <f t="shared" si="176"/>
        <v>21</v>
      </c>
      <c r="BH390" s="1">
        <f t="shared" si="167"/>
        <v>1.5034802784222736</v>
      </c>
      <c r="BI390" s="1">
        <f t="shared" si="168"/>
        <v>0.48723897911832947</v>
      </c>
      <c r="BJ390" s="1">
        <f t="shared" si="169"/>
        <v>0.61856612529002319</v>
      </c>
      <c r="BK390" s="1">
        <f t="shared" si="170"/>
        <v>0.85074709976798135</v>
      </c>
      <c r="BL390" s="1">
        <f t="shared" si="171"/>
        <v>0.48723897911832947</v>
      </c>
      <c r="BM390" s="1">
        <f t="shared" si="172"/>
        <v>0.48723897911832947</v>
      </c>
      <c r="BN390" s="1">
        <f t="shared" si="175"/>
        <v>1.0732844892092535E-3</v>
      </c>
      <c r="BO390" s="1">
        <f t="shared" si="173"/>
        <v>1.2624561752066324E-2</v>
      </c>
    </row>
    <row r="391" spans="1:67" x14ac:dyDescent="0.25">
      <c r="A391" s="3"/>
      <c r="B391" s="3"/>
      <c r="C391" t="s">
        <v>181</v>
      </c>
      <c r="D391" s="5">
        <v>1</v>
      </c>
      <c r="E391" s="9">
        <f t="shared" si="152"/>
        <v>21.1</v>
      </c>
      <c r="F391" s="9">
        <f t="shared" si="153"/>
        <v>0.86435786435786433</v>
      </c>
      <c r="G391">
        <v>9.6</v>
      </c>
      <c r="H391">
        <v>9.4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21.1</v>
      </c>
      <c r="P391">
        <v>0</v>
      </c>
      <c r="Q391">
        <v>59.9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48</v>
      </c>
      <c r="AK391" t="s">
        <v>1</v>
      </c>
      <c r="AL391" t="s">
        <v>372</v>
      </c>
      <c r="AQ391" s="1">
        <f t="shared" si="174"/>
        <v>100</v>
      </c>
      <c r="AR391" s="1">
        <f t="shared" si="154"/>
        <v>0.21100000000000002</v>
      </c>
      <c r="AS391" s="1">
        <f t="shared" si="155"/>
        <v>9.6000000000000002E-2</v>
      </c>
      <c r="AT391" s="1">
        <f t="shared" si="156"/>
        <v>9.4E-2</v>
      </c>
      <c r="AU391" s="1">
        <f t="shared" si="157"/>
        <v>0.59899999999999998</v>
      </c>
      <c r="AV391" s="1">
        <f t="shared" si="158"/>
        <v>0.48</v>
      </c>
      <c r="AX391" s="1">
        <f t="shared" si="159"/>
        <v>3.1526315789473682</v>
      </c>
      <c r="AY391" s="1">
        <f t="shared" si="160"/>
        <v>1.1105263157894738</v>
      </c>
      <c r="AZ391" s="1">
        <f t="shared" si="161"/>
        <v>0.69703947368421049</v>
      </c>
      <c r="BA391" s="1">
        <f t="shared" si="162"/>
        <v>1.2881578947368419</v>
      </c>
      <c r="BB391" s="1">
        <f t="shared" si="163"/>
        <v>0.69703947368421049</v>
      </c>
      <c r="BC391" s="1">
        <f t="shared" si="164"/>
        <v>0.69703947368421049</v>
      </c>
      <c r="BD391" s="1">
        <f t="shared" si="165"/>
        <v>0.2170394736842105</v>
      </c>
      <c r="BF391">
        <f t="shared" si="166"/>
        <v>47.8</v>
      </c>
      <c r="BG391">
        <f t="shared" si="176"/>
        <v>21.1</v>
      </c>
      <c r="BH391" s="1">
        <f t="shared" si="167"/>
        <v>1.2531380753138075</v>
      </c>
      <c r="BI391" s="1">
        <f t="shared" si="168"/>
        <v>0.44142259414225948</v>
      </c>
      <c r="BJ391" s="1">
        <f t="shared" si="169"/>
        <v>0.61380962343096235</v>
      </c>
      <c r="BK391" s="1">
        <f t="shared" si="170"/>
        <v>0.72507531380753132</v>
      </c>
      <c r="BL391" s="1">
        <f t="shared" si="171"/>
        <v>0.44142259414225948</v>
      </c>
      <c r="BM391" s="1">
        <f t="shared" si="172"/>
        <v>0.44142259414225948</v>
      </c>
      <c r="BN391" s="1">
        <f t="shared" si="175"/>
        <v>1.4882162427128308E-3</v>
      </c>
      <c r="BO391" s="1">
        <f t="shared" si="173"/>
        <v>5.2358357459392837E-3</v>
      </c>
    </row>
    <row r="392" spans="1:67" x14ac:dyDescent="0.25">
      <c r="A392" s="3"/>
      <c r="B392" s="3"/>
      <c r="C392" t="s">
        <v>182</v>
      </c>
      <c r="D392" s="5">
        <v>1</v>
      </c>
      <c r="E392" s="9">
        <f t="shared" si="152"/>
        <v>21</v>
      </c>
      <c r="F392" s="9">
        <f t="shared" si="153"/>
        <v>0.41012658227848098</v>
      </c>
      <c r="G392">
        <v>0</v>
      </c>
      <c r="H392">
        <v>46.6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21</v>
      </c>
      <c r="P392">
        <v>0</v>
      </c>
      <c r="Q392">
        <v>32.4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38</v>
      </c>
      <c r="AK392" t="s">
        <v>1</v>
      </c>
      <c r="AL392" t="s">
        <v>372</v>
      </c>
      <c r="AQ392" s="1">
        <f t="shared" si="174"/>
        <v>100</v>
      </c>
      <c r="AR392" s="1">
        <f t="shared" si="154"/>
        <v>0.21</v>
      </c>
      <c r="AS392" s="1">
        <f t="shared" si="155"/>
        <v>0</v>
      </c>
      <c r="AT392" s="1">
        <f t="shared" si="156"/>
        <v>0.46600000000000003</v>
      </c>
      <c r="AU392" s="1">
        <f t="shared" si="157"/>
        <v>0.32400000000000001</v>
      </c>
      <c r="AV392" s="1">
        <f t="shared" si="158"/>
        <v>0.38</v>
      </c>
      <c r="AX392" s="1">
        <f t="shared" si="159"/>
        <v>0.69527896995708149</v>
      </c>
      <c r="AY392" s="1">
        <f t="shared" si="160"/>
        <v>0.45064377682403428</v>
      </c>
      <c r="AZ392" s="1">
        <f t="shared" si="161"/>
        <v>0.54345493562231761</v>
      </c>
      <c r="BA392" s="1">
        <f t="shared" si="162"/>
        <v>0.67381974248927035</v>
      </c>
      <c r="BB392" s="1">
        <f t="shared" si="163"/>
        <v>0.45064377682403428</v>
      </c>
      <c r="BC392" s="1">
        <f t="shared" si="164"/>
        <v>0.45064377682403428</v>
      </c>
      <c r="BD392" s="1">
        <f t="shared" si="165"/>
        <v>7.0643776824034277E-2</v>
      </c>
      <c r="BF392">
        <f t="shared" si="166"/>
        <v>46.6</v>
      </c>
      <c r="BG392">
        <f t="shared" si="176"/>
        <v>21</v>
      </c>
      <c r="BH392" s="1">
        <f t="shared" si="167"/>
        <v>0.69527896995708149</v>
      </c>
      <c r="BI392" s="1">
        <f t="shared" si="168"/>
        <v>0.45064377682403434</v>
      </c>
      <c r="BJ392" s="1">
        <f t="shared" si="169"/>
        <v>0.60321030042918455</v>
      </c>
      <c r="BK392" s="1">
        <f t="shared" si="170"/>
        <v>0.44503004291845494</v>
      </c>
      <c r="BL392" s="1">
        <f t="shared" si="171"/>
        <v>0.45064377682403434</v>
      </c>
      <c r="BM392" s="1">
        <f t="shared" si="172"/>
        <v>0.45064377682403434</v>
      </c>
      <c r="BN392" s="1">
        <f t="shared" si="175"/>
        <v>4.9905432039639699E-3</v>
      </c>
      <c r="BO392" s="1">
        <f t="shared" si="173"/>
        <v>7.6402073062170313E-4</v>
      </c>
    </row>
    <row r="393" spans="1:67" x14ac:dyDescent="0.25">
      <c r="A393" s="3"/>
      <c r="B393" s="3"/>
      <c r="C393" t="s">
        <v>183</v>
      </c>
      <c r="D393" s="5">
        <v>1</v>
      </c>
      <c r="E393" s="9">
        <f t="shared" si="152"/>
        <v>20.8</v>
      </c>
      <c r="F393" s="9">
        <f t="shared" si="153"/>
        <v>0.47348484848484845</v>
      </c>
      <c r="G393">
        <v>0</v>
      </c>
      <c r="H393">
        <v>41.7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20.8</v>
      </c>
      <c r="P393">
        <v>0</v>
      </c>
      <c r="Q393">
        <v>37.5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41</v>
      </c>
      <c r="AK393" t="s">
        <v>1</v>
      </c>
      <c r="AL393" t="s">
        <v>372</v>
      </c>
      <c r="AQ393" s="1">
        <f t="shared" si="174"/>
        <v>100</v>
      </c>
      <c r="AR393" s="1">
        <f t="shared" si="154"/>
        <v>0.20800000000000002</v>
      </c>
      <c r="AS393" s="1">
        <f t="shared" si="155"/>
        <v>0</v>
      </c>
      <c r="AT393" s="1">
        <f t="shared" si="156"/>
        <v>0.41700000000000004</v>
      </c>
      <c r="AU393" s="1">
        <f t="shared" si="157"/>
        <v>0.375</v>
      </c>
      <c r="AV393" s="1">
        <f t="shared" si="158"/>
        <v>0.41</v>
      </c>
      <c r="AX393" s="1">
        <f t="shared" si="159"/>
        <v>0.89928057553956831</v>
      </c>
      <c r="AY393" s="1">
        <f t="shared" si="160"/>
        <v>0.49880095923261392</v>
      </c>
      <c r="AZ393" s="1">
        <f t="shared" si="161"/>
        <v>0.55620503597122306</v>
      </c>
      <c r="BA393" s="1">
        <f t="shared" si="162"/>
        <v>0.72482014388489202</v>
      </c>
      <c r="BB393" s="1">
        <f t="shared" si="163"/>
        <v>0.49880095923261392</v>
      </c>
      <c r="BC393" s="1">
        <f t="shared" si="164"/>
        <v>0.49880095923261392</v>
      </c>
      <c r="BD393" s="1">
        <f t="shared" si="165"/>
        <v>8.8800959232613941E-2</v>
      </c>
      <c r="BF393">
        <f t="shared" si="166"/>
        <v>41.7</v>
      </c>
      <c r="BG393">
        <f t="shared" si="176"/>
        <v>20.8</v>
      </c>
      <c r="BH393" s="1">
        <f t="shared" si="167"/>
        <v>0.89928057553956831</v>
      </c>
      <c r="BI393" s="1">
        <f t="shared" si="168"/>
        <v>0.49880095923261392</v>
      </c>
      <c r="BJ393" s="1">
        <f t="shared" si="169"/>
        <v>0.60708633093525177</v>
      </c>
      <c r="BK393" s="1">
        <f t="shared" si="170"/>
        <v>0.54743884892086325</v>
      </c>
      <c r="BL393" s="1">
        <f t="shared" si="171"/>
        <v>0.49880095923261392</v>
      </c>
      <c r="BM393" s="1">
        <f t="shared" si="172"/>
        <v>0.49880095923261392</v>
      </c>
      <c r="BN393" s="1">
        <f t="shared" si="175"/>
        <v>7.8856103606323637E-3</v>
      </c>
      <c r="BO393" s="1">
        <f t="shared" si="173"/>
        <v>5.5652352169781633E-6</v>
      </c>
    </row>
    <row r="394" spans="1:67" x14ac:dyDescent="0.25">
      <c r="A394" s="3"/>
      <c r="B394" s="3"/>
      <c r="C394" t="s">
        <v>184</v>
      </c>
      <c r="D394" s="5">
        <v>1</v>
      </c>
      <c r="E394" s="9">
        <f t="shared" si="152"/>
        <v>15.8</v>
      </c>
      <c r="F394" s="9">
        <f t="shared" si="153"/>
        <v>0.53703703703703709</v>
      </c>
      <c r="G394">
        <v>3.2</v>
      </c>
      <c r="H394">
        <v>37.5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15.8</v>
      </c>
      <c r="P394">
        <v>0</v>
      </c>
      <c r="Q394">
        <v>43.5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36</v>
      </c>
      <c r="AK394" t="s">
        <v>1</v>
      </c>
      <c r="AL394" t="s">
        <v>372</v>
      </c>
      <c r="AQ394" s="1">
        <f t="shared" si="174"/>
        <v>100</v>
      </c>
      <c r="AR394" s="1">
        <f t="shared" si="154"/>
        <v>0.158</v>
      </c>
      <c r="AS394" s="1">
        <f t="shared" si="155"/>
        <v>3.2000000000000001E-2</v>
      </c>
      <c r="AT394" s="1">
        <f t="shared" si="156"/>
        <v>0.375</v>
      </c>
      <c r="AU394" s="1">
        <f t="shared" si="157"/>
        <v>0.435</v>
      </c>
      <c r="AV394" s="1">
        <f t="shared" si="158"/>
        <v>0.36</v>
      </c>
      <c r="AX394" s="1">
        <f t="shared" si="159"/>
        <v>1.0687960687960687</v>
      </c>
      <c r="AY394" s="1">
        <f t="shared" si="160"/>
        <v>0.3882063882063882</v>
      </c>
      <c r="AZ394" s="1">
        <f t="shared" si="161"/>
        <v>0.56679975429975427</v>
      </c>
      <c r="BA394" s="1">
        <f t="shared" si="162"/>
        <v>0.76719901719901717</v>
      </c>
      <c r="BB394" s="1">
        <f t="shared" si="163"/>
        <v>0.3882063882063882</v>
      </c>
      <c r="BC394" s="1">
        <f t="shared" si="164"/>
        <v>0.3882063882063882</v>
      </c>
      <c r="BD394" s="1">
        <f t="shared" si="165"/>
        <v>2.8206388206388211E-2</v>
      </c>
      <c r="BF394">
        <f t="shared" si="166"/>
        <v>50.3</v>
      </c>
      <c r="BG394">
        <f t="shared" si="176"/>
        <v>15.8</v>
      </c>
      <c r="BH394" s="1">
        <f t="shared" si="167"/>
        <v>0.86481113320079528</v>
      </c>
      <c r="BI394" s="1">
        <f t="shared" si="168"/>
        <v>0.31411530815109345</v>
      </c>
      <c r="BJ394" s="1">
        <f t="shared" si="169"/>
        <v>0.60643141153081503</v>
      </c>
      <c r="BK394" s="1">
        <f t="shared" si="170"/>
        <v>0.53013518886679922</v>
      </c>
      <c r="BL394" s="1">
        <f t="shared" si="171"/>
        <v>0.31411530815109345</v>
      </c>
      <c r="BM394" s="1">
        <f t="shared" si="172"/>
        <v>0.31411530815109345</v>
      </c>
      <c r="BN394" s="1">
        <f t="shared" si="175"/>
        <v>2.1054049460691097E-3</v>
      </c>
      <c r="BO394" s="1">
        <f t="shared" si="173"/>
        <v>2.2696577275581882E-3</v>
      </c>
    </row>
    <row r="395" spans="1:67" x14ac:dyDescent="0.25">
      <c r="A395" s="3"/>
      <c r="B395" s="3"/>
      <c r="C395" t="s">
        <v>185</v>
      </c>
      <c r="D395" s="5">
        <v>1</v>
      </c>
      <c r="E395" s="9">
        <f t="shared" si="152"/>
        <v>15.7</v>
      </c>
      <c r="F395" s="9">
        <f t="shared" si="153"/>
        <v>0.5980271270036992</v>
      </c>
      <c r="G395">
        <v>3.2</v>
      </c>
      <c r="H395">
        <v>32.6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15.7</v>
      </c>
      <c r="P395">
        <v>0</v>
      </c>
      <c r="Q395">
        <v>48.5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34</v>
      </c>
      <c r="AK395" t="s">
        <v>1</v>
      </c>
      <c r="AL395" t="s">
        <v>372</v>
      </c>
      <c r="AQ395" s="1">
        <f t="shared" si="174"/>
        <v>100</v>
      </c>
      <c r="AR395" s="1">
        <f t="shared" si="154"/>
        <v>0.157</v>
      </c>
      <c r="AS395" s="1">
        <f t="shared" si="155"/>
        <v>3.2000000000000001E-2</v>
      </c>
      <c r="AT395" s="1">
        <f t="shared" si="156"/>
        <v>0.32600000000000001</v>
      </c>
      <c r="AU395" s="1">
        <f t="shared" si="157"/>
        <v>0.48499999999999999</v>
      </c>
      <c r="AV395" s="1">
        <f t="shared" si="158"/>
        <v>0.34</v>
      </c>
      <c r="AX395" s="1">
        <f t="shared" si="159"/>
        <v>1.3547486033519553</v>
      </c>
      <c r="AY395" s="1">
        <f t="shared" si="160"/>
        <v>0.43854748603351956</v>
      </c>
      <c r="AZ395" s="1">
        <f t="shared" si="161"/>
        <v>0.58467178770949724</v>
      </c>
      <c r="BA395" s="1">
        <f t="shared" si="162"/>
        <v>0.83868715083798884</v>
      </c>
      <c r="BB395" s="1">
        <f t="shared" si="163"/>
        <v>0.43854748603351956</v>
      </c>
      <c r="BC395" s="1">
        <f t="shared" si="164"/>
        <v>0.43854748603351956</v>
      </c>
      <c r="BD395" s="1">
        <f t="shared" si="165"/>
        <v>9.8547486033519538E-2</v>
      </c>
      <c r="BF395">
        <f t="shared" si="166"/>
        <v>45.400000000000006</v>
      </c>
      <c r="BG395">
        <f t="shared" si="176"/>
        <v>15.7</v>
      </c>
      <c r="BH395" s="1">
        <f t="shared" si="167"/>
        <v>1.0682819383259912</v>
      </c>
      <c r="BI395" s="1">
        <f t="shared" si="168"/>
        <v>0.34581497797356825</v>
      </c>
      <c r="BJ395" s="1">
        <f t="shared" si="169"/>
        <v>0.61029735682819375</v>
      </c>
      <c r="BK395" s="1">
        <f t="shared" si="170"/>
        <v>0.63227753303964751</v>
      </c>
      <c r="BL395" s="1">
        <f t="shared" si="171"/>
        <v>0.34581497797356825</v>
      </c>
      <c r="BM395" s="1">
        <f t="shared" si="172"/>
        <v>0.34581497797356825</v>
      </c>
      <c r="BN395" s="1">
        <f t="shared" si="175"/>
        <v>3.381396883308362E-5</v>
      </c>
      <c r="BO395" s="1">
        <f t="shared" si="173"/>
        <v>4.5752947244946671E-3</v>
      </c>
    </row>
    <row r="396" spans="1:67" x14ac:dyDescent="0.25">
      <c r="A396" s="3"/>
      <c r="B396" s="3"/>
      <c r="C396" t="s">
        <v>186</v>
      </c>
      <c r="D396" s="5">
        <v>1</v>
      </c>
      <c r="E396" s="9">
        <f t="shared" si="152"/>
        <v>18.5</v>
      </c>
      <c r="F396" s="9">
        <f t="shared" si="153"/>
        <v>0.63481675392670156</v>
      </c>
      <c r="G396">
        <v>5.0999999999999996</v>
      </c>
      <c r="H396">
        <v>27.9</v>
      </c>
      <c r="I396">
        <v>8.1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10.4</v>
      </c>
      <c r="P396">
        <v>0</v>
      </c>
      <c r="Q396">
        <v>48.5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34</v>
      </c>
      <c r="AK396" t="s">
        <v>1</v>
      </c>
      <c r="AL396" t="s">
        <v>372</v>
      </c>
      <c r="AQ396" s="1">
        <f t="shared" si="174"/>
        <v>100</v>
      </c>
      <c r="AR396" s="1">
        <f t="shared" si="154"/>
        <v>0.10400000000000001</v>
      </c>
      <c r="AS396" s="1">
        <f t="shared" si="155"/>
        <v>5.0999999999999997E-2</v>
      </c>
      <c r="AT396" s="1">
        <f t="shared" si="156"/>
        <v>0.27899999999999997</v>
      </c>
      <c r="AU396" s="1">
        <f t="shared" si="157"/>
        <v>0.48499999999999999</v>
      </c>
      <c r="AV396" s="1">
        <f t="shared" si="158"/>
        <v>0.34</v>
      </c>
      <c r="AX396" s="1">
        <f t="shared" si="159"/>
        <v>1.4696969696969697</v>
      </c>
      <c r="AY396" s="1">
        <f t="shared" si="160"/>
        <v>0.31515151515151524</v>
      </c>
      <c r="AZ396" s="1">
        <f t="shared" si="161"/>
        <v>0.59185606060606055</v>
      </c>
      <c r="BA396" s="1">
        <f t="shared" si="162"/>
        <v>0.86742424242424243</v>
      </c>
      <c r="BB396" s="1">
        <f t="shared" si="163"/>
        <v>0.31515151515151524</v>
      </c>
      <c r="BC396" s="1">
        <f t="shared" si="164"/>
        <v>0.31515151515151524</v>
      </c>
      <c r="BD396" s="1">
        <f t="shared" si="165"/>
        <v>2.4848484848484786E-2</v>
      </c>
      <c r="BF396">
        <f t="shared" si="166"/>
        <v>48.3</v>
      </c>
      <c r="BG396">
        <f t="shared" si="176"/>
        <v>14.45</v>
      </c>
      <c r="BH396" s="1">
        <f t="shared" si="167"/>
        <v>1.0041407867494825</v>
      </c>
      <c r="BI396" s="1">
        <f t="shared" si="168"/>
        <v>0.29917184265010355</v>
      </c>
      <c r="BJ396" s="1">
        <f t="shared" si="169"/>
        <v>0.60907867494824008</v>
      </c>
      <c r="BK396" s="1">
        <f t="shared" si="170"/>
        <v>0.60007867494824019</v>
      </c>
      <c r="BL396" s="1">
        <f t="shared" si="171"/>
        <v>0.29917184265010355</v>
      </c>
      <c r="BM396" s="1">
        <f t="shared" si="172"/>
        <v>0.29917184265010355</v>
      </c>
      <c r="BN396" s="1">
        <f t="shared" si="175"/>
        <v>1.6669384325879058E-3</v>
      </c>
      <c r="BO396" s="1">
        <f t="shared" si="173"/>
        <v>4.5752947244946671E-3</v>
      </c>
    </row>
    <row r="397" spans="1:67" x14ac:dyDescent="0.25">
      <c r="A397" s="3"/>
      <c r="B397" s="3"/>
      <c r="C397" t="s">
        <v>187</v>
      </c>
      <c r="D397" s="5">
        <v>1</v>
      </c>
      <c r="E397" s="9">
        <f t="shared" si="152"/>
        <v>18.399999999999999</v>
      </c>
      <c r="F397" s="9">
        <f t="shared" si="153"/>
        <v>0.69843342036553535</v>
      </c>
      <c r="G397">
        <v>5</v>
      </c>
      <c r="H397">
        <v>23.1</v>
      </c>
      <c r="I397">
        <v>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10.4</v>
      </c>
      <c r="P397">
        <v>0</v>
      </c>
      <c r="Q397">
        <v>53.5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37</v>
      </c>
      <c r="AK397" t="s">
        <v>1</v>
      </c>
      <c r="AL397" t="s">
        <v>372</v>
      </c>
      <c r="AQ397" s="1">
        <f t="shared" si="174"/>
        <v>100</v>
      </c>
      <c r="AR397" s="1">
        <f t="shared" si="154"/>
        <v>0.10400000000000001</v>
      </c>
      <c r="AS397" s="1">
        <f t="shared" si="155"/>
        <v>0.05</v>
      </c>
      <c r="AT397" s="1">
        <f t="shared" si="156"/>
        <v>0.23100000000000001</v>
      </c>
      <c r="AU397" s="1">
        <f t="shared" si="157"/>
        <v>0.53500000000000003</v>
      </c>
      <c r="AV397" s="1">
        <f t="shared" si="158"/>
        <v>0.37</v>
      </c>
      <c r="AX397" s="1">
        <f t="shared" si="159"/>
        <v>1.9039145907473309</v>
      </c>
      <c r="AY397" s="1">
        <f t="shared" si="160"/>
        <v>0.37010676156583627</v>
      </c>
      <c r="AZ397" s="1">
        <f t="shared" si="161"/>
        <v>0.61899466192170816</v>
      </c>
      <c r="BA397" s="1">
        <f t="shared" si="162"/>
        <v>0.97597864768683273</v>
      </c>
      <c r="BB397" s="1">
        <f t="shared" si="163"/>
        <v>0.37010676156583627</v>
      </c>
      <c r="BC397" s="1">
        <f t="shared" si="164"/>
        <v>0.37010676156583627</v>
      </c>
      <c r="BD397" s="1">
        <f t="shared" si="165"/>
        <v>1.0676156583627749E-4</v>
      </c>
      <c r="BF397">
        <f t="shared" si="166"/>
        <v>43.1</v>
      </c>
      <c r="BG397">
        <f t="shared" si="176"/>
        <v>14.4</v>
      </c>
      <c r="BH397" s="1">
        <f t="shared" si="167"/>
        <v>1.2412993039443154</v>
      </c>
      <c r="BI397" s="1">
        <f t="shared" si="168"/>
        <v>0.33410672853828305</v>
      </c>
      <c r="BJ397" s="1">
        <f t="shared" si="169"/>
        <v>0.61358468677494193</v>
      </c>
      <c r="BK397" s="1">
        <f t="shared" si="170"/>
        <v>0.71913225058004637</v>
      </c>
      <c r="BL397" s="1">
        <f t="shared" si="171"/>
        <v>0.33410672853828305</v>
      </c>
      <c r="BM397" s="1">
        <f t="shared" si="172"/>
        <v>0.33410672853828305</v>
      </c>
      <c r="BN397" s="1">
        <f t="shared" si="175"/>
        <v>1.2883269362245042E-3</v>
      </c>
      <c r="BO397" s="1">
        <f t="shared" si="173"/>
        <v>1.4168392290899454E-3</v>
      </c>
    </row>
    <row r="398" spans="1:67" x14ac:dyDescent="0.25">
      <c r="A398" s="3"/>
      <c r="B398" s="3"/>
      <c r="C398" t="s">
        <v>188</v>
      </c>
      <c r="D398" s="5">
        <v>1</v>
      </c>
      <c r="E398" s="9">
        <f t="shared" si="152"/>
        <v>21.2</v>
      </c>
      <c r="F398" s="9">
        <f t="shared" si="153"/>
        <v>0.47619047619047622</v>
      </c>
      <c r="G398">
        <v>3.2</v>
      </c>
      <c r="H398">
        <v>39.6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21.2</v>
      </c>
      <c r="P398">
        <v>0</v>
      </c>
      <c r="Q398">
        <v>36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38</v>
      </c>
      <c r="AK398" t="s">
        <v>1</v>
      </c>
      <c r="AL398" t="s">
        <v>372</v>
      </c>
      <c r="AQ398" s="1">
        <f t="shared" si="174"/>
        <v>100</v>
      </c>
      <c r="AR398" s="1">
        <f t="shared" si="154"/>
        <v>0.21199999999999999</v>
      </c>
      <c r="AS398" s="1">
        <f t="shared" si="155"/>
        <v>3.2000000000000001E-2</v>
      </c>
      <c r="AT398" s="1">
        <f t="shared" si="156"/>
        <v>0.39600000000000002</v>
      </c>
      <c r="AU398" s="1">
        <f t="shared" si="157"/>
        <v>0.36</v>
      </c>
      <c r="AV398" s="1">
        <f t="shared" si="158"/>
        <v>0.38</v>
      </c>
      <c r="AX398" s="1">
        <f t="shared" si="159"/>
        <v>0.84112149532710268</v>
      </c>
      <c r="AY398" s="1">
        <f t="shared" si="160"/>
        <v>0.49532710280373826</v>
      </c>
      <c r="AZ398" s="1">
        <f t="shared" si="161"/>
        <v>0.55257009345794394</v>
      </c>
      <c r="BA398" s="1">
        <f t="shared" si="162"/>
        <v>0.71028037383177567</v>
      </c>
      <c r="BB398" s="1">
        <f t="shared" si="163"/>
        <v>0.49532710280373826</v>
      </c>
      <c r="BC398" s="1">
        <f t="shared" si="164"/>
        <v>0.49532710280373826</v>
      </c>
      <c r="BD398" s="1">
        <f t="shared" si="165"/>
        <v>0.11532710280373826</v>
      </c>
      <c r="BF398">
        <f t="shared" si="166"/>
        <v>52.400000000000006</v>
      </c>
      <c r="BG398">
        <f t="shared" si="176"/>
        <v>21.2</v>
      </c>
      <c r="BH398" s="1">
        <f t="shared" si="167"/>
        <v>0.6870229007633587</v>
      </c>
      <c r="BI398" s="1">
        <f t="shared" si="168"/>
        <v>0.40458015267175568</v>
      </c>
      <c r="BJ398" s="1">
        <f t="shared" si="169"/>
        <v>0.60305343511450382</v>
      </c>
      <c r="BK398" s="1">
        <f t="shared" si="170"/>
        <v>0.44088549618320605</v>
      </c>
      <c r="BL398" s="1">
        <f t="shared" si="171"/>
        <v>0.40458015267175568</v>
      </c>
      <c r="BM398" s="1">
        <f t="shared" si="172"/>
        <v>0.40458015267175568</v>
      </c>
      <c r="BN398" s="1">
        <f t="shared" si="175"/>
        <v>6.0418390536681754E-4</v>
      </c>
      <c r="BO398" s="1">
        <f t="shared" si="173"/>
        <v>7.6402073062170313E-4</v>
      </c>
    </row>
    <row r="399" spans="1:67" x14ac:dyDescent="0.25">
      <c r="A399" s="3"/>
      <c r="B399" s="3"/>
      <c r="C399" t="s">
        <v>189</v>
      </c>
      <c r="D399" s="5">
        <v>1</v>
      </c>
      <c r="E399" s="9">
        <f t="shared" si="152"/>
        <v>16.399999999999999</v>
      </c>
      <c r="F399" s="9">
        <f t="shared" si="153"/>
        <v>0.59569377990430628</v>
      </c>
      <c r="G399">
        <v>0</v>
      </c>
      <c r="H399">
        <v>33.799999999999997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16.399999999999999</v>
      </c>
      <c r="P399">
        <v>0</v>
      </c>
      <c r="Q399">
        <v>49.8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42</v>
      </c>
      <c r="AK399" t="s">
        <v>1</v>
      </c>
      <c r="AL399" t="s">
        <v>372</v>
      </c>
      <c r="AQ399" s="1">
        <f t="shared" si="174"/>
        <v>100</v>
      </c>
      <c r="AR399" s="1">
        <f t="shared" si="154"/>
        <v>0.16399999999999998</v>
      </c>
      <c r="AS399" s="1">
        <f t="shared" si="155"/>
        <v>0</v>
      </c>
      <c r="AT399" s="1">
        <f t="shared" si="156"/>
        <v>0.33799999999999997</v>
      </c>
      <c r="AU399" s="1">
        <f t="shared" si="157"/>
        <v>0.498</v>
      </c>
      <c r="AV399" s="1">
        <f t="shared" si="158"/>
        <v>0.42</v>
      </c>
      <c r="AX399" s="1">
        <f t="shared" si="159"/>
        <v>1.473372781065089</v>
      </c>
      <c r="AY399" s="1">
        <f t="shared" si="160"/>
        <v>0.48520710059171596</v>
      </c>
      <c r="AZ399" s="1">
        <f t="shared" si="161"/>
        <v>0.59208579881656809</v>
      </c>
      <c r="BA399" s="1">
        <f t="shared" si="162"/>
        <v>0.86834319526627224</v>
      </c>
      <c r="BB399" s="1">
        <f t="shared" si="163"/>
        <v>0.48520710059171596</v>
      </c>
      <c r="BC399" s="1">
        <f t="shared" si="164"/>
        <v>0.48520710059171596</v>
      </c>
      <c r="BD399" s="1">
        <f t="shared" si="165"/>
        <v>6.5207100591715972E-2</v>
      </c>
      <c r="BF399">
        <f t="shared" si="166"/>
        <v>33.799999999999997</v>
      </c>
      <c r="BG399">
        <f t="shared" si="176"/>
        <v>16.399999999999999</v>
      </c>
      <c r="BH399" s="1">
        <f t="shared" si="167"/>
        <v>1.4733727810650887</v>
      </c>
      <c r="BI399" s="1">
        <f t="shared" si="168"/>
        <v>0.48520710059171596</v>
      </c>
      <c r="BJ399" s="1">
        <f t="shared" si="169"/>
        <v>0.6179940828402366</v>
      </c>
      <c r="BK399" s="1">
        <f t="shared" si="170"/>
        <v>0.83563313609467449</v>
      </c>
      <c r="BL399" s="1">
        <f t="shared" si="171"/>
        <v>0.48520710059171596</v>
      </c>
      <c r="BM399" s="1">
        <f t="shared" si="172"/>
        <v>0.48520710059171596</v>
      </c>
      <c r="BN399" s="1">
        <f t="shared" si="175"/>
        <v>4.2519659675781651E-3</v>
      </c>
      <c r="BO399" s="1">
        <f t="shared" si="173"/>
        <v>1.527467367487362E-4</v>
      </c>
    </row>
    <row r="400" spans="1:67" x14ac:dyDescent="0.25">
      <c r="A400" s="3"/>
      <c r="B400" s="3"/>
      <c r="C400" t="s">
        <v>551</v>
      </c>
      <c r="D400" s="5">
        <v>1</v>
      </c>
      <c r="E400" s="9">
        <f t="shared" si="152"/>
        <v>0</v>
      </c>
      <c r="F400" s="9">
        <f t="shared" si="153"/>
        <v>0.33333333333333331</v>
      </c>
      <c r="G400">
        <v>0</v>
      </c>
      <c r="H400">
        <v>66.666666666666657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33.333333333333329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s">
        <v>1</v>
      </c>
      <c r="AL400" t="s">
        <v>374</v>
      </c>
      <c r="AO400" t="s">
        <v>378</v>
      </c>
      <c r="AQ400" s="1">
        <f t="shared" si="174"/>
        <v>99.999999999999986</v>
      </c>
      <c r="AR400" s="1">
        <f t="shared" si="154"/>
        <v>0</v>
      </c>
      <c r="AS400" s="1">
        <f t="shared" si="155"/>
        <v>0</v>
      </c>
      <c r="AT400" s="1">
        <f t="shared" si="156"/>
        <v>0.66666666666666652</v>
      </c>
      <c r="AU400" s="1">
        <f t="shared" si="157"/>
        <v>0.33333333333333326</v>
      </c>
      <c r="AV400" s="1">
        <f t="shared" si="158"/>
        <v>0</v>
      </c>
      <c r="AX400" s="1">
        <f t="shared" si="159"/>
        <v>0.5</v>
      </c>
      <c r="AY400" s="1">
        <f t="shared" si="160"/>
        <v>0</v>
      </c>
      <c r="AZ400" s="1">
        <f t="shared" si="161"/>
        <v>0.53125</v>
      </c>
      <c r="BA400" s="1">
        <f t="shared" si="162"/>
        <v>0.625</v>
      </c>
      <c r="BB400" s="1">
        <f t="shared" si="163"/>
        <v>0</v>
      </c>
      <c r="BC400" s="1">
        <f t="shared" si="164"/>
        <v>0</v>
      </c>
      <c r="BD400" s="1">
        <f t="shared" si="165"/>
        <v>0</v>
      </c>
      <c r="BF400">
        <f t="shared" si="166"/>
        <v>66.666666666666657</v>
      </c>
      <c r="BG400">
        <f t="shared" si="176"/>
        <v>0</v>
      </c>
      <c r="BH400" s="1">
        <f t="shared" si="167"/>
        <v>0.5</v>
      </c>
      <c r="BI400" s="1">
        <f t="shared" si="168"/>
        <v>0</v>
      </c>
      <c r="BJ400" s="1">
        <f t="shared" si="169"/>
        <v>0.59949999999999992</v>
      </c>
      <c r="BK400" s="1">
        <f t="shared" si="170"/>
        <v>0.34699999999999998</v>
      </c>
      <c r="BL400" s="1">
        <f t="shared" si="171"/>
        <v>0</v>
      </c>
      <c r="BM400" s="1">
        <f t="shared" si="172"/>
        <v>0</v>
      </c>
      <c r="BN400" s="1">
        <f t="shared" si="175"/>
        <v>0</v>
      </c>
      <c r="BO400" s="1">
        <f t="shared" si="173"/>
        <v>0.16617112367241488</v>
      </c>
    </row>
    <row r="401" spans="1:67" x14ac:dyDescent="0.25">
      <c r="A401" s="3"/>
      <c r="B401" s="3"/>
      <c r="C401" t="s">
        <v>552</v>
      </c>
      <c r="D401" s="5">
        <v>1</v>
      </c>
      <c r="E401" s="9">
        <f t="shared" si="152"/>
        <v>21.05263157894737</v>
      </c>
      <c r="F401" s="9">
        <f t="shared" si="153"/>
        <v>0.33333333333333331</v>
      </c>
      <c r="G401">
        <v>0</v>
      </c>
      <c r="H401">
        <v>52.631578947368418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21.05263157894737</v>
      </c>
      <c r="P401">
        <v>0</v>
      </c>
      <c r="Q401">
        <v>26.315789473684209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42</v>
      </c>
      <c r="AK401" t="s">
        <v>1</v>
      </c>
      <c r="AL401" t="s">
        <v>374</v>
      </c>
      <c r="AQ401" s="1">
        <f t="shared" si="174"/>
        <v>99.999999999999986</v>
      </c>
      <c r="AR401" s="1">
        <f t="shared" si="154"/>
        <v>0.2105263157894737</v>
      </c>
      <c r="AS401" s="1">
        <f t="shared" si="155"/>
        <v>0</v>
      </c>
      <c r="AT401" s="1">
        <f t="shared" si="156"/>
        <v>0.52631578947368418</v>
      </c>
      <c r="AU401" s="1">
        <f t="shared" si="157"/>
        <v>0.26315789473684209</v>
      </c>
      <c r="AV401" s="1">
        <f t="shared" si="158"/>
        <v>0.42</v>
      </c>
      <c r="AX401" s="1">
        <f t="shared" si="159"/>
        <v>0.5</v>
      </c>
      <c r="AY401" s="1">
        <f t="shared" si="160"/>
        <v>0.40000000000000008</v>
      </c>
      <c r="AZ401" s="1">
        <f t="shared" si="161"/>
        <v>0.53125</v>
      </c>
      <c r="BA401" s="1">
        <f t="shared" si="162"/>
        <v>0.625</v>
      </c>
      <c r="BB401" s="1">
        <f t="shared" si="163"/>
        <v>0.40000000000000008</v>
      </c>
      <c r="BC401" s="1">
        <f t="shared" si="164"/>
        <v>0.40000000000000008</v>
      </c>
      <c r="BD401" s="1">
        <f t="shared" si="165"/>
        <v>1.9999999999999907E-2</v>
      </c>
      <c r="BF401">
        <f t="shared" si="166"/>
        <v>52.631578947368418</v>
      </c>
      <c r="BG401">
        <f t="shared" si="176"/>
        <v>21.05263157894737</v>
      </c>
      <c r="BH401" s="1">
        <f t="shared" si="167"/>
        <v>0.5</v>
      </c>
      <c r="BI401" s="1">
        <f t="shared" si="168"/>
        <v>0.40000000000000008</v>
      </c>
      <c r="BJ401" s="1">
        <f t="shared" si="169"/>
        <v>0.59949999999999992</v>
      </c>
      <c r="BK401" s="1">
        <f t="shared" si="170"/>
        <v>0.34699999999999998</v>
      </c>
      <c r="BL401" s="1">
        <f t="shared" si="171"/>
        <v>0.40000000000000008</v>
      </c>
      <c r="BM401" s="1">
        <f t="shared" si="172"/>
        <v>0.40000000000000008</v>
      </c>
      <c r="BN401" s="1">
        <f t="shared" si="175"/>
        <v>3.9999999999999628E-4</v>
      </c>
      <c r="BO401" s="1">
        <f t="shared" si="173"/>
        <v>1.527467367487362E-4</v>
      </c>
    </row>
    <row r="402" spans="1:67" x14ac:dyDescent="0.25">
      <c r="A402" s="3"/>
      <c r="B402" s="3"/>
      <c r="C402" t="s">
        <v>553</v>
      </c>
      <c r="D402" s="5">
        <v>1</v>
      </c>
      <c r="E402" s="9">
        <f t="shared" si="152"/>
        <v>34.782608695652179</v>
      </c>
      <c r="F402" s="9">
        <f t="shared" si="153"/>
        <v>0.33333333333333331</v>
      </c>
      <c r="G402">
        <v>0</v>
      </c>
      <c r="H402">
        <v>43.478260869565219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34.782608695652179</v>
      </c>
      <c r="P402">
        <v>0</v>
      </c>
      <c r="Q402">
        <v>21.739130434782609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49</v>
      </c>
      <c r="AK402" t="s">
        <v>1</v>
      </c>
      <c r="AL402" t="s">
        <v>374</v>
      </c>
      <c r="AQ402" s="1">
        <f t="shared" si="174"/>
        <v>100.00000000000001</v>
      </c>
      <c r="AR402" s="1">
        <f t="shared" si="154"/>
        <v>0.34782608695652178</v>
      </c>
      <c r="AS402" s="1">
        <f t="shared" si="155"/>
        <v>0</v>
      </c>
      <c r="AT402" s="1">
        <f t="shared" si="156"/>
        <v>0.43478260869565216</v>
      </c>
      <c r="AU402" s="1">
        <f t="shared" si="157"/>
        <v>0.21739130434782608</v>
      </c>
      <c r="AV402" s="1">
        <f t="shared" si="158"/>
        <v>0.49</v>
      </c>
      <c r="AX402" s="1">
        <f t="shared" si="159"/>
        <v>0.5</v>
      </c>
      <c r="AY402" s="1">
        <f t="shared" si="160"/>
        <v>0.80000000000000016</v>
      </c>
      <c r="AZ402" s="1">
        <f t="shared" si="161"/>
        <v>0.53125</v>
      </c>
      <c r="BA402" s="1">
        <f t="shared" si="162"/>
        <v>0.625</v>
      </c>
      <c r="BB402" s="1">
        <f t="shared" si="163"/>
        <v>0.48166666666666663</v>
      </c>
      <c r="BC402" s="1">
        <f t="shared" si="164"/>
        <v>0.48166666666666663</v>
      </c>
      <c r="BD402" s="1">
        <f t="shared" si="165"/>
        <v>8.3333333333333592E-3</v>
      </c>
      <c r="BF402">
        <f t="shared" si="166"/>
        <v>43.478260869565219</v>
      </c>
      <c r="BG402">
        <f t="shared" si="176"/>
        <v>34.782608695652179</v>
      </c>
      <c r="BH402" s="1">
        <f t="shared" si="167"/>
        <v>0.5</v>
      </c>
      <c r="BI402" s="1">
        <f t="shared" si="168"/>
        <v>0.8</v>
      </c>
      <c r="BJ402" s="1">
        <f t="shared" si="169"/>
        <v>0.59949999999999992</v>
      </c>
      <c r="BK402" s="1">
        <f t="shared" si="170"/>
        <v>0.34699999999999998</v>
      </c>
      <c r="BL402" s="1">
        <f t="shared" si="171"/>
        <v>0.4711499999999999</v>
      </c>
      <c r="BM402" s="1">
        <f t="shared" si="172"/>
        <v>0.4711499999999999</v>
      </c>
      <c r="BN402" s="1">
        <f t="shared" si="175"/>
        <v>3.5532250000000335E-4</v>
      </c>
      <c r="BO402" s="1">
        <f t="shared" si="173"/>
        <v>6.7830172474710433E-3</v>
      </c>
    </row>
    <row r="403" spans="1:67" x14ac:dyDescent="0.25">
      <c r="A403" s="3"/>
      <c r="B403" s="3"/>
      <c r="C403" t="s">
        <v>554</v>
      </c>
      <c r="D403" s="5">
        <v>1</v>
      </c>
      <c r="E403" s="9">
        <f t="shared" si="152"/>
        <v>40</v>
      </c>
      <c r="F403" s="9">
        <f t="shared" si="153"/>
        <v>0.33333333333333331</v>
      </c>
      <c r="G403">
        <v>0</v>
      </c>
      <c r="H403">
        <v>40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40</v>
      </c>
      <c r="P403">
        <v>0</v>
      </c>
      <c r="Q403">
        <v>20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47</v>
      </c>
      <c r="AK403" t="s">
        <v>1</v>
      </c>
      <c r="AL403" t="s">
        <v>374</v>
      </c>
      <c r="AQ403" s="1">
        <f t="shared" si="174"/>
        <v>100</v>
      </c>
      <c r="AR403" s="1">
        <f t="shared" si="154"/>
        <v>0.4</v>
      </c>
      <c r="AS403" s="1">
        <f t="shared" si="155"/>
        <v>0</v>
      </c>
      <c r="AT403" s="1">
        <f t="shared" si="156"/>
        <v>0.4</v>
      </c>
      <c r="AU403" s="1">
        <f t="shared" si="157"/>
        <v>0.2</v>
      </c>
      <c r="AV403" s="1">
        <f t="shared" si="158"/>
        <v>0.47</v>
      </c>
      <c r="AX403" s="1">
        <f t="shared" si="159"/>
        <v>0.5</v>
      </c>
      <c r="AY403" s="1">
        <f t="shared" si="160"/>
        <v>1</v>
      </c>
      <c r="AZ403" s="1">
        <f t="shared" si="161"/>
        <v>0.53125</v>
      </c>
      <c r="BA403" s="1">
        <f t="shared" si="162"/>
        <v>0.625</v>
      </c>
      <c r="BB403" s="1">
        <f t="shared" si="163"/>
        <v>0.42499999999999999</v>
      </c>
      <c r="BC403" s="1">
        <f t="shared" si="164"/>
        <v>0.42499999999999999</v>
      </c>
      <c r="BD403" s="1">
        <f t="shared" si="165"/>
        <v>4.4999999999999984E-2</v>
      </c>
      <c r="BF403">
        <f t="shared" si="166"/>
        <v>40</v>
      </c>
      <c r="BG403">
        <f t="shared" si="176"/>
        <v>40</v>
      </c>
      <c r="BH403" s="1">
        <f t="shared" si="167"/>
        <v>0.5</v>
      </c>
      <c r="BI403" s="1">
        <f t="shared" si="168"/>
        <v>1</v>
      </c>
      <c r="BJ403" s="1">
        <f t="shared" si="169"/>
        <v>0.59949999999999992</v>
      </c>
      <c r="BK403" s="1">
        <f t="shared" si="170"/>
        <v>0.34699999999999998</v>
      </c>
      <c r="BL403" s="1">
        <f t="shared" si="171"/>
        <v>0.4144833333333332</v>
      </c>
      <c r="BM403" s="1">
        <f t="shared" si="172"/>
        <v>0.4144833333333332</v>
      </c>
      <c r="BN403" s="1">
        <f t="shared" si="175"/>
        <v>3.082100277777789E-3</v>
      </c>
      <c r="BO403" s="1">
        <f t="shared" si="173"/>
        <v>3.8886542444075247E-3</v>
      </c>
    </row>
    <row r="404" spans="1:67" x14ac:dyDescent="0.25">
      <c r="A404" s="3"/>
      <c r="B404" s="3"/>
      <c r="C404" t="s">
        <v>555</v>
      </c>
      <c r="D404" s="5">
        <v>1</v>
      </c>
      <c r="E404" s="9">
        <f t="shared" si="152"/>
        <v>44.444444444444443</v>
      </c>
      <c r="F404" s="9">
        <f t="shared" si="153"/>
        <v>0.33333333333333331</v>
      </c>
      <c r="G404">
        <v>0</v>
      </c>
      <c r="H404">
        <v>37.037037037037038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44.444444444444443</v>
      </c>
      <c r="P404">
        <v>0</v>
      </c>
      <c r="Q404">
        <v>18.518518518518519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39</v>
      </c>
      <c r="AK404" t="s">
        <v>1</v>
      </c>
      <c r="AL404" t="s">
        <v>374</v>
      </c>
      <c r="AQ404" s="1">
        <f t="shared" si="174"/>
        <v>100</v>
      </c>
      <c r="AR404" s="1">
        <f t="shared" si="154"/>
        <v>0.44444444444444442</v>
      </c>
      <c r="AS404" s="1">
        <f t="shared" si="155"/>
        <v>0</v>
      </c>
      <c r="AT404" s="1">
        <f t="shared" si="156"/>
        <v>0.37037037037037041</v>
      </c>
      <c r="AU404" s="1">
        <f t="shared" si="157"/>
        <v>0.1851851851851852</v>
      </c>
      <c r="AV404" s="1">
        <f t="shared" si="158"/>
        <v>0.39</v>
      </c>
      <c r="AX404" s="1">
        <f t="shared" si="159"/>
        <v>0.5</v>
      </c>
      <c r="AY404" s="1">
        <f t="shared" si="160"/>
        <v>1.1999999999999997</v>
      </c>
      <c r="AZ404" s="1">
        <f t="shared" si="161"/>
        <v>0.53125</v>
      </c>
      <c r="BA404" s="1">
        <f t="shared" si="162"/>
        <v>0.625</v>
      </c>
      <c r="BB404" s="1">
        <f t="shared" si="163"/>
        <v>0.3683333333333334</v>
      </c>
      <c r="BC404" s="1">
        <f t="shared" si="164"/>
        <v>0.3683333333333334</v>
      </c>
      <c r="BD404" s="1">
        <f t="shared" si="165"/>
        <v>2.1666666666666612E-2</v>
      </c>
      <c r="BF404">
        <f t="shared" si="166"/>
        <v>37.037037037037038</v>
      </c>
      <c r="BG404">
        <f t="shared" si="176"/>
        <v>44.444444444444443</v>
      </c>
      <c r="BH404" s="1">
        <f t="shared" si="167"/>
        <v>0.5</v>
      </c>
      <c r="BI404" s="1">
        <f t="shared" si="168"/>
        <v>1.2</v>
      </c>
      <c r="BJ404" s="1">
        <f t="shared" si="169"/>
        <v>0.59949999999999992</v>
      </c>
      <c r="BK404" s="1">
        <f t="shared" si="170"/>
        <v>0.34699999999999998</v>
      </c>
      <c r="BL404" s="1">
        <f t="shared" si="171"/>
        <v>0.35781666666666656</v>
      </c>
      <c r="BM404" s="1">
        <f t="shared" si="172"/>
        <v>0.35781666666666656</v>
      </c>
      <c r="BN404" s="1">
        <f t="shared" si="175"/>
        <v>1.0357669444444521E-3</v>
      </c>
      <c r="BO404" s="1">
        <f t="shared" si="173"/>
        <v>3.1120223215346117E-4</v>
      </c>
    </row>
    <row r="405" spans="1:67" x14ac:dyDescent="0.25">
      <c r="A405" s="3"/>
      <c r="B405" s="3"/>
      <c r="C405" t="s">
        <v>556</v>
      </c>
      <c r="D405" s="5">
        <v>1</v>
      </c>
      <c r="E405" s="9">
        <f t="shared" si="152"/>
        <v>13.043478260869559</v>
      </c>
      <c r="F405" s="9">
        <f t="shared" si="153"/>
        <v>0.66666666666666674</v>
      </c>
      <c r="G405">
        <v>0</v>
      </c>
      <c r="H405">
        <v>28.985507246376809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13.043478260869559</v>
      </c>
      <c r="P405">
        <v>0</v>
      </c>
      <c r="Q405">
        <v>57.971014492753618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38</v>
      </c>
      <c r="AK405" t="s">
        <v>1</v>
      </c>
      <c r="AL405" t="s">
        <v>374</v>
      </c>
      <c r="AQ405" s="1">
        <f t="shared" si="174"/>
        <v>99.999999999999986</v>
      </c>
      <c r="AR405" s="1">
        <f t="shared" si="154"/>
        <v>0.13043478260869559</v>
      </c>
      <c r="AS405" s="1">
        <f t="shared" si="155"/>
        <v>0</v>
      </c>
      <c r="AT405" s="1">
        <f t="shared" si="156"/>
        <v>0.28985507246376807</v>
      </c>
      <c r="AU405" s="1">
        <f t="shared" si="157"/>
        <v>0.57971014492753614</v>
      </c>
      <c r="AV405" s="1">
        <f t="shared" si="158"/>
        <v>0.38</v>
      </c>
      <c r="AX405" s="1">
        <f t="shared" si="159"/>
        <v>2</v>
      </c>
      <c r="AY405" s="1">
        <f t="shared" si="160"/>
        <v>0.44999999999999984</v>
      </c>
      <c r="AZ405" s="1">
        <f t="shared" si="161"/>
        <v>0.625</v>
      </c>
      <c r="BA405" s="1">
        <f t="shared" si="162"/>
        <v>1</v>
      </c>
      <c r="BB405" s="1">
        <f t="shared" si="163"/>
        <v>0.44999999999999984</v>
      </c>
      <c r="BC405" s="1">
        <f t="shared" si="164"/>
        <v>0.44999999999999984</v>
      </c>
      <c r="BD405" s="1">
        <f t="shared" si="165"/>
        <v>6.999999999999984E-2</v>
      </c>
      <c r="BF405">
        <f t="shared" si="166"/>
        <v>28.985507246376809</v>
      </c>
      <c r="BG405">
        <f t="shared" si="176"/>
        <v>13.043478260869559</v>
      </c>
      <c r="BH405" s="1">
        <f t="shared" si="167"/>
        <v>2</v>
      </c>
      <c r="BI405" s="1">
        <f t="shared" si="168"/>
        <v>0.44999999999999984</v>
      </c>
      <c r="BJ405" s="1">
        <f t="shared" si="169"/>
        <v>0.628</v>
      </c>
      <c r="BK405" s="1">
        <f t="shared" si="170"/>
        <v>1.1000000000000001</v>
      </c>
      <c r="BL405" s="1">
        <f t="shared" si="171"/>
        <v>0.44999999999999984</v>
      </c>
      <c r="BM405" s="1">
        <f t="shared" si="172"/>
        <v>0.44999999999999984</v>
      </c>
      <c r="BN405" s="1">
        <f t="shared" si="175"/>
        <v>4.8999999999999773E-3</v>
      </c>
      <c r="BO405" s="1">
        <f t="shared" si="173"/>
        <v>7.6402073062170313E-4</v>
      </c>
    </row>
    <row r="406" spans="1:67" x14ac:dyDescent="0.25">
      <c r="A406" s="3"/>
      <c r="B406" s="3"/>
      <c r="C406" t="s">
        <v>557</v>
      </c>
      <c r="D406" s="5">
        <v>1</v>
      </c>
      <c r="E406" s="9">
        <f t="shared" si="152"/>
        <v>16.666666666666661</v>
      </c>
      <c r="F406" s="9">
        <f t="shared" si="153"/>
        <v>0.66666666666666663</v>
      </c>
      <c r="G406">
        <v>0</v>
      </c>
      <c r="H406">
        <v>27.777777777777779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16.666666666666661</v>
      </c>
      <c r="P406">
        <v>0</v>
      </c>
      <c r="Q406">
        <v>55.555555555555557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45</v>
      </c>
      <c r="AK406" t="s">
        <v>1</v>
      </c>
      <c r="AL406" t="s">
        <v>374</v>
      </c>
      <c r="AQ406" s="1">
        <f t="shared" si="174"/>
        <v>100</v>
      </c>
      <c r="AR406" s="1">
        <f t="shared" si="154"/>
        <v>0.1666666666666666</v>
      </c>
      <c r="AS406" s="1">
        <f t="shared" si="155"/>
        <v>0</v>
      </c>
      <c r="AT406" s="1">
        <f t="shared" si="156"/>
        <v>0.27777777777777779</v>
      </c>
      <c r="AU406" s="1">
        <f t="shared" si="157"/>
        <v>0.55555555555555558</v>
      </c>
      <c r="AV406" s="1">
        <f t="shared" si="158"/>
        <v>0.45</v>
      </c>
      <c r="AX406" s="1">
        <f t="shared" si="159"/>
        <v>2</v>
      </c>
      <c r="AY406" s="1">
        <f t="shared" si="160"/>
        <v>0.59999999999999976</v>
      </c>
      <c r="AZ406" s="1">
        <f t="shared" si="161"/>
        <v>0.625</v>
      </c>
      <c r="BA406" s="1">
        <f t="shared" si="162"/>
        <v>1</v>
      </c>
      <c r="BB406" s="1">
        <f t="shared" si="163"/>
        <v>0.59999999999999976</v>
      </c>
      <c r="BC406" s="1">
        <f t="shared" si="164"/>
        <v>0.59999999999999976</v>
      </c>
      <c r="BD406" s="1">
        <f t="shared" si="165"/>
        <v>0.14999999999999974</v>
      </c>
      <c r="BF406">
        <f t="shared" si="166"/>
        <v>27.777777777777779</v>
      </c>
      <c r="BG406">
        <f t="shared" si="176"/>
        <v>16.666666666666661</v>
      </c>
      <c r="BH406" s="1">
        <f t="shared" si="167"/>
        <v>2</v>
      </c>
      <c r="BI406" s="1">
        <f t="shared" si="168"/>
        <v>0.59999999999999976</v>
      </c>
      <c r="BJ406" s="1">
        <f t="shared" si="169"/>
        <v>0.628</v>
      </c>
      <c r="BK406" s="1">
        <f t="shared" si="170"/>
        <v>1.1000000000000001</v>
      </c>
      <c r="BL406" s="1">
        <f t="shared" si="171"/>
        <v>0.59999999999999976</v>
      </c>
      <c r="BM406" s="1">
        <f t="shared" si="172"/>
        <v>0.59999999999999976</v>
      </c>
      <c r="BN406" s="1">
        <f t="shared" si="175"/>
        <v>2.2499999999999923E-2</v>
      </c>
      <c r="BO406" s="1">
        <f t="shared" si="173"/>
        <v>1.7942912413440124E-3</v>
      </c>
    </row>
    <row r="407" spans="1:67" x14ac:dyDescent="0.25">
      <c r="A407" s="3"/>
      <c r="B407" s="3"/>
      <c r="C407" t="s">
        <v>558</v>
      </c>
      <c r="D407" s="5">
        <v>1</v>
      </c>
      <c r="E407" s="9">
        <f t="shared" si="152"/>
        <v>25</v>
      </c>
      <c r="F407" s="9">
        <f t="shared" si="153"/>
        <v>0.66666666666666663</v>
      </c>
      <c r="G407">
        <v>0</v>
      </c>
      <c r="H407">
        <v>25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25</v>
      </c>
      <c r="P407">
        <v>0</v>
      </c>
      <c r="Q407">
        <v>50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60</v>
      </c>
      <c r="AK407" t="s">
        <v>1</v>
      </c>
      <c r="AL407" t="s">
        <v>374</v>
      </c>
      <c r="AQ407" s="1">
        <f t="shared" si="174"/>
        <v>100</v>
      </c>
      <c r="AR407" s="1">
        <f t="shared" si="154"/>
        <v>0.25</v>
      </c>
      <c r="AS407" s="1">
        <f t="shared" si="155"/>
        <v>0</v>
      </c>
      <c r="AT407" s="1">
        <f t="shared" si="156"/>
        <v>0.25</v>
      </c>
      <c r="AU407" s="1">
        <f t="shared" si="157"/>
        <v>0.5</v>
      </c>
      <c r="AV407" s="1">
        <f t="shared" si="158"/>
        <v>0.6</v>
      </c>
      <c r="AX407" s="1">
        <f t="shared" si="159"/>
        <v>2</v>
      </c>
      <c r="AY407" s="1">
        <f t="shared" si="160"/>
        <v>1</v>
      </c>
      <c r="AZ407" s="1">
        <f t="shared" si="161"/>
        <v>0.625</v>
      </c>
      <c r="BA407" s="1">
        <f t="shared" si="162"/>
        <v>1</v>
      </c>
      <c r="BB407" s="1">
        <f t="shared" si="163"/>
        <v>0.625</v>
      </c>
      <c r="BC407" s="1">
        <f t="shared" si="164"/>
        <v>0.625</v>
      </c>
      <c r="BD407" s="1">
        <f t="shared" si="165"/>
        <v>2.5000000000000022E-2</v>
      </c>
      <c r="BF407">
        <f t="shared" si="166"/>
        <v>25</v>
      </c>
      <c r="BG407">
        <f t="shared" si="176"/>
        <v>25</v>
      </c>
      <c r="BH407" s="1">
        <f t="shared" si="167"/>
        <v>2</v>
      </c>
      <c r="BI407" s="1">
        <f t="shared" si="168"/>
        <v>1</v>
      </c>
      <c r="BJ407" s="1">
        <f t="shared" si="169"/>
        <v>0.628</v>
      </c>
      <c r="BK407" s="1">
        <f t="shared" si="170"/>
        <v>1.1000000000000001</v>
      </c>
      <c r="BL407" s="1">
        <f t="shared" si="171"/>
        <v>0.628</v>
      </c>
      <c r="BM407" s="1">
        <f t="shared" si="172"/>
        <v>0.628</v>
      </c>
      <c r="BN407" s="1">
        <f t="shared" si="175"/>
        <v>7.8400000000000138E-4</v>
      </c>
      <c r="BO407" s="1">
        <f t="shared" si="173"/>
        <v>3.7002013764320378E-2</v>
      </c>
    </row>
    <row r="408" spans="1:67" x14ac:dyDescent="0.25">
      <c r="A408" s="3"/>
      <c r="B408" s="3"/>
      <c r="C408" t="s">
        <v>559</v>
      </c>
      <c r="D408" s="5">
        <v>1</v>
      </c>
      <c r="E408" s="9">
        <f t="shared" si="152"/>
        <v>40</v>
      </c>
      <c r="F408" s="9">
        <f t="shared" si="153"/>
        <v>0.66666666666666663</v>
      </c>
      <c r="G408">
        <v>0</v>
      </c>
      <c r="H408">
        <v>20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40</v>
      </c>
      <c r="P408">
        <v>0</v>
      </c>
      <c r="Q408">
        <v>40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45</v>
      </c>
      <c r="AK408" t="s">
        <v>1</v>
      </c>
      <c r="AL408" t="s">
        <v>374</v>
      </c>
      <c r="AQ408" s="1">
        <f t="shared" si="174"/>
        <v>100</v>
      </c>
      <c r="AR408" s="1">
        <f t="shared" si="154"/>
        <v>0.4</v>
      </c>
      <c r="AS408" s="1">
        <f t="shared" si="155"/>
        <v>0</v>
      </c>
      <c r="AT408" s="1">
        <f t="shared" si="156"/>
        <v>0.2</v>
      </c>
      <c r="AU408" s="1">
        <f t="shared" si="157"/>
        <v>0.4</v>
      </c>
      <c r="AV408" s="1">
        <f t="shared" si="158"/>
        <v>0.45</v>
      </c>
      <c r="AX408" s="1">
        <f t="shared" si="159"/>
        <v>2</v>
      </c>
      <c r="AY408" s="1">
        <f t="shared" si="160"/>
        <v>2</v>
      </c>
      <c r="AZ408" s="1">
        <f t="shared" si="161"/>
        <v>0.625</v>
      </c>
      <c r="BA408" s="1">
        <f t="shared" si="162"/>
        <v>1</v>
      </c>
      <c r="BB408" s="1">
        <f t="shared" si="163"/>
        <v>0.41666666666666663</v>
      </c>
      <c r="BC408" s="1">
        <f t="shared" si="164"/>
        <v>0.41666666666666663</v>
      </c>
      <c r="BD408" s="1">
        <f t="shared" si="165"/>
        <v>3.3333333333333381E-2</v>
      </c>
      <c r="BF408">
        <f t="shared" si="166"/>
        <v>20</v>
      </c>
      <c r="BG408">
        <f t="shared" si="176"/>
        <v>40</v>
      </c>
      <c r="BH408" s="1">
        <f t="shared" si="167"/>
        <v>2</v>
      </c>
      <c r="BI408" s="1">
        <f t="shared" si="168"/>
        <v>2</v>
      </c>
      <c r="BJ408" s="1">
        <f t="shared" si="169"/>
        <v>0.628</v>
      </c>
      <c r="BK408" s="1">
        <f t="shared" si="170"/>
        <v>1.1000000000000001</v>
      </c>
      <c r="BL408" s="1">
        <f t="shared" si="171"/>
        <v>0.4405</v>
      </c>
      <c r="BM408" s="1">
        <f t="shared" si="172"/>
        <v>0.4405</v>
      </c>
      <c r="BN408" s="1">
        <f t="shared" si="175"/>
        <v>9.0250000000000161E-5</v>
      </c>
      <c r="BO408" s="1">
        <f t="shared" si="173"/>
        <v>1.7942912413440124E-3</v>
      </c>
    </row>
    <row r="409" spans="1:67" x14ac:dyDescent="0.25">
      <c r="A409" s="3"/>
      <c r="B409" s="3"/>
      <c r="C409" t="s">
        <v>560</v>
      </c>
      <c r="D409" s="5">
        <v>1</v>
      </c>
      <c r="E409" s="9">
        <f t="shared" si="152"/>
        <v>45.454545454545453</v>
      </c>
      <c r="F409" s="9">
        <f t="shared" si="153"/>
        <v>0.66666666666666674</v>
      </c>
      <c r="G409">
        <v>0</v>
      </c>
      <c r="H409">
        <v>18.18181818181818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45.454545454545453</v>
      </c>
      <c r="P409">
        <v>0</v>
      </c>
      <c r="Q409">
        <v>36.363636363636367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33</v>
      </c>
      <c r="AK409" t="s">
        <v>1</v>
      </c>
      <c r="AL409" t="s">
        <v>374</v>
      </c>
      <c r="AQ409" s="1">
        <f t="shared" si="174"/>
        <v>100</v>
      </c>
      <c r="AR409" s="1">
        <f t="shared" si="154"/>
        <v>0.45454545454545453</v>
      </c>
      <c r="AS409" s="1">
        <f t="shared" si="155"/>
        <v>0</v>
      </c>
      <c r="AT409" s="1">
        <f t="shared" si="156"/>
        <v>0.1818181818181818</v>
      </c>
      <c r="AU409" s="1">
        <f t="shared" si="157"/>
        <v>0.36363636363636365</v>
      </c>
      <c r="AV409" s="1">
        <f t="shared" si="158"/>
        <v>0.33</v>
      </c>
      <c r="AX409" s="1">
        <f t="shared" si="159"/>
        <v>2.0000000000000004</v>
      </c>
      <c r="AY409" s="1">
        <f t="shared" si="160"/>
        <v>2.5000000000000004</v>
      </c>
      <c r="AZ409" s="1">
        <f t="shared" si="161"/>
        <v>0.625</v>
      </c>
      <c r="BA409" s="1">
        <f t="shared" si="162"/>
        <v>1</v>
      </c>
      <c r="BB409" s="1">
        <f t="shared" si="163"/>
        <v>0.31249999999999994</v>
      </c>
      <c r="BC409" s="1">
        <f t="shared" si="164"/>
        <v>0.31249999999999994</v>
      </c>
      <c r="BD409" s="1">
        <f t="shared" si="165"/>
        <v>1.7500000000000071E-2</v>
      </c>
      <c r="BF409">
        <f t="shared" si="166"/>
        <v>18.18181818181818</v>
      </c>
      <c r="BG409">
        <f t="shared" si="176"/>
        <v>45.454545454545453</v>
      </c>
      <c r="BH409" s="1">
        <f t="shared" si="167"/>
        <v>2.0000000000000004</v>
      </c>
      <c r="BI409" s="1">
        <f t="shared" si="168"/>
        <v>2.5</v>
      </c>
      <c r="BJ409" s="1">
        <f t="shared" si="169"/>
        <v>0.628</v>
      </c>
      <c r="BK409" s="1">
        <f t="shared" si="170"/>
        <v>1.1000000000000003</v>
      </c>
      <c r="BL409" s="1">
        <f t="shared" si="171"/>
        <v>0.33633333333333343</v>
      </c>
      <c r="BM409" s="1">
        <f t="shared" si="172"/>
        <v>0.33633333333333343</v>
      </c>
      <c r="BN409" s="1">
        <f t="shared" si="175"/>
        <v>4.0111111111112121E-5</v>
      </c>
      <c r="BO409" s="1">
        <f t="shared" si="173"/>
        <v>6.0281132229629093E-3</v>
      </c>
    </row>
    <row r="410" spans="1:67" x14ac:dyDescent="0.25">
      <c r="A410" s="3"/>
      <c r="B410" s="3"/>
      <c r="C410" t="s">
        <v>561</v>
      </c>
      <c r="D410" s="5">
        <v>1</v>
      </c>
      <c r="E410" s="9">
        <f t="shared" si="152"/>
        <v>20.82</v>
      </c>
      <c r="F410" s="9">
        <f t="shared" si="153"/>
        <v>0.76547107855519059</v>
      </c>
      <c r="G410">
        <v>0</v>
      </c>
      <c r="H410">
        <v>18.57</v>
      </c>
      <c r="I410">
        <v>0</v>
      </c>
      <c r="J410">
        <v>0</v>
      </c>
      <c r="K410">
        <v>0</v>
      </c>
      <c r="L410">
        <v>0</v>
      </c>
      <c r="M410">
        <v>10.29</v>
      </c>
      <c r="N410">
        <v>0</v>
      </c>
      <c r="O410">
        <v>10.53</v>
      </c>
      <c r="P410">
        <v>0</v>
      </c>
      <c r="Q410">
        <v>60.61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69</v>
      </c>
      <c r="AK410" t="s">
        <v>1</v>
      </c>
      <c r="AL410" t="s">
        <v>374</v>
      </c>
      <c r="AM410" t="s">
        <v>392</v>
      </c>
      <c r="AO410" t="s">
        <v>378</v>
      </c>
      <c r="AQ410" s="1">
        <f t="shared" si="174"/>
        <v>100</v>
      </c>
      <c r="AR410" s="1">
        <f t="shared" si="154"/>
        <v>0.2082</v>
      </c>
      <c r="AS410" s="1">
        <f t="shared" si="155"/>
        <v>0</v>
      </c>
      <c r="AT410" s="1">
        <f t="shared" si="156"/>
        <v>0.1857</v>
      </c>
      <c r="AU410" s="1">
        <f t="shared" si="157"/>
        <v>0.60609999999999997</v>
      </c>
      <c r="AV410" s="1">
        <f t="shared" si="158"/>
        <v>0.69</v>
      </c>
      <c r="AX410" s="1">
        <f t="shared" si="159"/>
        <v>3.2638664512654816</v>
      </c>
      <c r="AY410" s="1">
        <f t="shared" si="160"/>
        <v>1.1211631663974151</v>
      </c>
      <c r="AZ410" s="1">
        <f t="shared" si="161"/>
        <v>0.70399165320409263</v>
      </c>
      <c r="BA410" s="1">
        <f t="shared" si="162"/>
        <v>1.3159666128163705</v>
      </c>
      <c r="BB410" s="1">
        <f t="shared" si="163"/>
        <v>0.70399165320409263</v>
      </c>
      <c r="BC410" s="1">
        <f t="shared" si="164"/>
        <v>0.70399165320409263</v>
      </c>
      <c r="BD410" s="1">
        <f t="shared" si="165"/>
        <v>1.399165320409268E-2</v>
      </c>
      <c r="BF410">
        <f t="shared" si="166"/>
        <v>18.57</v>
      </c>
      <c r="BG410">
        <f t="shared" si="176"/>
        <v>20.82</v>
      </c>
      <c r="BH410" s="1">
        <f t="shared" si="167"/>
        <v>3.263866451265482</v>
      </c>
      <c r="BI410" s="1">
        <f t="shared" si="168"/>
        <v>1.1211631663974151</v>
      </c>
      <c r="BJ410" s="1">
        <f t="shared" si="169"/>
        <v>0.65201346257404413</v>
      </c>
      <c r="BK410" s="1">
        <f t="shared" si="170"/>
        <v>1.7344609585352722</v>
      </c>
      <c r="BL410" s="1">
        <f t="shared" si="171"/>
        <v>0.65201346257404413</v>
      </c>
      <c r="BM410" s="1">
        <f t="shared" si="172"/>
        <v>0.65201346257404413</v>
      </c>
      <c r="BN410" s="1">
        <f t="shared" si="175"/>
        <v>1.4429770256135417E-3</v>
      </c>
      <c r="BO410" s="1">
        <f t="shared" si="173"/>
        <v>7.9726647278106175E-2</v>
      </c>
    </row>
    <row r="411" spans="1:67" x14ac:dyDescent="0.25">
      <c r="A411" s="3"/>
      <c r="B411" s="3"/>
      <c r="C411" t="s">
        <v>562</v>
      </c>
      <c r="D411" s="5">
        <v>1</v>
      </c>
      <c r="E411" s="9">
        <f t="shared" si="152"/>
        <v>22.736000000000004</v>
      </c>
      <c r="F411" s="9">
        <f t="shared" si="153"/>
        <v>0.76546645268171465</v>
      </c>
      <c r="G411">
        <v>0</v>
      </c>
      <c r="H411">
        <v>18.120999999999999</v>
      </c>
      <c r="I411">
        <v>0</v>
      </c>
      <c r="J411">
        <v>0</v>
      </c>
      <c r="K411">
        <v>0</v>
      </c>
      <c r="L411">
        <v>0</v>
      </c>
      <c r="M411">
        <v>10.041</v>
      </c>
      <c r="N411">
        <v>0</v>
      </c>
      <c r="O411">
        <v>10.275</v>
      </c>
      <c r="P411">
        <v>0</v>
      </c>
      <c r="Q411">
        <v>59.143000000000001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2.42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70</v>
      </c>
      <c r="AK411" t="s">
        <v>1</v>
      </c>
      <c r="AL411" t="s">
        <v>374</v>
      </c>
      <c r="AQ411" s="1">
        <f t="shared" si="174"/>
        <v>100</v>
      </c>
      <c r="AR411" s="1">
        <f t="shared" si="154"/>
        <v>0.22736000000000003</v>
      </c>
      <c r="AS411" s="1">
        <f t="shared" si="155"/>
        <v>0</v>
      </c>
      <c r="AT411" s="1">
        <f t="shared" si="156"/>
        <v>0.18120999999999998</v>
      </c>
      <c r="AU411" s="1">
        <f t="shared" si="157"/>
        <v>0.59143000000000001</v>
      </c>
      <c r="AV411" s="1">
        <f t="shared" si="158"/>
        <v>0.7</v>
      </c>
      <c r="AX411" s="1">
        <f t="shared" si="159"/>
        <v>3.2637823519673312</v>
      </c>
      <c r="AY411" s="1">
        <f t="shared" si="160"/>
        <v>1.2546768942111366</v>
      </c>
      <c r="AZ411" s="1">
        <f t="shared" si="161"/>
        <v>0.70398639699795817</v>
      </c>
      <c r="BA411" s="1">
        <f t="shared" si="162"/>
        <v>1.3159455879918327</v>
      </c>
      <c r="BB411" s="1">
        <f t="shared" si="163"/>
        <v>0.70398639699795817</v>
      </c>
      <c r="BC411" s="1">
        <f t="shared" si="164"/>
        <v>0.70398639699795817</v>
      </c>
      <c r="BD411" s="1">
        <f t="shared" si="165"/>
        <v>3.9863969979582192E-3</v>
      </c>
      <c r="BF411">
        <f t="shared" si="166"/>
        <v>18.120999999999999</v>
      </c>
      <c r="BG411">
        <f t="shared" si="176"/>
        <v>22.736000000000004</v>
      </c>
      <c r="BH411" s="1">
        <f t="shared" si="167"/>
        <v>3.2637823519673308</v>
      </c>
      <c r="BI411" s="1">
        <f t="shared" si="168"/>
        <v>1.2546768942111366</v>
      </c>
      <c r="BJ411" s="1">
        <f t="shared" si="169"/>
        <v>0.65201186468737926</v>
      </c>
      <c r="BK411" s="1">
        <f t="shared" si="170"/>
        <v>1.7344187406876002</v>
      </c>
      <c r="BL411" s="1">
        <f t="shared" si="171"/>
        <v>0.65201186468737926</v>
      </c>
      <c r="BM411" s="1">
        <f t="shared" si="172"/>
        <v>0.65201186468737926</v>
      </c>
      <c r="BN411" s="1">
        <f t="shared" si="175"/>
        <v>2.3028611307823934E-3</v>
      </c>
      <c r="BO411" s="1">
        <f t="shared" si="173"/>
        <v>8.5473828779637939E-2</v>
      </c>
    </row>
    <row r="412" spans="1:67" x14ac:dyDescent="0.25">
      <c r="A412" s="3"/>
      <c r="B412" s="3"/>
      <c r="C412" t="s">
        <v>563</v>
      </c>
      <c r="D412" s="5">
        <v>1</v>
      </c>
      <c r="E412" s="9">
        <f t="shared" si="152"/>
        <v>23.687000000000001</v>
      </c>
      <c r="F412" s="9">
        <f t="shared" si="153"/>
        <v>0.76546898341064551</v>
      </c>
      <c r="G412">
        <v>0</v>
      </c>
      <c r="H412">
        <v>17.898</v>
      </c>
      <c r="I412">
        <v>0</v>
      </c>
      <c r="J412">
        <v>0</v>
      </c>
      <c r="K412">
        <v>0</v>
      </c>
      <c r="L412">
        <v>0</v>
      </c>
      <c r="M412">
        <v>9.9179999999999993</v>
      </c>
      <c r="N412">
        <v>0</v>
      </c>
      <c r="O412">
        <v>10.148999999999999</v>
      </c>
      <c r="P412">
        <v>0</v>
      </c>
      <c r="Q412">
        <v>58.415999999999997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3.62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69</v>
      </c>
      <c r="AK412" t="s">
        <v>1</v>
      </c>
      <c r="AL412" t="s">
        <v>374</v>
      </c>
      <c r="AQ412" s="1">
        <f t="shared" si="174"/>
        <v>100.001</v>
      </c>
      <c r="AR412" s="1">
        <f t="shared" si="154"/>
        <v>0.23687000000000002</v>
      </c>
      <c r="AS412" s="1">
        <f t="shared" si="155"/>
        <v>0</v>
      </c>
      <c r="AT412" s="1">
        <f t="shared" si="156"/>
        <v>0.17898</v>
      </c>
      <c r="AU412" s="1">
        <f t="shared" si="157"/>
        <v>0.58416000000000001</v>
      </c>
      <c r="AV412" s="1">
        <f t="shared" si="158"/>
        <v>0.69</v>
      </c>
      <c r="AX412" s="1">
        <f t="shared" si="159"/>
        <v>3.2638283607106939</v>
      </c>
      <c r="AY412" s="1">
        <f t="shared" si="160"/>
        <v>1.3234439602190191</v>
      </c>
      <c r="AZ412" s="1">
        <f t="shared" si="161"/>
        <v>0.70398927254441834</v>
      </c>
      <c r="BA412" s="1">
        <f t="shared" si="162"/>
        <v>1.3159570901776734</v>
      </c>
      <c r="BB412" s="1">
        <f t="shared" si="163"/>
        <v>0.70265420464760464</v>
      </c>
      <c r="BC412" s="1">
        <f t="shared" si="164"/>
        <v>0.70265420464760464</v>
      </c>
      <c r="BD412" s="1">
        <f t="shared" si="165"/>
        <v>1.2654204647604694E-2</v>
      </c>
      <c r="BF412">
        <f t="shared" si="166"/>
        <v>17.898</v>
      </c>
      <c r="BG412">
        <f t="shared" si="176"/>
        <v>23.687000000000001</v>
      </c>
      <c r="BH412" s="1">
        <f t="shared" si="167"/>
        <v>3.2638283607106939</v>
      </c>
      <c r="BI412" s="1">
        <f t="shared" si="168"/>
        <v>1.3234439602190189</v>
      </c>
      <c r="BJ412" s="1">
        <f t="shared" si="169"/>
        <v>0.65201273885350319</v>
      </c>
      <c r="BK412" s="1">
        <f t="shared" si="170"/>
        <v>1.7344418370767685</v>
      </c>
      <c r="BL412" s="1">
        <f t="shared" si="171"/>
        <v>0.65201273885350319</v>
      </c>
      <c r="BM412" s="1">
        <f t="shared" si="172"/>
        <v>0.65201273885350319</v>
      </c>
      <c r="BN412" s="1">
        <f t="shared" si="175"/>
        <v>1.4430320094121418E-3</v>
      </c>
      <c r="BO412" s="1">
        <f t="shared" si="173"/>
        <v>7.9726647278106175E-2</v>
      </c>
    </row>
    <row r="413" spans="1:67" x14ac:dyDescent="0.25">
      <c r="A413" s="3"/>
      <c r="B413" s="3"/>
      <c r="C413" t="s">
        <v>564</v>
      </c>
      <c r="D413" s="5">
        <v>1</v>
      </c>
      <c r="E413" s="9">
        <f t="shared" si="152"/>
        <v>24.643999999999998</v>
      </c>
      <c r="F413" s="9">
        <f t="shared" si="153"/>
        <v>0.76547322044694521</v>
      </c>
      <c r="G413">
        <v>0</v>
      </c>
      <c r="H413">
        <v>17.672999999999998</v>
      </c>
      <c r="I413">
        <v>0</v>
      </c>
      <c r="J413">
        <v>0</v>
      </c>
      <c r="K413">
        <v>0</v>
      </c>
      <c r="L413">
        <v>0</v>
      </c>
      <c r="M413">
        <v>9.7929999999999993</v>
      </c>
      <c r="N413">
        <v>0</v>
      </c>
      <c r="O413">
        <v>10.021000000000001</v>
      </c>
      <c r="P413">
        <v>0</v>
      </c>
      <c r="Q413">
        <v>57.683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4.83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70</v>
      </c>
      <c r="AK413" t="s">
        <v>1</v>
      </c>
      <c r="AL413" t="s">
        <v>374</v>
      </c>
      <c r="AQ413" s="1">
        <f t="shared" si="174"/>
        <v>99.999999999999986</v>
      </c>
      <c r="AR413" s="1">
        <f t="shared" si="154"/>
        <v>0.24643999999999999</v>
      </c>
      <c r="AS413" s="1">
        <f t="shared" si="155"/>
        <v>0</v>
      </c>
      <c r="AT413" s="1">
        <f t="shared" si="156"/>
        <v>0.17672999999999997</v>
      </c>
      <c r="AU413" s="1">
        <f t="shared" si="157"/>
        <v>0.57682999999999995</v>
      </c>
      <c r="AV413" s="1">
        <f t="shared" si="158"/>
        <v>0.7</v>
      </c>
      <c r="AX413" s="1">
        <f t="shared" si="159"/>
        <v>3.263905392406496</v>
      </c>
      <c r="AY413" s="1">
        <f t="shared" si="160"/>
        <v>1.3944435013862957</v>
      </c>
      <c r="AZ413" s="1">
        <f t="shared" si="161"/>
        <v>0.703994087025406</v>
      </c>
      <c r="BA413" s="1">
        <f t="shared" si="162"/>
        <v>1.315976348101624</v>
      </c>
      <c r="BB413" s="1">
        <f t="shared" si="163"/>
        <v>0.69000183657758885</v>
      </c>
      <c r="BC413" s="1">
        <f t="shared" si="164"/>
        <v>0.69000183657758885</v>
      </c>
      <c r="BD413" s="1">
        <f t="shared" si="165"/>
        <v>9.9981634224111104E-3</v>
      </c>
      <c r="BF413">
        <f t="shared" si="166"/>
        <v>17.672999999999998</v>
      </c>
      <c r="BG413">
        <f t="shared" si="176"/>
        <v>24.643999999999998</v>
      </c>
      <c r="BH413" s="1">
        <f t="shared" si="167"/>
        <v>3.263905392406496</v>
      </c>
      <c r="BI413" s="1">
        <f t="shared" si="168"/>
        <v>1.3944435013862955</v>
      </c>
      <c r="BJ413" s="1">
        <f t="shared" si="169"/>
        <v>0.65201420245572339</v>
      </c>
      <c r="BK413" s="1">
        <f t="shared" si="170"/>
        <v>1.7344805069880611</v>
      </c>
      <c r="BL413" s="1">
        <f t="shared" si="171"/>
        <v>0.65201420245572339</v>
      </c>
      <c r="BM413" s="1">
        <f t="shared" si="172"/>
        <v>0.65201420245572339</v>
      </c>
      <c r="BN413" s="1">
        <f t="shared" si="175"/>
        <v>2.3026367659602989E-3</v>
      </c>
      <c r="BO413" s="1">
        <f t="shared" si="173"/>
        <v>8.5473828779637939E-2</v>
      </c>
    </row>
    <row r="414" spans="1:67" x14ac:dyDescent="0.25">
      <c r="A414" s="3"/>
      <c r="B414" s="3"/>
      <c r="C414" t="s">
        <v>565</v>
      </c>
      <c r="D414" s="5">
        <v>1</v>
      </c>
      <c r="E414" s="9">
        <f t="shared" si="152"/>
        <v>26.561</v>
      </c>
      <c r="F414" s="9">
        <f t="shared" si="153"/>
        <v>0.76546840958605666</v>
      </c>
      <c r="G414">
        <v>0</v>
      </c>
      <c r="H414">
        <v>17.224</v>
      </c>
      <c r="I414">
        <v>0</v>
      </c>
      <c r="J414">
        <v>0</v>
      </c>
      <c r="K414">
        <v>0</v>
      </c>
      <c r="L414">
        <v>0</v>
      </c>
      <c r="M414">
        <v>9.5440000000000005</v>
      </c>
      <c r="N414">
        <v>0</v>
      </c>
      <c r="O414">
        <v>9.7669999999999995</v>
      </c>
      <c r="P414">
        <v>0</v>
      </c>
      <c r="Q414">
        <v>56.216000000000001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7.25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72</v>
      </c>
      <c r="AK414" t="s">
        <v>1</v>
      </c>
      <c r="AL414" t="s">
        <v>374</v>
      </c>
      <c r="AQ414" s="1">
        <f t="shared" si="174"/>
        <v>100.001</v>
      </c>
      <c r="AR414" s="1">
        <f t="shared" si="154"/>
        <v>0.26561000000000001</v>
      </c>
      <c r="AS414" s="1">
        <f t="shared" si="155"/>
        <v>0</v>
      </c>
      <c r="AT414" s="1">
        <f t="shared" si="156"/>
        <v>0.17224</v>
      </c>
      <c r="AU414" s="1">
        <f t="shared" si="157"/>
        <v>0.56215999999999999</v>
      </c>
      <c r="AV414" s="1">
        <f t="shared" si="158"/>
        <v>0.72</v>
      </c>
      <c r="AX414" s="1">
        <f t="shared" si="159"/>
        <v>3.2638179284718998</v>
      </c>
      <c r="AY414" s="1">
        <f t="shared" si="160"/>
        <v>1.542092429168602</v>
      </c>
      <c r="AZ414" s="1">
        <f t="shared" si="161"/>
        <v>0.70398862052949374</v>
      </c>
      <c r="BA414" s="1">
        <f t="shared" si="162"/>
        <v>1.3159544821179749</v>
      </c>
      <c r="BB414" s="1">
        <f t="shared" si="163"/>
        <v>0.6636633804200438</v>
      </c>
      <c r="BC414" s="1">
        <f t="shared" si="164"/>
        <v>0.6636633804200438</v>
      </c>
      <c r="BD414" s="1">
        <f t="shared" si="165"/>
        <v>5.6336619579956171E-2</v>
      </c>
      <c r="BF414">
        <f t="shared" si="166"/>
        <v>17.224</v>
      </c>
      <c r="BG414">
        <f t="shared" si="176"/>
        <v>26.561</v>
      </c>
      <c r="BH414" s="1">
        <f t="shared" si="167"/>
        <v>3.2638179284718998</v>
      </c>
      <c r="BI414" s="1">
        <f t="shared" si="168"/>
        <v>1.542092429168602</v>
      </c>
      <c r="BJ414" s="1">
        <f t="shared" si="169"/>
        <v>0.65201254064096603</v>
      </c>
      <c r="BK414" s="1">
        <f t="shared" si="170"/>
        <v>1.7344366000928937</v>
      </c>
      <c r="BL414" s="1">
        <f t="shared" si="171"/>
        <v>0.65201254064096603</v>
      </c>
      <c r="BM414" s="1">
        <f t="shared" si="172"/>
        <v>0.65201254064096603</v>
      </c>
      <c r="BN414" s="1">
        <f t="shared" si="175"/>
        <v>4.6222946300962919E-3</v>
      </c>
      <c r="BO414" s="1">
        <f t="shared" si="173"/>
        <v>9.7568191782701472E-2</v>
      </c>
    </row>
    <row r="415" spans="1:67" x14ac:dyDescent="0.25">
      <c r="A415" s="3"/>
      <c r="B415" s="3"/>
      <c r="C415" t="s">
        <v>566</v>
      </c>
      <c r="D415" s="5">
        <v>1</v>
      </c>
      <c r="E415" s="9">
        <f t="shared" si="152"/>
        <v>28.468999999999998</v>
      </c>
      <c r="F415" s="9">
        <f t="shared" si="153"/>
        <v>0.76547231270358307</v>
      </c>
      <c r="G415">
        <v>0</v>
      </c>
      <c r="H415">
        <v>16.776</v>
      </c>
      <c r="I415">
        <v>0</v>
      </c>
      <c r="J415">
        <v>0</v>
      </c>
      <c r="K415">
        <v>0</v>
      </c>
      <c r="L415">
        <v>0</v>
      </c>
      <c r="M415">
        <v>9.2959999999999994</v>
      </c>
      <c r="N415">
        <v>0</v>
      </c>
      <c r="O415">
        <v>9.5129999999999999</v>
      </c>
      <c r="P415">
        <v>0</v>
      </c>
      <c r="Q415">
        <v>54.755000000000003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9.66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75</v>
      </c>
      <c r="AK415" t="s">
        <v>1</v>
      </c>
      <c r="AL415" t="s">
        <v>374</v>
      </c>
      <c r="AQ415" s="1">
        <f t="shared" si="174"/>
        <v>100</v>
      </c>
      <c r="AR415" s="1">
        <f t="shared" si="154"/>
        <v>0.28469</v>
      </c>
      <c r="AS415" s="1">
        <f t="shared" si="155"/>
        <v>0</v>
      </c>
      <c r="AT415" s="1">
        <f t="shared" si="156"/>
        <v>0.16775999999999999</v>
      </c>
      <c r="AU415" s="1">
        <f t="shared" si="157"/>
        <v>0.54754999999999998</v>
      </c>
      <c r="AV415" s="1">
        <f t="shared" si="158"/>
        <v>0.75</v>
      </c>
      <c r="AX415" s="1">
        <f t="shared" si="159"/>
        <v>3.2638888888888888</v>
      </c>
      <c r="AY415" s="1">
        <f t="shared" si="160"/>
        <v>1.6970076299475443</v>
      </c>
      <c r="AZ415" s="1">
        <f t="shared" si="161"/>
        <v>0.70399305555555558</v>
      </c>
      <c r="BA415" s="1">
        <f t="shared" si="162"/>
        <v>1.3159722222222223</v>
      </c>
      <c r="BB415" s="1">
        <f t="shared" si="163"/>
        <v>0.63604676803021787</v>
      </c>
      <c r="BC415" s="1">
        <f t="shared" si="164"/>
        <v>0.63604676803021787</v>
      </c>
      <c r="BD415" s="1">
        <f t="shared" si="165"/>
        <v>0.11395323196978213</v>
      </c>
      <c r="BF415">
        <f t="shared" si="166"/>
        <v>16.776</v>
      </c>
      <c r="BG415">
        <f t="shared" si="176"/>
        <v>28.468999999999998</v>
      </c>
      <c r="BH415" s="1">
        <f t="shared" si="167"/>
        <v>3.2638888888888893</v>
      </c>
      <c r="BI415" s="1">
        <f t="shared" si="168"/>
        <v>1.6970076299475441</v>
      </c>
      <c r="BJ415" s="1">
        <f t="shared" si="169"/>
        <v>0.65201388888888889</v>
      </c>
      <c r="BK415" s="1">
        <f t="shared" si="170"/>
        <v>1.7344722222222224</v>
      </c>
      <c r="BL415" s="1">
        <f t="shared" si="171"/>
        <v>0.65201388888888889</v>
      </c>
      <c r="BM415" s="1">
        <f t="shared" si="172"/>
        <v>0.65201388888888889</v>
      </c>
      <c r="BN415" s="1">
        <f t="shared" si="175"/>
        <v>9.6012779706790112E-3</v>
      </c>
      <c r="BO415" s="1">
        <f t="shared" si="173"/>
        <v>0.11720973628729676</v>
      </c>
    </row>
    <row r="416" spans="1:67" x14ac:dyDescent="0.25">
      <c r="A416" s="3"/>
      <c r="B416" s="3"/>
      <c r="C416" t="s">
        <v>191</v>
      </c>
      <c r="D416" s="5">
        <v>1</v>
      </c>
      <c r="E416" s="9">
        <f t="shared" si="152"/>
        <v>22.47</v>
      </c>
      <c r="F416" s="9">
        <f t="shared" si="153"/>
        <v>0.79517606087965942</v>
      </c>
      <c r="G416">
        <v>0</v>
      </c>
      <c r="H416">
        <v>15.88</v>
      </c>
      <c r="I416">
        <v>0</v>
      </c>
      <c r="J416">
        <v>0</v>
      </c>
      <c r="K416">
        <v>0</v>
      </c>
      <c r="L416">
        <v>0</v>
      </c>
      <c r="M416">
        <v>12.1</v>
      </c>
      <c r="N416">
        <v>0</v>
      </c>
      <c r="O416">
        <v>10.37</v>
      </c>
      <c r="P416">
        <v>0</v>
      </c>
      <c r="Q416">
        <v>61.65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77.099999999999994</v>
      </c>
      <c r="AK416" t="s">
        <v>1</v>
      </c>
      <c r="AL416" t="s">
        <v>374</v>
      </c>
      <c r="AM416" t="s">
        <v>391</v>
      </c>
      <c r="AO416" t="s">
        <v>378</v>
      </c>
      <c r="AQ416" s="1">
        <f t="shared" si="174"/>
        <v>100</v>
      </c>
      <c r="AR416" s="1">
        <f t="shared" si="154"/>
        <v>0.22469999999999998</v>
      </c>
      <c r="AS416" s="1">
        <f t="shared" si="155"/>
        <v>0</v>
      </c>
      <c r="AT416" s="1">
        <f t="shared" si="156"/>
        <v>0.1588</v>
      </c>
      <c r="AU416" s="1">
        <f t="shared" si="157"/>
        <v>0.61649999999999994</v>
      </c>
      <c r="AV416" s="1">
        <f t="shared" si="158"/>
        <v>0.77099999999999991</v>
      </c>
      <c r="AX416" s="1">
        <f t="shared" si="159"/>
        <v>3.8822418136020147</v>
      </c>
      <c r="AY416" s="1">
        <f t="shared" si="160"/>
        <v>1.4149874055415617</v>
      </c>
      <c r="AZ416" s="1">
        <f t="shared" si="161"/>
        <v>0.74264011335012592</v>
      </c>
      <c r="BA416" s="1">
        <f t="shared" si="162"/>
        <v>1.4705604534005037</v>
      </c>
      <c r="BB416" s="1">
        <f t="shared" si="163"/>
        <v>0.74264011335012592</v>
      </c>
      <c r="BC416" s="1">
        <f t="shared" si="164"/>
        <v>0.74264011335012592</v>
      </c>
      <c r="BD416" s="1">
        <f t="shared" si="165"/>
        <v>2.8359886649873989E-2</v>
      </c>
      <c r="BF416">
        <f t="shared" si="166"/>
        <v>15.88</v>
      </c>
      <c r="BG416">
        <f t="shared" si="176"/>
        <v>22.47</v>
      </c>
      <c r="BH416" s="1">
        <f t="shared" si="167"/>
        <v>3.8822418136020147</v>
      </c>
      <c r="BI416" s="1">
        <f t="shared" si="168"/>
        <v>1.4149874055415617</v>
      </c>
      <c r="BJ416" s="1">
        <f t="shared" si="169"/>
        <v>0.66376259445843822</v>
      </c>
      <c r="BK416" s="1">
        <f t="shared" si="170"/>
        <v>2.0448853904282114</v>
      </c>
      <c r="BL416" s="1">
        <f t="shared" si="171"/>
        <v>0.66376259445843822</v>
      </c>
      <c r="BM416" s="1">
        <f t="shared" si="172"/>
        <v>0.66376259445843822</v>
      </c>
      <c r="BN416" s="1">
        <f t="shared" si="175"/>
        <v>1.1499861147285366E-2</v>
      </c>
      <c r="BO416" s="1">
        <f t="shared" si="173"/>
        <v>0.1320298174405134</v>
      </c>
    </row>
    <row r="417" spans="1:67" x14ac:dyDescent="0.25">
      <c r="A417" s="3"/>
      <c r="B417" s="3"/>
      <c r="C417" t="s">
        <v>192</v>
      </c>
      <c r="D417" s="5">
        <v>1</v>
      </c>
      <c r="E417" s="9">
        <f t="shared" si="152"/>
        <v>22.810000000000002</v>
      </c>
      <c r="F417" s="9">
        <f t="shared" si="153"/>
        <v>0.79300899960871263</v>
      </c>
      <c r="G417">
        <v>0</v>
      </c>
      <c r="H417">
        <v>15.87</v>
      </c>
      <c r="I417">
        <v>0</v>
      </c>
      <c r="J417">
        <v>0</v>
      </c>
      <c r="K417">
        <v>0</v>
      </c>
      <c r="L417">
        <v>0</v>
      </c>
      <c r="M417">
        <v>12.8</v>
      </c>
      <c r="N417">
        <v>0</v>
      </c>
      <c r="O417">
        <v>10.01</v>
      </c>
      <c r="P417">
        <v>0</v>
      </c>
      <c r="Q417">
        <v>60.8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0.52</v>
      </c>
      <c r="AF417">
        <v>0</v>
      </c>
      <c r="AG417">
        <v>0</v>
      </c>
      <c r="AH417">
        <v>0</v>
      </c>
      <c r="AI417">
        <v>0</v>
      </c>
      <c r="AJ417">
        <v>74.400000000000006</v>
      </c>
      <c r="AK417" t="s">
        <v>1</v>
      </c>
      <c r="AL417" t="s">
        <v>374</v>
      </c>
      <c r="AQ417" s="1">
        <f t="shared" si="174"/>
        <v>99.999999999999986</v>
      </c>
      <c r="AR417" s="1">
        <f t="shared" si="154"/>
        <v>0.22810000000000002</v>
      </c>
      <c r="AS417" s="1">
        <f t="shared" si="155"/>
        <v>0</v>
      </c>
      <c r="AT417" s="1">
        <f t="shared" si="156"/>
        <v>0.15869999999999998</v>
      </c>
      <c r="AU417" s="1">
        <f t="shared" si="157"/>
        <v>0.60799999999999998</v>
      </c>
      <c r="AV417" s="1">
        <f t="shared" si="158"/>
        <v>0.74400000000000011</v>
      </c>
      <c r="AX417" s="1">
        <f t="shared" si="159"/>
        <v>3.831127914303718</v>
      </c>
      <c r="AY417" s="1">
        <f t="shared" si="160"/>
        <v>1.4373030875866417</v>
      </c>
      <c r="AZ417" s="1">
        <f t="shared" si="161"/>
        <v>0.73944549464398235</v>
      </c>
      <c r="BA417" s="1">
        <f t="shared" si="162"/>
        <v>1.4577819785759294</v>
      </c>
      <c r="BB417" s="1">
        <f t="shared" si="163"/>
        <v>0.73944549464398235</v>
      </c>
      <c r="BC417" s="1">
        <f t="shared" si="164"/>
        <v>0.73944549464398235</v>
      </c>
      <c r="BD417" s="1">
        <f t="shared" si="165"/>
        <v>4.5545053560177573E-3</v>
      </c>
      <c r="BF417">
        <f t="shared" si="166"/>
        <v>16.39</v>
      </c>
      <c r="BG417">
        <f t="shared" si="176"/>
        <v>22.810000000000002</v>
      </c>
      <c r="BH417" s="1">
        <f t="shared" si="167"/>
        <v>3.7095790115924343</v>
      </c>
      <c r="BI417" s="1">
        <f t="shared" si="168"/>
        <v>1.3917022574740696</v>
      </c>
      <c r="BJ417" s="1">
        <f t="shared" si="169"/>
        <v>0.66048200122025624</v>
      </c>
      <c r="BK417" s="1">
        <f t="shared" si="170"/>
        <v>1.9582086638194021</v>
      </c>
      <c r="BL417" s="1">
        <f t="shared" si="171"/>
        <v>0.66048200122025624</v>
      </c>
      <c r="BM417" s="1">
        <f t="shared" si="172"/>
        <v>0.66048200122025624</v>
      </c>
      <c r="BN417" s="1">
        <f t="shared" si="175"/>
        <v>6.9752561201732975E-3</v>
      </c>
      <c r="BO417" s="1">
        <f t="shared" si="173"/>
        <v>0.11313742738637778</v>
      </c>
    </row>
    <row r="418" spans="1:67" x14ac:dyDescent="0.25">
      <c r="A418" s="3"/>
      <c r="B418" s="3"/>
      <c r="C418" t="s">
        <v>193</v>
      </c>
      <c r="D418" s="5">
        <v>1</v>
      </c>
      <c r="E418" s="9">
        <f t="shared" si="152"/>
        <v>21.98</v>
      </c>
      <c r="F418" s="9">
        <f t="shared" si="153"/>
        <v>0.78296988577362414</v>
      </c>
      <c r="G418">
        <v>0</v>
      </c>
      <c r="H418">
        <v>16.72</v>
      </c>
      <c r="I418">
        <v>0</v>
      </c>
      <c r="J418">
        <v>0</v>
      </c>
      <c r="K418">
        <v>0</v>
      </c>
      <c r="L418">
        <v>0</v>
      </c>
      <c r="M418">
        <v>12.01</v>
      </c>
      <c r="N418">
        <v>0</v>
      </c>
      <c r="O418">
        <v>9.9700000000000006</v>
      </c>
      <c r="P418">
        <v>0</v>
      </c>
      <c r="Q418">
        <v>60.32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0.99</v>
      </c>
      <c r="AF418">
        <v>0</v>
      </c>
      <c r="AG418">
        <v>0</v>
      </c>
      <c r="AH418">
        <v>0</v>
      </c>
      <c r="AI418">
        <v>0</v>
      </c>
      <c r="AJ418">
        <v>72.7</v>
      </c>
      <c r="AK418" t="s">
        <v>1</v>
      </c>
      <c r="AL418" t="s">
        <v>374</v>
      </c>
      <c r="AQ418" s="1">
        <f t="shared" si="174"/>
        <v>100.00999999999999</v>
      </c>
      <c r="AR418" s="1">
        <f t="shared" si="154"/>
        <v>0.2198</v>
      </c>
      <c r="AS418" s="1">
        <f t="shared" si="155"/>
        <v>0</v>
      </c>
      <c r="AT418" s="1">
        <f t="shared" si="156"/>
        <v>0.16719999999999999</v>
      </c>
      <c r="AU418" s="1">
        <f t="shared" si="157"/>
        <v>0.60319999999999996</v>
      </c>
      <c r="AV418" s="1">
        <f t="shared" si="158"/>
        <v>0.72699999999999998</v>
      </c>
      <c r="AX418" s="1">
        <f t="shared" si="159"/>
        <v>3.6076555023923444</v>
      </c>
      <c r="AY418" s="1">
        <f t="shared" si="160"/>
        <v>1.3145933014354068</v>
      </c>
      <c r="AZ418" s="1">
        <f t="shared" si="161"/>
        <v>0.7254784688995215</v>
      </c>
      <c r="BA418" s="1">
        <f t="shared" si="162"/>
        <v>1.401913875598086</v>
      </c>
      <c r="BB418" s="1">
        <f t="shared" si="163"/>
        <v>0.7254784688995215</v>
      </c>
      <c r="BC418" s="1">
        <f t="shared" si="164"/>
        <v>0.7254784688995215</v>
      </c>
      <c r="BD418" s="1">
        <f t="shared" si="165"/>
        <v>1.5215311004784793E-3</v>
      </c>
      <c r="BF418">
        <f t="shared" si="166"/>
        <v>17.709999999999997</v>
      </c>
      <c r="BG418">
        <f t="shared" si="176"/>
        <v>21.98</v>
      </c>
      <c r="BH418" s="1">
        <f t="shared" si="167"/>
        <v>3.4059853190287979</v>
      </c>
      <c r="BI418" s="1">
        <f t="shared" si="168"/>
        <v>1.2411067193675891</v>
      </c>
      <c r="BJ418" s="1">
        <f t="shared" si="169"/>
        <v>0.65471372106154713</v>
      </c>
      <c r="BK418" s="1">
        <f t="shared" si="170"/>
        <v>1.8058046301524566</v>
      </c>
      <c r="BL418" s="1">
        <f t="shared" si="171"/>
        <v>0.65471372106154713</v>
      </c>
      <c r="BM418" s="1">
        <f t="shared" si="172"/>
        <v>0.65471372106154713</v>
      </c>
      <c r="BN418" s="1">
        <f t="shared" si="175"/>
        <v>5.2253061227678123E-3</v>
      </c>
      <c r="BO418" s="1">
        <f t="shared" si="173"/>
        <v>0.10199021883377371</v>
      </c>
    </row>
    <row r="419" spans="1:67" x14ac:dyDescent="0.25">
      <c r="A419" s="3"/>
      <c r="B419" s="3"/>
      <c r="C419" t="s">
        <v>194</v>
      </c>
      <c r="D419" s="5">
        <v>1</v>
      </c>
      <c r="E419" s="9">
        <f t="shared" si="152"/>
        <v>22.240000000000002</v>
      </c>
      <c r="F419" s="9">
        <f t="shared" si="153"/>
        <v>0.76909905163329817</v>
      </c>
      <c r="G419">
        <v>0</v>
      </c>
      <c r="H419">
        <v>17.53</v>
      </c>
      <c r="I419">
        <v>0</v>
      </c>
      <c r="J419">
        <v>0</v>
      </c>
      <c r="K419">
        <v>0</v>
      </c>
      <c r="L419">
        <v>0</v>
      </c>
      <c r="M419">
        <v>11.76</v>
      </c>
      <c r="N419">
        <v>0</v>
      </c>
      <c r="O419">
        <v>10.48</v>
      </c>
      <c r="P419">
        <v>0</v>
      </c>
      <c r="Q419">
        <v>58.39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1.84</v>
      </c>
      <c r="AF419">
        <v>0</v>
      </c>
      <c r="AG419">
        <v>0</v>
      </c>
      <c r="AH419">
        <v>0</v>
      </c>
      <c r="AI419">
        <v>0</v>
      </c>
      <c r="AJ419">
        <v>71.099999999999994</v>
      </c>
      <c r="AK419" t="s">
        <v>1</v>
      </c>
      <c r="AL419" t="s">
        <v>374</v>
      </c>
      <c r="AQ419" s="1">
        <f t="shared" si="174"/>
        <v>100</v>
      </c>
      <c r="AR419" s="1">
        <f t="shared" si="154"/>
        <v>0.22240000000000001</v>
      </c>
      <c r="AS419" s="1">
        <f t="shared" si="155"/>
        <v>0</v>
      </c>
      <c r="AT419" s="1">
        <f t="shared" si="156"/>
        <v>0.17530000000000001</v>
      </c>
      <c r="AU419" s="1">
        <f t="shared" si="157"/>
        <v>0.58389999999999997</v>
      </c>
      <c r="AV419" s="1">
        <f t="shared" si="158"/>
        <v>0.71099999999999997</v>
      </c>
      <c r="AX419" s="1">
        <f t="shared" si="159"/>
        <v>3.3308613804905871</v>
      </c>
      <c r="AY419" s="1">
        <f t="shared" si="160"/>
        <v>1.2686822589845979</v>
      </c>
      <c r="AZ419" s="1">
        <f t="shared" si="161"/>
        <v>0.70817883628066169</v>
      </c>
      <c r="BA419" s="1">
        <f t="shared" si="162"/>
        <v>1.3327153451226468</v>
      </c>
      <c r="BB419" s="1">
        <f t="shared" si="163"/>
        <v>0.70817883628066169</v>
      </c>
      <c r="BC419" s="1">
        <f t="shared" si="164"/>
        <v>0.70817883628066169</v>
      </c>
      <c r="BD419" s="1">
        <f t="shared" si="165"/>
        <v>2.821163719338271E-3</v>
      </c>
      <c r="BF419">
        <f t="shared" si="166"/>
        <v>19.37</v>
      </c>
      <c r="BG419">
        <f t="shared" si="176"/>
        <v>22.240000000000002</v>
      </c>
      <c r="BH419" s="1">
        <f t="shared" si="167"/>
        <v>3.0144553433144035</v>
      </c>
      <c r="BI419" s="1">
        <f t="shared" si="168"/>
        <v>1.1481672689726381</v>
      </c>
      <c r="BJ419" s="1">
        <f t="shared" si="169"/>
        <v>0.64727465152297359</v>
      </c>
      <c r="BK419" s="1">
        <f t="shared" si="170"/>
        <v>1.6092565823438307</v>
      </c>
      <c r="BL419" s="1">
        <f t="shared" si="171"/>
        <v>0.64727465152297359</v>
      </c>
      <c r="BM419" s="1">
        <f t="shared" si="172"/>
        <v>0.64727465152297359</v>
      </c>
      <c r="BN419" s="1">
        <f t="shared" si="175"/>
        <v>4.060920038518448E-3</v>
      </c>
      <c r="BO419" s="1">
        <f t="shared" si="173"/>
        <v>9.2026728431322882E-2</v>
      </c>
    </row>
    <row r="420" spans="1:67" x14ac:dyDescent="0.25">
      <c r="A420" s="3"/>
      <c r="B420" s="3"/>
      <c r="C420" t="s">
        <v>195</v>
      </c>
      <c r="D420" s="5">
        <v>1</v>
      </c>
      <c r="E420" s="9">
        <f t="shared" si="152"/>
        <v>21.5</v>
      </c>
      <c r="F420" s="9">
        <f t="shared" si="153"/>
        <v>0.7728013029315961</v>
      </c>
      <c r="G420">
        <v>0</v>
      </c>
      <c r="H420">
        <v>16.739999999999998</v>
      </c>
      <c r="I420">
        <v>0</v>
      </c>
      <c r="J420">
        <v>0</v>
      </c>
      <c r="K420">
        <v>0</v>
      </c>
      <c r="L420">
        <v>0</v>
      </c>
      <c r="M420">
        <v>12.3</v>
      </c>
      <c r="N420">
        <v>0</v>
      </c>
      <c r="O420">
        <v>9.1999999999999993</v>
      </c>
      <c r="P420">
        <v>0</v>
      </c>
      <c r="Q420">
        <v>56.94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4.83</v>
      </c>
      <c r="AF420">
        <v>0</v>
      </c>
      <c r="AG420">
        <v>0</v>
      </c>
      <c r="AH420">
        <v>0</v>
      </c>
      <c r="AI420">
        <v>0</v>
      </c>
      <c r="AJ420">
        <v>63.1</v>
      </c>
      <c r="AK420" t="s">
        <v>1</v>
      </c>
      <c r="AL420" t="s">
        <v>374</v>
      </c>
      <c r="AQ420" s="1">
        <f t="shared" si="174"/>
        <v>100.00999999999999</v>
      </c>
      <c r="AR420" s="1">
        <f t="shared" si="154"/>
        <v>0.215</v>
      </c>
      <c r="AS420" s="1">
        <f t="shared" si="155"/>
        <v>0</v>
      </c>
      <c r="AT420" s="1">
        <f t="shared" si="156"/>
        <v>0.16739999999999999</v>
      </c>
      <c r="AU420" s="1">
        <f t="shared" si="157"/>
        <v>0.56940000000000002</v>
      </c>
      <c r="AV420" s="1">
        <f t="shared" si="158"/>
        <v>0.63100000000000001</v>
      </c>
      <c r="AX420" s="1">
        <f t="shared" si="159"/>
        <v>3.4014336917562726</v>
      </c>
      <c r="AY420" s="1">
        <f t="shared" si="160"/>
        <v>1.2843488649940262</v>
      </c>
      <c r="AZ420" s="1">
        <f t="shared" si="161"/>
        <v>0.71258960573476704</v>
      </c>
      <c r="BA420" s="1">
        <f t="shared" si="162"/>
        <v>1.3503584229390682</v>
      </c>
      <c r="BB420" s="1">
        <f t="shared" si="163"/>
        <v>0.71258960573476704</v>
      </c>
      <c r="BC420" s="1">
        <f t="shared" si="164"/>
        <v>0.71258960573476704</v>
      </c>
      <c r="BD420" s="1">
        <f t="shared" si="165"/>
        <v>8.1589605734767034E-2</v>
      </c>
      <c r="BF420">
        <f t="shared" si="166"/>
        <v>21.57</v>
      </c>
      <c r="BG420">
        <f t="shared" si="176"/>
        <v>21.5</v>
      </c>
      <c r="BH420" s="1">
        <f t="shared" si="167"/>
        <v>2.6397774687065367</v>
      </c>
      <c r="BI420" s="1">
        <f t="shared" si="168"/>
        <v>0.99675475197032914</v>
      </c>
      <c r="BJ420" s="1">
        <f t="shared" si="169"/>
        <v>0.64015577190542416</v>
      </c>
      <c r="BK420" s="1">
        <f t="shared" si="170"/>
        <v>1.4211682892906816</v>
      </c>
      <c r="BL420" s="1">
        <f t="shared" si="171"/>
        <v>0.64015577190542416</v>
      </c>
      <c r="BM420" s="1">
        <f t="shared" si="172"/>
        <v>0.64015577190542416</v>
      </c>
      <c r="BN420" s="1">
        <f t="shared" si="175"/>
        <v>8.382815918415434E-5</v>
      </c>
      <c r="BO420" s="1">
        <f t="shared" si="173"/>
        <v>4.9889276419068838E-2</v>
      </c>
    </row>
    <row r="421" spans="1:67" x14ac:dyDescent="0.25">
      <c r="A421" s="3"/>
      <c r="B421" s="3"/>
      <c r="C421" t="s">
        <v>567</v>
      </c>
      <c r="D421" s="5">
        <v>1</v>
      </c>
      <c r="E421" s="9">
        <f t="shared" si="152"/>
        <v>13.9</v>
      </c>
      <c r="F421" s="9">
        <f t="shared" si="153"/>
        <v>0.91440217391304357</v>
      </c>
      <c r="G421">
        <v>12.5</v>
      </c>
      <c r="H421">
        <v>6.3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13.9</v>
      </c>
      <c r="P421">
        <v>0</v>
      </c>
      <c r="Q421">
        <v>67.300000000000011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18.096309999999999</v>
      </c>
      <c r="AK421" t="s">
        <v>1</v>
      </c>
      <c r="AL421" t="s">
        <v>374</v>
      </c>
      <c r="AN421" t="s">
        <v>373</v>
      </c>
      <c r="AO421" t="s">
        <v>378</v>
      </c>
      <c r="AQ421" s="1">
        <f t="shared" si="174"/>
        <v>100.00000000000001</v>
      </c>
      <c r="AR421" s="1">
        <f t="shared" si="154"/>
        <v>0.13900000000000001</v>
      </c>
      <c r="AS421" s="1">
        <f t="shared" si="155"/>
        <v>0.125</v>
      </c>
      <c r="AT421" s="1">
        <f t="shared" si="156"/>
        <v>6.3E-2</v>
      </c>
      <c r="AU421" s="1">
        <f t="shared" si="157"/>
        <v>0.67300000000000015</v>
      </c>
      <c r="AV421" s="1">
        <f t="shared" si="158"/>
        <v>0.18096309999999999</v>
      </c>
      <c r="AX421" s="1">
        <f t="shared" si="159"/>
        <v>3.5797872340425538</v>
      </c>
      <c r="AY421" s="1">
        <f t="shared" si="160"/>
        <v>0.73936170212765961</v>
      </c>
      <c r="AZ421" s="1">
        <f t="shared" si="161"/>
        <v>0.72373670212765961</v>
      </c>
      <c r="BA421" s="1">
        <f t="shared" si="162"/>
        <v>1.3949468085106385</v>
      </c>
      <c r="BB421" s="1">
        <f t="shared" si="163"/>
        <v>0.72373670212765961</v>
      </c>
      <c r="BC421" s="1">
        <f t="shared" si="164"/>
        <v>0.72373670212765961</v>
      </c>
      <c r="BD421" s="1">
        <f t="shared" si="165"/>
        <v>0.54277360212765968</v>
      </c>
      <c r="BF421">
        <f t="shared" si="166"/>
        <v>56.3</v>
      </c>
      <c r="BG421">
        <f t="shared" si="176"/>
        <v>13.9</v>
      </c>
      <c r="BH421" s="1">
        <f t="shared" si="167"/>
        <v>1.1953818827708707</v>
      </c>
      <c r="BI421" s="1">
        <f t="shared" si="168"/>
        <v>0.24689165186500889</v>
      </c>
      <c r="BJ421" s="1">
        <f t="shared" si="169"/>
        <v>0.61271225577264654</v>
      </c>
      <c r="BK421" s="1">
        <f t="shared" si="170"/>
        <v>0.696081705150977</v>
      </c>
      <c r="BL421" s="1">
        <f t="shared" si="171"/>
        <v>0.24689165186500889</v>
      </c>
      <c r="BM421" s="1">
        <f t="shared" si="172"/>
        <v>0.24689165186500889</v>
      </c>
      <c r="BN421" s="1">
        <f t="shared" si="175"/>
        <v>4.3465739510171681E-3</v>
      </c>
      <c r="BO421" s="1">
        <f t="shared" si="173"/>
        <v>5.1382836312009066E-2</v>
      </c>
    </row>
    <row r="422" spans="1:67" x14ac:dyDescent="0.25">
      <c r="A422" s="3"/>
      <c r="B422" s="3"/>
      <c r="C422" t="s">
        <v>568</v>
      </c>
      <c r="D422" s="5">
        <v>1</v>
      </c>
      <c r="E422" s="9">
        <f t="shared" ref="E422:E441" si="177">I422+L422+M422+N422+O422+V422+X422+AB422+AD422</f>
        <v>13.9</v>
      </c>
      <c r="F422" s="9">
        <f t="shared" ref="F422:F441" si="178">Q422/(H422+P422+Q422+AC422)</f>
        <v>0.87744458930899605</v>
      </c>
      <c r="G422">
        <v>9.4</v>
      </c>
      <c r="H422">
        <v>9.4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13.9</v>
      </c>
      <c r="P422">
        <v>0</v>
      </c>
      <c r="Q422">
        <v>67.300000000000011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38.70814</v>
      </c>
      <c r="AK422" t="s">
        <v>1</v>
      </c>
      <c r="AL422" t="s">
        <v>374</v>
      </c>
      <c r="AQ422" s="1">
        <f t="shared" si="174"/>
        <v>100.00000000000001</v>
      </c>
      <c r="AR422" s="1">
        <f t="shared" si="154"/>
        <v>0.13900000000000001</v>
      </c>
      <c r="AS422" s="1">
        <f t="shared" si="155"/>
        <v>9.4E-2</v>
      </c>
      <c r="AT422" s="1">
        <f t="shared" si="156"/>
        <v>9.4E-2</v>
      </c>
      <c r="AU422" s="1">
        <f t="shared" si="157"/>
        <v>0.67300000000000015</v>
      </c>
      <c r="AV422" s="1">
        <f t="shared" si="158"/>
        <v>0.38708140000000002</v>
      </c>
      <c r="AX422" s="1">
        <f t="shared" si="159"/>
        <v>3.5797872340425538</v>
      </c>
      <c r="AY422" s="1">
        <f t="shared" si="160"/>
        <v>0.73936170212765961</v>
      </c>
      <c r="AZ422" s="1">
        <f t="shared" si="161"/>
        <v>0.72373670212765961</v>
      </c>
      <c r="BA422" s="1">
        <f t="shared" si="162"/>
        <v>1.3949468085106385</v>
      </c>
      <c r="BB422" s="1">
        <f t="shared" si="163"/>
        <v>0.72373670212765961</v>
      </c>
      <c r="BC422" s="1">
        <f t="shared" si="164"/>
        <v>0.72373670212765961</v>
      </c>
      <c r="BD422" s="1">
        <f t="shared" si="165"/>
        <v>0.33665530212765959</v>
      </c>
      <c r="BF422">
        <f t="shared" si="166"/>
        <v>47</v>
      </c>
      <c r="BG422">
        <f t="shared" si="176"/>
        <v>13.9</v>
      </c>
      <c r="BH422" s="1">
        <f t="shared" si="167"/>
        <v>1.4319148936170216</v>
      </c>
      <c r="BI422" s="1">
        <f t="shared" si="168"/>
        <v>0.29574468085106381</v>
      </c>
      <c r="BJ422" s="1">
        <f t="shared" si="169"/>
        <v>0.61720638297872332</v>
      </c>
      <c r="BK422" s="1">
        <f t="shared" si="170"/>
        <v>0.81482127659574488</v>
      </c>
      <c r="BL422" s="1">
        <f t="shared" si="171"/>
        <v>0.29574468085106381</v>
      </c>
      <c r="BM422" s="1">
        <f t="shared" si="172"/>
        <v>0.29574468085106381</v>
      </c>
      <c r="BN422" s="1">
        <f t="shared" si="175"/>
        <v>8.3423962648916505E-3</v>
      </c>
      <c r="BO422" s="1">
        <f t="shared" si="173"/>
        <v>4.2269406507640188E-4</v>
      </c>
    </row>
    <row r="423" spans="1:67" x14ac:dyDescent="0.25">
      <c r="A423" s="3"/>
      <c r="B423" s="3"/>
      <c r="C423" t="s">
        <v>569</v>
      </c>
      <c r="D423" s="5">
        <v>1</v>
      </c>
      <c r="E423" s="9">
        <f t="shared" si="177"/>
        <v>13.9</v>
      </c>
      <c r="F423" s="9">
        <f t="shared" si="178"/>
        <v>0.84230287859824793</v>
      </c>
      <c r="G423">
        <v>6.2</v>
      </c>
      <c r="H423">
        <v>12.6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13.9</v>
      </c>
      <c r="P423">
        <v>0</v>
      </c>
      <c r="Q423">
        <v>67.300000000000011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48.08484</v>
      </c>
      <c r="AK423" t="s">
        <v>1</v>
      </c>
      <c r="AL423" t="s">
        <v>374</v>
      </c>
      <c r="AQ423" s="1">
        <f t="shared" si="174"/>
        <v>100.00000000000001</v>
      </c>
      <c r="AR423" s="1">
        <f t="shared" si="154"/>
        <v>0.13900000000000001</v>
      </c>
      <c r="AS423" s="1">
        <f t="shared" si="155"/>
        <v>6.2E-2</v>
      </c>
      <c r="AT423" s="1">
        <f t="shared" si="156"/>
        <v>0.126</v>
      </c>
      <c r="AU423" s="1">
        <f t="shared" si="157"/>
        <v>0.67300000000000015</v>
      </c>
      <c r="AV423" s="1">
        <f t="shared" si="158"/>
        <v>0.48084840000000001</v>
      </c>
      <c r="AX423" s="1">
        <f t="shared" si="159"/>
        <v>3.5797872340425538</v>
      </c>
      <c r="AY423" s="1">
        <f t="shared" si="160"/>
        <v>0.73936170212765961</v>
      </c>
      <c r="AZ423" s="1">
        <f t="shared" si="161"/>
        <v>0.72373670212765961</v>
      </c>
      <c r="BA423" s="1">
        <f t="shared" si="162"/>
        <v>1.3949468085106385</v>
      </c>
      <c r="BB423" s="1">
        <f t="shared" si="163"/>
        <v>0.72373670212765961</v>
      </c>
      <c r="BC423" s="1">
        <f t="shared" si="164"/>
        <v>0.72373670212765961</v>
      </c>
      <c r="BD423" s="1">
        <f t="shared" si="165"/>
        <v>0.24288830212765961</v>
      </c>
      <c r="BF423">
        <f t="shared" si="166"/>
        <v>37.4</v>
      </c>
      <c r="BG423">
        <f t="shared" si="176"/>
        <v>13.9</v>
      </c>
      <c r="BH423" s="1">
        <f t="shared" si="167"/>
        <v>1.7994652406417115</v>
      </c>
      <c r="BI423" s="1">
        <f t="shared" si="168"/>
        <v>0.37165775401069523</v>
      </c>
      <c r="BJ423" s="1">
        <f t="shared" si="169"/>
        <v>0.62418983957219254</v>
      </c>
      <c r="BK423" s="1">
        <f t="shared" si="170"/>
        <v>0.9993315508021392</v>
      </c>
      <c r="BL423" s="1">
        <f t="shared" si="171"/>
        <v>0.37165775401069523</v>
      </c>
      <c r="BM423" s="1">
        <f t="shared" si="172"/>
        <v>0.37165775401069523</v>
      </c>
      <c r="BN423" s="1">
        <f t="shared" si="175"/>
        <v>1.192259717156168E-2</v>
      </c>
      <c r="BO423" s="1">
        <f t="shared" si="173"/>
        <v>5.359334407089242E-3</v>
      </c>
    </row>
    <row r="424" spans="1:67" x14ac:dyDescent="0.25">
      <c r="A424" s="3"/>
      <c r="B424" s="3"/>
      <c r="C424" t="s">
        <v>570</v>
      </c>
      <c r="D424" s="5">
        <v>1</v>
      </c>
      <c r="E424" s="9">
        <f t="shared" si="177"/>
        <v>13.9</v>
      </c>
      <c r="F424" s="9">
        <f t="shared" si="178"/>
        <v>0.81084337349397595</v>
      </c>
      <c r="G424">
        <v>3.1</v>
      </c>
      <c r="H424">
        <v>15.7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13.9</v>
      </c>
      <c r="P424">
        <v>0</v>
      </c>
      <c r="Q424">
        <v>67.300000000000011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51.632779999999997</v>
      </c>
      <c r="AK424" t="s">
        <v>1</v>
      </c>
      <c r="AL424" t="s">
        <v>374</v>
      </c>
      <c r="AQ424" s="1">
        <f t="shared" si="174"/>
        <v>100.00000000000001</v>
      </c>
      <c r="AR424" s="1">
        <f t="shared" si="154"/>
        <v>0.13900000000000001</v>
      </c>
      <c r="AS424" s="1">
        <f t="shared" si="155"/>
        <v>3.1E-2</v>
      </c>
      <c r="AT424" s="1">
        <f t="shared" si="156"/>
        <v>0.157</v>
      </c>
      <c r="AU424" s="1">
        <f t="shared" si="157"/>
        <v>0.67300000000000015</v>
      </c>
      <c r="AV424" s="1">
        <f t="shared" si="158"/>
        <v>0.5163278</v>
      </c>
      <c r="AX424" s="1">
        <f t="shared" si="159"/>
        <v>3.5797872340425538</v>
      </c>
      <c r="AY424" s="1">
        <f t="shared" si="160"/>
        <v>0.73936170212765961</v>
      </c>
      <c r="AZ424" s="1">
        <f t="shared" si="161"/>
        <v>0.72373670212765961</v>
      </c>
      <c r="BA424" s="1">
        <f t="shared" si="162"/>
        <v>1.3949468085106385</v>
      </c>
      <c r="BB424" s="1">
        <f t="shared" si="163"/>
        <v>0.72373670212765961</v>
      </c>
      <c r="BC424" s="1">
        <f t="shared" si="164"/>
        <v>0.72373670212765961</v>
      </c>
      <c r="BD424" s="1">
        <f t="shared" si="165"/>
        <v>0.20740890212765961</v>
      </c>
      <c r="BF424">
        <f t="shared" si="166"/>
        <v>28.1</v>
      </c>
      <c r="BG424">
        <f t="shared" si="176"/>
        <v>13.9</v>
      </c>
      <c r="BH424" s="1">
        <f t="shared" si="167"/>
        <v>2.3950177935943064</v>
      </c>
      <c r="BI424" s="1">
        <f t="shared" si="168"/>
        <v>0.49466192170818502</v>
      </c>
      <c r="BJ424" s="1">
        <f t="shared" si="169"/>
        <v>0.63550533807829179</v>
      </c>
      <c r="BK424" s="1">
        <f t="shared" si="170"/>
        <v>1.2982989323843419</v>
      </c>
      <c r="BL424" s="1">
        <f t="shared" si="171"/>
        <v>0.49466192170818502</v>
      </c>
      <c r="BM424" s="1">
        <f t="shared" si="172"/>
        <v>0.49466192170818502</v>
      </c>
      <c r="BN424" s="1">
        <f t="shared" si="175"/>
        <v>4.6941028215573998E-4</v>
      </c>
      <c r="BO424" s="1">
        <f t="shared" si="173"/>
        <v>1.1812836813913829E-2</v>
      </c>
    </row>
    <row r="425" spans="1:67" x14ac:dyDescent="0.25">
      <c r="A425" s="3"/>
      <c r="B425" s="3"/>
      <c r="C425" t="s">
        <v>571</v>
      </c>
      <c r="D425" s="5">
        <v>1</v>
      </c>
      <c r="E425" s="9">
        <f t="shared" si="177"/>
        <v>13.9</v>
      </c>
      <c r="F425" s="9">
        <f t="shared" si="178"/>
        <v>0.78164924506387923</v>
      </c>
      <c r="G425">
        <v>0</v>
      </c>
      <c r="H425">
        <v>18.8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13.9</v>
      </c>
      <c r="P425">
        <v>0</v>
      </c>
      <c r="Q425">
        <v>67.300000000000011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66.099080000000001</v>
      </c>
      <c r="AK425" t="s">
        <v>1</v>
      </c>
      <c r="AL425" t="s">
        <v>374</v>
      </c>
      <c r="AQ425" s="1">
        <f t="shared" si="174"/>
        <v>100.00000000000001</v>
      </c>
      <c r="AR425" s="1">
        <f t="shared" si="154"/>
        <v>0.13900000000000001</v>
      </c>
      <c r="AS425" s="1">
        <f t="shared" si="155"/>
        <v>0</v>
      </c>
      <c r="AT425" s="1">
        <f t="shared" si="156"/>
        <v>0.188</v>
      </c>
      <c r="AU425" s="1">
        <f t="shared" si="157"/>
        <v>0.67300000000000015</v>
      </c>
      <c r="AV425" s="1">
        <f t="shared" si="158"/>
        <v>0.66099079999999999</v>
      </c>
      <c r="AX425" s="1">
        <f t="shared" si="159"/>
        <v>3.5797872340425538</v>
      </c>
      <c r="AY425" s="1">
        <f t="shared" si="160"/>
        <v>0.73936170212765961</v>
      </c>
      <c r="AZ425" s="1">
        <f t="shared" si="161"/>
        <v>0.72373670212765961</v>
      </c>
      <c r="BA425" s="1">
        <f t="shared" si="162"/>
        <v>1.3949468085106385</v>
      </c>
      <c r="BB425" s="1">
        <f t="shared" si="163"/>
        <v>0.72373670212765961</v>
      </c>
      <c r="BC425" s="1">
        <f t="shared" si="164"/>
        <v>0.72373670212765961</v>
      </c>
      <c r="BD425" s="1">
        <f t="shared" si="165"/>
        <v>6.2745902127659625E-2</v>
      </c>
      <c r="BF425">
        <f t="shared" si="166"/>
        <v>18.8</v>
      </c>
      <c r="BG425">
        <f t="shared" si="176"/>
        <v>13.9</v>
      </c>
      <c r="BH425" s="1">
        <f t="shared" si="167"/>
        <v>3.5797872340425538</v>
      </c>
      <c r="BI425" s="1">
        <f t="shared" si="168"/>
        <v>0.73936170212765961</v>
      </c>
      <c r="BJ425" s="1">
        <f t="shared" si="169"/>
        <v>0.65801595744680852</v>
      </c>
      <c r="BK425" s="1">
        <f t="shared" si="170"/>
        <v>1.893053191489362</v>
      </c>
      <c r="BL425" s="1">
        <f t="shared" si="171"/>
        <v>0.65801595744680852</v>
      </c>
      <c r="BM425" s="1">
        <f t="shared" si="172"/>
        <v>0.65801595744680852</v>
      </c>
      <c r="BN425" s="1">
        <f t="shared" si="175"/>
        <v>8.8496882162787448E-6</v>
      </c>
      <c r="BO425" s="1">
        <f t="shared" si="173"/>
        <v>6.4186159201322701E-2</v>
      </c>
    </row>
    <row r="426" spans="1:67" x14ac:dyDescent="0.25">
      <c r="A426" s="3"/>
      <c r="B426" s="3"/>
      <c r="C426" t="s">
        <v>572</v>
      </c>
      <c r="D426" s="5">
        <v>1</v>
      </c>
      <c r="E426" s="9">
        <f t="shared" si="177"/>
        <v>18.8</v>
      </c>
      <c r="F426" s="9">
        <f t="shared" si="178"/>
        <v>0.8288177339901478</v>
      </c>
      <c r="G426">
        <v>0</v>
      </c>
      <c r="H426">
        <v>13.9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18.8</v>
      </c>
      <c r="P426">
        <v>0</v>
      </c>
      <c r="Q426">
        <v>67.300000000000011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69.942679999999996</v>
      </c>
      <c r="AK426" t="s">
        <v>1</v>
      </c>
      <c r="AL426" t="s">
        <v>374</v>
      </c>
      <c r="AQ426" s="1">
        <f t="shared" si="174"/>
        <v>100.00000000000001</v>
      </c>
      <c r="AR426" s="1">
        <f t="shared" si="154"/>
        <v>0.188</v>
      </c>
      <c r="AS426" s="1">
        <f t="shared" si="155"/>
        <v>0</v>
      </c>
      <c r="AT426" s="1">
        <f t="shared" si="156"/>
        <v>0.13900000000000001</v>
      </c>
      <c r="AU426" s="1">
        <f t="shared" si="157"/>
        <v>0.67300000000000015</v>
      </c>
      <c r="AV426" s="1">
        <f t="shared" si="158"/>
        <v>0.6994267999999999</v>
      </c>
      <c r="AX426" s="1">
        <f t="shared" si="159"/>
        <v>4.841726618705037</v>
      </c>
      <c r="AY426" s="1">
        <f t="shared" si="160"/>
        <v>1.3525179856115106</v>
      </c>
      <c r="AZ426" s="1">
        <f t="shared" si="161"/>
        <v>0.80260791366906481</v>
      </c>
      <c r="BA426" s="1">
        <f t="shared" si="162"/>
        <v>1.7104316546762592</v>
      </c>
      <c r="BB426" s="1">
        <f t="shared" si="163"/>
        <v>0.80260791366906481</v>
      </c>
      <c r="BC426" s="1">
        <f t="shared" si="164"/>
        <v>0.80260791366906481</v>
      </c>
      <c r="BD426" s="1">
        <f t="shared" si="165"/>
        <v>0.10318111366906491</v>
      </c>
      <c r="BF426">
        <f t="shared" si="166"/>
        <v>13.9</v>
      </c>
      <c r="BG426">
        <f t="shared" si="176"/>
        <v>18.8</v>
      </c>
      <c r="BH426" s="1">
        <f t="shared" si="167"/>
        <v>4.841726618705037</v>
      </c>
      <c r="BI426" s="1">
        <f t="shared" si="168"/>
        <v>1.3525179856115108</v>
      </c>
      <c r="BJ426" s="1">
        <f t="shared" si="169"/>
        <v>0.68199280575539567</v>
      </c>
      <c r="BK426" s="1">
        <f t="shared" si="170"/>
        <v>2.5265467625899287</v>
      </c>
      <c r="BL426" s="1">
        <f t="shared" si="171"/>
        <v>0.68199280575539567</v>
      </c>
      <c r="BM426" s="1">
        <f t="shared" si="172"/>
        <v>0.68199280575539567</v>
      </c>
      <c r="BN426" s="1">
        <f t="shared" si="175"/>
        <v>3.0394415532089357E-4</v>
      </c>
      <c r="BO426" s="1">
        <f t="shared" si="173"/>
        <v>8.5138996894210117E-2</v>
      </c>
    </row>
    <row r="427" spans="1:67" x14ac:dyDescent="0.25">
      <c r="A427" s="3"/>
      <c r="B427" s="3"/>
      <c r="C427" t="s">
        <v>573</v>
      </c>
      <c r="D427" s="5">
        <v>1</v>
      </c>
      <c r="E427" s="9">
        <f t="shared" si="177"/>
        <v>18.8</v>
      </c>
      <c r="F427" s="9">
        <f t="shared" si="178"/>
        <v>0.85297845373891013</v>
      </c>
      <c r="G427">
        <v>2.3000000000000012</v>
      </c>
      <c r="H427">
        <v>11.6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18.8</v>
      </c>
      <c r="P427">
        <v>0</v>
      </c>
      <c r="Q427">
        <v>67.300000000000011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69.942679999999996</v>
      </c>
      <c r="AK427" t="s">
        <v>1</v>
      </c>
      <c r="AL427" t="s">
        <v>374</v>
      </c>
      <c r="AQ427" s="1">
        <f t="shared" si="174"/>
        <v>100.00000000000001</v>
      </c>
      <c r="AR427" s="1">
        <f t="shared" si="154"/>
        <v>0.188</v>
      </c>
      <c r="AS427" s="1">
        <f t="shared" si="155"/>
        <v>2.300000000000001E-2</v>
      </c>
      <c r="AT427" s="1">
        <f t="shared" si="156"/>
        <v>0.11599999999999999</v>
      </c>
      <c r="AU427" s="1">
        <f t="shared" si="157"/>
        <v>0.67300000000000015</v>
      </c>
      <c r="AV427" s="1">
        <f t="shared" si="158"/>
        <v>0.6994267999999999</v>
      </c>
      <c r="AX427" s="1">
        <f t="shared" si="159"/>
        <v>4.841726618705037</v>
      </c>
      <c r="AY427" s="1">
        <f t="shared" si="160"/>
        <v>1.3525179856115106</v>
      </c>
      <c r="AZ427" s="1">
        <f t="shared" si="161"/>
        <v>0.80260791366906481</v>
      </c>
      <c r="BA427" s="1">
        <f t="shared" si="162"/>
        <v>1.7104316546762592</v>
      </c>
      <c r="BB427" s="1">
        <f t="shared" si="163"/>
        <v>0.80260791366906481</v>
      </c>
      <c r="BC427" s="1">
        <f t="shared" si="164"/>
        <v>0.80260791366906481</v>
      </c>
      <c r="BD427" s="1">
        <f t="shared" si="165"/>
        <v>0.10318111366906491</v>
      </c>
      <c r="BF427">
        <f t="shared" si="166"/>
        <v>20.800000000000004</v>
      </c>
      <c r="BG427">
        <f t="shared" si="176"/>
        <v>18.8</v>
      </c>
      <c r="BH427" s="1">
        <f t="shared" si="167"/>
        <v>3.2355769230769229</v>
      </c>
      <c r="BI427" s="1">
        <f t="shared" si="168"/>
        <v>0.90384615384615374</v>
      </c>
      <c r="BJ427" s="1">
        <f t="shared" si="169"/>
        <v>0.65147596153846155</v>
      </c>
      <c r="BK427" s="1">
        <f t="shared" si="170"/>
        <v>1.7202596153846155</v>
      </c>
      <c r="BL427" s="1">
        <f t="shared" si="171"/>
        <v>0.65147596153846155</v>
      </c>
      <c r="BM427" s="1">
        <f t="shared" si="172"/>
        <v>0.65147596153846155</v>
      </c>
      <c r="BN427" s="1">
        <f t="shared" si="175"/>
        <v>2.2992829091645463E-3</v>
      </c>
      <c r="BO427" s="1">
        <f t="shared" si="173"/>
        <v>8.5138996894210117E-2</v>
      </c>
    </row>
    <row r="428" spans="1:67" x14ac:dyDescent="0.25">
      <c r="A428" s="3"/>
      <c r="B428" s="3"/>
      <c r="C428" t="s">
        <v>574</v>
      </c>
      <c r="D428" s="5">
        <v>1</v>
      </c>
      <c r="E428" s="9">
        <f t="shared" si="177"/>
        <v>18.8</v>
      </c>
      <c r="F428" s="9">
        <f t="shared" si="178"/>
        <v>0.87859007832898173</v>
      </c>
      <c r="G428">
        <v>4.6000000000000014</v>
      </c>
      <c r="H428">
        <v>9.3000000000000007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18.8</v>
      </c>
      <c r="P428">
        <v>0</v>
      </c>
      <c r="Q428">
        <v>67.300000000000011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66.711519999999993</v>
      </c>
      <c r="AK428" t="s">
        <v>1</v>
      </c>
      <c r="AL428" t="s">
        <v>374</v>
      </c>
      <c r="AQ428" s="1">
        <f t="shared" si="174"/>
        <v>100.00000000000001</v>
      </c>
      <c r="AR428" s="1">
        <f t="shared" si="154"/>
        <v>0.188</v>
      </c>
      <c r="AS428" s="1">
        <f t="shared" si="155"/>
        <v>4.6000000000000013E-2</v>
      </c>
      <c r="AT428" s="1">
        <f t="shared" si="156"/>
        <v>9.3000000000000013E-2</v>
      </c>
      <c r="AU428" s="1">
        <f t="shared" si="157"/>
        <v>0.67300000000000015</v>
      </c>
      <c r="AV428" s="1">
        <f t="shared" si="158"/>
        <v>0.66711519999999991</v>
      </c>
      <c r="AX428" s="1">
        <f t="shared" si="159"/>
        <v>4.841726618705037</v>
      </c>
      <c r="AY428" s="1">
        <f t="shared" si="160"/>
        <v>1.3525179856115106</v>
      </c>
      <c r="AZ428" s="1">
        <f t="shared" si="161"/>
        <v>0.80260791366906481</v>
      </c>
      <c r="BA428" s="1">
        <f t="shared" si="162"/>
        <v>1.7104316546762592</v>
      </c>
      <c r="BB428" s="1">
        <f t="shared" si="163"/>
        <v>0.80260791366906481</v>
      </c>
      <c r="BC428" s="1">
        <f t="shared" si="164"/>
        <v>0.80260791366906481</v>
      </c>
      <c r="BD428" s="1">
        <f t="shared" si="165"/>
        <v>0.1354927136690649</v>
      </c>
      <c r="BF428">
        <f t="shared" si="166"/>
        <v>27.700000000000006</v>
      </c>
      <c r="BG428">
        <f t="shared" si="176"/>
        <v>18.8</v>
      </c>
      <c r="BH428" s="1">
        <f t="shared" si="167"/>
        <v>2.4296028880866425</v>
      </c>
      <c r="BI428" s="1">
        <f t="shared" si="168"/>
        <v>0.6787003610108302</v>
      </c>
      <c r="BJ428" s="1">
        <f t="shared" si="169"/>
        <v>0.6361624548736462</v>
      </c>
      <c r="BK428" s="1">
        <f t="shared" si="170"/>
        <v>1.3156606498194947</v>
      </c>
      <c r="BL428" s="1">
        <f t="shared" si="171"/>
        <v>0.6361624548736462</v>
      </c>
      <c r="BM428" s="1">
        <f t="shared" si="172"/>
        <v>0.6361624548736462</v>
      </c>
      <c r="BN428" s="1">
        <f t="shared" si="175"/>
        <v>9.5807243085701329E-4</v>
      </c>
      <c r="BO428" s="1">
        <f t="shared" si="173"/>
        <v>6.7326899426520759E-2</v>
      </c>
    </row>
    <row r="429" spans="1:67" x14ac:dyDescent="0.25">
      <c r="A429" s="3"/>
      <c r="B429" s="3"/>
      <c r="C429" t="s">
        <v>575</v>
      </c>
      <c r="D429" s="5">
        <v>1</v>
      </c>
      <c r="E429" s="9">
        <f t="shared" si="177"/>
        <v>18.8</v>
      </c>
      <c r="F429" s="9">
        <f t="shared" si="178"/>
        <v>0.90700808625336926</v>
      </c>
      <c r="G429">
        <v>7.0000000000000009</v>
      </c>
      <c r="H429">
        <v>6.9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18.8</v>
      </c>
      <c r="P429">
        <v>0</v>
      </c>
      <c r="Q429">
        <v>67.300000000000011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62.867919999999998</v>
      </c>
      <c r="AK429" t="s">
        <v>1</v>
      </c>
      <c r="AL429" t="s">
        <v>374</v>
      </c>
      <c r="AQ429" s="1">
        <f t="shared" si="174"/>
        <v>100.00000000000001</v>
      </c>
      <c r="AR429" s="1">
        <f t="shared" si="154"/>
        <v>0.188</v>
      </c>
      <c r="AS429" s="1">
        <f t="shared" si="155"/>
        <v>7.0000000000000007E-2</v>
      </c>
      <c r="AT429" s="1">
        <f t="shared" si="156"/>
        <v>6.9000000000000006E-2</v>
      </c>
      <c r="AU429" s="1">
        <f t="shared" si="157"/>
        <v>0.67300000000000015</v>
      </c>
      <c r="AV429" s="1">
        <f t="shared" si="158"/>
        <v>0.62867919999999999</v>
      </c>
      <c r="AX429" s="1">
        <f t="shared" si="159"/>
        <v>4.841726618705037</v>
      </c>
      <c r="AY429" s="1">
        <f t="shared" si="160"/>
        <v>1.3525179856115106</v>
      </c>
      <c r="AZ429" s="1">
        <f t="shared" si="161"/>
        <v>0.80260791366906481</v>
      </c>
      <c r="BA429" s="1">
        <f t="shared" si="162"/>
        <v>1.7104316546762592</v>
      </c>
      <c r="BB429" s="1">
        <f t="shared" si="163"/>
        <v>0.80260791366906481</v>
      </c>
      <c r="BC429" s="1">
        <f t="shared" si="164"/>
        <v>0.80260791366906481</v>
      </c>
      <c r="BD429" s="1">
        <f t="shared" si="165"/>
        <v>0.17392871366906482</v>
      </c>
      <c r="BF429">
        <f t="shared" si="166"/>
        <v>34.900000000000006</v>
      </c>
      <c r="BG429">
        <f t="shared" si="176"/>
        <v>18.8</v>
      </c>
      <c r="BH429" s="1">
        <f t="shared" si="167"/>
        <v>1.9283667621776504</v>
      </c>
      <c r="BI429" s="1">
        <f t="shared" si="168"/>
        <v>0.53868194842406869</v>
      </c>
      <c r="BJ429" s="1">
        <f t="shared" si="169"/>
        <v>0.62663896848137535</v>
      </c>
      <c r="BK429" s="1">
        <f t="shared" si="170"/>
        <v>1.0640401146131806</v>
      </c>
      <c r="BL429" s="1">
        <f t="shared" si="171"/>
        <v>0.53868194842406869</v>
      </c>
      <c r="BM429" s="1">
        <f t="shared" si="172"/>
        <v>0.53868194842406869</v>
      </c>
      <c r="BN429" s="1">
        <f t="shared" si="175"/>
        <v>8.0995052912214687E-3</v>
      </c>
      <c r="BO429" s="1">
        <f t="shared" si="173"/>
        <v>4.8857919048833347E-2</v>
      </c>
    </row>
    <row r="430" spans="1:67" x14ac:dyDescent="0.25">
      <c r="A430" s="3"/>
      <c r="B430" s="3"/>
      <c r="C430" t="s">
        <v>576</v>
      </c>
      <c r="D430" s="5">
        <v>1</v>
      </c>
      <c r="E430" s="9">
        <f t="shared" si="177"/>
        <v>18.8</v>
      </c>
      <c r="F430" s="9">
        <f t="shared" si="178"/>
        <v>0.93602225312934639</v>
      </c>
      <c r="G430">
        <v>9.3000000000000007</v>
      </c>
      <c r="H430">
        <v>4.5999999999999996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18.8</v>
      </c>
      <c r="P430">
        <v>0</v>
      </c>
      <c r="Q430">
        <v>67.300000000000011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58.39076</v>
      </c>
      <c r="AK430" t="s">
        <v>1</v>
      </c>
      <c r="AL430" t="s">
        <v>374</v>
      </c>
      <c r="AQ430" s="1">
        <f t="shared" si="174"/>
        <v>100.00000000000001</v>
      </c>
      <c r="AR430" s="1">
        <f t="shared" si="154"/>
        <v>0.188</v>
      </c>
      <c r="AS430" s="1">
        <f t="shared" si="155"/>
        <v>9.3000000000000013E-2</v>
      </c>
      <c r="AT430" s="1">
        <f t="shared" si="156"/>
        <v>4.5999999999999999E-2</v>
      </c>
      <c r="AU430" s="1">
        <f t="shared" si="157"/>
        <v>0.67300000000000015</v>
      </c>
      <c r="AV430" s="1">
        <f t="shared" si="158"/>
        <v>0.58390759999999997</v>
      </c>
      <c r="AX430" s="1">
        <f t="shared" si="159"/>
        <v>4.841726618705037</v>
      </c>
      <c r="AY430" s="1">
        <f t="shared" si="160"/>
        <v>1.3525179856115106</v>
      </c>
      <c r="AZ430" s="1">
        <f t="shared" si="161"/>
        <v>0.80260791366906481</v>
      </c>
      <c r="BA430" s="1">
        <f t="shared" si="162"/>
        <v>1.7104316546762592</v>
      </c>
      <c r="BB430" s="1">
        <f t="shared" si="163"/>
        <v>0.80260791366906481</v>
      </c>
      <c r="BC430" s="1">
        <f t="shared" si="164"/>
        <v>0.80260791366906481</v>
      </c>
      <c r="BD430" s="1">
        <f t="shared" si="165"/>
        <v>0.21870031366906484</v>
      </c>
      <c r="BF430">
        <f t="shared" si="166"/>
        <v>41.800000000000004</v>
      </c>
      <c r="BG430">
        <f t="shared" si="176"/>
        <v>18.8</v>
      </c>
      <c r="BH430" s="1">
        <f t="shared" si="167"/>
        <v>1.6100478468899522</v>
      </c>
      <c r="BI430" s="1">
        <f t="shared" si="168"/>
        <v>0.44976076555023919</v>
      </c>
      <c r="BJ430" s="1">
        <f t="shared" si="169"/>
        <v>0.62059090909090908</v>
      </c>
      <c r="BK430" s="1">
        <f t="shared" si="170"/>
        <v>0.90424401913875596</v>
      </c>
      <c r="BL430" s="1">
        <f t="shared" si="171"/>
        <v>0.44976076555023919</v>
      </c>
      <c r="BM430" s="1">
        <f t="shared" si="172"/>
        <v>0.44976076555023919</v>
      </c>
      <c r="BN430" s="1">
        <f t="shared" si="175"/>
        <v>1.7995373192891524E-2</v>
      </c>
      <c r="BO430" s="1">
        <f t="shared" si="173"/>
        <v>3.106994074255541E-2</v>
      </c>
    </row>
    <row r="431" spans="1:67" x14ac:dyDescent="0.25">
      <c r="A431" s="3"/>
      <c r="B431" s="3"/>
      <c r="C431" t="s">
        <v>577</v>
      </c>
      <c r="D431" s="5">
        <v>1</v>
      </c>
      <c r="E431" s="9">
        <f t="shared" si="177"/>
        <v>18.8</v>
      </c>
      <c r="F431" s="9">
        <f t="shared" si="178"/>
        <v>0.96695402298850575</v>
      </c>
      <c r="G431">
        <v>11.6</v>
      </c>
      <c r="H431">
        <v>2.2999999999999998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18.8</v>
      </c>
      <c r="P431">
        <v>0</v>
      </c>
      <c r="Q431">
        <v>67.300000000000011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51.316000000000003</v>
      </c>
      <c r="AK431" t="s">
        <v>1</v>
      </c>
      <c r="AL431" t="s">
        <v>374</v>
      </c>
      <c r="AQ431" s="1">
        <f t="shared" si="174"/>
        <v>100.00000000000001</v>
      </c>
      <c r="AR431" s="1">
        <f t="shared" si="154"/>
        <v>0.188</v>
      </c>
      <c r="AS431" s="1">
        <f t="shared" si="155"/>
        <v>0.11599999999999999</v>
      </c>
      <c r="AT431" s="1">
        <f t="shared" si="156"/>
        <v>2.3E-2</v>
      </c>
      <c r="AU431" s="1">
        <f t="shared" si="157"/>
        <v>0.67300000000000015</v>
      </c>
      <c r="AV431" s="1">
        <f t="shared" si="158"/>
        <v>0.51316000000000006</v>
      </c>
      <c r="AX431" s="1">
        <f t="shared" si="159"/>
        <v>4.8417266187050378</v>
      </c>
      <c r="AY431" s="1">
        <f t="shared" si="160"/>
        <v>1.352517985611511</v>
      </c>
      <c r="AZ431" s="1">
        <f t="shared" si="161"/>
        <v>0.80260791366906492</v>
      </c>
      <c r="BA431" s="1">
        <f t="shared" si="162"/>
        <v>1.7104316546762595</v>
      </c>
      <c r="BB431" s="1">
        <f t="shared" si="163"/>
        <v>0.80260791366906492</v>
      </c>
      <c r="BC431" s="1">
        <f t="shared" si="164"/>
        <v>0.80260791366906492</v>
      </c>
      <c r="BD431" s="1">
        <f t="shared" si="165"/>
        <v>0.28944791366906486</v>
      </c>
      <c r="BF431">
        <f t="shared" si="166"/>
        <v>48.699999999999996</v>
      </c>
      <c r="BG431">
        <f t="shared" si="176"/>
        <v>18.8</v>
      </c>
      <c r="BH431" s="1">
        <f t="shared" si="167"/>
        <v>1.3819301848049286</v>
      </c>
      <c r="BI431" s="1">
        <f t="shared" si="168"/>
        <v>0.38603696098562634</v>
      </c>
      <c r="BJ431" s="1">
        <f t="shared" si="169"/>
        <v>0.61625667351129365</v>
      </c>
      <c r="BK431" s="1">
        <f t="shared" si="170"/>
        <v>0.78972895277207411</v>
      </c>
      <c r="BL431" s="1">
        <f t="shared" si="171"/>
        <v>0.38603696098562634</v>
      </c>
      <c r="BM431" s="1">
        <f t="shared" si="172"/>
        <v>0.38603696098562634</v>
      </c>
      <c r="BN431" s="1">
        <f t="shared" si="175"/>
        <v>1.6160267048249983E-2</v>
      </c>
      <c r="BO431" s="1">
        <f t="shared" si="173"/>
        <v>1.113427520501861E-2</v>
      </c>
    </row>
    <row r="432" spans="1:67" x14ac:dyDescent="0.25">
      <c r="A432" s="3"/>
      <c r="B432" s="3"/>
      <c r="C432" t="s">
        <v>198</v>
      </c>
      <c r="D432" s="5">
        <v>1</v>
      </c>
      <c r="E432" s="9">
        <f t="shared" si="177"/>
        <v>27.450000000000003</v>
      </c>
      <c r="F432" s="9">
        <f t="shared" si="178"/>
        <v>0.92419021364576159</v>
      </c>
      <c r="G432">
        <v>0</v>
      </c>
      <c r="H432">
        <v>5.5</v>
      </c>
      <c r="I432">
        <v>11.22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16.23</v>
      </c>
      <c r="P432">
        <v>0</v>
      </c>
      <c r="Q432">
        <v>67.05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64</v>
      </c>
      <c r="AK432" t="s">
        <v>1</v>
      </c>
      <c r="AL432" t="s">
        <v>374</v>
      </c>
      <c r="AO432" t="s">
        <v>378</v>
      </c>
      <c r="AQ432" s="1">
        <f t="shared" si="174"/>
        <v>100</v>
      </c>
      <c r="AR432" s="1">
        <f t="shared" si="154"/>
        <v>0.1623</v>
      </c>
      <c r="AS432" s="1">
        <f t="shared" si="155"/>
        <v>0</v>
      </c>
      <c r="AT432" s="1">
        <f t="shared" si="156"/>
        <v>5.5E-2</v>
      </c>
      <c r="AU432" s="1">
        <f t="shared" si="157"/>
        <v>0.67049999999999998</v>
      </c>
      <c r="AV432" s="1">
        <f t="shared" si="158"/>
        <v>0.64</v>
      </c>
      <c r="AX432" s="1">
        <f t="shared" si="159"/>
        <v>12.190909090909091</v>
      </c>
      <c r="AY432" s="1">
        <f t="shared" si="160"/>
        <v>2.9509090909090907</v>
      </c>
      <c r="AZ432" s="1">
        <f t="shared" si="161"/>
        <v>1.2619318181818182</v>
      </c>
      <c r="BA432" s="1">
        <f t="shared" si="162"/>
        <v>3.5477272727272728</v>
      </c>
      <c r="BB432" s="1">
        <f t="shared" si="163"/>
        <v>1.2619318181818182</v>
      </c>
      <c r="BC432" s="1">
        <f t="shared" si="164"/>
        <v>1</v>
      </c>
      <c r="BD432" s="1">
        <f t="shared" si="165"/>
        <v>0.36</v>
      </c>
      <c r="BF432">
        <f t="shared" si="166"/>
        <v>5.5</v>
      </c>
      <c r="BG432">
        <f t="shared" si="176"/>
        <v>21.84</v>
      </c>
      <c r="BH432" s="1">
        <f t="shared" si="167"/>
        <v>12.19090909090909</v>
      </c>
      <c r="BI432" s="1">
        <f t="shared" si="168"/>
        <v>3.9709090909090907</v>
      </c>
      <c r="BJ432" s="1">
        <f t="shared" si="169"/>
        <v>0.82162727272727265</v>
      </c>
      <c r="BK432" s="1">
        <f t="shared" si="170"/>
        <v>6.2158363636363632</v>
      </c>
      <c r="BL432" s="1">
        <f t="shared" si="171"/>
        <v>0.82162727272727265</v>
      </c>
      <c r="BM432" s="1">
        <f t="shared" si="172"/>
        <v>0.82162727272727265</v>
      </c>
      <c r="BN432" s="1">
        <f t="shared" si="175"/>
        <v>3.2988466198347076E-2</v>
      </c>
      <c r="BO432" s="1">
        <f t="shared" si="173"/>
        <v>5.3990739770447424E-2</v>
      </c>
    </row>
    <row r="433" spans="1:67" x14ac:dyDescent="0.25">
      <c r="A433" s="3"/>
      <c r="B433" s="3"/>
      <c r="C433" t="s">
        <v>199</v>
      </c>
      <c r="D433" s="5">
        <v>1</v>
      </c>
      <c r="E433" s="9">
        <f t="shared" si="177"/>
        <v>28.54</v>
      </c>
      <c r="F433" s="9">
        <f t="shared" si="178"/>
        <v>0.94236270022883295</v>
      </c>
      <c r="G433">
        <v>1.54</v>
      </c>
      <c r="H433">
        <v>4.03</v>
      </c>
      <c r="I433">
        <v>11.69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16.850000000000001</v>
      </c>
      <c r="P433">
        <v>0</v>
      </c>
      <c r="Q433">
        <v>65.89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72</v>
      </c>
      <c r="AK433" t="s">
        <v>1</v>
      </c>
      <c r="AL433" t="s">
        <v>374</v>
      </c>
      <c r="AQ433" s="1">
        <f t="shared" si="174"/>
        <v>100</v>
      </c>
      <c r="AR433" s="1">
        <f t="shared" si="154"/>
        <v>0.16850000000000001</v>
      </c>
      <c r="AS433" s="1">
        <f t="shared" si="155"/>
        <v>1.54E-2</v>
      </c>
      <c r="AT433" s="1">
        <f t="shared" si="156"/>
        <v>4.0300000000000002E-2</v>
      </c>
      <c r="AU433" s="1">
        <f t="shared" si="157"/>
        <v>0.65890000000000004</v>
      </c>
      <c r="AV433" s="1">
        <f t="shared" si="158"/>
        <v>0.72</v>
      </c>
      <c r="AX433" s="1">
        <f t="shared" si="159"/>
        <v>11.829443447037702</v>
      </c>
      <c r="AY433" s="1">
        <f t="shared" si="160"/>
        <v>3.0251346499102336</v>
      </c>
      <c r="AZ433" s="1">
        <f t="shared" si="161"/>
        <v>1.2393402154398565</v>
      </c>
      <c r="BA433" s="1">
        <f t="shared" si="162"/>
        <v>3.4573608617594256</v>
      </c>
      <c r="BB433" s="1">
        <f t="shared" si="163"/>
        <v>1.2393402154398565</v>
      </c>
      <c r="BC433" s="1">
        <f t="shared" si="164"/>
        <v>1</v>
      </c>
      <c r="BD433" s="1">
        <f t="shared" si="165"/>
        <v>0.28000000000000003</v>
      </c>
      <c r="BF433">
        <f t="shared" si="166"/>
        <v>10.190000000000001</v>
      </c>
      <c r="BG433">
        <f t="shared" si="176"/>
        <v>22.695</v>
      </c>
      <c r="BH433" s="1">
        <f t="shared" si="167"/>
        <v>6.4661432777232575</v>
      </c>
      <c r="BI433" s="1">
        <f t="shared" si="168"/>
        <v>2.2271835132482822</v>
      </c>
      <c r="BJ433" s="1">
        <f t="shared" si="169"/>
        <v>0.71285672227674191</v>
      </c>
      <c r="BK433" s="1">
        <f t="shared" si="170"/>
        <v>3.3420039254170755</v>
      </c>
      <c r="BL433" s="1">
        <f t="shared" si="171"/>
        <v>0.71285672227674191</v>
      </c>
      <c r="BM433" s="1">
        <f t="shared" si="172"/>
        <v>0.71285672227674191</v>
      </c>
      <c r="BN433" s="1">
        <f t="shared" si="175"/>
        <v>5.1026416631594969E-5</v>
      </c>
      <c r="BO433" s="1">
        <f t="shared" si="173"/>
        <v>9.7568191782701472E-2</v>
      </c>
    </row>
    <row r="434" spans="1:67" x14ac:dyDescent="0.25">
      <c r="A434" s="3"/>
      <c r="B434" s="3"/>
      <c r="C434" t="s">
        <v>200</v>
      </c>
      <c r="D434" s="5">
        <v>1</v>
      </c>
      <c r="E434" s="9">
        <f t="shared" si="177"/>
        <v>14.23</v>
      </c>
      <c r="F434" s="9">
        <f t="shared" si="178"/>
        <v>0.7896700478022618</v>
      </c>
      <c r="G434">
        <v>0</v>
      </c>
      <c r="H434">
        <v>18.04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14.23</v>
      </c>
      <c r="P434">
        <v>0</v>
      </c>
      <c r="Q434">
        <v>67.73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73</v>
      </c>
      <c r="AK434" t="s">
        <v>1</v>
      </c>
      <c r="AL434" t="s">
        <v>374</v>
      </c>
      <c r="AQ434" s="1">
        <f t="shared" si="174"/>
        <v>100</v>
      </c>
      <c r="AR434" s="1">
        <f t="shared" si="154"/>
        <v>0.14230000000000001</v>
      </c>
      <c r="AS434" s="1">
        <f t="shared" si="155"/>
        <v>0</v>
      </c>
      <c r="AT434" s="1">
        <f t="shared" si="156"/>
        <v>0.1804</v>
      </c>
      <c r="AU434" s="1">
        <f t="shared" si="157"/>
        <v>0.67730000000000001</v>
      </c>
      <c r="AV434" s="1">
        <f t="shared" si="158"/>
        <v>0.73</v>
      </c>
      <c r="AX434" s="1">
        <f t="shared" si="159"/>
        <v>3.7544345898004434</v>
      </c>
      <c r="AY434" s="1">
        <f t="shared" si="160"/>
        <v>0.78880266075388028</v>
      </c>
      <c r="AZ434" s="1">
        <f t="shared" si="161"/>
        <v>0.73465216186252769</v>
      </c>
      <c r="BA434" s="1">
        <f t="shared" si="162"/>
        <v>1.4386086474501107</v>
      </c>
      <c r="BB434" s="1">
        <f t="shared" si="163"/>
        <v>0.73465216186252769</v>
      </c>
      <c r="BC434" s="1">
        <f t="shared" si="164"/>
        <v>0.73465216186252769</v>
      </c>
      <c r="BD434" s="1">
        <f t="shared" si="165"/>
        <v>4.6521618625277039E-3</v>
      </c>
      <c r="BF434">
        <f t="shared" si="166"/>
        <v>18.04</v>
      </c>
      <c r="BG434">
        <f t="shared" si="176"/>
        <v>14.23</v>
      </c>
      <c r="BH434" s="1">
        <f t="shared" si="167"/>
        <v>3.7544345898004439</v>
      </c>
      <c r="BI434" s="1">
        <f t="shared" si="168"/>
        <v>0.78880266075388028</v>
      </c>
      <c r="BJ434" s="1">
        <f t="shared" si="169"/>
        <v>0.66133425720620842</v>
      </c>
      <c r="BK434" s="1">
        <f t="shared" si="170"/>
        <v>1.9807261640798228</v>
      </c>
      <c r="BL434" s="1">
        <f t="shared" si="171"/>
        <v>0.66133425720620842</v>
      </c>
      <c r="BM434" s="1">
        <f t="shared" si="172"/>
        <v>0.66133425720620842</v>
      </c>
      <c r="BN434" s="1">
        <f t="shared" si="175"/>
        <v>4.7149842334231378E-3</v>
      </c>
      <c r="BO434" s="1">
        <f t="shared" si="173"/>
        <v>0.10391537328423324</v>
      </c>
    </row>
    <row r="435" spans="1:67" x14ac:dyDescent="0.25">
      <c r="A435" s="3"/>
      <c r="B435" s="3"/>
      <c r="C435" t="s">
        <v>201</v>
      </c>
      <c r="D435" s="5">
        <v>1</v>
      </c>
      <c r="E435" s="9">
        <f t="shared" si="177"/>
        <v>13.64</v>
      </c>
      <c r="F435" s="9">
        <f t="shared" si="178"/>
        <v>0.78961449592606114</v>
      </c>
      <c r="G435">
        <v>4.13</v>
      </c>
      <c r="H435">
        <v>17.3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13.64</v>
      </c>
      <c r="P435">
        <v>0</v>
      </c>
      <c r="Q435">
        <v>64.930000000000007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52</v>
      </c>
      <c r="AK435" t="s">
        <v>1</v>
      </c>
      <c r="AL435" t="s">
        <v>374</v>
      </c>
      <c r="AQ435" s="1">
        <f t="shared" si="174"/>
        <v>100</v>
      </c>
      <c r="AR435" s="1">
        <f t="shared" si="154"/>
        <v>0.13639999999999999</v>
      </c>
      <c r="AS435" s="1">
        <f t="shared" si="155"/>
        <v>4.1299999999999996E-2</v>
      </c>
      <c r="AT435" s="1">
        <f t="shared" si="156"/>
        <v>0.17300000000000001</v>
      </c>
      <c r="AU435" s="1">
        <f t="shared" si="157"/>
        <v>0.6493000000000001</v>
      </c>
      <c r="AV435" s="1">
        <f t="shared" si="158"/>
        <v>0.52</v>
      </c>
      <c r="AX435" s="1">
        <f t="shared" si="159"/>
        <v>3.0298646756882874</v>
      </c>
      <c r="AY435" s="1">
        <f t="shared" si="160"/>
        <v>0.63649090060662616</v>
      </c>
      <c r="AZ435" s="1">
        <f t="shared" si="161"/>
        <v>0.68936654223051796</v>
      </c>
      <c r="BA435" s="1">
        <f t="shared" si="162"/>
        <v>1.2574661689220719</v>
      </c>
      <c r="BB435" s="1">
        <f t="shared" si="163"/>
        <v>0.63649090060662616</v>
      </c>
      <c r="BC435" s="1">
        <f t="shared" si="164"/>
        <v>0.63649090060662616</v>
      </c>
      <c r="BD435" s="1">
        <f t="shared" si="165"/>
        <v>0.11649090060662615</v>
      </c>
      <c r="BF435">
        <f t="shared" si="166"/>
        <v>33.82</v>
      </c>
      <c r="BG435">
        <f t="shared" si="176"/>
        <v>13.64</v>
      </c>
      <c r="BH435" s="1">
        <f t="shared" si="167"/>
        <v>1.9198698994677708</v>
      </c>
      <c r="BI435" s="1">
        <f t="shared" si="168"/>
        <v>0.40331164991129509</v>
      </c>
      <c r="BJ435" s="1">
        <f t="shared" si="169"/>
        <v>0.62647752808988766</v>
      </c>
      <c r="BK435" s="1">
        <f t="shared" si="170"/>
        <v>1.0597746895328211</v>
      </c>
      <c r="BL435" s="1">
        <f t="shared" si="171"/>
        <v>0.40331164991129509</v>
      </c>
      <c r="BM435" s="1">
        <f t="shared" si="172"/>
        <v>0.40331164991129509</v>
      </c>
      <c r="BN435" s="1">
        <f t="shared" si="175"/>
        <v>1.3616171046424163E-2</v>
      </c>
      <c r="BO435" s="1">
        <f t="shared" si="173"/>
        <v>1.2624561752066324E-2</v>
      </c>
    </row>
    <row r="436" spans="1:67" x14ac:dyDescent="0.25">
      <c r="A436" s="3"/>
      <c r="B436" s="3"/>
      <c r="C436" t="s">
        <v>202</v>
      </c>
      <c r="D436" s="5">
        <v>1</v>
      </c>
      <c r="E436" s="9">
        <f t="shared" si="177"/>
        <v>18.66</v>
      </c>
      <c r="F436" s="9">
        <f t="shared" si="178"/>
        <v>0.78967075532601683</v>
      </c>
      <c r="G436">
        <v>3.89</v>
      </c>
      <c r="H436">
        <v>16.29</v>
      </c>
      <c r="I436">
        <v>5.81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12.85</v>
      </c>
      <c r="P436">
        <v>0</v>
      </c>
      <c r="Q436">
        <v>61.16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51</v>
      </c>
      <c r="AK436" t="s">
        <v>1</v>
      </c>
      <c r="AL436" t="s">
        <v>374</v>
      </c>
      <c r="AQ436" s="1">
        <f t="shared" si="174"/>
        <v>100</v>
      </c>
      <c r="AR436" s="1">
        <f t="shared" si="154"/>
        <v>0.1285</v>
      </c>
      <c r="AS436" s="1">
        <f t="shared" si="155"/>
        <v>3.8900000000000004E-2</v>
      </c>
      <c r="AT436" s="1">
        <f t="shared" si="156"/>
        <v>0.16289999999999999</v>
      </c>
      <c r="AU436" s="1">
        <f t="shared" si="157"/>
        <v>0.61159999999999992</v>
      </c>
      <c r="AV436" s="1">
        <f t="shared" si="158"/>
        <v>0.51</v>
      </c>
      <c r="AX436" s="1">
        <f t="shared" si="159"/>
        <v>3.0307234886025767</v>
      </c>
      <c r="AY436" s="1">
        <f t="shared" si="160"/>
        <v>0.63676907829534202</v>
      </c>
      <c r="AZ436" s="1">
        <f t="shared" si="161"/>
        <v>0.68942021803766107</v>
      </c>
      <c r="BA436" s="1">
        <f t="shared" si="162"/>
        <v>1.2576808721506443</v>
      </c>
      <c r="BB436" s="1">
        <f t="shared" si="163"/>
        <v>0.63676907829534202</v>
      </c>
      <c r="BC436" s="1">
        <f t="shared" si="164"/>
        <v>0.63676907829534202</v>
      </c>
      <c r="BD436" s="1">
        <f t="shared" si="165"/>
        <v>0.12676907829534201</v>
      </c>
      <c r="BF436">
        <f t="shared" si="166"/>
        <v>31.85</v>
      </c>
      <c r="BG436">
        <f t="shared" si="176"/>
        <v>15.754999999999999</v>
      </c>
      <c r="BH436" s="1">
        <f t="shared" si="167"/>
        <v>1.9202511773940343</v>
      </c>
      <c r="BI436" s="1">
        <f t="shared" si="168"/>
        <v>0.49466248037676602</v>
      </c>
      <c r="BJ436" s="1">
        <f t="shared" si="169"/>
        <v>0.62648477237048661</v>
      </c>
      <c r="BK436" s="1">
        <f t="shared" si="170"/>
        <v>1.0599660910518052</v>
      </c>
      <c r="BL436" s="1">
        <f t="shared" si="171"/>
        <v>0.49466248037676602</v>
      </c>
      <c r="BM436" s="1">
        <f t="shared" si="172"/>
        <v>0.49466248037676602</v>
      </c>
      <c r="BN436" s="1">
        <f t="shared" si="175"/>
        <v>2.3523950819308759E-4</v>
      </c>
      <c r="BO436" s="1">
        <f t="shared" si="173"/>
        <v>1.0477380250534563E-2</v>
      </c>
    </row>
    <row r="437" spans="1:67" x14ac:dyDescent="0.25">
      <c r="A437" s="3"/>
      <c r="B437" s="3"/>
      <c r="C437" t="s">
        <v>203</v>
      </c>
      <c r="D437" s="5">
        <v>1</v>
      </c>
      <c r="E437" s="9">
        <f t="shared" si="177"/>
        <v>18.34</v>
      </c>
      <c r="F437" s="9">
        <f t="shared" si="178"/>
        <v>0.78970182582424797</v>
      </c>
      <c r="G437">
        <v>3.82</v>
      </c>
      <c r="H437">
        <v>16.010000000000002</v>
      </c>
      <c r="I437">
        <v>5.71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12.63</v>
      </c>
      <c r="P437">
        <v>0</v>
      </c>
      <c r="Q437">
        <v>60.12</v>
      </c>
      <c r="R437">
        <v>0</v>
      </c>
      <c r="S437">
        <v>0</v>
      </c>
      <c r="T437">
        <v>0</v>
      </c>
      <c r="U437">
        <v>1.71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47</v>
      </c>
      <c r="AK437" t="s">
        <v>1</v>
      </c>
      <c r="AL437" t="s">
        <v>374</v>
      </c>
      <c r="AQ437" s="1">
        <f t="shared" si="174"/>
        <v>99.999999999999986</v>
      </c>
      <c r="AR437" s="1">
        <f t="shared" si="154"/>
        <v>0.1263</v>
      </c>
      <c r="AS437" s="1">
        <f t="shared" si="155"/>
        <v>3.8199999999999998E-2</v>
      </c>
      <c r="AT437" s="1">
        <f t="shared" si="156"/>
        <v>0.16010000000000002</v>
      </c>
      <c r="AU437" s="1">
        <f t="shared" si="157"/>
        <v>0.60119999999999996</v>
      </c>
      <c r="AV437" s="1">
        <f t="shared" si="158"/>
        <v>0.47</v>
      </c>
      <c r="AX437" s="1">
        <f t="shared" si="159"/>
        <v>3.0317700453857785</v>
      </c>
      <c r="AY437" s="1">
        <f t="shared" si="160"/>
        <v>0.63691376701966707</v>
      </c>
      <c r="AZ437" s="1">
        <f t="shared" si="161"/>
        <v>0.68948562783661116</v>
      </c>
      <c r="BA437" s="1">
        <f t="shared" si="162"/>
        <v>1.2579425113464446</v>
      </c>
      <c r="BB437" s="1">
        <f t="shared" si="163"/>
        <v>0.63691376701966707</v>
      </c>
      <c r="BC437" s="1">
        <f t="shared" si="164"/>
        <v>0.63691376701966707</v>
      </c>
      <c r="BD437" s="1">
        <f t="shared" si="165"/>
        <v>0.16691376701966709</v>
      </c>
      <c r="BF437">
        <f t="shared" si="166"/>
        <v>36.42</v>
      </c>
      <c r="BG437">
        <f t="shared" si="176"/>
        <v>15.485000000000001</v>
      </c>
      <c r="BH437" s="1">
        <f t="shared" si="167"/>
        <v>1.6507413509060953</v>
      </c>
      <c r="BI437" s="1">
        <f t="shared" si="168"/>
        <v>0.42517847336628228</v>
      </c>
      <c r="BJ437" s="1">
        <f t="shared" si="169"/>
        <v>0.62136408566721579</v>
      </c>
      <c r="BK437" s="1">
        <f t="shared" si="170"/>
        <v>0.92467215815485981</v>
      </c>
      <c r="BL437" s="1">
        <f t="shared" si="171"/>
        <v>0.42517847336628228</v>
      </c>
      <c r="BM437" s="1">
        <f t="shared" si="172"/>
        <v>0.42517847336628228</v>
      </c>
      <c r="BN437" s="1">
        <f t="shared" si="175"/>
        <v>2.0089692497770643E-3</v>
      </c>
      <c r="BO437" s="1">
        <f t="shared" si="173"/>
        <v>3.8886542444075247E-3</v>
      </c>
    </row>
    <row r="438" spans="1:67" x14ac:dyDescent="0.25">
      <c r="A438" s="3"/>
      <c r="B438" s="3"/>
      <c r="C438" t="s">
        <v>81</v>
      </c>
      <c r="D438" s="5">
        <v>1</v>
      </c>
      <c r="E438" s="9">
        <f t="shared" si="177"/>
        <v>9.4</v>
      </c>
      <c r="F438" s="9">
        <f t="shared" si="178"/>
        <v>0.71964679911699792</v>
      </c>
      <c r="G438">
        <v>0</v>
      </c>
      <c r="H438">
        <v>25.4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9.4</v>
      </c>
      <c r="P438">
        <v>0</v>
      </c>
      <c r="Q438">
        <v>65.2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29.092199999999998</v>
      </c>
      <c r="AK438" t="s">
        <v>1</v>
      </c>
      <c r="AL438" t="s">
        <v>374</v>
      </c>
      <c r="AO438" t="s">
        <v>378</v>
      </c>
      <c r="AQ438" s="1">
        <f t="shared" si="174"/>
        <v>100</v>
      </c>
      <c r="AR438" s="1">
        <f t="shared" si="154"/>
        <v>9.4E-2</v>
      </c>
      <c r="AS438" s="1">
        <f t="shared" si="155"/>
        <v>0</v>
      </c>
      <c r="AT438" s="1">
        <f t="shared" si="156"/>
        <v>0.254</v>
      </c>
      <c r="AU438" s="1">
        <f t="shared" si="157"/>
        <v>0.65200000000000002</v>
      </c>
      <c r="AV438" s="1">
        <f t="shared" si="158"/>
        <v>0.29092199999999996</v>
      </c>
      <c r="AX438" s="1">
        <f t="shared" si="159"/>
        <v>2.5669291338582676</v>
      </c>
      <c r="AY438" s="1">
        <f t="shared" si="160"/>
        <v>0.37007874015748032</v>
      </c>
      <c r="AZ438" s="1">
        <f t="shared" si="161"/>
        <v>0.66043307086614167</v>
      </c>
      <c r="BA438" s="1">
        <f t="shared" si="162"/>
        <v>1.1417322834645669</v>
      </c>
      <c r="BB438" s="1">
        <f t="shared" si="163"/>
        <v>0.37007874015748032</v>
      </c>
      <c r="BC438" s="1">
        <f t="shared" si="164"/>
        <v>0.37007874015748032</v>
      </c>
      <c r="BD438" s="1">
        <f t="shared" si="165"/>
        <v>7.9156740157480365E-2</v>
      </c>
      <c r="BF438">
        <f t="shared" si="166"/>
        <v>25.4</v>
      </c>
      <c r="BG438">
        <f t="shared" si="176"/>
        <v>9.4</v>
      </c>
      <c r="BH438" s="1">
        <f t="shared" si="167"/>
        <v>2.566929133858268</v>
      </c>
      <c r="BI438" s="1">
        <f t="shared" si="168"/>
        <v>0.37007874015748032</v>
      </c>
      <c r="BJ438" s="1">
        <f t="shared" si="169"/>
        <v>0.63877165354330701</v>
      </c>
      <c r="BK438" s="1">
        <f t="shared" si="170"/>
        <v>1.3845984251968506</v>
      </c>
      <c r="BL438" s="1">
        <f t="shared" si="171"/>
        <v>0.37007874015748032</v>
      </c>
      <c r="BM438" s="1">
        <f t="shared" si="172"/>
        <v>0.37007874015748032</v>
      </c>
      <c r="BN438" s="1">
        <f t="shared" si="175"/>
        <v>6.2657895123588644E-3</v>
      </c>
      <c r="BO438" s="1">
        <f t="shared" si="173"/>
        <v>1.3623307435277116E-2</v>
      </c>
    </row>
    <row r="439" spans="1:67" x14ac:dyDescent="0.25">
      <c r="A439" s="3"/>
      <c r="B439" s="3"/>
      <c r="C439" t="s">
        <v>578</v>
      </c>
      <c r="D439" s="5">
        <v>1</v>
      </c>
      <c r="E439" s="9">
        <f t="shared" si="177"/>
        <v>9.3532338308457703</v>
      </c>
      <c r="F439" s="9">
        <f t="shared" si="178"/>
        <v>0.71964679911699769</v>
      </c>
      <c r="G439">
        <v>0.49751243781094528</v>
      </c>
      <c r="H439">
        <v>25.273631840796021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9.3532338308457703</v>
      </c>
      <c r="P439">
        <v>0</v>
      </c>
      <c r="Q439">
        <v>64.875621890547265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25.114730000000002</v>
      </c>
      <c r="AK439" t="s">
        <v>1</v>
      </c>
      <c r="AL439" t="s">
        <v>374</v>
      </c>
      <c r="AQ439" s="1">
        <f t="shared" si="174"/>
        <v>100</v>
      </c>
      <c r="AR439" s="1">
        <f t="shared" si="154"/>
        <v>9.3532338308457696E-2</v>
      </c>
      <c r="AS439" s="1">
        <f t="shared" si="155"/>
        <v>4.9751243781094526E-3</v>
      </c>
      <c r="AT439" s="1">
        <f t="shared" si="156"/>
        <v>0.25273631840796024</v>
      </c>
      <c r="AU439" s="1">
        <f t="shared" si="157"/>
        <v>0.64875621890547264</v>
      </c>
      <c r="AV439" s="1">
        <f t="shared" si="158"/>
        <v>0.25114730000000002</v>
      </c>
      <c r="AX439" s="1">
        <f t="shared" si="159"/>
        <v>2.5173745173745172</v>
      </c>
      <c r="AY439" s="1">
        <f t="shared" si="160"/>
        <v>0.36293436293436288</v>
      </c>
      <c r="AZ439" s="1">
        <f t="shared" si="161"/>
        <v>0.6573359073359073</v>
      </c>
      <c r="BA439" s="1">
        <f t="shared" si="162"/>
        <v>1.1293436293436292</v>
      </c>
      <c r="BB439" s="1">
        <f t="shared" si="163"/>
        <v>0.36293436293436288</v>
      </c>
      <c r="BC439" s="1">
        <f t="shared" si="164"/>
        <v>0.36293436293436288</v>
      </c>
      <c r="BD439" s="1">
        <f t="shared" si="165"/>
        <v>0.11178706293436286</v>
      </c>
      <c r="BF439">
        <f t="shared" si="166"/>
        <v>27.263681592039802</v>
      </c>
      <c r="BG439">
        <f t="shared" si="176"/>
        <v>9.3532338308457703</v>
      </c>
      <c r="BH439" s="1">
        <f t="shared" si="167"/>
        <v>2.3795620437956204</v>
      </c>
      <c r="BI439" s="1">
        <f t="shared" si="168"/>
        <v>0.3430656934306569</v>
      </c>
      <c r="BJ439" s="1">
        <f t="shared" si="169"/>
        <v>0.63521167883211671</v>
      </c>
      <c r="BK439" s="1">
        <f t="shared" si="170"/>
        <v>1.2905401459854016</v>
      </c>
      <c r="BL439" s="1">
        <f t="shared" si="171"/>
        <v>0.3430656934306569</v>
      </c>
      <c r="BM439" s="1">
        <f t="shared" si="172"/>
        <v>0.3430656934306569</v>
      </c>
      <c r="BN439" s="1">
        <f t="shared" si="175"/>
        <v>8.4489910508730275E-3</v>
      </c>
      <c r="BO439" s="1">
        <f t="shared" si="173"/>
        <v>2.4490254641669578E-2</v>
      </c>
    </row>
    <row r="440" spans="1:67" x14ac:dyDescent="0.25">
      <c r="A440" s="3"/>
      <c r="B440" s="3"/>
      <c r="C440" t="s">
        <v>82</v>
      </c>
      <c r="D440" s="5">
        <v>1</v>
      </c>
      <c r="E440" s="9">
        <f t="shared" si="177"/>
        <v>9.3069306930693063</v>
      </c>
      <c r="F440" s="9">
        <f t="shared" si="178"/>
        <v>0.7196467991169978</v>
      </c>
      <c r="G440">
        <v>0.99009900990099009</v>
      </c>
      <c r="H440">
        <v>25.14851485148515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9.3069306930693063</v>
      </c>
      <c r="P440">
        <v>0</v>
      </c>
      <c r="Q440">
        <v>64.554455445544562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25.08371</v>
      </c>
      <c r="AK440" t="s">
        <v>1</v>
      </c>
      <c r="AL440" t="s">
        <v>374</v>
      </c>
      <c r="AQ440" s="1">
        <f t="shared" si="174"/>
        <v>100</v>
      </c>
      <c r="AR440" s="1">
        <f t="shared" si="154"/>
        <v>9.3069306930693069E-2</v>
      </c>
      <c r="AS440" s="1">
        <f t="shared" si="155"/>
        <v>9.9009900990099011E-3</v>
      </c>
      <c r="AT440" s="1">
        <f t="shared" si="156"/>
        <v>0.25148514851485149</v>
      </c>
      <c r="AU440" s="1">
        <f t="shared" si="157"/>
        <v>0.64554455445544567</v>
      </c>
      <c r="AV440" s="1">
        <f t="shared" si="158"/>
        <v>0.25083709999999998</v>
      </c>
      <c r="AX440" s="1">
        <f t="shared" si="159"/>
        <v>2.4696969696969702</v>
      </c>
      <c r="AY440" s="1">
        <f t="shared" si="160"/>
        <v>0.35606060606060602</v>
      </c>
      <c r="AZ440" s="1">
        <f t="shared" si="161"/>
        <v>0.65435606060606066</v>
      </c>
      <c r="BA440" s="1">
        <f t="shared" si="162"/>
        <v>1.1174242424242427</v>
      </c>
      <c r="BB440" s="1">
        <f t="shared" si="163"/>
        <v>0.35606060606060602</v>
      </c>
      <c r="BC440" s="1">
        <f t="shared" si="164"/>
        <v>0.35606060606060602</v>
      </c>
      <c r="BD440" s="1">
        <f t="shared" si="165"/>
        <v>0.10522350606060604</v>
      </c>
      <c r="BF440">
        <f t="shared" si="166"/>
        <v>29.10891089108911</v>
      </c>
      <c r="BG440">
        <f t="shared" si="176"/>
        <v>9.3069306930693063</v>
      </c>
      <c r="BH440" s="1">
        <f t="shared" si="167"/>
        <v>2.2176870748299322</v>
      </c>
      <c r="BI440" s="1">
        <f t="shared" si="168"/>
        <v>0.31972789115646255</v>
      </c>
      <c r="BJ440" s="1">
        <f t="shared" si="169"/>
        <v>0.63213605442176868</v>
      </c>
      <c r="BK440" s="1">
        <f t="shared" si="170"/>
        <v>1.2092789115646261</v>
      </c>
      <c r="BL440" s="1">
        <f t="shared" si="171"/>
        <v>0.31972789115646255</v>
      </c>
      <c r="BM440" s="1">
        <f t="shared" si="172"/>
        <v>0.31972789115646255</v>
      </c>
      <c r="BN440" s="1">
        <f t="shared" si="175"/>
        <v>4.7459411061633421E-3</v>
      </c>
      <c r="BO440" s="1">
        <f t="shared" si="173"/>
        <v>2.4587439510612076E-2</v>
      </c>
    </row>
    <row r="441" spans="1:67" x14ac:dyDescent="0.25">
      <c r="A441" s="3"/>
      <c r="B441" s="3"/>
      <c r="C441" t="s">
        <v>579</v>
      </c>
      <c r="D441" s="5">
        <v>1</v>
      </c>
      <c r="E441" s="9">
        <f t="shared" si="177"/>
        <v>9.2156862745098049</v>
      </c>
      <c r="F441" s="9">
        <f t="shared" si="178"/>
        <v>0.7196467991169978</v>
      </c>
      <c r="G441">
        <v>1.9607843137254899</v>
      </c>
      <c r="H441">
        <v>24.901960784313719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9.2156862745098049</v>
      </c>
      <c r="P441">
        <v>0</v>
      </c>
      <c r="Q441">
        <v>63.921568627450988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22.605550000000001</v>
      </c>
      <c r="AK441" t="s">
        <v>1</v>
      </c>
      <c r="AL441" t="s">
        <v>374</v>
      </c>
      <c r="AQ441" s="1">
        <f t="shared" si="174"/>
        <v>100</v>
      </c>
      <c r="AR441" s="1">
        <f t="shared" si="154"/>
        <v>9.2156862745098045E-2</v>
      </c>
      <c r="AS441" s="1">
        <f t="shared" si="155"/>
        <v>1.9607843137254898E-2</v>
      </c>
      <c r="AT441" s="1">
        <f t="shared" si="156"/>
        <v>0.24901960784313718</v>
      </c>
      <c r="AU441" s="1">
        <f t="shared" si="157"/>
        <v>0.63921568627450986</v>
      </c>
      <c r="AV441" s="1">
        <f t="shared" si="158"/>
        <v>0.22605550000000002</v>
      </c>
      <c r="AX441" s="1">
        <f t="shared" si="159"/>
        <v>2.3795620437956213</v>
      </c>
      <c r="AY441" s="1">
        <f t="shared" si="160"/>
        <v>0.34306569343065701</v>
      </c>
      <c r="AZ441" s="1">
        <f t="shared" si="161"/>
        <v>0.64872262773722633</v>
      </c>
      <c r="BA441" s="1">
        <f t="shared" si="162"/>
        <v>1.0948905109489053</v>
      </c>
      <c r="BB441" s="1">
        <f t="shared" si="163"/>
        <v>0.34306569343065701</v>
      </c>
      <c r="BC441" s="1">
        <f t="shared" si="164"/>
        <v>0.34306569343065701</v>
      </c>
      <c r="BD441" s="1">
        <f t="shared" si="165"/>
        <v>0.11701019343065699</v>
      </c>
      <c r="BF441">
        <f t="shared" si="166"/>
        <v>32.745098039215677</v>
      </c>
      <c r="BG441">
        <f t="shared" si="176"/>
        <v>9.2156862745098049</v>
      </c>
      <c r="BH441" s="1">
        <f t="shared" si="167"/>
        <v>1.9520958083832343</v>
      </c>
      <c r="BI441" s="1">
        <f t="shared" si="168"/>
        <v>0.2814371257485031</v>
      </c>
      <c r="BJ441" s="1">
        <f t="shared" si="169"/>
        <v>0.6270898203592814</v>
      </c>
      <c r="BK441" s="1">
        <f t="shared" si="170"/>
        <v>1.0759520958083837</v>
      </c>
      <c r="BL441" s="1">
        <f t="shared" si="171"/>
        <v>0.2814371257485031</v>
      </c>
      <c r="BM441" s="1">
        <f t="shared" si="172"/>
        <v>0.2814371257485031</v>
      </c>
      <c r="BN441" s="1">
        <f t="shared" si="175"/>
        <v>3.0671244705472596E-3</v>
      </c>
      <c r="BO441" s="1">
        <f t="shared" si="173"/>
        <v>3.2973266544616117E-2</v>
      </c>
    </row>
    <row r="442" spans="1:67" x14ac:dyDescent="0.25">
      <c r="A442" s="3"/>
      <c r="B442" s="3"/>
      <c r="C442" t="s">
        <v>580</v>
      </c>
      <c r="D442" s="6">
        <v>1</v>
      </c>
      <c r="E442" s="1"/>
      <c r="F442" s="1"/>
      <c r="G442">
        <v>2.912621359223301</v>
      </c>
      <c r="H442">
        <v>24.660194174757279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9.1262135922330092</v>
      </c>
      <c r="P442">
        <v>0</v>
      </c>
      <c r="Q442">
        <v>63.300970873786412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20.585799999999999</v>
      </c>
      <c r="AK442" t="s">
        <v>1</v>
      </c>
      <c r="AL442" t="s">
        <v>374</v>
      </c>
      <c r="AQ442" s="1">
        <f t="shared" si="174"/>
        <v>100</v>
      </c>
      <c r="AR442" s="1">
        <f t="shared" si="154"/>
        <v>9.1262135922330095E-2</v>
      </c>
      <c r="AS442" s="1">
        <f t="shared" si="155"/>
        <v>2.9126213592233011E-2</v>
      </c>
      <c r="AT442" s="1">
        <f t="shared" si="156"/>
        <v>0.2466019417475728</v>
      </c>
      <c r="AU442" s="1">
        <f t="shared" si="157"/>
        <v>0.63300970873786411</v>
      </c>
      <c r="AV442" s="1">
        <f t="shared" si="158"/>
        <v>0.20585799999999999</v>
      </c>
      <c r="AX442" s="1">
        <f t="shared" si="159"/>
        <v>2.295774647887324</v>
      </c>
      <c r="AY442" s="1">
        <f t="shared" si="160"/>
        <v>0.33098591549295775</v>
      </c>
      <c r="AZ442" s="1">
        <f t="shared" si="161"/>
        <v>0.64348591549295775</v>
      </c>
      <c r="BA442" s="1">
        <f t="shared" si="162"/>
        <v>1.073943661971831</v>
      </c>
      <c r="BB442" s="1">
        <f t="shared" si="163"/>
        <v>0.33098591549295775</v>
      </c>
      <c r="BC442" s="1">
        <f t="shared" si="164"/>
        <v>0.33098591549295775</v>
      </c>
      <c r="BD442" s="1">
        <f t="shared" si="165"/>
        <v>0.12512791549295776</v>
      </c>
      <c r="BF442">
        <f t="shared" si="166"/>
        <v>36.310679611650485</v>
      </c>
      <c r="BG442">
        <f t="shared" si="176"/>
        <v>9.1262135922330092</v>
      </c>
      <c r="BH442" s="1">
        <f t="shared" si="167"/>
        <v>1.7433155080213905</v>
      </c>
      <c r="BI442" s="1">
        <f t="shared" si="168"/>
        <v>0.25133689839572193</v>
      </c>
      <c r="BJ442" s="1">
        <f t="shared" si="169"/>
        <v>0.62312299465240639</v>
      </c>
      <c r="BK442" s="1">
        <f t="shared" si="170"/>
        <v>0.97114438502673794</v>
      </c>
      <c r="BL442" s="1">
        <f t="shared" si="171"/>
        <v>0.25133689839572193</v>
      </c>
      <c r="BM442" s="1">
        <f t="shared" si="172"/>
        <v>0.25133689839572193</v>
      </c>
      <c r="BN442" s="1">
        <f t="shared" si="175"/>
        <v>2.0683301992884002E-3</v>
      </c>
      <c r="BO442" s="1">
        <f t="shared" si="173"/>
        <v>4.0716348790647366E-2</v>
      </c>
    </row>
    <row r="443" spans="1:67" x14ac:dyDescent="0.25">
      <c r="A443" s="3"/>
      <c r="B443" s="3"/>
      <c r="C443" t="s">
        <v>205</v>
      </c>
      <c r="D443" s="5">
        <v>1</v>
      </c>
      <c r="E443" s="9">
        <f t="shared" ref="E443:E506" si="179">I443+L443+M443+N443+O443+V443+X443+AB443+AD443</f>
        <v>40</v>
      </c>
      <c r="F443" s="9">
        <f t="shared" ref="F443:F506" si="180">Q443/(H443+P443+Q443+AC443)</f>
        <v>0.5</v>
      </c>
      <c r="G443">
        <v>0</v>
      </c>
      <c r="H443">
        <v>30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40</v>
      </c>
      <c r="P443">
        <v>0</v>
      </c>
      <c r="Q443">
        <v>30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41</v>
      </c>
      <c r="AK443" t="s">
        <v>1</v>
      </c>
      <c r="AL443" t="s">
        <v>372</v>
      </c>
      <c r="AO443" t="s">
        <v>378</v>
      </c>
      <c r="AQ443" s="1">
        <f t="shared" si="174"/>
        <v>100</v>
      </c>
      <c r="AR443" s="1">
        <f t="shared" si="154"/>
        <v>0.4</v>
      </c>
      <c r="AS443" s="1">
        <f t="shared" si="155"/>
        <v>0</v>
      </c>
      <c r="AT443" s="1">
        <f t="shared" si="156"/>
        <v>0.3</v>
      </c>
      <c r="AU443" s="1">
        <f t="shared" si="157"/>
        <v>0.3</v>
      </c>
      <c r="AV443" s="1">
        <f t="shared" si="158"/>
        <v>0.41</v>
      </c>
      <c r="AX443" s="1">
        <f t="shared" si="159"/>
        <v>1</v>
      </c>
      <c r="AY443" s="1">
        <f t="shared" si="160"/>
        <v>1.3333333333333335</v>
      </c>
      <c r="AZ443" s="1">
        <f t="shared" si="161"/>
        <v>0.5625</v>
      </c>
      <c r="BA443" s="1">
        <f t="shared" si="162"/>
        <v>0.75</v>
      </c>
      <c r="BB443" s="1">
        <f t="shared" si="163"/>
        <v>0.41666666666666663</v>
      </c>
      <c r="BC443" s="1">
        <f t="shared" si="164"/>
        <v>0.41666666666666663</v>
      </c>
      <c r="BD443" s="1">
        <f t="shared" si="165"/>
        <v>6.6666666666666541E-3</v>
      </c>
      <c r="BF443">
        <f t="shared" si="166"/>
        <v>30</v>
      </c>
      <c r="BG443">
        <f t="shared" si="176"/>
        <v>40</v>
      </c>
      <c r="BH443" s="1">
        <f t="shared" si="167"/>
        <v>1</v>
      </c>
      <c r="BI443" s="1">
        <f t="shared" si="168"/>
        <v>1.3333333333333333</v>
      </c>
      <c r="BJ443" s="1">
        <f t="shared" si="169"/>
        <v>0.60899999999999999</v>
      </c>
      <c r="BK443" s="1">
        <f t="shared" si="170"/>
        <v>0.59799999999999998</v>
      </c>
      <c r="BL443" s="1">
        <f t="shared" si="171"/>
        <v>0.42516666666666669</v>
      </c>
      <c r="BM443" s="1">
        <f t="shared" si="172"/>
        <v>0.42516666666666669</v>
      </c>
      <c r="BN443" s="1">
        <f t="shared" si="175"/>
        <v>2.300277777777793E-4</v>
      </c>
      <c r="BO443" s="1">
        <f t="shared" si="173"/>
        <v>5.5652352169781633E-6</v>
      </c>
    </row>
    <row r="444" spans="1:67" x14ac:dyDescent="0.25">
      <c r="A444" s="3"/>
      <c r="B444" s="3"/>
      <c r="C444" t="s">
        <v>206</v>
      </c>
      <c r="D444" s="5">
        <v>1</v>
      </c>
      <c r="E444" s="9">
        <f t="shared" si="179"/>
        <v>38.5</v>
      </c>
      <c r="F444" s="9">
        <f t="shared" si="180"/>
        <v>0.5</v>
      </c>
      <c r="G444">
        <v>1.5</v>
      </c>
      <c r="H444">
        <v>30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38.5</v>
      </c>
      <c r="P444">
        <v>0</v>
      </c>
      <c r="Q444">
        <v>30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43</v>
      </c>
      <c r="AK444" t="s">
        <v>1</v>
      </c>
      <c r="AL444" t="s">
        <v>372</v>
      </c>
      <c r="AQ444" s="1">
        <f t="shared" si="174"/>
        <v>100</v>
      </c>
      <c r="AR444" s="1">
        <f t="shared" si="154"/>
        <v>0.38500000000000001</v>
      </c>
      <c r="AS444" s="1">
        <f t="shared" si="155"/>
        <v>1.4999999999999999E-2</v>
      </c>
      <c r="AT444" s="1">
        <f t="shared" si="156"/>
        <v>0.3</v>
      </c>
      <c r="AU444" s="1">
        <f t="shared" si="157"/>
        <v>0.3</v>
      </c>
      <c r="AV444" s="1">
        <f t="shared" si="158"/>
        <v>0.43</v>
      </c>
      <c r="AX444" s="1">
        <f t="shared" si="159"/>
        <v>0.95238095238095233</v>
      </c>
      <c r="AY444" s="1">
        <f t="shared" si="160"/>
        <v>1.2222222222222223</v>
      </c>
      <c r="AZ444" s="1">
        <f t="shared" si="161"/>
        <v>0.55952380952380953</v>
      </c>
      <c r="BA444" s="1">
        <f t="shared" si="162"/>
        <v>0.73809523809523814</v>
      </c>
      <c r="BB444" s="1">
        <f t="shared" si="163"/>
        <v>0.43719064686806619</v>
      </c>
      <c r="BC444" s="1">
        <f t="shared" si="164"/>
        <v>0.43719064686806619</v>
      </c>
      <c r="BD444" s="1">
        <f t="shared" si="165"/>
        <v>7.1906468680661972E-3</v>
      </c>
      <c r="BF444">
        <f t="shared" si="166"/>
        <v>36</v>
      </c>
      <c r="BG444">
        <f t="shared" si="176"/>
        <v>38.5</v>
      </c>
      <c r="BH444" s="1">
        <f t="shared" si="167"/>
        <v>0.83333333333333337</v>
      </c>
      <c r="BI444" s="1">
        <f t="shared" si="168"/>
        <v>1.0694444444444444</v>
      </c>
      <c r="BJ444" s="1">
        <f t="shared" si="169"/>
        <v>0.60583333333333333</v>
      </c>
      <c r="BK444" s="1">
        <f t="shared" si="170"/>
        <v>0.51433333333333331</v>
      </c>
      <c r="BL444" s="1">
        <f t="shared" si="171"/>
        <v>0.46161328976034854</v>
      </c>
      <c r="BM444" s="1">
        <f t="shared" si="172"/>
        <v>0.46161328976034854</v>
      </c>
      <c r="BN444" s="1">
        <f t="shared" si="175"/>
        <v>9.9940008947175846E-4</v>
      </c>
      <c r="BO444" s="1">
        <f t="shared" si="173"/>
        <v>4.9992823828049458E-4</v>
      </c>
    </row>
    <row r="445" spans="1:67" x14ac:dyDescent="0.25">
      <c r="A445" s="3"/>
      <c r="B445" s="3"/>
      <c r="C445" t="s">
        <v>207</v>
      </c>
      <c r="D445" s="5">
        <v>1</v>
      </c>
      <c r="E445" s="9">
        <f t="shared" si="179"/>
        <v>35</v>
      </c>
      <c r="F445" s="9">
        <f t="shared" si="180"/>
        <v>0.5</v>
      </c>
      <c r="G445">
        <v>5</v>
      </c>
      <c r="H445">
        <v>30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35</v>
      </c>
      <c r="P445">
        <v>0</v>
      </c>
      <c r="Q445">
        <v>30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54</v>
      </c>
      <c r="AK445" t="s">
        <v>1</v>
      </c>
      <c r="AL445" t="s">
        <v>372</v>
      </c>
      <c r="AQ445" s="1">
        <f t="shared" si="174"/>
        <v>100</v>
      </c>
      <c r="AR445" s="1">
        <f t="shared" si="154"/>
        <v>0.35</v>
      </c>
      <c r="AS445" s="1">
        <f t="shared" si="155"/>
        <v>0.05</v>
      </c>
      <c r="AT445" s="1">
        <f t="shared" si="156"/>
        <v>0.3</v>
      </c>
      <c r="AU445" s="1">
        <f t="shared" si="157"/>
        <v>0.3</v>
      </c>
      <c r="AV445" s="1">
        <f t="shared" si="158"/>
        <v>0.54</v>
      </c>
      <c r="AX445" s="1">
        <f t="shared" si="159"/>
        <v>0.85714285714285721</v>
      </c>
      <c r="AY445" s="1">
        <f t="shared" si="160"/>
        <v>1</v>
      </c>
      <c r="AZ445" s="1">
        <f t="shared" si="161"/>
        <v>0.5535714285714286</v>
      </c>
      <c r="BA445" s="1">
        <f t="shared" si="162"/>
        <v>0.7142857142857143</v>
      </c>
      <c r="BB445" s="1">
        <f t="shared" si="163"/>
        <v>0.47976190476190478</v>
      </c>
      <c r="BC445" s="1">
        <f t="shared" si="164"/>
        <v>0.47976190476190478</v>
      </c>
      <c r="BD445" s="1">
        <f t="shared" si="165"/>
        <v>6.0238095238095257E-2</v>
      </c>
      <c r="BF445">
        <f t="shared" si="166"/>
        <v>50</v>
      </c>
      <c r="BG445">
        <f t="shared" si="176"/>
        <v>35</v>
      </c>
      <c r="BH445" s="1">
        <f t="shared" si="167"/>
        <v>0.6</v>
      </c>
      <c r="BI445" s="1">
        <f t="shared" si="168"/>
        <v>0.7</v>
      </c>
      <c r="BJ445" s="1">
        <f t="shared" si="169"/>
        <v>0.60139999999999993</v>
      </c>
      <c r="BK445" s="1">
        <f t="shared" si="170"/>
        <v>0.3972</v>
      </c>
      <c r="BL445" s="1">
        <f t="shared" si="171"/>
        <v>0.51793589743589741</v>
      </c>
      <c r="BM445" s="1">
        <f t="shared" si="172"/>
        <v>0.51793589743589741</v>
      </c>
      <c r="BN445" s="1">
        <f t="shared" si="175"/>
        <v>4.8682462195924015E-4</v>
      </c>
      <c r="BO445" s="1">
        <f t="shared" si="173"/>
        <v>1.7518924755129846E-2</v>
      </c>
    </row>
    <row r="446" spans="1:67" x14ac:dyDescent="0.25">
      <c r="A446" s="3"/>
      <c r="B446" s="3"/>
      <c r="C446" t="s">
        <v>208</v>
      </c>
      <c r="D446" s="5">
        <v>1</v>
      </c>
      <c r="E446" s="9">
        <f t="shared" si="179"/>
        <v>30</v>
      </c>
      <c r="F446" s="9">
        <f t="shared" si="180"/>
        <v>0.5</v>
      </c>
      <c r="G446">
        <v>10</v>
      </c>
      <c r="H446">
        <v>30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30</v>
      </c>
      <c r="P446">
        <v>0</v>
      </c>
      <c r="Q446">
        <v>30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37</v>
      </c>
      <c r="AK446" t="s">
        <v>1</v>
      </c>
      <c r="AL446" t="s">
        <v>372</v>
      </c>
      <c r="AQ446" s="1">
        <f t="shared" si="174"/>
        <v>100</v>
      </c>
      <c r="AR446" s="1">
        <f t="shared" si="154"/>
        <v>0.3</v>
      </c>
      <c r="AS446" s="1">
        <f t="shared" si="155"/>
        <v>0.1</v>
      </c>
      <c r="AT446" s="1">
        <f t="shared" si="156"/>
        <v>0.3</v>
      </c>
      <c r="AU446" s="1">
        <f t="shared" si="157"/>
        <v>0.3</v>
      </c>
      <c r="AV446" s="1">
        <f t="shared" si="158"/>
        <v>0.37</v>
      </c>
      <c r="AX446" s="1">
        <f t="shared" si="159"/>
        <v>0.74999999999999989</v>
      </c>
      <c r="AY446" s="1">
        <f t="shared" si="160"/>
        <v>0.74999999999999989</v>
      </c>
      <c r="AZ446" s="1">
        <f t="shared" si="161"/>
        <v>0.546875</v>
      </c>
      <c r="BA446" s="1">
        <f t="shared" si="162"/>
        <v>0.6875</v>
      </c>
      <c r="BB446" s="1">
        <f t="shared" si="163"/>
        <v>0.53030303030303028</v>
      </c>
      <c r="BC446" s="1">
        <f t="shared" si="164"/>
        <v>0.53030303030303028</v>
      </c>
      <c r="BD446" s="1">
        <f t="shared" si="165"/>
        <v>0.16030303030303028</v>
      </c>
      <c r="BF446">
        <f t="shared" si="166"/>
        <v>70</v>
      </c>
      <c r="BG446">
        <f t="shared" si="176"/>
        <v>30</v>
      </c>
      <c r="BH446" s="1">
        <f t="shared" si="167"/>
        <v>0.42857142857142855</v>
      </c>
      <c r="BI446" s="1">
        <f t="shared" si="168"/>
        <v>0.42857142857142855</v>
      </c>
      <c r="BJ446" s="1">
        <f t="shared" si="169"/>
        <v>0.59814285714285709</v>
      </c>
      <c r="BK446" s="1">
        <f t="shared" si="170"/>
        <v>0.31114285714285717</v>
      </c>
      <c r="BL446" s="1">
        <f t="shared" si="171"/>
        <v>0.42857142857142855</v>
      </c>
      <c r="BM446" s="1">
        <f t="shared" si="172"/>
        <v>0.42857142857142855</v>
      </c>
      <c r="BN446" s="1">
        <f t="shared" si="175"/>
        <v>3.4306122448979569E-3</v>
      </c>
      <c r="BO446" s="1">
        <f t="shared" si="173"/>
        <v>1.4168392290899454E-3</v>
      </c>
    </row>
    <row r="447" spans="1:67" x14ac:dyDescent="0.25">
      <c r="A447" s="3"/>
      <c r="B447" s="3"/>
      <c r="C447" t="s">
        <v>209</v>
      </c>
      <c r="D447" s="5">
        <v>1</v>
      </c>
      <c r="E447" s="9">
        <f t="shared" si="179"/>
        <v>25</v>
      </c>
      <c r="F447" s="9">
        <f t="shared" si="180"/>
        <v>0.5</v>
      </c>
      <c r="G447">
        <v>15</v>
      </c>
      <c r="H447">
        <v>30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25</v>
      </c>
      <c r="P447">
        <v>0</v>
      </c>
      <c r="Q447">
        <v>30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17</v>
      </c>
      <c r="AK447" t="s">
        <v>1</v>
      </c>
      <c r="AL447" t="s">
        <v>372</v>
      </c>
      <c r="AQ447" s="1">
        <f t="shared" si="174"/>
        <v>100</v>
      </c>
      <c r="AR447" s="1">
        <f t="shared" si="154"/>
        <v>0.25</v>
      </c>
      <c r="AS447" s="1">
        <f t="shared" si="155"/>
        <v>0.15</v>
      </c>
      <c r="AT447" s="1">
        <f t="shared" si="156"/>
        <v>0.3</v>
      </c>
      <c r="AU447" s="1">
        <f t="shared" si="157"/>
        <v>0.3</v>
      </c>
      <c r="AV447" s="1">
        <f t="shared" si="158"/>
        <v>0.17</v>
      </c>
      <c r="AX447" s="1">
        <f t="shared" si="159"/>
        <v>0.66666666666666674</v>
      </c>
      <c r="AY447" s="1">
        <f t="shared" si="160"/>
        <v>0.55555555555555558</v>
      </c>
      <c r="AZ447" s="1">
        <f t="shared" si="161"/>
        <v>0.54166666666666663</v>
      </c>
      <c r="BA447" s="1">
        <f t="shared" si="162"/>
        <v>0.66666666666666674</v>
      </c>
      <c r="BB447" s="1">
        <f t="shared" si="163"/>
        <v>0.54166666666666663</v>
      </c>
      <c r="BC447" s="1">
        <f t="shared" si="164"/>
        <v>0.54166666666666663</v>
      </c>
      <c r="BD447" s="1">
        <f t="shared" si="165"/>
        <v>0.37166666666666659</v>
      </c>
      <c r="BF447">
        <f t="shared" si="166"/>
        <v>90</v>
      </c>
      <c r="BG447">
        <f t="shared" si="176"/>
        <v>25</v>
      </c>
      <c r="BH447" s="1">
        <f t="shared" si="167"/>
        <v>0.33333333333333331</v>
      </c>
      <c r="BI447" s="1">
        <f t="shared" si="168"/>
        <v>0.27777777777777779</v>
      </c>
      <c r="BJ447" s="1">
        <f t="shared" si="169"/>
        <v>0.59633333333333327</v>
      </c>
      <c r="BK447" s="1">
        <f t="shared" si="170"/>
        <v>0.26333333333333331</v>
      </c>
      <c r="BL447" s="1">
        <f t="shared" si="171"/>
        <v>0.27777777777777779</v>
      </c>
      <c r="BM447" s="1">
        <f t="shared" si="172"/>
        <v>0.27777777777777779</v>
      </c>
      <c r="BN447" s="1">
        <f t="shared" si="175"/>
        <v>1.161604938271605E-2</v>
      </c>
      <c r="BO447" s="1">
        <f t="shared" si="173"/>
        <v>5.647320919845477E-2</v>
      </c>
    </row>
    <row r="448" spans="1:67" x14ac:dyDescent="0.25">
      <c r="A448" s="3"/>
      <c r="B448" s="3"/>
      <c r="C448" t="s">
        <v>210</v>
      </c>
      <c r="D448" s="5">
        <v>1</v>
      </c>
      <c r="E448" s="9">
        <f t="shared" si="179"/>
        <v>20</v>
      </c>
      <c r="F448" s="9">
        <f t="shared" si="180"/>
        <v>0.5</v>
      </c>
      <c r="G448">
        <v>20</v>
      </c>
      <c r="H448">
        <v>30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20</v>
      </c>
      <c r="P448">
        <v>0</v>
      </c>
      <c r="Q448">
        <v>30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s">
        <v>1</v>
      </c>
      <c r="AL448" t="s">
        <v>372</v>
      </c>
      <c r="AQ448" s="1">
        <f t="shared" si="174"/>
        <v>100</v>
      </c>
      <c r="AR448" s="1">
        <f t="shared" si="154"/>
        <v>0.2</v>
      </c>
      <c r="AS448" s="1">
        <f t="shared" si="155"/>
        <v>0.2</v>
      </c>
      <c r="AT448" s="1">
        <f t="shared" si="156"/>
        <v>0.3</v>
      </c>
      <c r="AU448" s="1">
        <f t="shared" si="157"/>
        <v>0.3</v>
      </c>
      <c r="AV448" s="1">
        <f t="shared" si="158"/>
        <v>0</v>
      </c>
      <c r="AX448" s="1">
        <f t="shared" si="159"/>
        <v>0.6</v>
      </c>
      <c r="AY448" s="1">
        <f t="shared" si="160"/>
        <v>0.4</v>
      </c>
      <c r="AZ448" s="1">
        <f t="shared" si="161"/>
        <v>0.53749999999999998</v>
      </c>
      <c r="BA448" s="1">
        <f t="shared" si="162"/>
        <v>0.65</v>
      </c>
      <c r="BB448" s="1">
        <f t="shared" si="163"/>
        <v>0.4</v>
      </c>
      <c r="BC448" s="1">
        <f t="shared" si="164"/>
        <v>0.4</v>
      </c>
      <c r="BD448" s="1">
        <f t="shared" si="165"/>
        <v>0.4</v>
      </c>
      <c r="BF448">
        <f t="shared" si="166"/>
        <v>110</v>
      </c>
      <c r="BG448">
        <f t="shared" si="176"/>
        <v>20</v>
      </c>
      <c r="BH448" s="1">
        <f t="shared" si="167"/>
        <v>0.27272727272727271</v>
      </c>
      <c r="BI448" s="1">
        <f t="shared" si="168"/>
        <v>0.18181818181818182</v>
      </c>
      <c r="BJ448" s="1">
        <f t="shared" si="169"/>
        <v>0.59518181818181815</v>
      </c>
      <c r="BK448" s="1">
        <f t="shared" si="170"/>
        <v>0.2329090909090909</v>
      </c>
      <c r="BL448" s="1">
        <f t="shared" si="171"/>
        <v>0.18181818181818182</v>
      </c>
      <c r="BM448" s="1">
        <f t="shared" si="172"/>
        <v>0.18181818181818182</v>
      </c>
      <c r="BN448" s="1">
        <f t="shared" si="175"/>
        <v>3.3057851239669422E-2</v>
      </c>
      <c r="BO448" s="1">
        <f t="shared" si="173"/>
        <v>0.16617112367241488</v>
      </c>
    </row>
    <row r="449" spans="1:67" x14ac:dyDescent="0.25">
      <c r="A449" s="3"/>
      <c r="B449" s="3"/>
      <c r="C449" t="s">
        <v>211</v>
      </c>
      <c r="D449" s="5">
        <v>1</v>
      </c>
      <c r="E449" s="9">
        <f t="shared" si="179"/>
        <v>15</v>
      </c>
      <c r="F449" s="9">
        <f t="shared" si="180"/>
        <v>0.5</v>
      </c>
      <c r="G449">
        <v>25</v>
      </c>
      <c r="H449">
        <v>30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</v>
      </c>
      <c r="P449">
        <v>0</v>
      </c>
      <c r="Q449">
        <v>30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s">
        <v>1</v>
      </c>
      <c r="AL449" t="s">
        <v>372</v>
      </c>
      <c r="AQ449" s="1">
        <f t="shared" si="174"/>
        <v>100</v>
      </c>
      <c r="AR449" s="1">
        <f t="shared" si="154"/>
        <v>0.15</v>
      </c>
      <c r="AS449" s="1">
        <f t="shared" si="155"/>
        <v>0.25</v>
      </c>
      <c r="AT449" s="1">
        <f t="shared" si="156"/>
        <v>0.3</v>
      </c>
      <c r="AU449" s="1">
        <f t="shared" si="157"/>
        <v>0.3</v>
      </c>
      <c r="AV449" s="1">
        <f t="shared" si="158"/>
        <v>0</v>
      </c>
      <c r="AX449" s="1">
        <f t="shared" si="159"/>
        <v>0.54545454545454541</v>
      </c>
      <c r="AY449" s="1">
        <f t="shared" si="160"/>
        <v>0.27272727272727271</v>
      </c>
      <c r="AZ449" s="1">
        <f t="shared" si="161"/>
        <v>0.53409090909090906</v>
      </c>
      <c r="BA449" s="1">
        <f t="shared" si="162"/>
        <v>0.63636363636363635</v>
      </c>
      <c r="BB449" s="1">
        <f t="shared" si="163"/>
        <v>0.27272727272727271</v>
      </c>
      <c r="BC449" s="1">
        <f t="shared" si="164"/>
        <v>0.27272727272727271</v>
      </c>
      <c r="BD449" s="1">
        <f t="shared" si="165"/>
        <v>0.27272727272727271</v>
      </c>
      <c r="BF449">
        <f t="shared" si="166"/>
        <v>130</v>
      </c>
      <c r="BG449">
        <f t="shared" si="176"/>
        <v>15</v>
      </c>
      <c r="BH449" s="1">
        <f t="shared" si="167"/>
        <v>0.23076923076923078</v>
      </c>
      <c r="BI449" s="1">
        <f t="shared" si="168"/>
        <v>0.11538461538461539</v>
      </c>
      <c r="BJ449" s="1">
        <f t="shared" si="169"/>
        <v>0.5943846153846154</v>
      </c>
      <c r="BK449" s="1">
        <f t="shared" si="170"/>
        <v>0.21184615384615385</v>
      </c>
      <c r="BL449" s="1">
        <f t="shared" si="171"/>
        <v>0.11538461538461539</v>
      </c>
      <c r="BM449" s="1">
        <f t="shared" si="172"/>
        <v>0.11538461538461539</v>
      </c>
      <c r="BN449" s="1">
        <f t="shared" si="175"/>
        <v>1.3313609467455623E-2</v>
      </c>
      <c r="BO449" s="1">
        <f t="shared" si="173"/>
        <v>0.16617112367241488</v>
      </c>
    </row>
    <row r="450" spans="1:67" x14ac:dyDescent="0.25">
      <c r="A450" s="3"/>
      <c r="B450" s="3"/>
      <c r="C450" t="s">
        <v>212</v>
      </c>
      <c r="D450" s="5">
        <v>1</v>
      </c>
      <c r="E450" s="9">
        <f t="shared" si="179"/>
        <v>7</v>
      </c>
      <c r="F450" s="9">
        <f t="shared" si="180"/>
        <v>0.34146341463414637</v>
      </c>
      <c r="G450">
        <v>11</v>
      </c>
      <c r="H450">
        <v>54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7</v>
      </c>
      <c r="P450">
        <v>0</v>
      </c>
      <c r="Q450">
        <v>28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s">
        <v>1</v>
      </c>
      <c r="AL450" t="s">
        <v>372</v>
      </c>
      <c r="AQ450" s="1">
        <f t="shared" si="174"/>
        <v>100</v>
      </c>
      <c r="AR450" s="1">
        <f t="shared" ref="AR450:AR513" si="181">(L450+M450+O450+X450)/100</f>
        <v>7.0000000000000007E-2</v>
      </c>
      <c r="AS450" s="1">
        <f t="shared" ref="AS450:AS513" si="182">G450/100</f>
        <v>0.11</v>
      </c>
      <c r="AT450" s="1">
        <f t="shared" ref="AT450:AT513" si="183">H450/100</f>
        <v>0.54</v>
      </c>
      <c r="AU450" s="1">
        <f t="shared" ref="AU450:AU513" si="184">Q450/100</f>
        <v>0.28000000000000003</v>
      </c>
      <c r="AV450" s="1">
        <f t="shared" ref="AV450:AV513" si="185">AJ450/100</f>
        <v>0</v>
      </c>
      <c r="AX450" s="1">
        <f t="shared" ref="AX450:AX513" si="186">AU450/(AT450+AS450)</f>
        <v>0.43076923076923079</v>
      </c>
      <c r="AY450" s="1">
        <f t="shared" ref="AY450:AY513" si="187">AR450/(AS450+AT450)</f>
        <v>0.1076923076923077</v>
      </c>
      <c r="AZ450" s="1">
        <f t="shared" ref="AZ450:AZ513" si="188">0.5+AX450/16</f>
        <v>0.52692307692307694</v>
      </c>
      <c r="BA450" s="1">
        <f t="shared" ref="BA450:BA513" si="189">0.5+AX450/4</f>
        <v>0.60769230769230775</v>
      </c>
      <c r="BB450" s="1">
        <f t="shared" ref="BB450:BB513" si="190">IF(AY450&lt;=AZ450,AY450,IF(AY450&lt;=BA450,AZ450,AZ450-(AY450-BA450)*(8+AX450)/(12*(2+AX450))))</f>
        <v>0.1076923076923077</v>
      </c>
      <c r="BC450" s="1">
        <f t="shared" ref="BC450:BC513" si="191">IF(BB450&lt;1,BB450,1)</f>
        <v>0.1076923076923077</v>
      </c>
      <c r="BD450" s="1">
        <f t="shared" ref="BD450:BD513" si="192">ABS(BC450-AV450)</f>
        <v>0.1076923076923077</v>
      </c>
      <c r="BF450">
        <f t="shared" ref="BF450:BF513" si="193">$BR$3*H450+$BR$4*G450+$BR$5*P450+$BR$6*K450+$BR$7*S450+$BR$8*U450+$BR$9*Y450+$BR$10*J450+$BR$11*AC450+$BR$12*AG450+$BR$13*AH450+$BR$14*R450+$BR$15*AE450</f>
        <v>98</v>
      </c>
      <c r="BG450">
        <f t="shared" si="176"/>
        <v>7</v>
      </c>
      <c r="BH450" s="1">
        <f t="shared" ref="BH450:BH513" si="194">(Q450)/BF450</f>
        <v>0.2857142857142857</v>
      </c>
      <c r="BI450" s="1">
        <f t="shared" ref="BI450:BI513" si="195">BG450/BF450</f>
        <v>7.1428571428571425E-2</v>
      </c>
      <c r="BJ450" s="1">
        <f t="shared" ref="BJ450:BJ513" si="196">$BR$32+BH450*$BR$33</f>
        <v>0.59542857142857142</v>
      </c>
      <c r="BK450" s="1">
        <f t="shared" ref="BK450:BK513" si="197">$BR$34+BH450*$BR$35</f>
        <v>0.23942857142857144</v>
      </c>
      <c r="BL450" s="1">
        <f t="shared" ref="BL450:BL513" si="198">IF(BI450&lt;=BJ450,BI450,IF(BI450&lt;=BK450,BJ450,BJ450-(BI450-BK450)*(8+BH450)/(12*(2+BH450))))</f>
        <v>7.1428571428571425E-2</v>
      </c>
      <c r="BM450" s="1">
        <f t="shared" ref="BM450:BM513" si="199">IF(BL450&lt;1,IF(BL450&gt;0,BL450,0),1)</f>
        <v>7.1428571428571425E-2</v>
      </c>
      <c r="BN450" s="1">
        <f t="shared" si="175"/>
        <v>5.1020408163265302E-3</v>
      </c>
      <c r="BO450" s="1">
        <f t="shared" ref="BO450:BO513" si="200">(AV450-AVERAGE($AV$2:$AV$638))^2</f>
        <v>0.16617112367241488</v>
      </c>
    </row>
    <row r="451" spans="1:67" x14ac:dyDescent="0.25">
      <c r="A451" s="3"/>
      <c r="B451" s="3"/>
      <c r="C451" t="s">
        <v>213</v>
      </c>
      <c r="D451" s="5">
        <v>1</v>
      </c>
      <c r="E451" s="9">
        <f t="shared" si="179"/>
        <v>10</v>
      </c>
      <c r="F451" s="9">
        <f t="shared" si="180"/>
        <v>6.5789473684210523E-2</v>
      </c>
      <c r="G451">
        <v>14</v>
      </c>
      <c r="H451">
        <v>71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0</v>
      </c>
      <c r="Q451">
        <v>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4</v>
      </c>
      <c r="AK451" t="s">
        <v>1</v>
      </c>
      <c r="AL451" t="s">
        <v>372</v>
      </c>
      <c r="AQ451" s="1">
        <f t="shared" ref="AQ451:AQ514" si="201">SUM(G451:AI451)</f>
        <v>100</v>
      </c>
      <c r="AR451" s="1">
        <f t="shared" si="181"/>
        <v>0.1</v>
      </c>
      <c r="AS451" s="1">
        <f t="shared" si="182"/>
        <v>0.14000000000000001</v>
      </c>
      <c r="AT451" s="1">
        <f t="shared" si="183"/>
        <v>0.71</v>
      </c>
      <c r="AU451" s="1">
        <f t="shared" si="184"/>
        <v>0.05</v>
      </c>
      <c r="AV451" s="1">
        <f t="shared" si="185"/>
        <v>0.04</v>
      </c>
      <c r="AX451" s="1">
        <f t="shared" si="186"/>
        <v>5.8823529411764712E-2</v>
      </c>
      <c r="AY451" s="1">
        <f t="shared" si="187"/>
        <v>0.11764705882352942</v>
      </c>
      <c r="AZ451" s="1">
        <f t="shared" si="188"/>
        <v>0.50367647058823528</v>
      </c>
      <c r="BA451" s="1">
        <f t="shared" si="189"/>
        <v>0.51470588235294112</v>
      </c>
      <c r="BB451" s="1">
        <f t="shared" si="190"/>
        <v>0.11764705882352942</v>
      </c>
      <c r="BC451" s="1">
        <f t="shared" si="191"/>
        <v>0.11764705882352942</v>
      </c>
      <c r="BD451" s="1">
        <f t="shared" si="192"/>
        <v>7.764705882352943E-2</v>
      </c>
      <c r="BF451">
        <f t="shared" si="193"/>
        <v>127</v>
      </c>
      <c r="BG451">
        <f t="shared" si="176"/>
        <v>10</v>
      </c>
      <c r="BH451" s="1">
        <f t="shared" si="194"/>
        <v>3.937007874015748E-2</v>
      </c>
      <c r="BI451" s="1">
        <f t="shared" si="195"/>
        <v>7.874015748031496E-2</v>
      </c>
      <c r="BJ451" s="1">
        <f t="shared" si="196"/>
        <v>0.59074803149606292</v>
      </c>
      <c r="BK451" s="1">
        <f t="shared" si="197"/>
        <v>0.11576377952755906</v>
      </c>
      <c r="BL451" s="1">
        <f t="shared" si="198"/>
        <v>7.874015748031496E-2</v>
      </c>
      <c r="BM451" s="1">
        <f t="shared" si="199"/>
        <v>7.874015748031496E-2</v>
      </c>
      <c r="BN451" s="1">
        <f t="shared" ref="BN451:BN514" si="202">(BM451-AV451)^2</f>
        <v>1.500799801599603E-3</v>
      </c>
      <c r="BO451" s="1">
        <f t="shared" si="200"/>
        <v>0.13515984967854194</v>
      </c>
    </row>
    <row r="452" spans="1:67" x14ac:dyDescent="0.25">
      <c r="A452" s="3"/>
      <c r="B452" s="3"/>
      <c r="C452" t="s">
        <v>214</v>
      </c>
      <c r="D452" s="5">
        <v>1</v>
      </c>
      <c r="E452" s="9">
        <f t="shared" si="179"/>
        <v>12.2</v>
      </c>
      <c r="F452" s="9">
        <f t="shared" si="180"/>
        <v>0.67995444191343957</v>
      </c>
      <c r="G452">
        <v>0</v>
      </c>
      <c r="H452">
        <v>28.1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12.2</v>
      </c>
      <c r="P452">
        <v>0</v>
      </c>
      <c r="Q452">
        <v>59.7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34</v>
      </c>
      <c r="AK452" t="s">
        <v>1</v>
      </c>
      <c r="AL452" t="s">
        <v>374</v>
      </c>
      <c r="AN452" t="s">
        <v>373</v>
      </c>
      <c r="AO452" t="s">
        <v>378</v>
      </c>
      <c r="AQ452" s="1">
        <f t="shared" si="201"/>
        <v>100</v>
      </c>
      <c r="AR452" s="1">
        <f t="shared" si="181"/>
        <v>0.122</v>
      </c>
      <c r="AS452" s="1">
        <f t="shared" si="182"/>
        <v>0</v>
      </c>
      <c r="AT452" s="1">
        <f t="shared" si="183"/>
        <v>0.28100000000000003</v>
      </c>
      <c r="AU452" s="1">
        <f t="shared" si="184"/>
        <v>0.59699999999999998</v>
      </c>
      <c r="AV452" s="1">
        <f t="shared" si="185"/>
        <v>0.34</v>
      </c>
      <c r="AX452" s="1">
        <f t="shared" si="186"/>
        <v>2.1245551601423482</v>
      </c>
      <c r="AY452" s="1">
        <f t="shared" si="187"/>
        <v>0.43416370106761559</v>
      </c>
      <c r="AZ452" s="1">
        <f t="shared" si="188"/>
        <v>0.63278469750889677</v>
      </c>
      <c r="BA452" s="1">
        <f t="shared" si="189"/>
        <v>1.0311387900355871</v>
      </c>
      <c r="BB452" s="1">
        <f t="shared" si="190"/>
        <v>0.43416370106761559</v>
      </c>
      <c r="BC452" s="1">
        <f t="shared" si="191"/>
        <v>0.43416370106761559</v>
      </c>
      <c r="BD452" s="1">
        <f t="shared" si="192"/>
        <v>9.4163701067615568E-2</v>
      </c>
      <c r="BF452">
        <f t="shared" si="193"/>
        <v>28.1</v>
      </c>
      <c r="BG452">
        <f t="shared" si="176"/>
        <v>12.2</v>
      </c>
      <c r="BH452" s="1">
        <f t="shared" si="194"/>
        <v>2.1245551601423487</v>
      </c>
      <c r="BI452" s="1">
        <f t="shared" si="195"/>
        <v>0.43416370106761559</v>
      </c>
      <c r="BJ452" s="1">
        <f t="shared" si="196"/>
        <v>0.63036654804270464</v>
      </c>
      <c r="BK452" s="1">
        <f t="shared" si="197"/>
        <v>1.1625266903914591</v>
      </c>
      <c r="BL452" s="1">
        <f t="shared" si="198"/>
        <v>0.43416370106761559</v>
      </c>
      <c r="BM452" s="1">
        <f t="shared" si="199"/>
        <v>0.43416370106761559</v>
      </c>
      <c r="BN452" s="1">
        <f t="shared" si="202"/>
        <v>8.8668025987512656E-3</v>
      </c>
      <c r="BO452" s="1">
        <f t="shared" si="200"/>
        <v>4.5752947244946671E-3</v>
      </c>
    </row>
    <row r="453" spans="1:67" x14ac:dyDescent="0.25">
      <c r="A453" s="3"/>
      <c r="B453" s="3"/>
      <c r="C453" t="s">
        <v>215</v>
      </c>
      <c r="D453" s="5">
        <v>1</v>
      </c>
      <c r="E453" s="9">
        <f t="shared" si="179"/>
        <v>15.2</v>
      </c>
      <c r="F453" s="9">
        <f t="shared" si="180"/>
        <v>0.68004722550177099</v>
      </c>
      <c r="G453">
        <v>0</v>
      </c>
      <c r="H453">
        <v>27.1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15.2</v>
      </c>
      <c r="P453">
        <v>0</v>
      </c>
      <c r="Q453">
        <v>57.6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48</v>
      </c>
      <c r="AK453" t="s">
        <v>1</v>
      </c>
      <c r="AL453" t="s">
        <v>374</v>
      </c>
      <c r="AQ453" s="1">
        <f t="shared" si="201"/>
        <v>99.9</v>
      </c>
      <c r="AR453" s="1">
        <f t="shared" si="181"/>
        <v>0.152</v>
      </c>
      <c r="AS453" s="1">
        <f t="shared" si="182"/>
        <v>0</v>
      </c>
      <c r="AT453" s="1">
        <f t="shared" si="183"/>
        <v>0.27100000000000002</v>
      </c>
      <c r="AU453" s="1">
        <f t="shared" si="184"/>
        <v>0.57600000000000007</v>
      </c>
      <c r="AV453" s="1">
        <f t="shared" si="185"/>
        <v>0.48</v>
      </c>
      <c r="AX453" s="1">
        <f t="shared" si="186"/>
        <v>2.1254612546125462</v>
      </c>
      <c r="AY453" s="1">
        <f t="shared" si="187"/>
        <v>0.56088560885608851</v>
      </c>
      <c r="AZ453" s="1">
        <f t="shared" si="188"/>
        <v>0.63284132841328411</v>
      </c>
      <c r="BA453" s="1">
        <f t="shared" si="189"/>
        <v>1.0313653136531364</v>
      </c>
      <c r="BB453" s="1">
        <f t="shared" si="190"/>
        <v>0.56088560885608851</v>
      </c>
      <c r="BC453" s="1">
        <f t="shared" si="191"/>
        <v>0.56088560885608851</v>
      </c>
      <c r="BD453" s="1">
        <f t="shared" si="192"/>
        <v>8.0885608856088531E-2</v>
      </c>
      <c r="BF453">
        <f t="shared" si="193"/>
        <v>27.1</v>
      </c>
      <c r="BG453">
        <f t="shared" ref="BG453:BG516" si="203">O453+$BR$17*M453+$BR$18*L453+$BR$19*X453+$BR$20*AD453+$BR$21*I453+$BR$22*N453+$BR$23*AB453+$BR$24*V453+$BR$25*T453+$BR$26*AA453+$BR$28*Z453+$BR$29*AF453+$BR$30*W453+$BR$27*AI453</f>
        <v>15.2</v>
      </c>
      <c r="BH453" s="1">
        <f t="shared" si="194"/>
        <v>2.1254612546125462</v>
      </c>
      <c r="BI453" s="1">
        <f t="shared" si="195"/>
        <v>0.56088560885608851</v>
      </c>
      <c r="BJ453" s="1">
        <f t="shared" si="196"/>
        <v>0.63038376383763839</v>
      </c>
      <c r="BK453" s="1">
        <f t="shared" si="197"/>
        <v>1.1629815498154983</v>
      </c>
      <c r="BL453" s="1">
        <f t="shared" si="198"/>
        <v>0.56088560885608851</v>
      </c>
      <c r="BM453" s="1">
        <f t="shared" si="199"/>
        <v>0.56088560885608851</v>
      </c>
      <c r="BN453" s="1">
        <f t="shared" si="202"/>
        <v>6.5424817200201478E-3</v>
      </c>
      <c r="BO453" s="1">
        <f t="shared" si="200"/>
        <v>5.2358357459392837E-3</v>
      </c>
    </row>
    <row r="454" spans="1:67" x14ac:dyDescent="0.25">
      <c r="A454" s="3"/>
      <c r="B454" s="3"/>
      <c r="C454" t="s">
        <v>216</v>
      </c>
      <c r="D454" s="5">
        <v>1</v>
      </c>
      <c r="E454" s="9">
        <f t="shared" si="179"/>
        <v>20.3</v>
      </c>
      <c r="F454" s="9">
        <f t="shared" si="180"/>
        <v>0.68005018820577168</v>
      </c>
      <c r="G454">
        <v>0</v>
      </c>
      <c r="H454">
        <v>25.5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20.3</v>
      </c>
      <c r="P454">
        <v>0</v>
      </c>
      <c r="Q454">
        <v>54.2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54</v>
      </c>
      <c r="AK454" t="s">
        <v>1</v>
      </c>
      <c r="AL454" t="s">
        <v>374</v>
      </c>
      <c r="AQ454" s="1">
        <f t="shared" si="201"/>
        <v>100</v>
      </c>
      <c r="AR454" s="1">
        <f t="shared" si="181"/>
        <v>0.20300000000000001</v>
      </c>
      <c r="AS454" s="1">
        <f t="shared" si="182"/>
        <v>0</v>
      </c>
      <c r="AT454" s="1">
        <f t="shared" si="183"/>
        <v>0.255</v>
      </c>
      <c r="AU454" s="1">
        <f t="shared" si="184"/>
        <v>0.54200000000000004</v>
      </c>
      <c r="AV454" s="1">
        <f t="shared" si="185"/>
        <v>0.54</v>
      </c>
      <c r="AX454" s="1">
        <f t="shared" si="186"/>
        <v>2.1254901960784314</v>
      </c>
      <c r="AY454" s="1">
        <f t="shared" si="187"/>
        <v>0.79607843137254908</v>
      </c>
      <c r="AZ454" s="1">
        <f t="shared" si="188"/>
        <v>0.63284313725490193</v>
      </c>
      <c r="BA454" s="1">
        <f t="shared" si="189"/>
        <v>1.0313725490196077</v>
      </c>
      <c r="BB454" s="1">
        <f t="shared" si="190"/>
        <v>0.63284313725490193</v>
      </c>
      <c r="BC454" s="1">
        <f t="shared" si="191"/>
        <v>0.63284313725490193</v>
      </c>
      <c r="BD454" s="1">
        <f t="shared" si="192"/>
        <v>9.2843137254901897E-2</v>
      </c>
      <c r="BF454">
        <f t="shared" si="193"/>
        <v>25.5</v>
      </c>
      <c r="BG454">
        <f t="shared" si="203"/>
        <v>20.3</v>
      </c>
      <c r="BH454" s="1">
        <f t="shared" si="194"/>
        <v>2.1254901960784314</v>
      </c>
      <c r="BI454" s="1">
        <f t="shared" si="195"/>
        <v>0.79607843137254908</v>
      </c>
      <c r="BJ454" s="1">
        <f t="shared" si="196"/>
        <v>0.6303843137254902</v>
      </c>
      <c r="BK454" s="1">
        <f t="shared" si="197"/>
        <v>1.1629960784313726</v>
      </c>
      <c r="BL454" s="1">
        <f t="shared" si="198"/>
        <v>0.6303843137254902</v>
      </c>
      <c r="BM454" s="1">
        <f t="shared" si="199"/>
        <v>0.6303843137254902</v>
      </c>
      <c r="BN454" s="1">
        <f t="shared" si="202"/>
        <v>8.1693241676278287E-3</v>
      </c>
      <c r="BO454" s="1">
        <f t="shared" si="200"/>
        <v>1.7518924755129846E-2</v>
      </c>
    </row>
    <row r="455" spans="1:67" x14ac:dyDescent="0.25">
      <c r="A455" s="3"/>
      <c r="B455" s="3"/>
      <c r="C455" t="s">
        <v>217</v>
      </c>
      <c r="D455" s="5">
        <v>1</v>
      </c>
      <c r="E455" s="9">
        <f t="shared" si="179"/>
        <v>25.3</v>
      </c>
      <c r="F455" s="9">
        <f t="shared" si="180"/>
        <v>0.68005354752342706</v>
      </c>
      <c r="G455">
        <v>0</v>
      </c>
      <c r="H455">
        <v>23.9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25.3</v>
      </c>
      <c r="P455">
        <v>0</v>
      </c>
      <c r="Q455">
        <v>50.8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61</v>
      </c>
      <c r="AK455" t="s">
        <v>1</v>
      </c>
      <c r="AL455" t="s">
        <v>374</v>
      </c>
      <c r="AQ455" s="1">
        <f t="shared" si="201"/>
        <v>100</v>
      </c>
      <c r="AR455" s="1">
        <f t="shared" si="181"/>
        <v>0.253</v>
      </c>
      <c r="AS455" s="1">
        <f t="shared" si="182"/>
        <v>0</v>
      </c>
      <c r="AT455" s="1">
        <f t="shared" si="183"/>
        <v>0.23899999999999999</v>
      </c>
      <c r="AU455" s="1">
        <f t="shared" si="184"/>
        <v>0.50800000000000001</v>
      </c>
      <c r="AV455" s="1">
        <f t="shared" si="185"/>
        <v>0.61</v>
      </c>
      <c r="AX455" s="1">
        <f t="shared" si="186"/>
        <v>2.1255230125523012</v>
      </c>
      <c r="AY455" s="1">
        <f t="shared" si="187"/>
        <v>1.0585774058577406</v>
      </c>
      <c r="AZ455" s="1">
        <f t="shared" si="188"/>
        <v>0.63284518828451886</v>
      </c>
      <c r="BA455" s="1">
        <f t="shared" si="189"/>
        <v>1.0313807531380754</v>
      </c>
      <c r="BB455" s="1">
        <f t="shared" si="190"/>
        <v>0.62728265451325538</v>
      </c>
      <c r="BC455" s="1">
        <f t="shared" si="191"/>
        <v>0.62728265451325538</v>
      </c>
      <c r="BD455" s="1">
        <f t="shared" si="192"/>
        <v>1.7282654513255391E-2</v>
      </c>
      <c r="BF455">
        <f t="shared" si="193"/>
        <v>23.9</v>
      </c>
      <c r="BG455">
        <f t="shared" si="203"/>
        <v>25.3</v>
      </c>
      <c r="BH455" s="1">
        <f t="shared" si="194"/>
        <v>2.1255230125523012</v>
      </c>
      <c r="BI455" s="1">
        <f t="shared" si="195"/>
        <v>1.0585774058577406</v>
      </c>
      <c r="BJ455" s="1">
        <f t="shared" si="196"/>
        <v>0.63038493723849365</v>
      </c>
      <c r="BK455" s="1">
        <f t="shared" si="197"/>
        <v>1.1630125523012553</v>
      </c>
      <c r="BL455" s="1">
        <f t="shared" si="198"/>
        <v>0.63038493723849365</v>
      </c>
      <c r="BM455" s="1">
        <f t="shared" si="199"/>
        <v>0.63038493723849365</v>
      </c>
      <c r="BN455" s="1">
        <f t="shared" si="202"/>
        <v>4.1554566621732558E-4</v>
      </c>
      <c r="BO455" s="1">
        <f t="shared" si="200"/>
        <v>4.094919526585214E-2</v>
      </c>
    </row>
    <row r="456" spans="1:67" x14ac:dyDescent="0.25">
      <c r="A456" s="3"/>
      <c r="B456" s="3"/>
      <c r="C456" t="s">
        <v>218</v>
      </c>
      <c r="D456" s="5">
        <v>1</v>
      </c>
      <c r="E456" s="9">
        <f t="shared" si="179"/>
        <v>30.4</v>
      </c>
      <c r="F456" s="9">
        <f t="shared" si="180"/>
        <v>0.6795977011494253</v>
      </c>
      <c r="G456">
        <v>0</v>
      </c>
      <c r="H456">
        <v>22.3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30.4</v>
      </c>
      <c r="P456">
        <v>0</v>
      </c>
      <c r="Q456">
        <v>47.3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57</v>
      </c>
      <c r="AK456" t="s">
        <v>1</v>
      </c>
      <c r="AL456" t="s">
        <v>374</v>
      </c>
      <c r="AQ456" s="1">
        <f t="shared" si="201"/>
        <v>100</v>
      </c>
      <c r="AR456" s="1">
        <f t="shared" si="181"/>
        <v>0.30399999999999999</v>
      </c>
      <c r="AS456" s="1">
        <f t="shared" si="182"/>
        <v>0</v>
      </c>
      <c r="AT456" s="1">
        <f t="shared" si="183"/>
        <v>0.223</v>
      </c>
      <c r="AU456" s="1">
        <f t="shared" si="184"/>
        <v>0.47299999999999998</v>
      </c>
      <c r="AV456" s="1">
        <f t="shared" si="185"/>
        <v>0.56999999999999995</v>
      </c>
      <c r="AX456" s="1">
        <f t="shared" si="186"/>
        <v>2.1210762331838562</v>
      </c>
      <c r="AY456" s="1">
        <f t="shared" si="187"/>
        <v>1.3632286995515694</v>
      </c>
      <c r="AZ456" s="1">
        <f t="shared" si="188"/>
        <v>0.63256726457399104</v>
      </c>
      <c r="BA456" s="1">
        <f t="shared" si="189"/>
        <v>1.0302690582959642</v>
      </c>
      <c r="BB456" s="1">
        <f t="shared" si="190"/>
        <v>0.56442345696482332</v>
      </c>
      <c r="BC456" s="1">
        <f t="shared" si="191"/>
        <v>0.56442345696482332</v>
      </c>
      <c r="BD456" s="1">
        <f t="shared" si="192"/>
        <v>5.5765430351766287E-3</v>
      </c>
      <c r="BF456">
        <f t="shared" si="193"/>
        <v>22.3</v>
      </c>
      <c r="BG456">
        <f t="shared" si="203"/>
        <v>30.4</v>
      </c>
      <c r="BH456" s="1">
        <f t="shared" si="194"/>
        <v>2.1210762331838562</v>
      </c>
      <c r="BI456" s="1">
        <f t="shared" si="195"/>
        <v>1.3632286995515694</v>
      </c>
      <c r="BJ456" s="1">
        <f t="shared" si="196"/>
        <v>0.63030044843049327</v>
      </c>
      <c r="BK456" s="1">
        <f t="shared" si="197"/>
        <v>1.1607802690582958</v>
      </c>
      <c r="BL456" s="1">
        <f t="shared" si="198"/>
        <v>0.58886717788068199</v>
      </c>
      <c r="BM456" s="1">
        <f t="shared" si="199"/>
        <v>0.58886717788068199</v>
      </c>
      <c r="BN456" s="1">
        <f t="shared" si="202"/>
        <v>3.5597040118129765E-4</v>
      </c>
      <c r="BO456" s="1">
        <f t="shared" si="200"/>
        <v>2.6360469259725097E-2</v>
      </c>
    </row>
    <row r="457" spans="1:67" x14ac:dyDescent="0.25">
      <c r="A457" s="3"/>
      <c r="B457" s="3"/>
      <c r="C457" t="s">
        <v>219</v>
      </c>
      <c r="D457" s="5">
        <v>1</v>
      </c>
      <c r="E457" s="9">
        <f t="shared" si="179"/>
        <v>35.4</v>
      </c>
      <c r="F457" s="9">
        <f t="shared" si="180"/>
        <v>0.68062015503875972</v>
      </c>
      <c r="G457">
        <v>0</v>
      </c>
      <c r="H457">
        <v>20.6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35.4</v>
      </c>
      <c r="P457">
        <v>0</v>
      </c>
      <c r="Q457">
        <v>43.9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49</v>
      </c>
      <c r="AK457" t="s">
        <v>1</v>
      </c>
      <c r="AL457" t="s">
        <v>374</v>
      </c>
      <c r="AQ457" s="1">
        <f t="shared" si="201"/>
        <v>99.9</v>
      </c>
      <c r="AR457" s="1">
        <f t="shared" si="181"/>
        <v>0.35399999999999998</v>
      </c>
      <c r="AS457" s="1">
        <f t="shared" si="182"/>
        <v>0</v>
      </c>
      <c r="AT457" s="1">
        <f t="shared" si="183"/>
        <v>0.20600000000000002</v>
      </c>
      <c r="AU457" s="1">
        <f t="shared" si="184"/>
        <v>0.439</v>
      </c>
      <c r="AV457" s="1">
        <f t="shared" si="185"/>
        <v>0.49</v>
      </c>
      <c r="AX457" s="1">
        <f t="shared" si="186"/>
        <v>2.1310679611650483</v>
      </c>
      <c r="AY457" s="1">
        <f t="shared" si="187"/>
        <v>1.7184466019417473</v>
      </c>
      <c r="AZ457" s="1">
        <f t="shared" si="188"/>
        <v>0.63319174757281549</v>
      </c>
      <c r="BA457" s="1">
        <f t="shared" si="189"/>
        <v>1.032766990291262</v>
      </c>
      <c r="BB457" s="1">
        <f t="shared" si="190"/>
        <v>0.49306118064032789</v>
      </c>
      <c r="BC457" s="1">
        <f t="shared" si="191"/>
        <v>0.49306118064032789</v>
      </c>
      <c r="BD457" s="1">
        <f t="shared" si="192"/>
        <v>3.0611806403278985E-3</v>
      </c>
      <c r="BF457">
        <f t="shared" si="193"/>
        <v>20.6</v>
      </c>
      <c r="BG457">
        <f t="shared" si="203"/>
        <v>35.4</v>
      </c>
      <c r="BH457" s="1">
        <f t="shared" si="194"/>
        <v>2.1310679611650483</v>
      </c>
      <c r="BI457" s="1">
        <f t="shared" si="195"/>
        <v>1.7184466019417475</v>
      </c>
      <c r="BJ457" s="1">
        <f t="shared" si="196"/>
        <v>0.63049029126213585</v>
      </c>
      <c r="BK457" s="1">
        <f t="shared" si="197"/>
        <v>1.1657961165048543</v>
      </c>
      <c r="BL457" s="1">
        <f t="shared" si="198"/>
        <v>0.51754654242676601</v>
      </c>
      <c r="BM457" s="1">
        <f t="shared" si="199"/>
        <v>0.51754654242676601</v>
      </c>
      <c r="BN457" s="1">
        <f t="shared" si="202"/>
        <v>7.5881199966962027E-4</v>
      </c>
      <c r="BO457" s="1">
        <f t="shared" si="200"/>
        <v>6.7830172474710433E-3</v>
      </c>
    </row>
    <row r="458" spans="1:67" x14ac:dyDescent="0.25">
      <c r="A458" s="3"/>
      <c r="B458" s="3"/>
      <c r="C458" t="s">
        <v>220</v>
      </c>
      <c r="D458" s="5">
        <v>1</v>
      </c>
      <c r="E458" s="9">
        <f t="shared" si="179"/>
        <v>4</v>
      </c>
      <c r="F458" s="9">
        <f t="shared" si="180"/>
        <v>0.87737843551797046</v>
      </c>
      <c r="G458">
        <v>1.4</v>
      </c>
      <c r="H458">
        <v>11.6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4</v>
      </c>
      <c r="P458">
        <v>0</v>
      </c>
      <c r="Q458">
        <v>83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26</v>
      </c>
      <c r="AK458" t="s">
        <v>1</v>
      </c>
      <c r="AL458" t="s">
        <v>374</v>
      </c>
      <c r="AM458" t="s">
        <v>377</v>
      </c>
      <c r="AQ458" s="1">
        <f t="shared" si="201"/>
        <v>100</v>
      </c>
      <c r="AR458" s="1">
        <f t="shared" si="181"/>
        <v>0.04</v>
      </c>
      <c r="AS458" s="1">
        <f t="shared" si="182"/>
        <v>1.3999999999999999E-2</v>
      </c>
      <c r="AT458" s="1">
        <f t="shared" si="183"/>
        <v>0.11599999999999999</v>
      </c>
      <c r="AU458" s="1">
        <f t="shared" si="184"/>
        <v>0.83</v>
      </c>
      <c r="AV458" s="1">
        <f t="shared" si="185"/>
        <v>0.26</v>
      </c>
      <c r="AX458" s="1">
        <f t="shared" si="186"/>
        <v>6.3846153846153841</v>
      </c>
      <c r="AY458" s="1">
        <f t="shared" si="187"/>
        <v>0.30769230769230771</v>
      </c>
      <c r="AZ458" s="1">
        <f t="shared" si="188"/>
        <v>0.89903846153846145</v>
      </c>
      <c r="BA458" s="1">
        <f t="shared" si="189"/>
        <v>2.0961538461538458</v>
      </c>
      <c r="BB458" s="1">
        <f t="shared" si="190"/>
        <v>0.30769230769230771</v>
      </c>
      <c r="BC458" s="1">
        <f t="shared" si="191"/>
        <v>0.30769230769230771</v>
      </c>
      <c r="BD458" s="1">
        <f t="shared" si="192"/>
        <v>4.7692307692307701E-2</v>
      </c>
      <c r="BF458">
        <f t="shared" si="193"/>
        <v>17.2</v>
      </c>
      <c r="BG458">
        <f t="shared" si="203"/>
        <v>4</v>
      </c>
      <c r="BH458" s="1">
        <f t="shared" si="194"/>
        <v>4.8255813953488378</v>
      </c>
      <c r="BI458" s="1">
        <f t="shared" si="195"/>
        <v>0.23255813953488372</v>
      </c>
      <c r="BJ458" s="1">
        <f t="shared" si="196"/>
        <v>0.6816860465116279</v>
      </c>
      <c r="BK458" s="1">
        <f t="shared" si="197"/>
        <v>2.5184418604651166</v>
      </c>
      <c r="BL458" s="1">
        <f t="shared" si="198"/>
        <v>0.23255813953488372</v>
      </c>
      <c r="BM458" s="1">
        <f t="shared" si="199"/>
        <v>0.23255813953488372</v>
      </c>
      <c r="BN458" s="1">
        <f t="shared" si="202"/>
        <v>7.5305570578691251E-4</v>
      </c>
      <c r="BO458" s="1">
        <f t="shared" si="200"/>
        <v>2.1797842712240601E-2</v>
      </c>
    </row>
    <row r="459" spans="1:67" x14ac:dyDescent="0.25">
      <c r="A459" s="3"/>
      <c r="B459" s="3"/>
      <c r="C459" t="s">
        <v>246</v>
      </c>
      <c r="D459" s="5">
        <v>1</v>
      </c>
      <c r="E459" s="9">
        <f t="shared" si="179"/>
        <v>26.599999999999998</v>
      </c>
      <c r="F459" s="9">
        <f t="shared" si="180"/>
        <v>0.90521327014218012</v>
      </c>
      <c r="G459">
        <v>8.6999999999999993</v>
      </c>
      <c r="H459">
        <v>6</v>
      </c>
      <c r="I459">
        <v>24.9</v>
      </c>
      <c r="J459">
        <v>0</v>
      </c>
      <c r="K459">
        <v>0</v>
      </c>
      <c r="L459">
        <v>0</v>
      </c>
      <c r="M459">
        <v>0</v>
      </c>
      <c r="N459">
        <v>0.9</v>
      </c>
      <c r="O459">
        <v>0.8</v>
      </c>
      <c r="P459">
        <v>0</v>
      </c>
      <c r="Q459">
        <v>57.3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14</v>
      </c>
      <c r="AK459" t="s">
        <v>1</v>
      </c>
      <c r="AL459" t="s">
        <v>381</v>
      </c>
      <c r="AP459" t="s">
        <v>390</v>
      </c>
      <c r="AQ459" s="1">
        <f t="shared" si="201"/>
        <v>98.6</v>
      </c>
      <c r="AR459" s="1">
        <f t="shared" si="181"/>
        <v>8.0000000000000002E-3</v>
      </c>
      <c r="AS459" s="1">
        <f t="shared" si="182"/>
        <v>8.6999999999999994E-2</v>
      </c>
      <c r="AT459" s="1">
        <f t="shared" si="183"/>
        <v>0.06</v>
      </c>
      <c r="AU459" s="1">
        <f t="shared" si="184"/>
        <v>0.57299999999999995</v>
      </c>
      <c r="AV459" s="1">
        <f t="shared" si="185"/>
        <v>0.14000000000000001</v>
      </c>
      <c r="AX459" s="1">
        <f t="shared" si="186"/>
        <v>3.8979591836734695</v>
      </c>
      <c r="AY459" s="1">
        <f t="shared" si="187"/>
        <v>5.4421768707482998E-2</v>
      </c>
      <c r="AZ459" s="1">
        <f t="shared" si="188"/>
        <v>0.74362244897959184</v>
      </c>
      <c r="BA459" s="1">
        <f t="shared" si="189"/>
        <v>1.4744897959183674</v>
      </c>
      <c r="BB459" s="1">
        <f t="shared" si="190"/>
        <v>5.4421768707482998E-2</v>
      </c>
      <c r="BC459" s="1">
        <f t="shared" si="191"/>
        <v>5.4421768707482998E-2</v>
      </c>
      <c r="BD459" s="1">
        <f t="shared" si="192"/>
        <v>8.5578231292517015E-2</v>
      </c>
      <c r="BF459">
        <f t="shared" si="193"/>
        <v>40.799999999999997</v>
      </c>
      <c r="BG459">
        <f t="shared" si="203"/>
        <v>13.7</v>
      </c>
      <c r="BH459" s="1">
        <f t="shared" si="194"/>
        <v>1.4044117647058825</v>
      </c>
      <c r="BI459" s="1">
        <f t="shared" si="195"/>
        <v>0.33578431372549022</v>
      </c>
      <c r="BJ459" s="1">
        <f t="shared" si="196"/>
        <v>0.61668382352941176</v>
      </c>
      <c r="BK459" s="1">
        <f t="shared" si="197"/>
        <v>0.80101470588235302</v>
      </c>
      <c r="BL459" s="1">
        <f t="shared" si="198"/>
        <v>0.33578431372549022</v>
      </c>
      <c r="BM459" s="1">
        <f t="shared" si="199"/>
        <v>0.33578431372549022</v>
      </c>
      <c r="BN459" s="1">
        <f t="shared" si="202"/>
        <v>3.8331497500961174E-2</v>
      </c>
      <c r="BO459" s="1">
        <f t="shared" si="200"/>
        <v>7.1631664693859495E-2</v>
      </c>
    </row>
    <row r="460" spans="1:67" x14ac:dyDescent="0.25">
      <c r="A460" s="3"/>
      <c r="B460" s="3"/>
      <c r="C460" t="s">
        <v>222</v>
      </c>
      <c r="D460" s="5">
        <v>1</v>
      </c>
      <c r="E460" s="9">
        <f t="shared" si="179"/>
        <v>0</v>
      </c>
      <c r="F460" s="9">
        <f t="shared" si="180"/>
        <v>0</v>
      </c>
      <c r="G460">
        <v>0</v>
      </c>
      <c r="H460">
        <v>60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46</v>
      </c>
      <c r="AK460" t="s">
        <v>1</v>
      </c>
      <c r="AL460" t="s">
        <v>374</v>
      </c>
      <c r="AM460" t="s">
        <v>412</v>
      </c>
      <c r="AQ460" s="1">
        <f t="shared" si="201"/>
        <v>100</v>
      </c>
      <c r="AR460" s="1">
        <f t="shared" si="181"/>
        <v>0</v>
      </c>
      <c r="AS460" s="1">
        <f t="shared" si="182"/>
        <v>0</v>
      </c>
      <c r="AT460" s="1">
        <f t="shared" si="183"/>
        <v>0.6</v>
      </c>
      <c r="AU460" s="1">
        <f t="shared" si="184"/>
        <v>0</v>
      </c>
      <c r="AV460" s="1">
        <f t="shared" si="185"/>
        <v>0.46</v>
      </c>
      <c r="AX460" s="1">
        <f t="shared" si="186"/>
        <v>0</v>
      </c>
      <c r="AY460" s="1">
        <f t="shared" si="187"/>
        <v>0</v>
      </c>
      <c r="AZ460" s="1">
        <f t="shared" si="188"/>
        <v>0.5</v>
      </c>
      <c r="BA460" s="1">
        <f t="shared" si="189"/>
        <v>0.5</v>
      </c>
      <c r="BB460" s="1">
        <f t="shared" si="190"/>
        <v>0</v>
      </c>
      <c r="BC460" s="1">
        <f t="shared" si="191"/>
        <v>0</v>
      </c>
      <c r="BD460" s="1">
        <f t="shared" si="192"/>
        <v>0.46</v>
      </c>
      <c r="BF460">
        <f t="shared" si="193"/>
        <v>60</v>
      </c>
      <c r="BG460">
        <f t="shared" si="203"/>
        <v>13.333333333333332</v>
      </c>
      <c r="BH460" s="1">
        <f t="shared" si="194"/>
        <v>0</v>
      </c>
      <c r="BI460" s="1">
        <f t="shared" si="195"/>
        <v>0.22222222222222221</v>
      </c>
      <c r="BJ460" s="1">
        <f t="shared" si="196"/>
        <v>0.59</v>
      </c>
      <c r="BK460" s="1">
        <f t="shared" si="197"/>
        <v>9.6000000000000002E-2</v>
      </c>
      <c r="BL460" s="1">
        <f t="shared" si="198"/>
        <v>0.22222222222222221</v>
      </c>
      <c r="BM460" s="1">
        <f t="shared" si="199"/>
        <v>0.22222222222222221</v>
      </c>
      <c r="BN460" s="1">
        <f t="shared" si="202"/>
        <v>5.6538271604938288E-2</v>
      </c>
      <c r="BO460" s="1">
        <f t="shared" si="200"/>
        <v>2.7414727428757718E-3</v>
      </c>
    </row>
    <row r="461" spans="1:67" x14ac:dyDescent="0.25">
      <c r="A461" s="3"/>
      <c r="B461" s="3"/>
      <c r="C461" t="s">
        <v>223</v>
      </c>
      <c r="D461" s="5">
        <v>1</v>
      </c>
      <c r="E461" s="9">
        <f t="shared" si="179"/>
        <v>0</v>
      </c>
      <c r="F461" s="9">
        <f t="shared" si="180"/>
        <v>8.3333333333333329E-2</v>
      </c>
      <c r="G461">
        <v>0</v>
      </c>
      <c r="H461">
        <v>55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46</v>
      </c>
      <c r="AK461" t="s">
        <v>1</v>
      </c>
      <c r="AL461" t="s">
        <v>374</v>
      </c>
      <c r="AQ461" s="1">
        <f t="shared" si="201"/>
        <v>100</v>
      </c>
      <c r="AR461" s="1">
        <f t="shared" si="181"/>
        <v>0</v>
      </c>
      <c r="AS461" s="1">
        <f t="shared" si="182"/>
        <v>0</v>
      </c>
      <c r="AT461" s="1">
        <f t="shared" si="183"/>
        <v>0.55000000000000004</v>
      </c>
      <c r="AU461" s="1">
        <f t="shared" si="184"/>
        <v>0.05</v>
      </c>
      <c r="AV461" s="1">
        <f t="shared" si="185"/>
        <v>0.46</v>
      </c>
      <c r="AX461" s="1">
        <f t="shared" si="186"/>
        <v>9.0909090909090912E-2</v>
      </c>
      <c r="AY461" s="1">
        <f t="shared" si="187"/>
        <v>0</v>
      </c>
      <c r="AZ461" s="1">
        <f t="shared" si="188"/>
        <v>0.50568181818181823</v>
      </c>
      <c r="BA461" s="1">
        <f t="shared" si="189"/>
        <v>0.52272727272727271</v>
      </c>
      <c r="BB461" s="1">
        <f t="shared" si="190"/>
        <v>0</v>
      </c>
      <c r="BC461" s="1">
        <f t="shared" si="191"/>
        <v>0</v>
      </c>
      <c r="BD461" s="1">
        <f t="shared" si="192"/>
        <v>0.46</v>
      </c>
      <c r="BF461">
        <f t="shared" si="193"/>
        <v>55</v>
      </c>
      <c r="BG461">
        <f t="shared" si="203"/>
        <v>13.333333333333332</v>
      </c>
      <c r="BH461" s="1">
        <f t="shared" si="194"/>
        <v>9.0909090909090912E-2</v>
      </c>
      <c r="BI461" s="1">
        <f t="shared" si="195"/>
        <v>0.2424242424242424</v>
      </c>
      <c r="BJ461" s="1">
        <f t="shared" si="196"/>
        <v>0.59172727272727266</v>
      </c>
      <c r="BK461" s="1">
        <f t="shared" si="197"/>
        <v>0.14163636363636364</v>
      </c>
      <c r="BL461" s="1">
        <f t="shared" si="198"/>
        <v>0.2424242424242424</v>
      </c>
      <c r="BM461" s="1">
        <f t="shared" si="199"/>
        <v>0.2424242424242424</v>
      </c>
      <c r="BN461" s="1">
        <f t="shared" si="202"/>
        <v>4.7339210284664847E-2</v>
      </c>
      <c r="BO461" s="1">
        <f t="shared" si="200"/>
        <v>2.7414727428757718E-3</v>
      </c>
    </row>
    <row r="462" spans="1:67" x14ac:dyDescent="0.25">
      <c r="A462" s="3"/>
      <c r="B462" s="3"/>
      <c r="C462" t="s">
        <v>224</v>
      </c>
      <c r="D462" s="5">
        <v>1</v>
      </c>
      <c r="E462" s="9">
        <f t="shared" si="179"/>
        <v>0</v>
      </c>
      <c r="F462" s="9">
        <f t="shared" si="180"/>
        <v>0.16666666666666666</v>
      </c>
      <c r="G462">
        <v>0</v>
      </c>
      <c r="H462">
        <v>50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46</v>
      </c>
      <c r="AK462" t="s">
        <v>1</v>
      </c>
      <c r="AL462" t="s">
        <v>374</v>
      </c>
      <c r="AQ462" s="1">
        <f t="shared" si="201"/>
        <v>100</v>
      </c>
      <c r="AR462" s="1">
        <f t="shared" si="181"/>
        <v>0</v>
      </c>
      <c r="AS462" s="1">
        <f t="shared" si="182"/>
        <v>0</v>
      </c>
      <c r="AT462" s="1">
        <f t="shared" si="183"/>
        <v>0.5</v>
      </c>
      <c r="AU462" s="1">
        <f t="shared" si="184"/>
        <v>0.1</v>
      </c>
      <c r="AV462" s="1">
        <f t="shared" si="185"/>
        <v>0.46</v>
      </c>
      <c r="AX462" s="1">
        <f t="shared" si="186"/>
        <v>0.2</v>
      </c>
      <c r="AY462" s="1">
        <f t="shared" si="187"/>
        <v>0</v>
      </c>
      <c r="AZ462" s="1">
        <f t="shared" si="188"/>
        <v>0.51249999999999996</v>
      </c>
      <c r="BA462" s="1">
        <f t="shared" si="189"/>
        <v>0.55000000000000004</v>
      </c>
      <c r="BB462" s="1">
        <f t="shared" si="190"/>
        <v>0</v>
      </c>
      <c r="BC462" s="1">
        <f t="shared" si="191"/>
        <v>0</v>
      </c>
      <c r="BD462" s="1">
        <f t="shared" si="192"/>
        <v>0.46</v>
      </c>
      <c r="BF462">
        <f t="shared" si="193"/>
        <v>50</v>
      </c>
      <c r="BG462">
        <f t="shared" si="203"/>
        <v>13.333333333333332</v>
      </c>
      <c r="BH462" s="1">
        <f t="shared" si="194"/>
        <v>0.2</v>
      </c>
      <c r="BI462" s="1">
        <f t="shared" si="195"/>
        <v>0.26666666666666666</v>
      </c>
      <c r="BJ462" s="1">
        <f t="shared" si="196"/>
        <v>0.59379999999999999</v>
      </c>
      <c r="BK462" s="1">
        <f t="shared" si="197"/>
        <v>0.19640000000000002</v>
      </c>
      <c r="BL462" s="1">
        <f t="shared" si="198"/>
        <v>0.26666666666666666</v>
      </c>
      <c r="BM462" s="1">
        <f t="shared" si="199"/>
        <v>0.26666666666666666</v>
      </c>
      <c r="BN462" s="1">
        <f t="shared" si="202"/>
        <v>3.7377777777777788E-2</v>
      </c>
      <c r="BO462" s="1">
        <f t="shared" si="200"/>
        <v>2.7414727428757718E-3</v>
      </c>
    </row>
    <row r="463" spans="1:67" x14ac:dyDescent="0.25">
      <c r="A463" s="3"/>
      <c r="B463" s="3"/>
      <c r="C463" t="s">
        <v>225</v>
      </c>
      <c r="D463" s="5">
        <v>1</v>
      </c>
      <c r="E463" s="9">
        <f t="shared" si="179"/>
        <v>0</v>
      </c>
      <c r="F463" s="9">
        <f t="shared" si="180"/>
        <v>0.33333333333333331</v>
      </c>
      <c r="G463">
        <v>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46</v>
      </c>
      <c r="AK463" t="s">
        <v>1</v>
      </c>
      <c r="AL463" t="s">
        <v>374</v>
      </c>
      <c r="AQ463" s="1">
        <f t="shared" si="201"/>
        <v>100</v>
      </c>
      <c r="AR463" s="1">
        <f t="shared" si="181"/>
        <v>0</v>
      </c>
      <c r="AS463" s="1">
        <f t="shared" si="182"/>
        <v>0</v>
      </c>
      <c r="AT463" s="1">
        <f t="shared" si="183"/>
        <v>0.4</v>
      </c>
      <c r="AU463" s="1">
        <f t="shared" si="184"/>
        <v>0.2</v>
      </c>
      <c r="AV463" s="1">
        <f t="shared" si="185"/>
        <v>0.46</v>
      </c>
      <c r="AX463" s="1">
        <f t="shared" si="186"/>
        <v>0.5</v>
      </c>
      <c r="AY463" s="1">
        <f t="shared" si="187"/>
        <v>0</v>
      </c>
      <c r="AZ463" s="1">
        <f t="shared" si="188"/>
        <v>0.53125</v>
      </c>
      <c r="BA463" s="1">
        <f t="shared" si="189"/>
        <v>0.625</v>
      </c>
      <c r="BB463" s="1">
        <f t="shared" si="190"/>
        <v>0</v>
      </c>
      <c r="BC463" s="1">
        <f t="shared" si="191"/>
        <v>0</v>
      </c>
      <c r="BD463" s="1">
        <f t="shared" si="192"/>
        <v>0.46</v>
      </c>
      <c r="BF463">
        <f t="shared" si="193"/>
        <v>40</v>
      </c>
      <c r="BG463">
        <f t="shared" si="203"/>
        <v>13.333333333333332</v>
      </c>
      <c r="BH463" s="1">
        <f t="shared" si="194"/>
        <v>0.5</v>
      </c>
      <c r="BI463" s="1">
        <f t="shared" si="195"/>
        <v>0.33333333333333331</v>
      </c>
      <c r="BJ463" s="1">
        <f t="shared" si="196"/>
        <v>0.59949999999999992</v>
      </c>
      <c r="BK463" s="1">
        <f t="shared" si="197"/>
        <v>0.34699999999999998</v>
      </c>
      <c r="BL463" s="1">
        <f t="shared" si="198"/>
        <v>0.33333333333333331</v>
      </c>
      <c r="BM463" s="1">
        <f t="shared" si="199"/>
        <v>0.33333333333333331</v>
      </c>
      <c r="BN463" s="1">
        <f t="shared" si="202"/>
        <v>1.6044444444444455E-2</v>
      </c>
      <c r="BO463" s="1">
        <f t="shared" si="200"/>
        <v>2.7414727428757718E-3</v>
      </c>
    </row>
    <row r="464" spans="1:67" x14ac:dyDescent="0.25">
      <c r="A464" s="3"/>
      <c r="B464" s="3"/>
      <c r="C464" t="s">
        <v>226</v>
      </c>
      <c r="D464" s="5">
        <v>1</v>
      </c>
      <c r="E464" s="9">
        <f t="shared" si="179"/>
        <v>0</v>
      </c>
      <c r="F464" s="9">
        <f t="shared" si="180"/>
        <v>0</v>
      </c>
      <c r="G464">
        <v>0</v>
      </c>
      <c r="H464">
        <v>50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45</v>
      </c>
      <c r="AK464" t="s">
        <v>1</v>
      </c>
      <c r="AL464" t="s">
        <v>374</v>
      </c>
      <c r="AQ464" s="1">
        <f t="shared" si="201"/>
        <v>100</v>
      </c>
      <c r="AR464" s="1">
        <f t="shared" si="181"/>
        <v>0</v>
      </c>
      <c r="AS464" s="1">
        <f t="shared" si="182"/>
        <v>0</v>
      </c>
      <c r="AT464" s="1">
        <f t="shared" si="183"/>
        <v>0.5</v>
      </c>
      <c r="AU464" s="1">
        <f t="shared" si="184"/>
        <v>0</v>
      </c>
      <c r="AV464" s="1">
        <f t="shared" si="185"/>
        <v>0.45</v>
      </c>
      <c r="AX464" s="1">
        <f t="shared" si="186"/>
        <v>0</v>
      </c>
      <c r="AY464" s="1">
        <f t="shared" si="187"/>
        <v>0</v>
      </c>
      <c r="AZ464" s="1">
        <f t="shared" si="188"/>
        <v>0.5</v>
      </c>
      <c r="BA464" s="1">
        <f t="shared" si="189"/>
        <v>0.5</v>
      </c>
      <c r="BB464" s="1">
        <f t="shared" si="190"/>
        <v>0</v>
      </c>
      <c r="BC464" s="1">
        <f t="shared" si="191"/>
        <v>0</v>
      </c>
      <c r="BD464" s="1">
        <f t="shared" si="192"/>
        <v>0.45</v>
      </c>
      <c r="BF464">
        <f t="shared" si="193"/>
        <v>50</v>
      </c>
      <c r="BG464">
        <f t="shared" si="203"/>
        <v>16.666666666666664</v>
      </c>
      <c r="BH464" s="1">
        <f t="shared" si="194"/>
        <v>0</v>
      </c>
      <c r="BI464" s="1">
        <f t="shared" si="195"/>
        <v>0.33333333333333326</v>
      </c>
      <c r="BJ464" s="1">
        <f t="shared" si="196"/>
        <v>0.59</v>
      </c>
      <c r="BK464" s="1">
        <f t="shared" si="197"/>
        <v>9.6000000000000002E-2</v>
      </c>
      <c r="BL464" s="1">
        <f t="shared" si="198"/>
        <v>0.33333333333333326</v>
      </c>
      <c r="BM464" s="1">
        <f t="shared" si="199"/>
        <v>0.33333333333333326</v>
      </c>
      <c r="BN464" s="1">
        <f t="shared" si="202"/>
        <v>1.3611111111111131E-2</v>
      </c>
      <c r="BO464" s="1">
        <f t="shared" si="200"/>
        <v>1.7942912413440124E-3</v>
      </c>
    </row>
    <row r="465" spans="1:67" x14ac:dyDescent="0.25">
      <c r="A465" s="3"/>
      <c r="B465" s="3"/>
      <c r="C465" t="s">
        <v>227</v>
      </c>
      <c r="D465" s="5">
        <v>1</v>
      </c>
      <c r="E465" s="9">
        <f t="shared" si="179"/>
        <v>0</v>
      </c>
      <c r="F465" s="9">
        <f t="shared" si="180"/>
        <v>0.1</v>
      </c>
      <c r="G465">
        <v>0</v>
      </c>
      <c r="H465">
        <v>45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43</v>
      </c>
      <c r="AK465" t="s">
        <v>1</v>
      </c>
      <c r="AL465" t="s">
        <v>374</v>
      </c>
      <c r="AQ465" s="1">
        <f t="shared" si="201"/>
        <v>100</v>
      </c>
      <c r="AR465" s="1">
        <f t="shared" si="181"/>
        <v>0</v>
      </c>
      <c r="AS465" s="1">
        <f t="shared" si="182"/>
        <v>0</v>
      </c>
      <c r="AT465" s="1">
        <f t="shared" si="183"/>
        <v>0.45</v>
      </c>
      <c r="AU465" s="1">
        <f t="shared" si="184"/>
        <v>0.05</v>
      </c>
      <c r="AV465" s="1">
        <f t="shared" si="185"/>
        <v>0.43</v>
      </c>
      <c r="AX465" s="1">
        <f t="shared" si="186"/>
        <v>0.11111111111111112</v>
      </c>
      <c r="AY465" s="1">
        <f t="shared" si="187"/>
        <v>0</v>
      </c>
      <c r="AZ465" s="1">
        <f t="shared" si="188"/>
        <v>0.50694444444444442</v>
      </c>
      <c r="BA465" s="1">
        <f t="shared" si="189"/>
        <v>0.52777777777777779</v>
      </c>
      <c r="BB465" s="1">
        <f t="shared" si="190"/>
        <v>0</v>
      </c>
      <c r="BC465" s="1">
        <f t="shared" si="191"/>
        <v>0</v>
      </c>
      <c r="BD465" s="1">
        <f t="shared" si="192"/>
        <v>0.43</v>
      </c>
      <c r="BF465">
        <f t="shared" si="193"/>
        <v>45</v>
      </c>
      <c r="BG465">
        <f t="shared" si="203"/>
        <v>16.666666666666664</v>
      </c>
      <c r="BH465" s="1">
        <f t="shared" si="194"/>
        <v>0.1111111111111111</v>
      </c>
      <c r="BI465" s="1">
        <f t="shared" si="195"/>
        <v>0.37037037037037029</v>
      </c>
      <c r="BJ465" s="1">
        <f t="shared" si="196"/>
        <v>0.59211111111111103</v>
      </c>
      <c r="BK465" s="1">
        <f t="shared" si="197"/>
        <v>0.15177777777777779</v>
      </c>
      <c r="BL465" s="1">
        <f t="shared" si="198"/>
        <v>0.37037037037037029</v>
      </c>
      <c r="BM465" s="1">
        <f t="shared" si="199"/>
        <v>0.37037037037037029</v>
      </c>
      <c r="BN465" s="1">
        <f t="shared" si="202"/>
        <v>3.5556927297668121E-3</v>
      </c>
      <c r="BO465" s="1">
        <f t="shared" si="200"/>
        <v>4.9992823828049458E-4</v>
      </c>
    </row>
    <row r="466" spans="1:67" x14ac:dyDescent="0.25">
      <c r="A466" s="3"/>
      <c r="B466" s="3"/>
      <c r="C466" t="s">
        <v>228</v>
      </c>
      <c r="D466" s="5">
        <v>1</v>
      </c>
      <c r="E466" s="9">
        <f t="shared" si="179"/>
        <v>0</v>
      </c>
      <c r="F466" s="9">
        <f t="shared" si="180"/>
        <v>0.2</v>
      </c>
      <c r="G466">
        <v>0</v>
      </c>
      <c r="H466">
        <v>40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43</v>
      </c>
      <c r="AK466" t="s">
        <v>1</v>
      </c>
      <c r="AL466" t="s">
        <v>374</v>
      </c>
      <c r="AQ466" s="1">
        <f t="shared" si="201"/>
        <v>100</v>
      </c>
      <c r="AR466" s="1">
        <f t="shared" si="181"/>
        <v>0</v>
      </c>
      <c r="AS466" s="1">
        <f t="shared" si="182"/>
        <v>0</v>
      </c>
      <c r="AT466" s="1">
        <f t="shared" si="183"/>
        <v>0.4</v>
      </c>
      <c r="AU466" s="1">
        <f t="shared" si="184"/>
        <v>0.1</v>
      </c>
      <c r="AV466" s="1">
        <f t="shared" si="185"/>
        <v>0.43</v>
      </c>
      <c r="AX466" s="1">
        <f t="shared" si="186"/>
        <v>0.25</v>
      </c>
      <c r="AY466" s="1">
        <f t="shared" si="187"/>
        <v>0</v>
      </c>
      <c r="AZ466" s="1">
        <f t="shared" si="188"/>
        <v>0.515625</v>
      </c>
      <c r="BA466" s="1">
        <f t="shared" si="189"/>
        <v>0.5625</v>
      </c>
      <c r="BB466" s="1">
        <f t="shared" si="190"/>
        <v>0</v>
      </c>
      <c r="BC466" s="1">
        <f t="shared" si="191"/>
        <v>0</v>
      </c>
      <c r="BD466" s="1">
        <f t="shared" si="192"/>
        <v>0.43</v>
      </c>
      <c r="BF466">
        <f t="shared" si="193"/>
        <v>40</v>
      </c>
      <c r="BG466">
        <f t="shared" si="203"/>
        <v>16.666666666666664</v>
      </c>
      <c r="BH466" s="1">
        <f t="shared" si="194"/>
        <v>0.25</v>
      </c>
      <c r="BI466" s="1">
        <f t="shared" si="195"/>
        <v>0.41666666666666663</v>
      </c>
      <c r="BJ466" s="1">
        <f t="shared" si="196"/>
        <v>0.59475</v>
      </c>
      <c r="BK466" s="1">
        <f t="shared" si="197"/>
        <v>0.2215</v>
      </c>
      <c r="BL466" s="1">
        <f t="shared" si="198"/>
        <v>0.41666666666666663</v>
      </c>
      <c r="BM466" s="1">
        <f t="shared" si="199"/>
        <v>0.41666666666666663</v>
      </c>
      <c r="BN466" s="1">
        <f t="shared" si="202"/>
        <v>1.777777777777786E-4</v>
      </c>
      <c r="BO466" s="1">
        <f t="shared" si="200"/>
        <v>4.9992823828049458E-4</v>
      </c>
    </row>
    <row r="467" spans="1:67" x14ac:dyDescent="0.25">
      <c r="A467" s="3"/>
      <c r="B467" s="3"/>
      <c r="C467" t="s">
        <v>229</v>
      </c>
      <c r="D467" s="5">
        <v>1</v>
      </c>
      <c r="E467" s="9">
        <f t="shared" si="179"/>
        <v>0</v>
      </c>
      <c r="F467" s="9">
        <f t="shared" si="180"/>
        <v>0.4</v>
      </c>
      <c r="G467">
        <v>0</v>
      </c>
      <c r="H467">
        <v>30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50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42</v>
      </c>
      <c r="AK467" t="s">
        <v>1</v>
      </c>
      <c r="AL467" t="s">
        <v>374</v>
      </c>
      <c r="AQ467" s="1">
        <f t="shared" si="201"/>
        <v>100</v>
      </c>
      <c r="AR467" s="1">
        <f t="shared" si="181"/>
        <v>0</v>
      </c>
      <c r="AS467" s="1">
        <f t="shared" si="182"/>
        <v>0</v>
      </c>
      <c r="AT467" s="1">
        <f t="shared" si="183"/>
        <v>0.3</v>
      </c>
      <c r="AU467" s="1">
        <f t="shared" si="184"/>
        <v>0.2</v>
      </c>
      <c r="AV467" s="1">
        <f t="shared" si="185"/>
        <v>0.42</v>
      </c>
      <c r="AX467" s="1">
        <f t="shared" si="186"/>
        <v>0.66666666666666674</v>
      </c>
      <c r="AY467" s="1">
        <f t="shared" si="187"/>
        <v>0</v>
      </c>
      <c r="AZ467" s="1">
        <f t="shared" si="188"/>
        <v>0.54166666666666663</v>
      </c>
      <c r="BA467" s="1">
        <f t="shared" si="189"/>
        <v>0.66666666666666674</v>
      </c>
      <c r="BB467" s="1">
        <f t="shared" si="190"/>
        <v>0</v>
      </c>
      <c r="BC467" s="1">
        <f t="shared" si="191"/>
        <v>0</v>
      </c>
      <c r="BD467" s="1">
        <f t="shared" si="192"/>
        <v>0.42</v>
      </c>
      <c r="BF467">
        <f t="shared" si="193"/>
        <v>30</v>
      </c>
      <c r="BG467">
        <f t="shared" si="203"/>
        <v>16.666666666666664</v>
      </c>
      <c r="BH467" s="1">
        <f t="shared" si="194"/>
        <v>0.66666666666666663</v>
      </c>
      <c r="BI467" s="1">
        <f t="shared" si="195"/>
        <v>0.55555555555555547</v>
      </c>
      <c r="BJ467" s="1">
        <f t="shared" si="196"/>
        <v>0.60266666666666668</v>
      </c>
      <c r="BK467" s="1">
        <f t="shared" si="197"/>
        <v>0.43066666666666664</v>
      </c>
      <c r="BL467" s="1">
        <f t="shared" si="198"/>
        <v>0.55555555555555547</v>
      </c>
      <c r="BM467" s="1">
        <f t="shared" si="199"/>
        <v>0.55555555555555547</v>
      </c>
      <c r="BN467" s="1">
        <f t="shared" si="202"/>
        <v>1.8375308641975289E-2</v>
      </c>
      <c r="BO467" s="1">
        <f t="shared" si="200"/>
        <v>1.527467367487362E-4</v>
      </c>
    </row>
    <row r="468" spans="1:67" x14ac:dyDescent="0.25">
      <c r="A468" s="3"/>
      <c r="B468" s="3"/>
      <c r="C468" t="s">
        <v>230</v>
      </c>
      <c r="D468" s="5">
        <v>1</v>
      </c>
      <c r="E468" s="9">
        <f t="shared" si="179"/>
        <v>0</v>
      </c>
      <c r="F468" s="9">
        <f t="shared" si="180"/>
        <v>0</v>
      </c>
      <c r="G468">
        <v>2</v>
      </c>
      <c r="H468">
        <v>48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50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41</v>
      </c>
      <c r="AK468" t="s">
        <v>1</v>
      </c>
      <c r="AL468" t="s">
        <v>374</v>
      </c>
      <c r="AQ468" s="1">
        <f t="shared" si="201"/>
        <v>100</v>
      </c>
      <c r="AR468" s="1">
        <f t="shared" si="181"/>
        <v>0</v>
      </c>
      <c r="AS468" s="1">
        <f t="shared" si="182"/>
        <v>0.02</v>
      </c>
      <c r="AT468" s="1">
        <f t="shared" si="183"/>
        <v>0.48</v>
      </c>
      <c r="AU468" s="1">
        <f t="shared" si="184"/>
        <v>0</v>
      </c>
      <c r="AV468" s="1">
        <f t="shared" si="185"/>
        <v>0.41</v>
      </c>
      <c r="AX468" s="1">
        <f t="shared" si="186"/>
        <v>0</v>
      </c>
      <c r="AY468" s="1">
        <f t="shared" si="187"/>
        <v>0</v>
      </c>
      <c r="AZ468" s="1">
        <f t="shared" si="188"/>
        <v>0.5</v>
      </c>
      <c r="BA468" s="1">
        <f t="shared" si="189"/>
        <v>0.5</v>
      </c>
      <c r="BB468" s="1">
        <f t="shared" si="190"/>
        <v>0</v>
      </c>
      <c r="BC468" s="1">
        <f t="shared" si="191"/>
        <v>0</v>
      </c>
      <c r="BD468" s="1">
        <f t="shared" si="192"/>
        <v>0.41</v>
      </c>
      <c r="BF468">
        <f t="shared" si="193"/>
        <v>56</v>
      </c>
      <c r="BG468">
        <f t="shared" si="203"/>
        <v>16.666666666666664</v>
      </c>
      <c r="BH468" s="1">
        <f t="shared" si="194"/>
        <v>0</v>
      </c>
      <c r="BI468" s="1">
        <f t="shared" si="195"/>
        <v>0.29761904761904756</v>
      </c>
      <c r="BJ468" s="1">
        <f t="shared" si="196"/>
        <v>0.59</v>
      </c>
      <c r="BK468" s="1">
        <f t="shared" si="197"/>
        <v>9.6000000000000002E-2</v>
      </c>
      <c r="BL468" s="1">
        <f t="shared" si="198"/>
        <v>0.29761904761904756</v>
      </c>
      <c r="BM468" s="1">
        <f t="shared" si="199"/>
        <v>0.29761904761904756</v>
      </c>
      <c r="BN468" s="1">
        <f t="shared" si="202"/>
        <v>1.2629478458049894E-2</v>
      </c>
      <c r="BO468" s="1">
        <f t="shared" si="200"/>
        <v>5.5652352169781633E-6</v>
      </c>
    </row>
    <row r="469" spans="1:67" x14ac:dyDescent="0.25">
      <c r="A469" s="3"/>
      <c r="B469" s="3"/>
      <c r="C469" t="s">
        <v>231</v>
      </c>
      <c r="D469" s="5">
        <v>1</v>
      </c>
      <c r="E469" s="9">
        <f t="shared" si="179"/>
        <v>0</v>
      </c>
      <c r="F469" s="9">
        <f t="shared" si="180"/>
        <v>0</v>
      </c>
      <c r="G469">
        <v>4</v>
      </c>
      <c r="H469">
        <v>46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50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36</v>
      </c>
      <c r="AK469" t="s">
        <v>1</v>
      </c>
      <c r="AL469" t="s">
        <v>374</v>
      </c>
      <c r="AQ469" s="1">
        <f t="shared" si="201"/>
        <v>100</v>
      </c>
      <c r="AR469" s="1">
        <f t="shared" si="181"/>
        <v>0</v>
      </c>
      <c r="AS469" s="1">
        <f t="shared" si="182"/>
        <v>0.04</v>
      </c>
      <c r="AT469" s="1">
        <f t="shared" si="183"/>
        <v>0.46</v>
      </c>
      <c r="AU469" s="1">
        <f t="shared" si="184"/>
        <v>0</v>
      </c>
      <c r="AV469" s="1">
        <f t="shared" si="185"/>
        <v>0.36</v>
      </c>
      <c r="AX469" s="1">
        <f t="shared" si="186"/>
        <v>0</v>
      </c>
      <c r="AY469" s="1">
        <f t="shared" si="187"/>
        <v>0</v>
      </c>
      <c r="AZ469" s="1">
        <f t="shared" si="188"/>
        <v>0.5</v>
      </c>
      <c r="BA469" s="1">
        <f t="shared" si="189"/>
        <v>0.5</v>
      </c>
      <c r="BB469" s="1">
        <f t="shared" si="190"/>
        <v>0</v>
      </c>
      <c r="BC469" s="1">
        <f t="shared" si="191"/>
        <v>0</v>
      </c>
      <c r="BD469" s="1">
        <f t="shared" si="192"/>
        <v>0.36</v>
      </c>
      <c r="BF469">
        <f t="shared" si="193"/>
        <v>62</v>
      </c>
      <c r="BG469">
        <f t="shared" si="203"/>
        <v>16.666666666666664</v>
      </c>
      <c r="BH469" s="1">
        <f t="shared" si="194"/>
        <v>0</v>
      </c>
      <c r="BI469" s="1">
        <f t="shared" si="195"/>
        <v>0.26881720430107525</v>
      </c>
      <c r="BJ469" s="1">
        <f t="shared" si="196"/>
        <v>0.59</v>
      </c>
      <c r="BK469" s="1">
        <f t="shared" si="197"/>
        <v>9.6000000000000002E-2</v>
      </c>
      <c r="BL469" s="1">
        <f t="shared" si="198"/>
        <v>0.26881720430107525</v>
      </c>
      <c r="BM469" s="1">
        <f t="shared" si="199"/>
        <v>0.26881720430107525</v>
      </c>
      <c r="BN469" s="1">
        <f t="shared" si="202"/>
        <v>8.3143022314718477E-3</v>
      </c>
      <c r="BO469" s="1">
        <f t="shared" si="200"/>
        <v>2.2696577275581882E-3</v>
      </c>
    </row>
    <row r="470" spans="1:67" x14ac:dyDescent="0.25">
      <c r="A470" s="3"/>
      <c r="B470" s="3"/>
      <c r="C470" t="s">
        <v>232</v>
      </c>
      <c r="D470" s="5">
        <v>1</v>
      </c>
      <c r="E470" s="9">
        <f t="shared" si="179"/>
        <v>0</v>
      </c>
      <c r="F470" s="9">
        <f t="shared" si="180"/>
        <v>0</v>
      </c>
      <c r="G470">
        <v>6</v>
      </c>
      <c r="H470">
        <v>44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50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34</v>
      </c>
      <c r="AK470" t="s">
        <v>1</v>
      </c>
      <c r="AL470" t="s">
        <v>374</v>
      </c>
      <c r="AQ470" s="1">
        <f t="shared" si="201"/>
        <v>100</v>
      </c>
      <c r="AR470" s="1">
        <f t="shared" si="181"/>
        <v>0</v>
      </c>
      <c r="AS470" s="1">
        <f t="shared" si="182"/>
        <v>0.06</v>
      </c>
      <c r="AT470" s="1">
        <f t="shared" si="183"/>
        <v>0.44</v>
      </c>
      <c r="AU470" s="1">
        <f t="shared" si="184"/>
        <v>0</v>
      </c>
      <c r="AV470" s="1">
        <f t="shared" si="185"/>
        <v>0.34</v>
      </c>
      <c r="AX470" s="1">
        <f t="shared" si="186"/>
        <v>0</v>
      </c>
      <c r="AY470" s="1">
        <f t="shared" si="187"/>
        <v>0</v>
      </c>
      <c r="AZ470" s="1">
        <f t="shared" si="188"/>
        <v>0.5</v>
      </c>
      <c r="BA470" s="1">
        <f t="shared" si="189"/>
        <v>0.5</v>
      </c>
      <c r="BB470" s="1">
        <f t="shared" si="190"/>
        <v>0</v>
      </c>
      <c r="BC470" s="1">
        <f t="shared" si="191"/>
        <v>0</v>
      </c>
      <c r="BD470" s="1">
        <f t="shared" si="192"/>
        <v>0.34</v>
      </c>
      <c r="BF470">
        <f t="shared" si="193"/>
        <v>68</v>
      </c>
      <c r="BG470">
        <f t="shared" si="203"/>
        <v>16.666666666666664</v>
      </c>
      <c r="BH470" s="1">
        <f t="shared" si="194"/>
        <v>0</v>
      </c>
      <c r="BI470" s="1">
        <f t="shared" si="195"/>
        <v>0.24509803921568624</v>
      </c>
      <c r="BJ470" s="1">
        <f t="shared" si="196"/>
        <v>0.59</v>
      </c>
      <c r="BK470" s="1">
        <f t="shared" si="197"/>
        <v>9.6000000000000002E-2</v>
      </c>
      <c r="BL470" s="1">
        <f t="shared" si="198"/>
        <v>0.24509803921568624</v>
      </c>
      <c r="BM470" s="1">
        <f t="shared" si="199"/>
        <v>0.24509803921568624</v>
      </c>
      <c r="BN470" s="1">
        <f t="shared" si="202"/>
        <v>9.006382160707432E-3</v>
      </c>
      <c r="BO470" s="1">
        <f t="shared" si="200"/>
        <v>4.5752947244946671E-3</v>
      </c>
    </row>
    <row r="471" spans="1:67" x14ac:dyDescent="0.25">
      <c r="A471" s="3"/>
      <c r="B471" s="3"/>
      <c r="C471" t="s">
        <v>233</v>
      </c>
      <c r="D471" s="5">
        <v>1</v>
      </c>
      <c r="E471" s="9">
        <f t="shared" si="179"/>
        <v>0</v>
      </c>
      <c r="F471" s="9">
        <f t="shared" si="180"/>
        <v>0</v>
      </c>
      <c r="G471">
        <v>8</v>
      </c>
      <c r="H471">
        <v>42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50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33</v>
      </c>
      <c r="AK471" t="s">
        <v>1</v>
      </c>
      <c r="AL471" t="s">
        <v>374</v>
      </c>
      <c r="AQ471" s="1">
        <f t="shared" si="201"/>
        <v>100</v>
      </c>
      <c r="AR471" s="1">
        <f t="shared" si="181"/>
        <v>0</v>
      </c>
      <c r="AS471" s="1">
        <f t="shared" si="182"/>
        <v>0.08</v>
      </c>
      <c r="AT471" s="1">
        <f t="shared" si="183"/>
        <v>0.42</v>
      </c>
      <c r="AU471" s="1">
        <f t="shared" si="184"/>
        <v>0</v>
      </c>
      <c r="AV471" s="1">
        <f t="shared" si="185"/>
        <v>0.33</v>
      </c>
      <c r="AX471" s="1">
        <f t="shared" si="186"/>
        <v>0</v>
      </c>
      <c r="AY471" s="1">
        <f t="shared" si="187"/>
        <v>0</v>
      </c>
      <c r="AZ471" s="1">
        <f t="shared" si="188"/>
        <v>0.5</v>
      </c>
      <c r="BA471" s="1">
        <f t="shared" si="189"/>
        <v>0.5</v>
      </c>
      <c r="BB471" s="1">
        <f t="shared" si="190"/>
        <v>0</v>
      </c>
      <c r="BC471" s="1">
        <f t="shared" si="191"/>
        <v>0</v>
      </c>
      <c r="BD471" s="1">
        <f t="shared" si="192"/>
        <v>0.33</v>
      </c>
      <c r="BF471">
        <f t="shared" si="193"/>
        <v>74</v>
      </c>
      <c r="BG471">
        <f t="shared" si="203"/>
        <v>16.666666666666664</v>
      </c>
      <c r="BH471" s="1">
        <f t="shared" si="194"/>
        <v>0</v>
      </c>
      <c r="BI471" s="1">
        <f t="shared" si="195"/>
        <v>0.2252252252252252</v>
      </c>
      <c r="BJ471" s="1">
        <f t="shared" si="196"/>
        <v>0.59</v>
      </c>
      <c r="BK471" s="1">
        <f t="shared" si="197"/>
        <v>9.6000000000000002E-2</v>
      </c>
      <c r="BL471" s="1">
        <f t="shared" si="198"/>
        <v>0.2252252252252252</v>
      </c>
      <c r="BM471" s="1">
        <f t="shared" si="199"/>
        <v>0.2252252252252252</v>
      </c>
      <c r="BN471" s="1">
        <f t="shared" si="202"/>
        <v>1.097775342910479E-2</v>
      </c>
      <c r="BO471" s="1">
        <f t="shared" si="200"/>
        <v>6.0281132229629093E-3</v>
      </c>
    </row>
    <row r="472" spans="1:67" x14ac:dyDescent="0.25">
      <c r="A472" s="3"/>
      <c r="B472" s="3"/>
      <c r="C472" t="s">
        <v>234</v>
      </c>
      <c r="D472" s="5">
        <v>1</v>
      </c>
      <c r="E472" s="9">
        <f t="shared" si="179"/>
        <v>0</v>
      </c>
      <c r="F472" s="9">
        <f t="shared" si="180"/>
        <v>0.10416666666666667</v>
      </c>
      <c r="G472">
        <v>2</v>
      </c>
      <c r="H472">
        <v>43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41</v>
      </c>
      <c r="AK472" t="s">
        <v>1</v>
      </c>
      <c r="AL472" t="s">
        <v>374</v>
      </c>
      <c r="AQ472" s="1">
        <f t="shared" si="201"/>
        <v>100</v>
      </c>
      <c r="AR472" s="1">
        <f t="shared" si="181"/>
        <v>0</v>
      </c>
      <c r="AS472" s="1">
        <f t="shared" si="182"/>
        <v>0.02</v>
      </c>
      <c r="AT472" s="1">
        <f t="shared" si="183"/>
        <v>0.43</v>
      </c>
      <c r="AU472" s="1">
        <f t="shared" si="184"/>
        <v>0.05</v>
      </c>
      <c r="AV472" s="1">
        <f t="shared" si="185"/>
        <v>0.41</v>
      </c>
      <c r="AX472" s="1">
        <f t="shared" si="186"/>
        <v>0.11111111111111112</v>
      </c>
      <c r="AY472" s="1">
        <f t="shared" si="187"/>
        <v>0</v>
      </c>
      <c r="AZ472" s="1">
        <f t="shared" si="188"/>
        <v>0.50694444444444442</v>
      </c>
      <c r="BA472" s="1">
        <f t="shared" si="189"/>
        <v>0.52777777777777779</v>
      </c>
      <c r="BB472" s="1">
        <f t="shared" si="190"/>
        <v>0</v>
      </c>
      <c r="BC472" s="1">
        <f t="shared" si="191"/>
        <v>0</v>
      </c>
      <c r="BD472" s="1">
        <f t="shared" si="192"/>
        <v>0.41</v>
      </c>
      <c r="BF472">
        <f t="shared" si="193"/>
        <v>51</v>
      </c>
      <c r="BG472">
        <f t="shared" si="203"/>
        <v>16.666666666666664</v>
      </c>
      <c r="BH472" s="1">
        <f t="shared" si="194"/>
        <v>9.8039215686274508E-2</v>
      </c>
      <c r="BI472" s="1">
        <f t="shared" si="195"/>
        <v>0.32679738562091498</v>
      </c>
      <c r="BJ472" s="1">
        <f t="shared" si="196"/>
        <v>0.59186274509803916</v>
      </c>
      <c r="BK472" s="1">
        <f t="shared" si="197"/>
        <v>0.14521568627450981</v>
      </c>
      <c r="BL472" s="1">
        <f t="shared" si="198"/>
        <v>0.32679738562091498</v>
      </c>
      <c r="BM472" s="1">
        <f t="shared" si="199"/>
        <v>0.32679738562091498</v>
      </c>
      <c r="BN472" s="1">
        <f t="shared" si="202"/>
        <v>6.922675039514721E-3</v>
      </c>
      <c r="BO472" s="1">
        <f t="shared" si="200"/>
        <v>5.5652352169781633E-6</v>
      </c>
    </row>
    <row r="473" spans="1:67" x14ac:dyDescent="0.25">
      <c r="A473" s="3"/>
      <c r="B473" s="3"/>
      <c r="C473" t="s">
        <v>235</v>
      </c>
      <c r="D473" s="5">
        <v>1</v>
      </c>
      <c r="E473" s="9">
        <f t="shared" si="179"/>
        <v>0</v>
      </c>
      <c r="F473" s="9">
        <f t="shared" si="180"/>
        <v>0.20833333333333334</v>
      </c>
      <c r="G473">
        <v>2</v>
      </c>
      <c r="H473">
        <v>38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50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40</v>
      </c>
      <c r="AK473" t="s">
        <v>1</v>
      </c>
      <c r="AL473" t="s">
        <v>374</v>
      </c>
      <c r="AQ473" s="1">
        <f t="shared" si="201"/>
        <v>100</v>
      </c>
      <c r="AR473" s="1">
        <f t="shared" si="181"/>
        <v>0</v>
      </c>
      <c r="AS473" s="1">
        <f t="shared" si="182"/>
        <v>0.02</v>
      </c>
      <c r="AT473" s="1">
        <f t="shared" si="183"/>
        <v>0.38</v>
      </c>
      <c r="AU473" s="1">
        <f t="shared" si="184"/>
        <v>0.1</v>
      </c>
      <c r="AV473" s="1">
        <f t="shared" si="185"/>
        <v>0.4</v>
      </c>
      <c r="AX473" s="1">
        <f t="shared" si="186"/>
        <v>0.25</v>
      </c>
      <c r="AY473" s="1">
        <f t="shared" si="187"/>
        <v>0</v>
      </c>
      <c r="AZ473" s="1">
        <f t="shared" si="188"/>
        <v>0.515625</v>
      </c>
      <c r="BA473" s="1">
        <f t="shared" si="189"/>
        <v>0.5625</v>
      </c>
      <c r="BB473" s="1">
        <f t="shared" si="190"/>
        <v>0</v>
      </c>
      <c r="BC473" s="1">
        <f t="shared" si="191"/>
        <v>0</v>
      </c>
      <c r="BD473" s="1">
        <f t="shared" si="192"/>
        <v>0.4</v>
      </c>
      <c r="BF473">
        <f t="shared" si="193"/>
        <v>46</v>
      </c>
      <c r="BG473">
        <f t="shared" si="203"/>
        <v>16.666666666666664</v>
      </c>
      <c r="BH473" s="1">
        <f t="shared" si="194"/>
        <v>0.21739130434782608</v>
      </c>
      <c r="BI473" s="1">
        <f t="shared" si="195"/>
        <v>0.36231884057971009</v>
      </c>
      <c r="BJ473" s="1">
        <f t="shared" si="196"/>
        <v>0.59413043478260863</v>
      </c>
      <c r="BK473" s="1">
        <f t="shared" si="197"/>
        <v>0.2051304347826087</v>
      </c>
      <c r="BL473" s="1">
        <f t="shared" si="198"/>
        <v>0.36231884057971009</v>
      </c>
      <c r="BM473" s="1">
        <f t="shared" si="199"/>
        <v>0.36231884057971009</v>
      </c>
      <c r="BN473" s="1">
        <f t="shared" si="202"/>
        <v>1.4198697752573048E-3</v>
      </c>
      <c r="BO473" s="1">
        <f t="shared" si="200"/>
        <v>5.8383733685219634E-5</v>
      </c>
    </row>
    <row r="474" spans="1:67" x14ac:dyDescent="0.25">
      <c r="A474" s="3"/>
      <c r="B474" s="3"/>
      <c r="C474" t="s">
        <v>236</v>
      </c>
      <c r="D474" s="5">
        <v>1</v>
      </c>
      <c r="E474" s="9">
        <f t="shared" si="179"/>
        <v>0</v>
      </c>
      <c r="F474" s="9">
        <f t="shared" si="180"/>
        <v>0.41666666666666669</v>
      </c>
      <c r="G474">
        <v>2</v>
      </c>
      <c r="H474">
        <v>28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50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38</v>
      </c>
      <c r="AK474" t="s">
        <v>1</v>
      </c>
      <c r="AL474" t="s">
        <v>374</v>
      </c>
      <c r="AQ474" s="1">
        <f t="shared" si="201"/>
        <v>100</v>
      </c>
      <c r="AR474" s="1">
        <f t="shared" si="181"/>
        <v>0</v>
      </c>
      <c r="AS474" s="1">
        <f t="shared" si="182"/>
        <v>0.02</v>
      </c>
      <c r="AT474" s="1">
        <f t="shared" si="183"/>
        <v>0.28000000000000003</v>
      </c>
      <c r="AU474" s="1">
        <f t="shared" si="184"/>
        <v>0.2</v>
      </c>
      <c r="AV474" s="1">
        <f t="shared" si="185"/>
        <v>0.38</v>
      </c>
      <c r="AX474" s="1">
        <f t="shared" si="186"/>
        <v>0.66666666666666663</v>
      </c>
      <c r="AY474" s="1">
        <f t="shared" si="187"/>
        <v>0</v>
      </c>
      <c r="AZ474" s="1">
        <f t="shared" si="188"/>
        <v>0.54166666666666663</v>
      </c>
      <c r="BA474" s="1">
        <f t="shared" si="189"/>
        <v>0.66666666666666663</v>
      </c>
      <c r="BB474" s="1">
        <f t="shared" si="190"/>
        <v>0</v>
      </c>
      <c r="BC474" s="1">
        <f t="shared" si="191"/>
        <v>0</v>
      </c>
      <c r="BD474" s="1">
        <f t="shared" si="192"/>
        <v>0.38</v>
      </c>
      <c r="BF474">
        <f t="shared" si="193"/>
        <v>36</v>
      </c>
      <c r="BG474">
        <f t="shared" si="203"/>
        <v>16.666666666666664</v>
      </c>
      <c r="BH474" s="1">
        <f t="shared" si="194"/>
        <v>0.55555555555555558</v>
      </c>
      <c r="BI474" s="1">
        <f t="shared" si="195"/>
        <v>0.46296296296296291</v>
      </c>
      <c r="BJ474" s="1">
        <f t="shared" si="196"/>
        <v>0.60055555555555551</v>
      </c>
      <c r="BK474" s="1">
        <f t="shared" si="197"/>
        <v>0.37488888888888894</v>
      </c>
      <c r="BL474" s="1">
        <f t="shared" si="198"/>
        <v>0.46296296296296291</v>
      </c>
      <c r="BM474" s="1">
        <f t="shared" si="199"/>
        <v>0.46296296296296291</v>
      </c>
      <c r="BN474" s="1">
        <f t="shared" si="202"/>
        <v>6.8828532235939545E-3</v>
      </c>
      <c r="BO474" s="1">
        <f t="shared" si="200"/>
        <v>7.6402073062170313E-4</v>
      </c>
    </row>
    <row r="475" spans="1:67" x14ac:dyDescent="0.25">
      <c r="A475" s="3"/>
      <c r="B475" s="3"/>
      <c r="C475" t="s">
        <v>237</v>
      </c>
      <c r="D475" s="5">
        <v>1</v>
      </c>
      <c r="E475" s="9">
        <f t="shared" si="179"/>
        <v>0</v>
      </c>
      <c r="F475" s="9">
        <f t="shared" si="180"/>
        <v>0.10869565217391304</v>
      </c>
      <c r="G475">
        <v>4</v>
      </c>
      <c r="H475">
        <v>41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35</v>
      </c>
      <c r="AK475" t="s">
        <v>1</v>
      </c>
      <c r="AL475" t="s">
        <v>374</v>
      </c>
      <c r="AQ475" s="1">
        <f t="shared" si="201"/>
        <v>100</v>
      </c>
      <c r="AR475" s="1">
        <f t="shared" si="181"/>
        <v>0</v>
      </c>
      <c r="AS475" s="1">
        <f t="shared" si="182"/>
        <v>0.04</v>
      </c>
      <c r="AT475" s="1">
        <f t="shared" si="183"/>
        <v>0.41</v>
      </c>
      <c r="AU475" s="1">
        <f t="shared" si="184"/>
        <v>0.05</v>
      </c>
      <c r="AV475" s="1">
        <f t="shared" si="185"/>
        <v>0.35</v>
      </c>
      <c r="AX475" s="1">
        <f t="shared" si="186"/>
        <v>0.11111111111111113</v>
      </c>
      <c r="AY475" s="1">
        <f t="shared" si="187"/>
        <v>0</v>
      </c>
      <c r="AZ475" s="1">
        <f t="shared" si="188"/>
        <v>0.50694444444444442</v>
      </c>
      <c r="BA475" s="1">
        <f t="shared" si="189"/>
        <v>0.52777777777777779</v>
      </c>
      <c r="BB475" s="1">
        <f t="shared" si="190"/>
        <v>0</v>
      </c>
      <c r="BC475" s="1">
        <f t="shared" si="191"/>
        <v>0</v>
      </c>
      <c r="BD475" s="1">
        <f t="shared" si="192"/>
        <v>0.35</v>
      </c>
      <c r="BF475">
        <f t="shared" si="193"/>
        <v>57</v>
      </c>
      <c r="BG475">
        <f t="shared" si="203"/>
        <v>16.666666666666664</v>
      </c>
      <c r="BH475" s="1">
        <f t="shared" si="194"/>
        <v>8.771929824561403E-2</v>
      </c>
      <c r="BI475" s="1">
        <f t="shared" si="195"/>
        <v>0.29239766081871343</v>
      </c>
      <c r="BJ475" s="1">
        <f t="shared" si="196"/>
        <v>0.59166666666666667</v>
      </c>
      <c r="BK475" s="1">
        <f t="shared" si="197"/>
        <v>0.14003508771929823</v>
      </c>
      <c r="BL475" s="1">
        <f t="shared" si="198"/>
        <v>0.29239766081871343</v>
      </c>
      <c r="BM475" s="1">
        <f t="shared" si="199"/>
        <v>0.29239766081871343</v>
      </c>
      <c r="BN475" s="1">
        <f t="shared" si="202"/>
        <v>3.3180294791559789E-3</v>
      </c>
      <c r="BO475" s="1">
        <f t="shared" si="200"/>
        <v>3.3224762260264311E-3</v>
      </c>
    </row>
    <row r="476" spans="1:67" x14ac:dyDescent="0.25">
      <c r="A476" s="3"/>
      <c r="B476" s="3"/>
      <c r="C476" t="s">
        <v>238</v>
      </c>
      <c r="D476" s="5">
        <v>1</v>
      </c>
      <c r="E476" s="9">
        <f t="shared" si="179"/>
        <v>0</v>
      </c>
      <c r="F476" s="9">
        <f t="shared" si="180"/>
        <v>0.21739130434782608</v>
      </c>
      <c r="G476">
        <v>4</v>
      </c>
      <c r="H476">
        <v>36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35</v>
      </c>
      <c r="AK476" t="s">
        <v>1</v>
      </c>
      <c r="AL476" t="s">
        <v>374</v>
      </c>
      <c r="AQ476" s="1">
        <f t="shared" si="201"/>
        <v>100</v>
      </c>
      <c r="AR476" s="1">
        <f t="shared" si="181"/>
        <v>0</v>
      </c>
      <c r="AS476" s="1">
        <f t="shared" si="182"/>
        <v>0.04</v>
      </c>
      <c r="AT476" s="1">
        <f t="shared" si="183"/>
        <v>0.36</v>
      </c>
      <c r="AU476" s="1">
        <f t="shared" si="184"/>
        <v>0.1</v>
      </c>
      <c r="AV476" s="1">
        <f t="shared" si="185"/>
        <v>0.35</v>
      </c>
      <c r="AX476" s="1">
        <f t="shared" si="186"/>
        <v>0.25000000000000006</v>
      </c>
      <c r="AY476" s="1">
        <f t="shared" si="187"/>
        <v>0</v>
      </c>
      <c r="AZ476" s="1">
        <f t="shared" si="188"/>
        <v>0.515625</v>
      </c>
      <c r="BA476" s="1">
        <f t="shared" si="189"/>
        <v>0.5625</v>
      </c>
      <c r="BB476" s="1">
        <f t="shared" si="190"/>
        <v>0</v>
      </c>
      <c r="BC476" s="1">
        <f t="shared" si="191"/>
        <v>0</v>
      </c>
      <c r="BD476" s="1">
        <f t="shared" si="192"/>
        <v>0.35</v>
      </c>
      <c r="BF476">
        <f t="shared" si="193"/>
        <v>52</v>
      </c>
      <c r="BG476">
        <f t="shared" si="203"/>
        <v>16.666666666666664</v>
      </c>
      <c r="BH476" s="1">
        <f t="shared" si="194"/>
        <v>0.19230769230769232</v>
      </c>
      <c r="BI476" s="1">
        <f t="shared" si="195"/>
        <v>0.32051282051282048</v>
      </c>
      <c r="BJ476" s="1">
        <f t="shared" si="196"/>
        <v>0.59365384615384609</v>
      </c>
      <c r="BK476" s="1">
        <f t="shared" si="197"/>
        <v>0.19253846153846155</v>
      </c>
      <c r="BL476" s="1">
        <f t="shared" si="198"/>
        <v>0.32051282051282048</v>
      </c>
      <c r="BM476" s="1">
        <f t="shared" si="199"/>
        <v>0.32051282051282048</v>
      </c>
      <c r="BN476" s="1">
        <f t="shared" si="202"/>
        <v>8.6949375410913911E-4</v>
      </c>
      <c r="BO476" s="1">
        <f t="shared" si="200"/>
        <v>3.3224762260264311E-3</v>
      </c>
    </row>
    <row r="477" spans="1:67" x14ac:dyDescent="0.25">
      <c r="A477" s="3"/>
      <c r="B477" s="3"/>
      <c r="C477" t="s">
        <v>245</v>
      </c>
      <c r="D477" s="5">
        <v>1</v>
      </c>
      <c r="E477" s="9">
        <f t="shared" si="179"/>
        <v>0</v>
      </c>
      <c r="F477" s="9">
        <f t="shared" si="180"/>
        <v>0.43478260869565216</v>
      </c>
      <c r="G477">
        <v>4</v>
      </c>
      <c r="H477">
        <v>26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30</v>
      </c>
      <c r="AK477" t="s">
        <v>1</v>
      </c>
      <c r="AL477" t="s">
        <v>374</v>
      </c>
      <c r="AQ477" s="1">
        <f t="shared" si="201"/>
        <v>100</v>
      </c>
      <c r="AR477" s="1">
        <f t="shared" si="181"/>
        <v>0</v>
      </c>
      <c r="AS477" s="1">
        <f t="shared" si="182"/>
        <v>0.04</v>
      </c>
      <c r="AT477" s="1">
        <f t="shared" si="183"/>
        <v>0.26</v>
      </c>
      <c r="AU477" s="1">
        <f t="shared" si="184"/>
        <v>0.2</v>
      </c>
      <c r="AV477" s="1">
        <f t="shared" si="185"/>
        <v>0.3</v>
      </c>
      <c r="AX477" s="1">
        <f t="shared" si="186"/>
        <v>0.66666666666666674</v>
      </c>
      <c r="AY477" s="1">
        <f t="shared" si="187"/>
        <v>0</v>
      </c>
      <c r="AZ477" s="1">
        <f t="shared" si="188"/>
        <v>0.54166666666666663</v>
      </c>
      <c r="BA477" s="1">
        <f t="shared" si="189"/>
        <v>0.66666666666666674</v>
      </c>
      <c r="BB477" s="1">
        <f t="shared" si="190"/>
        <v>0</v>
      </c>
      <c r="BC477" s="1">
        <f t="shared" si="191"/>
        <v>0</v>
      </c>
      <c r="BD477" s="1">
        <f t="shared" si="192"/>
        <v>0.3</v>
      </c>
      <c r="BF477">
        <f t="shared" si="193"/>
        <v>42</v>
      </c>
      <c r="BG477">
        <f t="shared" si="203"/>
        <v>16.666666666666664</v>
      </c>
      <c r="BH477" s="1">
        <f t="shared" si="194"/>
        <v>0.47619047619047616</v>
      </c>
      <c r="BI477" s="1">
        <f t="shared" si="195"/>
        <v>0.39682539682539675</v>
      </c>
      <c r="BJ477" s="1">
        <f t="shared" si="196"/>
        <v>0.59904761904761905</v>
      </c>
      <c r="BK477" s="1">
        <f t="shared" si="197"/>
        <v>0.33504761904761904</v>
      </c>
      <c r="BL477" s="1">
        <f t="shared" si="198"/>
        <v>0.39682539682539675</v>
      </c>
      <c r="BM477" s="1">
        <f t="shared" si="199"/>
        <v>0.39682539682539675</v>
      </c>
      <c r="BN477" s="1">
        <f t="shared" si="202"/>
        <v>9.3751574703955527E-3</v>
      </c>
      <c r="BO477" s="1">
        <f t="shared" si="200"/>
        <v>1.158656871836764E-2</v>
      </c>
    </row>
    <row r="478" spans="1:67" x14ac:dyDescent="0.25">
      <c r="A478" s="3"/>
      <c r="B478" s="3"/>
      <c r="C478" t="s">
        <v>239</v>
      </c>
      <c r="D478" s="5">
        <v>1</v>
      </c>
      <c r="E478" s="9">
        <f t="shared" si="179"/>
        <v>0</v>
      </c>
      <c r="F478" s="9">
        <f t="shared" si="180"/>
        <v>0.11363636363636363</v>
      </c>
      <c r="G478">
        <v>6</v>
      </c>
      <c r="H478">
        <v>39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32</v>
      </c>
      <c r="AK478" t="s">
        <v>1</v>
      </c>
      <c r="AL478" t="s">
        <v>374</v>
      </c>
      <c r="AQ478" s="1">
        <f t="shared" si="201"/>
        <v>100</v>
      </c>
      <c r="AR478" s="1">
        <f t="shared" si="181"/>
        <v>0</v>
      </c>
      <c r="AS478" s="1">
        <f t="shared" si="182"/>
        <v>0.06</v>
      </c>
      <c r="AT478" s="1">
        <f t="shared" si="183"/>
        <v>0.39</v>
      </c>
      <c r="AU478" s="1">
        <f t="shared" si="184"/>
        <v>0.05</v>
      </c>
      <c r="AV478" s="1">
        <f t="shared" si="185"/>
        <v>0.32</v>
      </c>
      <c r="AX478" s="1">
        <f t="shared" si="186"/>
        <v>0.11111111111111112</v>
      </c>
      <c r="AY478" s="1">
        <f t="shared" si="187"/>
        <v>0</v>
      </c>
      <c r="AZ478" s="1">
        <f t="shared" si="188"/>
        <v>0.50694444444444442</v>
      </c>
      <c r="BA478" s="1">
        <f t="shared" si="189"/>
        <v>0.52777777777777779</v>
      </c>
      <c r="BB478" s="1">
        <f t="shared" si="190"/>
        <v>0</v>
      </c>
      <c r="BC478" s="1">
        <f t="shared" si="191"/>
        <v>0</v>
      </c>
      <c r="BD478" s="1">
        <f t="shared" si="192"/>
        <v>0.32</v>
      </c>
      <c r="BF478">
        <f t="shared" si="193"/>
        <v>63</v>
      </c>
      <c r="BG478">
        <f t="shared" si="203"/>
        <v>16.666666666666664</v>
      </c>
      <c r="BH478" s="1">
        <f t="shared" si="194"/>
        <v>7.9365079365079361E-2</v>
      </c>
      <c r="BI478" s="1">
        <f t="shared" si="195"/>
        <v>0.26455026455026454</v>
      </c>
      <c r="BJ478" s="1">
        <f t="shared" si="196"/>
        <v>0.59150793650793643</v>
      </c>
      <c r="BK478" s="1">
        <f t="shared" si="197"/>
        <v>0.13584126984126985</v>
      </c>
      <c r="BL478" s="1">
        <f t="shared" si="198"/>
        <v>0.26455026455026454</v>
      </c>
      <c r="BM478" s="1">
        <f t="shared" si="199"/>
        <v>0.26455026455026454</v>
      </c>
      <c r="BN478" s="1">
        <f t="shared" si="202"/>
        <v>3.0746731614456507E-3</v>
      </c>
      <c r="BO478" s="1">
        <f t="shared" si="200"/>
        <v>7.680931721431152E-3</v>
      </c>
    </row>
    <row r="479" spans="1:67" x14ac:dyDescent="0.25">
      <c r="A479" s="3"/>
      <c r="B479" s="3"/>
      <c r="C479" t="s">
        <v>240</v>
      </c>
      <c r="D479" s="5">
        <v>1</v>
      </c>
      <c r="E479" s="9">
        <f t="shared" si="179"/>
        <v>0</v>
      </c>
      <c r="F479" s="9">
        <f t="shared" si="180"/>
        <v>0.22727272727272727</v>
      </c>
      <c r="G479">
        <v>6</v>
      </c>
      <c r="H479">
        <v>34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33</v>
      </c>
      <c r="AK479" t="s">
        <v>1</v>
      </c>
      <c r="AL479" t="s">
        <v>374</v>
      </c>
      <c r="AQ479" s="1">
        <f t="shared" si="201"/>
        <v>100</v>
      </c>
      <c r="AR479" s="1">
        <f t="shared" si="181"/>
        <v>0</v>
      </c>
      <c r="AS479" s="1">
        <f t="shared" si="182"/>
        <v>0.06</v>
      </c>
      <c r="AT479" s="1">
        <f t="shared" si="183"/>
        <v>0.34</v>
      </c>
      <c r="AU479" s="1">
        <f t="shared" si="184"/>
        <v>0.1</v>
      </c>
      <c r="AV479" s="1">
        <f t="shared" si="185"/>
        <v>0.33</v>
      </c>
      <c r="AX479" s="1">
        <f t="shared" si="186"/>
        <v>0.25</v>
      </c>
      <c r="AY479" s="1">
        <f t="shared" si="187"/>
        <v>0</v>
      </c>
      <c r="AZ479" s="1">
        <f t="shared" si="188"/>
        <v>0.515625</v>
      </c>
      <c r="BA479" s="1">
        <f t="shared" si="189"/>
        <v>0.5625</v>
      </c>
      <c r="BB479" s="1">
        <f t="shared" si="190"/>
        <v>0</v>
      </c>
      <c r="BC479" s="1">
        <f t="shared" si="191"/>
        <v>0</v>
      </c>
      <c r="BD479" s="1">
        <f t="shared" si="192"/>
        <v>0.33</v>
      </c>
      <c r="BF479">
        <f t="shared" si="193"/>
        <v>58</v>
      </c>
      <c r="BG479">
        <f t="shared" si="203"/>
        <v>16.666666666666664</v>
      </c>
      <c r="BH479" s="1">
        <f t="shared" si="194"/>
        <v>0.17241379310344829</v>
      </c>
      <c r="BI479" s="1">
        <f t="shared" si="195"/>
        <v>0.28735632183908044</v>
      </c>
      <c r="BJ479" s="1">
        <f t="shared" si="196"/>
        <v>0.59327586206896543</v>
      </c>
      <c r="BK479" s="1">
        <f t="shared" si="197"/>
        <v>0.18255172413793103</v>
      </c>
      <c r="BL479" s="1">
        <f t="shared" si="198"/>
        <v>0.28735632183908044</v>
      </c>
      <c r="BM479" s="1">
        <f t="shared" si="199"/>
        <v>0.28735632183908044</v>
      </c>
      <c r="BN479" s="1">
        <f t="shared" si="202"/>
        <v>1.8184832870920889E-3</v>
      </c>
      <c r="BO479" s="1">
        <f t="shared" si="200"/>
        <v>6.0281132229629093E-3</v>
      </c>
    </row>
    <row r="480" spans="1:67" x14ac:dyDescent="0.25">
      <c r="A480" s="3"/>
      <c r="B480" s="3"/>
      <c r="C480" t="s">
        <v>241</v>
      </c>
      <c r="D480" s="5">
        <v>1</v>
      </c>
      <c r="E480" s="9">
        <f t="shared" si="179"/>
        <v>0</v>
      </c>
      <c r="F480" s="9">
        <f t="shared" si="180"/>
        <v>0.45454545454545453</v>
      </c>
      <c r="G480">
        <v>6</v>
      </c>
      <c r="H480">
        <v>24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29</v>
      </c>
      <c r="AK480" t="s">
        <v>1</v>
      </c>
      <c r="AL480" t="s">
        <v>374</v>
      </c>
      <c r="AQ480" s="1">
        <f t="shared" si="201"/>
        <v>100</v>
      </c>
      <c r="AR480" s="1">
        <f t="shared" si="181"/>
        <v>0</v>
      </c>
      <c r="AS480" s="1">
        <f t="shared" si="182"/>
        <v>0.06</v>
      </c>
      <c r="AT480" s="1">
        <f t="shared" si="183"/>
        <v>0.24</v>
      </c>
      <c r="AU480" s="1">
        <f t="shared" si="184"/>
        <v>0.2</v>
      </c>
      <c r="AV480" s="1">
        <f t="shared" si="185"/>
        <v>0.28999999999999998</v>
      </c>
      <c r="AX480" s="1">
        <f t="shared" si="186"/>
        <v>0.66666666666666674</v>
      </c>
      <c r="AY480" s="1">
        <f t="shared" si="187"/>
        <v>0</v>
      </c>
      <c r="AZ480" s="1">
        <f t="shared" si="188"/>
        <v>0.54166666666666663</v>
      </c>
      <c r="BA480" s="1">
        <f t="shared" si="189"/>
        <v>0.66666666666666674</v>
      </c>
      <c r="BB480" s="1">
        <f t="shared" si="190"/>
        <v>0</v>
      </c>
      <c r="BC480" s="1">
        <f t="shared" si="191"/>
        <v>0</v>
      </c>
      <c r="BD480" s="1">
        <f t="shared" si="192"/>
        <v>0.28999999999999998</v>
      </c>
      <c r="BF480">
        <f t="shared" si="193"/>
        <v>48</v>
      </c>
      <c r="BG480">
        <f t="shared" si="203"/>
        <v>16.666666666666664</v>
      </c>
      <c r="BH480" s="1">
        <f t="shared" si="194"/>
        <v>0.41666666666666669</v>
      </c>
      <c r="BI480" s="1">
        <f t="shared" si="195"/>
        <v>0.34722222222222215</v>
      </c>
      <c r="BJ480" s="1">
        <f t="shared" si="196"/>
        <v>0.59791666666666665</v>
      </c>
      <c r="BK480" s="1">
        <f t="shared" si="197"/>
        <v>0.3051666666666667</v>
      </c>
      <c r="BL480" s="1">
        <f t="shared" si="198"/>
        <v>0.34722222222222215</v>
      </c>
      <c r="BM480" s="1">
        <f t="shared" si="199"/>
        <v>0.34722222222222215</v>
      </c>
      <c r="BN480" s="1">
        <f t="shared" si="202"/>
        <v>3.2743827160493771E-3</v>
      </c>
      <c r="BO480" s="1">
        <f t="shared" si="200"/>
        <v>1.3839387216835882E-2</v>
      </c>
    </row>
    <row r="481" spans="1:67" x14ac:dyDescent="0.25">
      <c r="A481" s="3"/>
      <c r="B481" s="3"/>
      <c r="C481" t="s">
        <v>242</v>
      </c>
      <c r="D481" s="5">
        <v>1</v>
      </c>
      <c r="E481" s="9">
        <f t="shared" si="179"/>
        <v>0</v>
      </c>
      <c r="F481" s="9">
        <f t="shared" si="180"/>
        <v>0.11904761904761904</v>
      </c>
      <c r="G481">
        <v>8</v>
      </c>
      <c r="H481">
        <v>37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28</v>
      </c>
      <c r="AK481" t="s">
        <v>1</v>
      </c>
      <c r="AL481" t="s">
        <v>374</v>
      </c>
      <c r="AQ481" s="1">
        <f t="shared" si="201"/>
        <v>100</v>
      </c>
      <c r="AR481" s="1">
        <f t="shared" si="181"/>
        <v>0</v>
      </c>
      <c r="AS481" s="1">
        <f t="shared" si="182"/>
        <v>0.08</v>
      </c>
      <c r="AT481" s="1">
        <f t="shared" si="183"/>
        <v>0.37</v>
      </c>
      <c r="AU481" s="1">
        <f t="shared" si="184"/>
        <v>0.05</v>
      </c>
      <c r="AV481" s="1">
        <f t="shared" si="185"/>
        <v>0.28000000000000003</v>
      </c>
      <c r="AX481" s="1">
        <f t="shared" si="186"/>
        <v>0.11111111111111112</v>
      </c>
      <c r="AY481" s="1">
        <f t="shared" si="187"/>
        <v>0</v>
      </c>
      <c r="AZ481" s="1">
        <f t="shared" si="188"/>
        <v>0.50694444444444442</v>
      </c>
      <c r="BA481" s="1">
        <f t="shared" si="189"/>
        <v>0.52777777777777779</v>
      </c>
      <c r="BB481" s="1">
        <f t="shared" si="190"/>
        <v>0</v>
      </c>
      <c r="BC481" s="1">
        <f t="shared" si="191"/>
        <v>0</v>
      </c>
      <c r="BD481" s="1">
        <f t="shared" si="192"/>
        <v>0.28000000000000003</v>
      </c>
      <c r="BF481">
        <f t="shared" si="193"/>
        <v>69</v>
      </c>
      <c r="BG481">
        <f t="shared" si="203"/>
        <v>16.666666666666664</v>
      </c>
      <c r="BH481" s="1">
        <f t="shared" si="194"/>
        <v>7.2463768115942032E-2</v>
      </c>
      <c r="BI481" s="1">
        <f t="shared" si="195"/>
        <v>0.24154589371980673</v>
      </c>
      <c r="BJ481" s="1">
        <f t="shared" si="196"/>
        <v>0.59137681159420286</v>
      </c>
      <c r="BK481" s="1">
        <f t="shared" si="197"/>
        <v>0.13237681159420289</v>
      </c>
      <c r="BL481" s="1">
        <f t="shared" si="198"/>
        <v>0.24154589371980673</v>
      </c>
      <c r="BM481" s="1">
        <f t="shared" si="199"/>
        <v>0.24154589371980673</v>
      </c>
      <c r="BN481" s="1">
        <f t="shared" si="202"/>
        <v>1.4787182898084018E-3</v>
      </c>
      <c r="BO481" s="1">
        <f t="shared" si="200"/>
        <v>1.6292205715304115E-2</v>
      </c>
    </row>
    <row r="482" spans="1:67" x14ac:dyDescent="0.25">
      <c r="A482" s="3"/>
      <c r="B482" s="3"/>
      <c r="C482" t="s">
        <v>243</v>
      </c>
      <c r="D482" s="5">
        <v>1</v>
      </c>
      <c r="E482" s="9">
        <f t="shared" si="179"/>
        <v>0</v>
      </c>
      <c r="F482" s="9">
        <f t="shared" si="180"/>
        <v>0.23809523809523808</v>
      </c>
      <c r="G482">
        <v>8</v>
      </c>
      <c r="H482">
        <v>32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50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27</v>
      </c>
      <c r="AK482" t="s">
        <v>1</v>
      </c>
      <c r="AL482" t="s">
        <v>374</v>
      </c>
      <c r="AQ482" s="1">
        <f t="shared" si="201"/>
        <v>100</v>
      </c>
      <c r="AR482" s="1">
        <f t="shared" si="181"/>
        <v>0</v>
      </c>
      <c r="AS482" s="1">
        <f t="shared" si="182"/>
        <v>0.08</v>
      </c>
      <c r="AT482" s="1">
        <f t="shared" si="183"/>
        <v>0.32</v>
      </c>
      <c r="AU482" s="1">
        <f t="shared" si="184"/>
        <v>0.1</v>
      </c>
      <c r="AV482" s="1">
        <f t="shared" si="185"/>
        <v>0.27</v>
      </c>
      <c r="AX482" s="1">
        <f t="shared" si="186"/>
        <v>0.25</v>
      </c>
      <c r="AY482" s="1">
        <f t="shared" si="187"/>
        <v>0</v>
      </c>
      <c r="AZ482" s="1">
        <f t="shared" si="188"/>
        <v>0.515625</v>
      </c>
      <c r="BA482" s="1">
        <f t="shared" si="189"/>
        <v>0.5625</v>
      </c>
      <c r="BB482" s="1">
        <f t="shared" si="190"/>
        <v>0</v>
      </c>
      <c r="BC482" s="1">
        <f t="shared" si="191"/>
        <v>0</v>
      </c>
      <c r="BD482" s="1">
        <f t="shared" si="192"/>
        <v>0.27</v>
      </c>
      <c r="BF482">
        <f t="shared" si="193"/>
        <v>64</v>
      </c>
      <c r="BG482">
        <f t="shared" si="203"/>
        <v>16.666666666666664</v>
      </c>
      <c r="BH482" s="1">
        <f t="shared" si="194"/>
        <v>0.15625</v>
      </c>
      <c r="BI482" s="1">
        <f t="shared" si="195"/>
        <v>0.26041666666666663</v>
      </c>
      <c r="BJ482" s="1">
        <f t="shared" si="196"/>
        <v>0.59296874999999993</v>
      </c>
      <c r="BK482" s="1">
        <f t="shared" si="197"/>
        <v>0.1744375</v>
      </c>
      <c r="BL482" s="1">
        <f t="shared" si="198"/>
        <v>0.26041666666666663</v>
      </c>
      <c r="BM482" s="1">
        <f t="shared" si="199"/>
        <v>0.26041666666666663</v>
      </c>
      <c r="BN482" s="1">
        <f t="shared" si="202"/>
        <v>9.1840277777778821E-5</v>
      </c>
      <c r="BO482" s="1">
        <f t="shared" si="200"/>
        <v>1.8945024213772359E-2</v>
      </c>
    </row>
    <row r="483" spans="1:67" x14ac:dyDescent="0.25">
      <c r="A483" s="3"/>
      <c r="B483" s="3"/>
      <c r="C483" t="s">
        <v>244</v>
      </c>
      <c r="D483" s="5">
        <v>1</v>
      </c>
      <c r="E483" s="9">
        <f t="shared" si="179"/>
        <v>0</v>
      </c>
      <c r="F483" s="9">
        <f t="shared" si="180"/>
        <v>0.47619047619047616</v>
      </c>
      <c r="G483">
        <v>8</v>
      </c>
      <c r="H483">
        <v>22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50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25</v>
      </c>
      <c r="AK483" t="s">
        <v>1</v>
      </c>
      <c r="AL483" t="s">
        <v>374</v>
      </c>
      <c r="AQ483" s="1">
        <f t="shared" si="201"/>
        <v>100</v>
      </c>
      <c r="AR483" s="1">
        <f t="shared" si="181"/>
        <v>0</v>
      </c>
      <c r="AS483" s="1">
        <f t="shared" si="182"/>
        <v>0.08</v>
      </c>
      <c r="AT483" s="1">
        <f t="shared" si="183"/>
        <v>0.22</v>
      </c>
      <c r="AU483" s="1">
        <f t="shared" si="184"/>
        <v>0.2</v>
      </c>
      <c r="AV483" s="1">
        <f t="shared" si="185"/>
        <v>0.25</v>
      </c>
      <c r="AX483" s="1">
        <f t="shared" si="186"/>
        <v>0.66666666666666674</v>
      </c>
      <c r="AY483" s="1">
        <f t="shared" si="187"/>
        <v>0</v>
      </c>
      <c r="AZ483" s="1">
        <f t="shared" si="188"/>
        <v>0.54166666666666663</v>
      </c>
      <c r="BA483" s="1">
        <f t="shared" si="189"/>
        <v>0.66666666666666674</v>
      </c>
      <c r="BB483" s="1">
        <f t="shared" si="190"/>
        <v>0</v>
      </c>
      <c r="BC483" s="1">
        <f t="shared" si="191"/>
        <v>0</v>
      </c>
      <c r="BD483" s="1">
        <f t="shared" si="192"/>
        <v>0.25</v>
      </c>
      <c r="BF483">
        <f t="shared" si="193"/>
        <v>54</v>
      </c>
      <c r="BG483">
        <f t="shared" si="203"/>
        <v>16.666666666666664</v>
      </c>
      <c r="BH483" s="1">
        <f t="shared" si="194"/>
        <v>0.37037037037037035</v>
      </c>
      <c r="BI483" s="1">
        <f t="shared" si="195"/>
        <v>0.30864197530864196</v>
      </c>
      <c r="BJ483" s="1">
        <f t="shared" si="196"/>
        <v>0.59703703703703703</v>
      </c>
      <c r="BK483" s="1">
        <f t="shared" si="197"/>
        <v>0.28192592592592591</v>
      </c>
      <c r="BL483" s="1">
        <f t="shared" si="198"/>
        <v>0.30864197530864196</v>
      </c>
      <c r="BM483" s="1">
        <f t="shared" si="199"/>
        <v>0.30864197530864196</v>
      </c>
      <c r="BN483" s="1">
        <f t="shared" si="202"/>
        <v>3.438881268099373E-3</v>
      </c>
      <c r="BO483" s="1">
        <f t="shared" si="200"/>
        <v>2.4850661210708846E-2</v>
      </c>
    </row>
    <row r="484" spans="1:67" x14ac:dyDescent="0.25">
      <c r="A484" s="3"/>
      <c r="B484" s="3"/>
      <c r="C484" t="s">
        <v>340</v>
      </c>
      <c r="D484" s="5">
        <v>1</v>
      </c>
      <c r="E484" s="9">
        <f t="shared" si="179"/>
        <v>2.912621359223301</v>
      </c>
      <c r="F484" s="9">
        <f t="shared" si="180"/>
        <v>0</v>
      </c>
      <c r="G484">
        <v>0</v>
      </c>
      <c r="H484">
        <v>97.087378640776706</v>
      </c>
      <c r="I484">
        <v>0</v>
      </c>
      <c r="J484">
        <v>0</v>
      </c>
      <c r="K484">
        <v>0</v>
      </c>
      <c r="L484">
        <v>0</v>
      </c>
      <c r="M484">
        <v>2.912621359223301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</v>
      </c>
      <c r="AK484" t="s">
        <v>1</v>
      </c>
      <c r="AL484" t="s">
        <v>372</v>
      </c>
      <c r="AN484" t="s">
        <v>373</v>
      </c>
      <c r="AO484" t="s">
        <v>378</v>
      </c>
      <c r="AP484" t="s">
        <v>817</v>
      </c>
      <c r="AQ484" s="1">
        <f t="shared" si="201"/>
        <v>100</v>
      </c>
      <c r="AR484" s="1">
        <f t="shared" si="181"/>
        <v>2.9126213592233011E-2</v>
      </c>
      <c r="AS484" s="1">
        <f t="shared" si="182"/>
        <v>0</v>
      </c>
      <c r="AT484" s="1">
        <f t="shared" si="183"/>
        <v>0.970873786407767</v>
      </c>
      <c r="AU484" s="1">
        <f t="shared" si="184"/>
        <v>0</v>
      </c>
      <c r="AV484" s="1">
        <f t="shared" si="185"/>
        <v>0.03</v>
      </c>
      <c r="AX484" s="1">
        <f t="shared" si="186"/>
        <v>0</v>
      </c>
      <c r="AY484" s="1">
        <f t="shared" si="187"/>
        <v>0.03</v>
      </c>
      <c r="AZ484" s="1">
        <f t="shared" si="188"/>
        <v>0.5</v>
      </c>
      <c r="BA484" s="1">
        <f t="shared" si="189"/>
        <v>0.5</v>
      </c>
      <c r="BB484" s="1">
        <f t="shared" si="190"/>
        <v>0.03</v>
      </c>
      <c r="BC484" s="1">
        <f t="shared" si="191"/>
        <v>0.03</v>
      </c>
      <c r="BD484" s="1">
        <f t="shared" si="192"/>
        <v>0</v>
      </c>
      <c r="BF484">
        <f t="shared" si="193"/>
        <v>97.087378640776706</v>
      </c>
      <c r="BG484">
        <f t="shared" si="203"/>
        <v>2.912621359223301</v>
      </c>
      <c r="BH484" s="1">
        <f t="shared" si="194"/>
        <v>0</v>
      </c>
      <c r="BI484" s="1">
        <f t="shared" si="195"/>
        <v>0.03</v>
      </c>
      <c r="BJ484" s="1">
        <f t="shared" si="196"/>
        <v>0.59</v>
      </c>
      <c r="BK484" s="1">
        <f t="shared" si="197"/>
        <v>9.6000000000000002E-2</v>
      </c>
      <c r="BL484" s="1">
        <f t="shared" si="198"/>
        <v>0.03</v>
      </c>
      <c r="BM484" s="1">
        <f t="shared" si="199"/>
        <v>0.03</v>
      </c>
      <c r="BN484" s="1">
        <f t="shared" si="202"/>
        <v>0</v>
      </c>
      <c r="BO484" s="1">
        <f t="shared" si="200"/>
        <v>0.14261266817701015</v>
      </c>
    </row>
    <row r="485" spans="1:67" x14ac:dyDescent="0.25">
      <c r="A485" s="3"/>
      <c r="B485" s="3"/>
      <c r="C485" t="s">
        <v>247</v>
      </c>
      <c r="D485" s="5">
        <v>1</v>
      </c>
      <c r="E485" s="9">
        <f t="shared" si="179"/>
        <v>9.0909090909090917</v>
      </c>
      <c r="F485" s="9">
        <f t="shared" si="180"/>
        <v>0</v>
      </c>
      <c r="G485">
        <v>0</v>
      </c>
      <c r="H485">
        <v>90.909090909090907</v>
      </c>
      <c r="I485">
        <v>0</v>
      </c>
      <c r="J485">
        <v>0</v>
      </c>
      <c r="K485">
        <v>0</v>
      </c>
      <c r="L485">
        <v>0</v>
      </c>
      <c r="M485">
        <v>9.0909090909090917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12</v>
      </c>
      <c r="AK485" t="s">
        <v>1</v>
      </c>
      <c r="AL485" t="s">
        <v>372</v>
      </c>
      <c r="AQ485" s="1">
        <f t="shared" si="201"/>
        <v>100</v>
      </c>
      <c r="AR485" s="1">
        <f t="shared" si="181"/>
        <v>9.0909090909090912E-2</v>
      </c>
      <c r="AS485" s="1">
        <f t="shared" si="182"/>
        <v>0</v>
      </c>
      <c r="AT485" s="1">
        <f t="shared" si="183"/>
        <v>0.90909090909090906</v>
      </c>
      <c r="AU485" s="1">
        <f t="shared" si="184"/>
        <v>0</v>
      </c>
      <c r="AV485" s="1">
        <f t="shared" si="185"/>
        <v>0.12</v>
      </c>
      <c r="AX485" s="1">
        <f t="shared" si="186"/>
        <v>0</v>
      </c>
      <c r="AY485" s="1">
        <f t="shared" si="187"/>
        <v>0.1</v>
      </c>
      <c r="AZ485" s="1">
        <f t="shared" si="188"/>
        <v>0.5</v>
      </c>
      <c r="BA485" s="1">
        <f t="shared" si="189"/>
        <v>0.5</v>
      </c>
      <c r="BB485" s="1">
        <f t="shared" si="190"/>
        <v>0.1</v>
      </c>
      <c r="BC485" s="1">
        <f t="shared" si="191"/>
        <v>0.1</v>
      </c>
      <c r="BD485" s="1">
        <f t="shared" si="192"/>
        <v>1.999999999999999E-2</v>
      </c>
      <c r="BF485">
        <f t="shared" si="193"/>
        <v>90.909090909090907</v>
      </c>
      <c r="BG485">
        <f t="shared" si="203"/>
        <v>9.0909090909090917</v>
      </c>
      <c r="BH485" s="1">
        <f t="shared" si="194"/>
        <v>0</v>
      </c>
      <c r="BI485" s="1">
        <f t="shared" si="195"/>
        <v>0.1</v>
      </c>
      <c r="BJ485" s="1">
        <f t="shared" si="196"/>
        <v>0.59</v>
      </c>
      <c r="BK485" s="1">
        <f t="shared" si="197"/>
        <v>9.6000000000000002E-2</v>
      </c>
      <c r="BL485" s="1">
        <f t="shared" si="198"/>
        <v>0.1</v>
      </c>
      <c r="BM485" s="1">
        <f t="shared" si="199"/>
        <v>0.1</v>
      </c>
      <c r="BN485" s="1">
        <f t="shared" si="202"/>
        <v>3.9999999999999959E-4</v>
      </c>
      <c r="BO485" s="1">
        <f t="shared" si="200"/>
        <v>8.2737301690795989E-2</v>
      </c>
    </row>
    <row r="486" spans="1:67" x14ac:dyDescent="0.25">
      <c r="A486" s="3"/>
      <c r="B486" s="3"/>
      <c r="C486" t="s">
        <v>248</v>
      </c>
      <c r="D486" s="5">
        <v>1</v>
      </c>
      <c r="E486" s="9">
        <f t="shared" si="179"/>
        <v>16.666666666666671</v>
      </c>
      <c r="F486" s="9">
        <f t="shared" si="180"/>
        <v>0</v>
      </c>
      <c r="G486">
        <v>0</v>
      </c>
      <c r="H486">
        <v>83.333333333333343</v>
      </c>
      <c r="I486">
        <v>0</v>
      </c>
      <c r="J486">
        <v>0</v>
      </c>
      <c r="K486">
        <v>0</v>
      </c>
      <c r="L486">
        <v>0</v>
      </c>
      <c r="M486">
        <v>16.666666666666671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21</v>
      </c>
      <c r="AK486" t="s">
        <v>1</v>
      </c>
      <c r="AL486" t="s">
        <v>372</v>
      </c>
      <c r="AQ486" s="1">
        <f t="shared" si="201"/>
        <v>100.00000000000001</v>
      </c>
      <c r="AR486" s="1">
        <f t="shared" si="181"/>
        <v>0.16666666666666671</v>
      </c>
      <c r="AS486" s="1">
        <f t="shared" si="182"/>
        <v>0</v>
      </c>
      <c r="AT486" s="1">
        <f t="shared" si="183"/>
        <v>0.83333333333333348</v>
      </c>
      <c r="AU486" s="1">
        <f t="shared" si="184"/>
        <v>0</v>
      </c>
      <c r="AV486" s="1">
        <f t="shared" si="185"/>
        <v>0.21</v>
      </c>
      <c r="AX486" s="1">
        <f t="shared" si="186"/>
        <v>0</v>
      </c>
      <c r="AY486" s="1">
        <f t="shared" si="187"/>
        <v>0.2</v>
      </c>
      <c r="AZ486" s="1">
        <f t="shared" si="188"/>
        <v>0.5</v>
      </c>
      <c r="BA486" s="1">
        <f t="shared" si="189"/>
        <v>0.5</v>
      </c>
      <c r="BB486" s="1">
        <f t="shared" si="190"/>
        <v>0.2</v>
      </c>
      <c r="BC486" s="1">
        <f t="shared" si="191"/>
        <v>0.2</v>
      </c>
      <c r="BD486" s="1">
        <f t="shared" si="192"/>
        <v>9.9999999999999811E-3</v>
      </c>
      <c r="BF486">
        <f t="shared" si="193"/>
        <v>83.333333333333343</v>
      </c>
      <c r="BG486">
        <f t="shared" si="203"/>
        <v>16.666666666666671</v>
      </c>
      <c r="BH486" s="1">
        <f t="shared" si="194"/>
        <v>0</v>
      </c>
      <c r="BI486" s="1">
        <f t="shared" si="195"/>
        <v>0.20000000000000004</v>
      </c>
      <c r="BJ486" s="1">
        <f t="shared" si="196"/>
        <v>0.59</v>
      </c>
      <c r="BK486" s="1">
        <f t="shared" si="197"/>
        <v>9.6000000000000002E-2</v>
      </c>
      <c r="BL486" s="1">
        <f t="shared" si="198"/>
        <v>0.20000000000000004</v>
      </c>
      <c r="BM486" s="1">
        <f t="shared" si="199"/>
        <v>0.20000000000000004</v>
      </c>
      <c r="BN486" s="1">
        <f t="shared" si="202"/>
        <v>9.999999999999907E-5</v>
      </c>
      <c r="BO486" s="1">
        <f t="shared" si="200"/>
        <v>3.9061935204581816E-2</v>
      </c>
    </row>
    <row r="487" spans="1:67" x14ac:dyDescent="0.25">
      <c r="A487" s="3"/>
      <c r="B487" s="3"/>
      <c r="C487" t="s">
        <v>249</v>
      </c>
      <c r="D487" s="5">
        <v>1</v>
      </c>
      <c r="E487" s="9">
        <f t="shared" si="179"/>
        <v>23.07692307692308</v>
      </c>
      <c r="F487" s="9">
        <f t="shared" si="180"/>
        <v>0</v>
      </c>
      <c r="G487">
        <v>0</v>
      </c>
      <c r="H487">
        <v>76.92307692307692</v>
      </c>
      <c r="I487">
        <v>0</v>
      </c>
      <c r="J487">
        <v>0</v>
      </c>
      <c r="K487">
        <v>0</v>
      </c>
      <c r="L487">
        <v>0</v>
      </c>
      <c r="M487">
        <v>23.07692307692308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32</v>
      </c>
      <c r="AK487" t="s">
        <v>1</v>
      </c>
      <c r="AL487" t="s">
        <v>372</v>
      </c>
      <c r="AQ487" s="1">
        <f t="shared" si="201"/>
        <v>100</v>
      </c>
      <c r="AR487" s="1">
        <f t="shared" si="181"/>
        <v>0.23076923076923081</v>
      </c>
      <c r="AS487" s="1">
        <f t="shared" si="182"/>
        <v>0</v>
      </c>
      <c r="AT487" s="1">
        <f t="shared" si="183"/>
        <v>0.76923076923076916</v>
      </c>
      <c r="AU487" s="1">
        <f t="shared" si="184"/>
        <v>0</v>
      </c>
      <c r="AV487" s="1">
        <f t="shared" si="185"/>
        <v>0.32</v>
      </c>
      <c r="AX487" s="1">
        <f t="shared" si="186"/>
        <v>0</v>
      </c>
      <c r="AY487" s="1">
        <f t="shared" si="187"/>
        <v>0.3000000000000001</v>
      </c>
      <c r="AZ487" s="1">
        <f t="shared" si="188"/>
        <v>0.5</v>
      </c>
      <c r="BA487" s="1">
        <f t="shared" si="189"/>
        <v>0.5</v>
      </c>
      <c r="BB487" s="1">
        <f t="shared" si="190"/>
        <v>0.3000000000000001</v>
      </c>
      <c r="BC487" s="1">
        <f t="shared" si="191"/>
        <v>0.3000000000000001</v>
      </c>
      <c r="BD487" s="1">
        <f t="shared" si="192"/>
        <v>1.9999999999999907E-2</v>
      </c>
      <c r="BF487">
        <f t="shared" si="193"/>
        <v>76.92307692307692</v>
      </c>
      <c r="BG487">
        <f t="shared" si="203"/>
        <v>23.07692307692308</v>
      </c>
      <c r="BH487" s="1">
        <f t="shared" si="194"/>
        <v>0</v>
      </c>
      <c r="BI487" s="1">
        <f t="shared" si="195"/>
        <v>0.30000000000000004</v>
      </c>
      <c r="BJ487" s="1">
        <f t="shared" si="196"/>
        <v>0.59</v>
      </c>
      <c r="BK487" s="1">
        <f t="shared" si="197"/>
        <v>9.6000000000000002E-2</v>
      </c>
      <c r="BL487" s="1">
        <f t="shared" si="198"/>
        <v>0.30000000000000004</v>
      </c>
      <c r="BM487" s="1">
        <f t="shared" si="199"/>
        <v>0.30000000000000004</v>
      </c>
      <c r="BN487" s="1">
        <f t="shared" si="202"/>
        <v>3.999999999999985E-4</v>
      </c>
      <c r="BO487" s="1">
        <f t="shared" si="200"/>
        <v>7.680931721431152E-3</v>
      </c>
    </row>
    <row r="488" spans="1:67" x14ac:dyDescent="0.25">
      <c r="A488" s="3"/>
      <c r="B488" s="3"/>
      <c r="C488" t="s">
        <v>250</v>
      </c>
      <c r="D488" s="5">
        <v>1</v>
      </c>
      <c r="E488" s="9">
        <f t="shared" si="179"/>
        <v>28.57142857142858</v>
      </c>
      <c r="F488" s="9">
        <f t="shared" si="180"/>
        <v>0</v>
      </c>
      <c r="G488">
        <v>0</v>
      </c>
      <c r="H488">
        <v>71.428571428571431</v>
      </c>
      <c r="I488">
        <v>0</v>
      </c>
      <c r="J488">
        <v>0</v>
      </c>
      <c r="K488">
        <v>0</v>
      </c>
      <c r="L488">
        <v>0</v>
      </c>
      <c r="M488">
        <v>28.57142857142858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38</v>
      </c>
      <c r="AK488" t="s">
        <v>1</v>
      </c>
      <c r="AL488" t="s">
        <v>372</v>
      </c>
      <c r="AQ488" s="1">
        <f t="shared" si="201"/>
        <v>100.00000000000001</v>
      </c>
      <c r="AR488" s="1">
        <f t="shared" si="181"/>
        <v>0.28571428571428581</v>
      </c>
      <c r="AS488" s="1">
        <f t="shared" si="182"/>
        <v>0</v>
      </c>
      <c r="AT488" s="1">
        <f t="shared" si="183"/>
        <v>0.7142857142857143</v>
      </c>
      <c r="AU488" s="1">
        <f t="shared" si="184"/>
        <v>0</v>
      </c>
      <c r="AV488" s="1">
        <f t="shared" si="185"/>
        <v>0.38</v>
      </c>
      <c r="AX488" s="1">
        <f t="shared" si="186"/>
        <v>0</v>
      </c>
      <c r="AY488" s="1">
        <f t="shared" si="187"/>
        <v>0.40000000000000013</v>
      </c>
      <c r="AZ488" s="1">
        <f t="shared" si="188"/>
        <v>0.5</v>
      </c>
      <c r="BA488" s="1">
        <f t="shared" si="189"/>
        <v>0.5</v>
      </c>
      <c r="BB488" s="1">
        <f t="shared" si="190"/>
        <v>0.40000000000000013</v>
      </c>
      <c r="BC488" s="1">
        <f t="shared" si="191"/>
        <v>0.40000000000000013</v>
      </c>
      <c r="BD488" s="1">
        <f t="shared" si="192"/>
        <v>2.0000000000000129E-2</v>
      </c>
      <c r="BF488">
        <f t="shared" si="193"/>
        <v>71.428571428571431</v>
      </c>
      <c r="BG488">
        <f t="shared" si="203"/>
        <v>28.57142857142858</v>
      </c>
      <c r="BH488" s="1">
        <f t="shared" si="194"/>
        <v>0</v>
      </c>
      <c r="BI488" s="1">
        <f t="shared" si="195"/>
        <v>0.40000000000000013</v>
      </c>
      <c r="BJ488" s="1">
        <f t="shared" si="196"/>
        <v>0.59</v>
      </c>
      <c r="BK488" s="1">
        <f t="shared" si="197"/>
        <v>9.6000000000000002E-2</v>
      </c>
      <c r="BL488" s="1">
        <f t="shared" si="198"/>
        <v>0.40000000000000013</v>
      </c>
      <c r="BM488" s="1">
        <f t="shared" si="199"/>
        <v>0.40000000000000013</v>
      </c>
      <c r="BN488" s="1">
        <f t="shared" si="202"/>
        <v>4.0000000000000517E-4</v>
      </c>
      <c r="BO488" s="1">
        <f t="shared" si="200"/>
        <v>7.6402073062170313E-4</v>
      </c>
    </row>
    <row r="489" spans="1:67" x14ac:dyDescent="0.25">
      <c r="A489" s="3"/>
      <c r="B489" s="3"/>
      <c r="C489" t="s">
        <v>251</v>
      </c>
      <c r="D489" s="5">
        <v>1</v>
      </c>
      <c r="E489" s="9">
        <f t="shared" si="179"/>
        <v>33.333333333333329</v>
      </c>
      <c r="F489" s="9">
        <f t="shared" si="180"/>
        <v>0</v>
      </c>
      <c r="G489">
        <v>0</v>
      </c>
      <c r="H489">
        <v>66.666666666666657</v>
      </c>
      <c r="I489">
        <v>0</v>
      </c>
      <c r="J489">
        <v>0</v>
      </c>
      <c r="K489">
        <v>0</v>
      </c>
      <c r="L489">
        <v>0</v>
      </c>
      <c r="M489">
        <v>33.333333333333329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43</v>
      </c>
      <c r="AK489" t="s">
        <v>1</v>
      </c>
      <c r="AL489" t="s">
        <v>372</v>
      </c>
      <c r="AQ489" s="1">
        <f t="shared" si="201"/>
        <v>99.999999999999986</v>
      </c>
      <c r="AR489" s="1">
        <f t="shared" si="181"/>
        <v>0.33333333333333326</v>
      </c>
      <c r="AS489" s="1">
        <f t="shared" si="182"/>
        <v>0</v>
      </c>
      <c r="AT489" s="1">
        <f t="shared" si="183"/>
        <v>0.66666666666666652</v>
      </c>
      <c r="AU489" s="1">
        <f t="shared" si="184"/>
        <v>0</v>
      </c>
      <c r="AV489" s="1">
        <f t="shared" si="185"/>
        <v>0.43</v>
      </c>
      <c r="AX489" s="1">
        <f t="shared" si="186"/>
        <v>0</v>
      </c>
      <c r="AY489" s="1">
        <f t="shared" si="187"/>
        <v>0.5</v>
      </c>
      <c r="AZ489" s="1">
        <f t="shared" si="188"/>
        <v>0.5</v>
      </c>
      <c r="BA489" s="1">
        <f t="shared" si="189"/>
        <v>0.5</v>
      </c>
      <c r="BB489" s="1">
        <f t="shared" si="190"/>
        <v>0.5</v>
      </c>
      <c r="BC489" s="1">
        <f t="shared" si="191"/>
        <v>0.5</v>
      </c>
      <c r="BD489" s="1">
        <f t="shared" si="192"/>
        <v>7.0000000000000007E-2</v>
      </c>
      <c r="BF489">
        <f t="shared" si="193"/>
        <v>66.666666666666657</v>
      </c>
      <c r="BG489">
        <f t="shared" si="203"/>
        <v>33.333333333333329</v>
      </c>
      <c r="BH489" s="1">
        <f t="shared" si="194"/>
        <v>0</v>
      </c>
      <c r="BI489" s="1">
        <f t="shared" si="195"/>
        <v>0.5</v>
      </c>
      <c r="BJ489" s="1">
        <f t="shared" si="196"/>
        <v>0.59</v>
      </c>
      <c r="BK489" s="1">
        <f t="shared" si="197"/>
        <v>9.6000000000000002E-2</v>
      </c>
      <c r="BL489" s="1">
        <f t="shared" si="198"/>
        <v>0.5</v>
      </c>
      <c r="BM489" s="1">
        <f t="shared" si="199"/>
        <v>0.5</v>
      </c>
      <c r="BN489" s="1">
        <f t="shared" si="202"/>
        <v>4.9000000000000007E-3</v>
      </c>
      <c r="BO489" s="1">
        <f t="shared" si="200"/>
        <v>4.9992823828049458E-4</v>
      </c>
    </row>
    <row r="490" spans="1:67" x14ac:dyDescent="0.25">
      <c r="A490" s="3"/>
      <c r="B490" s="3"/>
      <c r="C490" t="s">
        <v>252</v>
      </c>
      <c r="D490" s="5">
        <v>1</v>
      </c>
      <c r="E490" s="9">
        <f t="shared" si="179"/>
        <v>41.17647058823529</v>
      </c>
      <c r="F490" s="9">
        <f t="shared" si="180"/>
        <v>0</v>
      </c>
      <c r="G490">
        <v>0</v>
      </c>
      <c r="H490">
        <v>58.82352941176471</v>
      </c>
      <c r="I490">
        <v>0</v>
      </c>
      <c r="J490">
        <v>0</v>
      </c>
      <c r="K490">
        <v>0</v>
      </c>
      <c r="L490">
        <v>0</v>
      </c>
      <c r="M490">
        <v>41.17647058823529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44</v>
      </c>
      <c r="AK490" t="s">
        <v>1</v>
      </c>
      <c r="AL490" t="s">
        <v>372</v>
      </c>
      <c r="AQ490" s="1">
        <f t="shared" si="201"/>
        <v>100</v>
      </c>
      <c r="AR490" s="1">
        <f t="shared" si="181"/>
        <v>0.41176470588235292</v>
      </c>
      <c r="AS490" s="1">
        <f t="shared" si="182"/>
        <v>0</v>
      </c>
      <c r="AT490" s="1">
        <f t="shared" si="183"/>
        <v>0.58823529411764708</v>
      </c>
      <c r="AU490" s="1">
        <f t="shared" si="184"/>
        <v>0</v>
      </c>
      <c r="AV490" s="1">
        <f t="shared" si="185"/>
        <v>0.44</v>
      </c>
      <c r="AX490" s="1">
        <f t="shared" si="186"/>
        <v>0</v>
      </c>
      <c r="AY490" s="1">
        <f t="shared" si="187"/>
        <v>0.7</v>
      </c>
      <c r="AZ490" s="1">
        <f t="shared" si="188"/>
        <v>0.5</v>
      </c>
      <c r="BA490" s="1">
        <f t="shared" si="189"/>
        <v>0.5</v>
      </c>
      <c r="BB490" s="1">
        <f t="shared" si="190"/>
        <v>0.43333333333333335</v>
      </c>
      <c r="BC490" s="1">
        <f t="shared" si="191"/>
        <v>0.43333333333333335</v>
      </c>
      <c r="BD490" s="1">
        <f t="shared" si="192"/>
        <v>6.6666666666666541E-3</v>
      </c>
      <c r="BF490">
        <f t="shared" si="193"/>
        <v>58.82352941176471</v>
      </c>
      <c r="BG490">
        <f t="shared" si="203"/>
        <v>41.17647058823529</v>
      </c>
      <c r="BH490" s="1">
        <f t="shared" si="194"/>
        <v>0</v>
      </c>
      <c r="BI490" s="1">
        <f t="shared" si="195"/>
        <v>0.69999999999999984</v>
      </c>
      <c r="BJ490" s="1">
        <f t="shared" si="196"/>
        <v>0.59</v>
      </c>
      <c r="BK490" s="1">
        <f t="shared" si="197"/>
        <v>9.6000000000000002E-2</v>
      </c>
      <c r="BL490" s="1">
        <f t="shared" si="198"/>
        <v>0.38866666666666672</v>
      </c>
      <c r="BM490" s="1">
        <f t="shared" si="199"/>
        <v>0.38866666666666672</v>
      </c>
      <c r="BN490" s="1">
        <f t="shared" si="202"/>
        <v>2.6351111111111063E-3</v>
      </c>
      <c r="BO490" s="1">
        <f t="shared" si="200"/>
        <v>1.0471097398122534E-3</v>
      </c>
    </row>
    <row r="491" spans="1:67" x14ac:dyDescent="0.25">
      <c r="A491" s="3"/>
      <c r="B491" s="3"/>
      <c r="C491" t="s">
        <v>253</v>
      </c>
      <c r="D491" s="5">
        <v>1</v>
      </c>
      <c r="E491" s="9">
        <f t="shared" si="179"/>
        <v>47.368421052631582</v>
      </c>
      <c r="F491" s="9">
        <f t="shared" si="180"/>
        <v>0</v>
      </c>
      <c r="G491">
        <v>0</v>
      </c>
      <c r="H491">
        <v>52.631578947368418</v>
      </c>
      <c r="I491">
        <v>0</v>
      </c>
      <c r="J491">
        <v>0</v>
      </c>
      <c r="K491">
        <v>0</v>
      </c>
      <c r="L491">
        <v>0</v>
      </c>
      <c r="M491">
        <v>47.368421052631582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40</v>
      </c>
      <c r="AK491" t="s">
        <v>1</v>
      </c>
      <c r="AL491" t="s">
        <v>372</v>
      </c>
      <c r="AQ491" s="1">
        <f t="shared" si="201"/>
        <v>100</v>
      </c>
      <c r="AR491" s="1">
        <f t="shared" si="181"/>
        <v>0.47368421052631582</v>
      </c>
      <c r="AS491" s="1">
        <f t="shared" si="182"/>
        <v>0</v>
      </c>
      <c r="AT491" s="1">
        <f t="shared" si="183"/>
        <v>0.52631578947368418</v>
      </c>
      <c r="AU491" s="1">
        <f t="shared" si="184"/>
        <v>0</v>
      </c>
      <c r="AV491" s="1">
        <f t="shared" si="185"/>
        <v>0.4</v>
      </c>
      <c r="AX491" s="1">
        <f t="shared" si="186"/>
        <v>0</v>
      </c>
      <c r="AY491" s="1">
        <f t="shared" si="187"/>
        <v>0.90000000000000013</v>
      </c>
      <c r="AZ491" s="1">
        <f t="shared" si="188"/>
        <v>0.5</v>
      </c>
      <c r="BA491" s="1">
        <f t="shared" si="189"/>
        <v>0.5</v>
      </c>
      <c r="BB491" s="1">
        <f t="shared" si="190"/>
        <v>0.36666666666666659</v>
      </c>
      <c r="BC491" s="1">
        <f t="shared" si="191"/>
        <v>0.36666666666666659</v>
      </c>
      <c r="BD491" s="1">
        <f t="shared" si="192"/>
        <v>3.3333333333333437E-2</v>
      </c>
      <c r="BF491">
        <f t="shared" si="193"/>
        <v>52.631578947368418</v>
      </c>
      <c r="BG491">
        <f t="shared" si="203"/>
        <v>47.368421052631582</v>
      </c>
      <c r="BH491" s="1">
        <f t="shared" si="194"/>
        <v>0</v>
      </c>
      <c r="BI491" s="1">
        <f t="shared" si="195"/>
        <v>0.90000000000000013</v>
      </c>
      <c r="BJ491" s="1">
        <f t="shared" si="196"/>
        <v>0.59</v>
      </c>
      <c r="BK491" s="1">
        <f t="shared" si="197"/>
        <v>9.6000000000000002E-2</v>
      </c>
      <c r="BL491" s="1">
        <f t="shared" si="198"/>
        <v>0.3219999999999999</v>
      </c>
      <c r="BM491" s="1">
        <f t="shared" si="199"/>
        <v>0.3219999999999999</v>
      </c>
      <c r="BN491" s="1">
        <f t="shared" si="202"/>
        <v>6.0840000000000191E-3</v>
      </c>
      <c r="BO491" s="1">
        <f t="shared" si="200"/>
        <v>5.8383733685219634E-5</v>
      </c>
    </row>
    <row r="492" spans="1:67" x14ac:dyDescent="0.25">
      <c r="A492" s="3"/>
      <c r="B492" s="3"/>
      <c r="C492" t="s">
        <v>254</v>
      </c>
      <c r="D492" s="5">
        <v>1</v>
      </c>
      <c r="E492" s="9">
        <f t="shared" si="179"/>
        <v>2.912621359223301</v>
      </c>
      <c r="F492" s="9">
        <f t="shared" si="180"/>
        <v>0</v>
      </c>
      <c r="G492">
        <v>0</v>
      </c>
      <c r="H492">
        <v>97.087378640776706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2.912621359223301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3</v>
      </c>
      <c r="AK492" t="s">
        <v>1</v>
      </c>
      <c r="AL492" t="s">
        <v>372</v>
      </c>
      <c r="AQ492" s="1">
        <f t="shared" si="201"/>
        <v>100</v>
      </c>
      <c r="AR492" s="1">
        <f t="shared" si="181"/>
        <v>2.9126213592233011E-2</v>
      </c>
      <c r="AS492" s="1">
        <f t="shared" si="182"/>
        <v>0</v>
      </c>
      <c r="AT492" s="1">
        <f t="shared" si="183"/>
        <v>0.970873786407767</v>
      </c>
      <c r="AU492" s="1">
        <f t="shared" si="184"/>
        <v>0</v>
      </c>
      <c r="AV492" s="1">
        <f t="shared" si="185"/>
        <v>0.03</v>
      </c>
      <c r="AX492" s="1">
        <f t="shared" si="186"/>
        <v>0</v>
      </c>
      <c r="AY492" s="1">
        <f t="shared" si="187"/>
        <v>0.03</v>
      </c>
      <c r="AZ492" s="1">
        <f t="shared" si="188"/>
        <v>0.5</v>
      </c>
      <c r="BA492" s="1">
        <f t="shared" si="189"/>
        <v>0.5</v>
      </c>
      <c r="BB492" s="1">
        <f t="shared" si="190"/>
        <v>0.03</v>
      </c>
      <c r="BC492" s="1">
        <f t="shared" si="191"/>
        <v>0.03</v>
      </c>
      <c r="BD492" s="1">
        <f t="shared" si="192"/>
        <v>0</v>
      </c>
      <c r="BF492">
        <f t="shared" si="193"/>
        <v>97.087378640776706</v>
      </c>
      <c r="BG492">
        <f t="shared" si="203"/>
        <v>2.912621359223301</v>
      </c>
      <c r="BH492" s="1">
        <f t="shared" si="194"/>
        <v>0</v>
      </c>
      <c r="BI492" s="1">
        <f t="shared" si="195"/>
        <v>0.03</v>
      </c>
      <c r="BJ492" s="1">
        <f t="shared" si="196"/>
        <v>0.59</v>
      </c>
      <c r="BK492" s="1">
        <f t="shared" si="197"/>
        <v>9.6000000000000002E-2</v>
      </c>
      <c r="BL492" s="1">
        <f t="shared" si="198"/>
        <v>0.03</v>
      </c>
      <c r="BM492" s="1">
        <f t="shared" si="199"/>
        <v>0.03</v>
      </c>
      <c r="BN492" s="1">
        <f t="shared" si="202"/>
        <v>0</v>
      </c>
      <c r="BO492" s="1">
        <f t="shared" si="200"/>
        <v>0.14261266817701015</v>
      </c>
    </row>
    <row r="493" spans="1:67" x14ac:dyDescent="0.25">
      <c r="A493" s="3"/>
      <c r="B493" s="3"/>
      <c r="C493" t="s">
        <v>348</v>
      </c>
      <c r="D493" s="5">
        <v>1</v>
      </c>
      <c r="E493" s="9">
        <f t="shared" si="179"/>
        <v>9.0909090909090917</v>
      </c>
      <c r="F493" s="9">
        <f t="shared" si="180"/>
        <v>0</v>
      </c>
      <c r="G493">
        <v>0</v>
      </c>
      <c r="H493">
        <v>90.909090909090907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9.0909090909090917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10</v>
      </c>
      <c r="AK493" t="s">
        <v>1</v>
      </c>
      <c r="AL493" t="s">
        <v>372</v>
      </c>
      <c r="AQ493" s="1">
        <f t="shared" si="201"/>
        <v>100</v>
      </c>
      <c r="AR493" s="1">
        <f t="shared" si="181"/>
        <v>9.0909090909090912E-2</v>
      </c>
      <c r="AS493" s="1">
        <f t="shared" si="182"/>
        <v>0</v>
      </c>
      <c r="AT493" s="1">
        <f t="shared" si="183"/>
        <v>0.90909090909090906</v>
      </c>
      <c r="AU493" s="1">
        <f t="shared" si="184"/>
        <v>0</v>
      </c>
      <c r="AV493" s="1">
        <f t="shared" si="185"/>
        <v>0.1</v>
      </c>
      <c r="AX493" s="1">
        <f t="shared" si="186"/>
        <v>0</v>
      </c>
      <c r="AY493" s="1">
        <f t="shared" si="187"/>
        <v>0.1</v>
      </c>
      <c r="AZ493" s="1">
        <f t="shared" si="188"/>
        <v>0.5</v>
      </c>
      <c r="BA493" s="1">
        <f t="shared" si="189"/>
        <v>0.5</v>
      </c>
      <c r="BB493" s="1">
        <f t="shared" si="190"/>
        <v>0.1</v>
      </c>
      <c r="BC493" s="1">
        <f t="shared" si="191"/>
        <v>0.1</v>
      </c>
      <c r="BD493" s="1">
        <f t="shared" si="192"/>
        <v>0</v>
      </c>
      <c r="BF493">
        <f t="shared" si="193"/>
        <v>90.909090909090907</v>
      </c>
      <c r="BG493">
        <f t="shared" si="203"/>
        <v>9.0909090909090917</v>
      </c>
      <c r="BH493" s="1">
        <f t="shared" si="194"/>
        <v>0</v>
      </c>
      <c r="BI493" s="1">
        <f t="shared" si="195"/>
        <v>0.1</v>
      </c>
      <c r="BJ493" s="1">
        <f t="shared" si="196"/>
        <v>0.59</v>
      </c>
      <c r="BK493" s="1">
        <f t="shared" si="197"/>
        <v>9.6000000000000002E-2</v>
      </c>
      <c r="BL493" s="1">
        <f t="shared" si="198"/>
        <v>0.1</v>
      </c>
      <c r="BM493" s="1">
        <f t="shared" si="199"/>
        <v>0.1</v>
      </c>
      <c r="BN493" s="1">
        <f t="shared" si="202"/>
        <v>0</v>
      </c>
      <c r="BO493" s="1">
        <f t="shared" si="200"/>
        <v>9.4642938687732478E-2</v>
      </c>
    </row>
    <row r="494" spans="1:67" x14ac:dyDescent="0.25">
      <c r="A494" s="3"/>
      <c r="B494" s="3"/>
      <c r="C494" t="s">
        <v>255</v>
      </c>
      <c r="D494" s="5">
        <v>1</v>
      </c>
      <c r="E494" s="9">
        <f t="shared" si="179"/>
        <v>16.666666666666671</v>
      </c>
      <c r="F494" s="9">
        <f t="shared" si="180"/>
        <v>0</v>
      </c>
      <c r="G494">
        <v>0</v>
      </c>
      <c r="H494">
        <v>83.333333333333343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16.666666666666671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22</v>
      </c>
      <c r="AK494" t="s">
        <v>1</v>
      </c>
      <c r="AL494" t="s">
        <v>372</v>
      </c>
      <c r="AQ494" s="1">
        <f t="shared" si="201"/>
        <v>100.00000000000001</v>
      </c>
      <c r="AR494" s="1">
        <f t="shared" si="181"/>
        <v>0.16666666666666671</v>
      </c>
      <c r="AS494" s="1">
        <f t="shared" si="182"/>
        <v>0</v>
      </c>
      <c r="AT494" s="1">
        <f t="shared" si="183"/>
        <v>0.83333333333333348</v>
      </c>
      <c r="AU494" s="1">
        <f t="shared" si="184"/>
        <v>0</v>
      </c>
      <c r="AV494" s="1">
        <f t="shared" si="185"/>
        <v>0.22</v>
      </c>
      <c r="AX494" s="1">
        <f t="shared" si="186"/>
        <v>0</v>
      </c>
      <c r="AY494" s="1">
        <f t="shared" si="187"/>
        <v>0.2</v>
      </c>
      <c r="AZ494" s="1">
        <f t="shared" si="188"/>
        <v>0.5</v>
      </c>
      <c r="BA494" s="1">
        <f t="shared" si="189"/>
        <v>0.5</v>
      </c>
      <c r="BB494" s="1">
        <f t="shared" si="190"/>
        <v>0.2</v>
      </c>
      <c r="BC494" s="1">
        <f t="shared" si="191"/>
        <v>0.2</v>
      </c>
      <c r="BD494" s="1">
        <f t="shared" si="192"/>
        <v>1.999999999999999E-2</v>
      </c>
      <c r="BF494">
        <f t="shared" si="193"/>
        <v>83.333333333333343</v>
      </c>
      <c r="BG494">
        <f t="shared" si="203"/>
        <v>16.666666666666671</v>
      </c>
      <c r="BH494" s="1">
        <f t="shared" si="194"/>
        <v>0</v>
      </c>
      <c r="BI494" s="1">
        <f t="shared" si="195"/>
        <v>0.20000000000000004</v>
      </c>
      <c r="BJ494" s="1">
        <f t="shared" si="196"/>
        <v>0.59</v>
      </c>
      <c r="BK494" s="1">
        <f t="shared" si="197"/>
        <v>9.6000000000000002E-2</v>
      </c>
      <c r="BL494" s="1">
        <f t="shared" si="198"/>
        <v>0.20000000000000004</v>
      </c>
      <c r="BM494" s="1">
        <f t="shared" si="199"/>
        <v>0.20000000000000004</v>
      </c>
      <c r="BN494" s="1">
        <f t="shared" si="202"/>
        <v>3.999999999999985E-4</v>
      </c>
      <c r="BO494" s="1">
        <f t="shared" si="200"/>
        <v>3.5209116706113569E-2</v>
      </c>
    </row>
    <row r="495" spans="1:67" x14ac:dyDescent="0.25">
      <c r="A495" s="3"/>
      <c r="B495" s="3"/>
      <c r="C495" t="s">
        <v>256</v>
      </c>
      <c r="D495" s="5">
        <v>1</v>
      </c>
      <c r="E495" s="9">
        <f t="shared" si="179"/>
        <v>28.57142857142858</v>
      </c>
      <c r="F495" s="9">
        <f t="shared" si="180"/>
        <v>0</v>
      </c>
      <c r="G495">
        <v>0</v>
      </c>
      <c r="H495">
        <v>71.428571428571431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28.57142857142858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38</v>
      </c>
      <c r="AK495" t="s">
        <v>1</v>
      </c>
      <c r="AL495" t="s">
        <v>372</v>
      </c>
      <c r="AQ495" s="1">
        <f t="shared" si="201"/>
        <v>100.00000000000001</v>
      </c>
      <c r="AR495" s="1">
        <f t="shared" si="181"/>
        <v>0.28571428571428581</v>
      </c>
      <c r="AS495" s="1">
        <f t="shared" si="182"/>
        <v>0</v>
      </c>
      <c r="AT495" s="1">
        <f t="shared" si="183"/>
        <v>0.7142857142857143</v>
      </c>
      <c r="AU495" s="1">
        <f t="shared" si="184"/>
        <v>0</v>
      </c>
      <c r="AV495" s="1">
        <f t="shared" si="185"/>
        <v>0.38</v>
      </c>
      <c r="AX495" s="1">
        <f t="shared" si="186"/>
        <v>0</v>
      </c>
      <c r="AY495" s="1">
        <f t="shared" si="187"/>
        <v>0.40000000000000013</v>
      </c>
      <c r="AZ495" s="1">
        <f t="shared" si="188"/>
        <v>0.5</v>
      </c>
      <c r="BA495" s="1">
        <f t="shared" si="189"/>
        <v>0.5</v>
      </c>
      <c r="BB495" s="1">
        <f t="shared" si="190"/>
        <v>0.40000000000000013</v>
      </c>
      <c r="BC495" s="1">
        <f t="shared" si="191"/>
        <v>0.40000000000000013</v>
      </c>
      <c r="BD495" s="1">
        <f t="shared" si="192"/>
        <v>2.0000000000000129E-2</v>
      </c>
      <c r="BF495">
        <f t="shared" si="193"/>
        <v>71.428571428571431</v>
      </c>
      <c r="BG495">
        <f t="shared" si="203"/>
        <v>28.57142857142858</v>
      </c>
      <c r="BH495" s="1">
        <f t="shared" si="194"/>
        <v>0</v>
      </c>
      <c r="BI495" s="1">
        <f t="shared" si="195"/>
        <v>0.40000000000000013</v>
      </c>
      <c r="BJ495" s="1">
        <f t="shared" si="196"/>
        <v>0.59</v>
      </c>
      <c r="BK495" s="1">
        <f t="shared" si="197"/>
        <v>9.6000000000000002E-2</v>
      </c>
      <c r="BL495" s="1">
        <f t="shared" si="198"/>
        <v>0.40000000000000013</v>
      </c>
      <c r="BM495" s="1">
        <f t="shared" si="199"/>
        <v>0.40000000000000013</v>
      </c>
      <c r="BN495" s="1">
        <f t="shared" si="202"/>
        <v>4.0000000000000517E-4</v>
      </c>
      <c r="BO495" s="1">
        <f t="shared" si="200"/>
        <v>7.6402073062170313E-4</v>
      </c>
    </row>
    <row r="496" spans="1:67" x14ac:dyDescent="0.25">
      <c r="A496" s="3"/>
      <c r="B496" s="3"/>
      <c r="C496" t="s">
        <v>257</v>
      </c>
      <c r="D496" s="5">
        <v>1</v>
      </c>
      <c r="E496" s="9">
        <f t="shared" si="179"/>
        <v>41.17647058823529</v>
      </c>
      <c r="F496" s="9">
        <f t="shared" si="180"/>
        <v>0</v>
      </c>
      <c r="G496">
        <v>0</v>
      </c>
      <c r="H496">
        <v>58.82352941176471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41.17647058823529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39</v>
      </c>
      <c r="AK496" t="s">
        <v>1</v>
      </c>
      <c r="AL496" t="s">
        <v>372</v>
      </c>
      <c r="AQ496" s="1">
        <f t="shared" si="201"/>
        <v>100</v>
      </c>
      <c r="AR496" s="1">
        <f t="shared" si="181"/>
        <v>0.41176470588235292</v>
      </c>
      <c r="AS496" s="1">
        <f t="shared" si="182"/>
        <v>0</v>
      </c>
      <c r="AT496" s="1">
        <f t="shared" si="183"/>
        <v>0.58823529411764708</v>
      </c>
      <c r="AU496" s="1">
        <f t="shared" si="184"/>
        <v>0</v>
      </c>
      <c r="AV496" s="1">
        <f t="shared" si="185"/>
        <v>0.39</v>
      </c>
      <c r="AX496" s="1">
        <f t="shared" si="186"/>
        <v>0</v>
      </c>
      <c r="AY496" s="1">
        <f t="shared" si="187"/>
        <v>0.7</v>
      </c>
      <c r="AZ496" s="1">
        <f t="shared" si="188"/>
        <v>0.5</v>
      </c>
      <c r="BA496" s="1">
        <f t="shared" si="189"/>
        <v>0.5</v>
      </c>
      <c r="BB496" s="1">
        <f t="shared" si="190"/>
        <v>0.43333333333333335</v>
      </c>
      <c r="BC496" s="1">
        <f t="shared" si="191"/>
        <v>0.43333333333333335</v>
      </c>
      <c r="BD496" s="1">
        <f t="shared" si="192"/>
        <v>4.3333333333333335E-2</v>
      </c>
      <c r="BF496">
        <f t="shared" si="193"/>
        <v>58.82352941176471</v>
      </c>
      <c r="BG496">
        <f t="shared" si="203"/>
        <v>41.17647058823529</v>
      </c>
      <c r="BH496" s="1">
        <f t="shared" si="194"/>
        <v>0</v>
      </c>
      <c r="BI496" s="1">
        <f t="shared" si="195"/>
        <v>0.69999999999999984</v>
      </c>
      <c r="BJ496" s="1">
        <f t="shared" si="196"/>
        <v>0.59</v>
      </c>
      <c r="BK496" s="1">
        <f t="shared" si="197"/>
        <v>9.6000000000000002E-2</v>
      </c>
      <c r="BL496" s="1">
        <f t="shared" si="198"/>
        <v>0.38866666666666672</v>
      </c>
      <c r="BM496" s="1">
        <f t="shared" si="199"/>
        <v>0.38866666666666672</v>
      </c>
      <c r="BN496" s="1">
        <f t="shared" si="202"/>
        <v>1.7777777777776822E-6</v>
      </c>
      <c r="BO496" s="1">
        <f t="shared" si="200"/>
        <v>3.1120223215346117E-4</v>
      </c>
    </row>
    <row r="497" spans="1:67" x14ac:dyDescent="0.25">
      <c r="A497" s="3"/>
      <c r="B497" s="3"/>
      <c r="C497" t="s">
        <v>258</v>
      </c>
      <c r="D497" s="5">
        <v>1</v>
      </c>
      <c r="E497" s="9">
        <f t="shared" si="179"/>
        <v>44.44444444444445</v>
      </c>
      <c r="F497" s="9">
        <f t="shared" si="180"/>
        <v>0</v>
      </c>
      <c r="G497">
        <v>0</v>
      </c>
      <c r="H497">
        <v>55.555555555555557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44.44444444444445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33</v>
      </c>
      <c r="AK497" t="s">
        <v>1</v>
      </c>
      <c r="AL497" t="s">
        <v>372</v>
      </c>
      <c r="AQ497" s="1">
        <f t="shared" si="201"/>
        <v>100</v>
      </c>
      <c r="AR497" s="1">
        <f t="shared" si="181"/>
        <v>0.44444444444444448</v>
      </c>
      <c r="AS497" s="1">
        <f t="shared" si="182"/>
        <v>0</v>
      </c>
      <c r="AT497" s="1">
        <f t="shared" si="183"/>
        <v>0.55555555555555558</v>
      </c>
      <c r="AU497" s="1">
        <f t="shared" si="184"/>
        <v>0</v>
      </c>
      <c r="AV497" s="1">
        <f t="shared" si="185"/>
        <v>0.33</v>
      </c>
      <c r="AX497" s="1">
        <f t="shared" si="186"/>
        <v>0</v>
      </c>
      <c r="AY497" s="1">
        <f t="shared" si="187"/>
        <v>0.8</v>
      </c>
      <c r="AZ497" s="1">
        <f t="shared" si="188"/>
        <v>0.5</v>
      </c>
      <c r="BA497" s="1">
        <f t="shared" si="189"/>
        <v>0.5</v>
      </c>
      <c r="BB497" s="1">
        <f t="shared" si="190"/>
        <v>0.39999999999999997</v>
      </c>
      <c r="BC497" s="1">
        <f t="shared" si="191"/>
        <v>0.39999999999999997</v>
      </c>
      <c r="BD497" s="1">
        <f t="shared" si="192"/>
        <v>6.9999999999999951E-2</v>
      </c>
      <c r="BF497">
        <f t="shared" si="193"/>
        <v>55.555555555555557</v>
      </c>
      <c r="BG497">
        <f t="shared" si="203"/>
        <v>44.44444444444445</v>
      </c>
      <c r="BH497" s="1">
        <f t="shared" si="194"/>
        <v>0</v>
      </c>
      <c r="BI497" s="1">
        <f t="shared" si="195"/>
        <v>0.8</v>
      </c>
      <c r="BJ497" s="1">
        <f t="shared" si="196"/>
        <v>0.59</v>
      </c>
      <c r="BK497" s="1">
        <f t="shared" si="197"/>
        <v>9.6000000000000002E-2</v>
      </c>
      <c r="BL497" s="1">
        <f t="shared" si="198"/>
        <v>0.35533333333333328</v>
      </c>
      <c r="BM497" s="1">
        <f t="shared" si="199"/>
        <v>0.35533333333333328</v>
      </c>
      <c r="BN497" s="1">
        <f t="shared" si="202"/>
        <v>6.4177777777777421E-4</v>
      </c>
      <c r="BO497" s="1">
        <f t="shared" si="200"/>
        <v>6.0281132229629093E-3</v>
      </c>
    </row>
    <row r="498" spans="1:67" x14ac:dyDescent="0.25">
      <c r="A498" s="3"/>
      <c r="B498" s="3"/>
      <c r="C498" t="s">
        <v>259</v>
      </c>
      <c r="D498" s="5">
        <v>1</v>
      </c>
      <c r="E498" s="9">
        <f t="shared" si="179"/>
        <v>16.666666666666671</v>
      </c>
      <c r="F498" s="9">
        <f t="shared" si="180"/>
        <v>0</v>
      </c>
      <c r="G498">
        <v>0</v>
      </c>
      <c r="H498">
        <v>83.333333333333343</v>
      </c>
      <c r="I498">
        <v>0</v>
      </c>
      <c r="J498">
        <v>0</v>
      </c>
      <c r="K498">
        <v>0</v>
      </c>
      <c r="L498">
        <v>16.666666666666671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25</v>
      </c>
      <c r="AK498" t="s">
        <v>1</v>
      </c>
      <c r="AL498" t="s">
        <v>372</v>
      </c>
      <c r="AQ498" s="1">
        <f t="shared" si="201"/>
        <v>100.00000000000001</v>
      </c>
      <c r="AR498" s="1">
        <f t="shared" si="181"/>
        <v>0.16666666666666671</v>
      </c>
      <c r="AS498" s="1">
        <f t="shared" si="182"/>
        <v>0</v>
      </c>
      <c r="AT498" s="1">
        <f t="shared" si="183"/>
        <v>0.83333333333333348</v>
      </c>
      <c r="AU498" s="1">
        <f t="shared" si="184"/>
        <v>0</v>
      </c>
      <c r="AV498" s="1">
        <f t="shared" si="185"/>
        <v>0.25</v>
      </c>
      <c r="AX498" s="1">
        <f t="shared" si="186"/>
        <v>0</v>
      </c>
      <c r="AY498" s="1">
        <f t="shared" si="187"/>
        <v>0.2</v>
      </c>
      <c r="AZ498" s="1">
        <f t="shared" si="188"/>
        <v>0.5</v>
      </c>
      <c r="BA498" s="1">
        <f t="shared" si="189"/>
        <v>0.5</v>
      </c>
      <c r="BB498" s="1">
        <f t="shared" si="190"/>
        <v>0.2</v>
      </c>
      <c r="BC498" s="1">
        <f t="shared" si="191"/>
        <v>0.2</v>
      </c>
      <c r="BD498" s="1">
        <f t="shared" si="192"/>
        <v>4.9999999999999989E-2</v>
      </c>
      <c r="BF498">
        <f t="shared" si="193"/>
        <v>83.333333333333343</v>
      </c>
      <c r="BG498">
        <f t="shared" si="203"/>
        <v>16.666666666666671</v>
      </c>
      <c r="BH498" s="1">
        <f t="shared" si="194"/>
        <v>0</v>
      </c>
      <c r="BI498" s="1">
        <f t="shared" si="195"/>
        <v>0.20000000000000004</v>
      </c>
      <c r="BJ498" s="1">
        <f t="shared" si="196"/>
        <v>0.59</v>
      </c>
      <c r="BK498" s="1">
        <f t="shared" si="197"/>
        <v>9.6000000000000002E-2</v>
      </c>
      <c r="BL498" s="1">
        <f t="shared" si="198"/>
        <v>0.20000000000000004</v>
      </c>
      <c r="BM498" s="1">
        <f t="shared" si="199"/>
        <v>0.20000000000000004</v>
      </c>
      <c r="BN498" s="1">
        <f t="shared" si="202"/>
        <v>2.4999999999999961E-3</v>
      </c>
      <c r="BO498" s="1">
        <f t="shared" si="200"/>
        <v>2.4850661210708846E-2</v>
      </c>
    </row>
    <row r="499" spans="1:67" x14ac:dyDescent="0.25">
      <c r="A499" s="3"/>
      <c r="B499" s="3"/>
      <c r="C499" t="s">
        <v>349</v>
      </c>
      <c r="D499" s="5">
        <v>1</v>
      </c>
      <c r="E499" s="9">
        <f t="shared" si="179"/>
        <v>35.064935064935057</v>
      </c>
      <c r="F499" s="9">
        <f t="shared" si="180"/>
        <v>0</v>
      </c>
      <c r="G499">
        <v>0</v>
      </c>
      <c r="H499">
        <v>64.935064935064929</v>
      </c>
      <c r="I499">
        <v>0</v>
      </c>
      <c r="J499">
        <v>0</v>
      </c>
      <c r="K499">
        <v>0</v>
      </c>
      <c r="L499">
        <v>35.064935064935057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40</v>
      </c>
      <c r="AK499" t="s">
        <v>1</v>
      </c>
      <c r="AL499" t="s">
        <v>372</v>
      </c>
      <c r="AQ499" s="1">
        <f t="shared" si="201"/>
        <v>99.999999999999986</v>
      </c>
      <c r="AR499" s="1">
        <f t="shared" si="181"/>
        <v>0.35064935064935054</v>
      </c>
      <c r="AS499" s="1">
        <f t="shared" si="182"/>
        <v>0</v>
      </c>
      <c r="AT499" s="1">
        <f t="shared" si="183"/>
        <v>0.64935064935064934</v>
      </c>
      <c r="AU499" s="1">
        <f t="shared" si="184"/>
        <v>0</v>
      </c>
      <c r="AV499" s="1">
        <f t="shared" si="185"/>
        <v>0.4</v>
      </c>
      <c r="AX499" s="1">
        <f t="shared" si="186"/>
        <v>0</v>
      </c>
      <c r="AY499" s="1">
        <f t="shared" si="187"/>
        <v>0.53999999999999981</v>
      </c>
      <c r="AZ499" s="1">
        <f t="shared" si="188"/>
        <v>0.5</v>
      </c>
      <c r="BA499" s="1">
        <f t="shared" si="189"/>
        <v>0.5</v>
      </c>
      <c r="BB499" s="1">
        <f t="shared" si="190"/>
        <v>0.48666666666666675</v>
      </c>
      <c r="BC499" s="1">
        <f t="shared" si="191"/>
        <v>0.48666666666666675</v>
      </c>
      <c r="BD499" s="1">
        <f t="shared" si="192"/>
        <v>8.6666666666666725E-2</v>
      </c>
      <c r="BF499">
        <f t="shared" si="193"/>
        <v>64.935064935064929</v>
      </c>
      <c r="BG499">
        <f t="shared" si="203"/>
        <v>35.064935064935057</v>
      </c>
      <c r="BH499" s="1">
        <f t="shared" si="194"/>
        <v>0</v>
      </c>
      <c r="BI499" s="1">
        <f t="shared" si="195"/>
        <v>0.53999999999999992</v>
      </c>
      <c r="BJ499" s="1">
        <f t="shared" si="196"/>
        <v>0.59</v>
      </c>
      <c r="BK499" s="1">
        <f t="shared" si="197"/>
        <v>9.6000000000000002E-2</v>
      </c>
      <c r="BL499" s="1">
        <f t="shared" si="198"/>
        <v>0.53999999999999992</v>
      </c>
      <c r="BM499" s="1">
        <f t="shared" si="199"/>
        <v>0.53999999999999992</v>
      </c>
      <c r="BN499" s="1">
        <f t="shared" si="202"/>
        <v>1.9599999999999972E-2</v>
      </c>
      <c r="BO499" s="1">
        <f t="shared" si="200"/>
        <v>5.8383733685219634E-5</v>
      </c>
    </row>
    <row r="500" spans="1:67" x14ac:dyDescent="0.25">
      <c r="A500" s="3"/>
      <c r="B500" s="3"/>
      <c r="C500" t="s">
        <v>260</v>
      </c>
      <c r="D500" s="5">
        <v>1</v>
      </c>
      <c r="E500" s="9">
        <f t="shared" si="179"/>
        <v>41.17647058823529</v>
      </c>
      <c r="F500" s="9">
        <f t="shared" si="180"/>
        <v>0</v>
      </c>
      <c r="G500">
        <v>0</v>
      </c>
      <c r="H500">
        <v>58.82352941176471</v>
      </c>
      <c r="I500">
        <v>0</v>
      </c>
      <c r="J500">
        <v>0</v>
      </c>
      <c r="K500">
        <v>0</v>
      </c>
      <c r="L500">
        <v>41.17647058823529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34</v>
      </c>
      <c r="AK500" t="s">
        <v>1</v>
      </c>
      <c r="AL500" t="s">
        <v>372</v>
      </c>
      <c r="AQ500" s="1">
        <f t="shared" si="201"/>
        <v>100</v>
      </c>
      <c r="AR500" s="1">
        <f t="shared" si="181"/>
        <v>0.41176470588235292</v>
      </c>
      <c r="AS500" s="1">
        <f t="shared" si="182"/>
        <v>0</v>
      </c>
      <c r="AT500" s="1">
        <f t="shared" si="183"/>
        <v>0.58823529411764708</v>
      </c>
      <c r="AU500" s="1">
        <f t="shared" si="184"/>
        <v>0</v>
      </c>
      <c r="AV500" s="1">
        <f t="shared" si="185"/>
        <v>0.34</v>
      </c>
      <c r="AX500" s="1">
        <f t="shared" si="186"/>
        <v>0</v>
      </c>
      <c r="AY500" s="1">
        <f t="shared" si="187"/>
        <v>0.7</v>
      </c>
      <c r="AZ500" s="1">
        <f t="shared" si="188"/>
        <v>0.5</v>
      </c>
      <c r="BA500" s="1">
        <f t="shared" si="189"/>
        <v>0.5</v>
      </c>
      <c r="BB500" s="1">
        <f t="shared" si="190"/>
        <v>0.43333333333333335</v>
      </c>
      <c r="BC500" s="1">
        <f t="shared" si="191"/>
        <v>0.43333333333333335</v>
      </c>
      <c r="BD500" s="1">
        <f t="shared" si="192"/>
        <v>9.3333333333333324E-2</v>
      </c>
      <c r="BF500">
        <f t="shared" si="193"/>
        <v>58.82352941176471</v>
      </c>
      <c r="BG500">
        <f t="shared" si="203"/>
        <v>41.17647058823529</v>
      </c>
      <c r="BH500" s="1">
        <f t="shared" si="194"/>
        <v>0</v>
      </c>
      <c r="BI500" s="1">
        <f t="shared" si="195"/>
        <v>0.69999999999999984</v>
      </c>
      <c r="BJ500" s="1">
        <f t="shared" si="196"/>
        <v>0.59</v>
      </c>
      <c r="BK500" s="1">
        <f t="shared" si="197"/>
        <v>9.6000000000000002E-2</v>
      </c>
      <c r="BL500" s="1">
        <f t="shared" si="198"/>
        <v>0.38866666666666672</v>
      </c>
      <c r="BM500" s="1">
        <f t="shared" si="199"/>
        <v>0.38866666666666672</v>
      </c>
      <c r="BN500" s="1">
        <f t="shared" si="202"/>
        <v>2.3684444444444469E-3</v>
      </c>
      <c r="BO500" s="1">
        <f t="shared" si="200"/>
        <v>4.5752947244946671E-3</v>
      </c>
    </row>
    <row r="501" spans="1:67" x14ac:dyDescent="0.25">
      <c r="A501" s="3"/>
      <c r="B501" s="3"/>
      <c r="C501" t="s">
        <v>261</v>
      </c>
      <c r="D501" s="5">
        <v>1</v>
      </c>
      <c r="E501" s="9">
        <f t="shared" si="179"/>
        <v>9.0909090909090917</v>
      </c>
      <c r="F501" s="9">
        <f t="shared" si="180"/>
        <v>0</v>
      </c>
      <c r="G501">
        <v>0</v>
      </c>
      <c r="H501">
        <v>90.909090909090907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9.0909090909090917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12</v>
      </c>
      <c r="AK501" t="s">
        <v>1</v>
      </c>
      <c r="AL501" t="s">
        <v>372</v>
      </c>
      <c r="AQ501" s="1">
        <f t="shared" si="201"/>
        <v>100</v>
      </c>
      <c r="AR501" s="1">
        <f t="shared" si="181"/>
        <v>0</v>
      </c>
      <c r="AS501" s="1">
        <f t="shared" si="182"/>
        <v>0</v>
      </c>
      <c r="AT501" s="1">
        <f t="shared" si="183"/>
        <v>0.90909090909090906</v>
      </c>
      <c r="AU501" s="1">
        <f t="shared" si="184"/>
        <v>0</v>
      </c>
      <c r="AV501" s="1">
        <f t="shared" si="185"/>
        <v>0.12</v>
      </c>
      <c r="AX501" s="1">
        <f t="shared" si="186"/>
        <v>0</v>
      </c>
      <c r="AY501" s="1">
        <f t="shared" si="187"/>
        <v>0</v>
      </c>
      <c r="AZ501" s="1">
        <f t="shared" si="188"/>
        <v>0.5</v>
      </c>
      <c r="BA501" s="1">
        <f t="shared" si="189"/>
        <v>0.5</v>
      </c>
      <c r="BB501" s="1">
        <f t="shared" si="190"/>
        <v>0</v>
      </c>
      <c r="BC501" s="1">
        <f t="shared" si="191"/>
        <v>0</v>
      </c>
      <c r="BD501" s="1">
        <f t="shared" si="192"/>
        <v>0.12</v>
      </c>
      <c r="BF501">
        <f t="shared" si="193"/>
        <v>90.909090909090907</v>
      </c>
      <c r="BG501">
        <f t="shared" si="203"/>
        <v>9.0909090909090917</v>
      </c>
      <c r="BH501" s="1">
        <f t="shared" si="194"/>
        <v>0</v>
      </c>
      <c r="BI501" s="1">
        <f t="shared" si="195"/>
        <v>0.1</v>
      </c>
      <c r="BJ501" s="1">
        <f t="shared" si="196"/>
        <v>0.59</v>
      </c>
      <c r="BK501" s="1">
        <f t="shared" si="197"/>
        <v>9.6000000000000002E-2</v>
      </c>
      <c r="BL501" s="1">
        <f t="shared" si="198"/>
        <v>0.1</v>
      </c>
      <c r="BM501" s="1">
        <f t="shared" si="199"/>
        <v>0.1</v>
      </c>
      <c r="BN501" s="1">
        <f t="shared" si="202"/>
        <v>3.9999999999999959E-4</v>
      </c>
      <c r="BO501" s="1">
        <f t="shared" si="200"/>
        <v>8.2737301690795989E-2</v>
      </c>
    </row>
    <row r="502" spans="1:67" x14ac:dyDescent="0.25">
      <c r="A502" s="3"/>
      <c r="B502" s="3"/>
      <c r="C502" t="s">
        <v>262</v>
      </c>
      <c r="D502" s="5">
        <v>1</v>
      </c>
      <c r="E502" s="9">
        <f t="shared" si="179"/>
        <v>16.666666666666671</v>
      </c>
      <c r="F502" s="9">
        <f t="shared" si="180"/>
        <v>0</v>
      </c>
      <c r="G502">
        <v>0</v>
      </c>
      <c r="H502">
        <v>83.333333333333343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16.666666666666671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22</v>
      </c>
      <c r="AK502" t="s">
        <v>1</v>
      </c>
      <c r="AL502" t="s">
        <v>372</v>
      </c>
      <c r="AQ502" s="1">
        <f t="shared" si="201"/>
        <v>100.00000000000001</v>
      </c>
      <c r="AR502" s="1">
        <f t="shared" si="181"/>
        <v>0</v>
      </c>
      <c r="AS502" s="1">
        <f t="shared" si="182"/>
        <v>0</v>
      </c>
      <c r="AT502" s="1">
        <f t="shared" si="183"/>
        <v>0.83333333333333348</v>
      </c>
      <c r="AU502" s="1">
        <f t="shared" si="184"/>
        <v>0</v>
      </c>
      <c r="AV502" s="1">
        <f t="shared" si="185"/>
        <v>0.22</v>
      </c>
      <c r="AX502" s="1">
        <f t="shared" si="186"/>
        <v>0</v>
      </c>
      <c r="AY502" s="1">
        <f t="shared" si="187"/>
        <v>0</v>
      </c>
      <c r="AZ502" s="1">
        <f t="shared" si="188"/>
        <v>0.5</v>
      </c>
      <c r="BA502" s="1">
        <f t="shared" si="189"/>
        <v>0.5</v>
      </c>
      <c r="BB502" s="1">
        <f t="shared" si="190"/>
        <v>0</v>
      </c>
      <c r="BC502" s="1">
        <f t="shared" si="191"/>
        <v>0</v>
      </c>
      <c r="BD502" s="1">
        <f t="shared" si="192"/>
        <v>0.22</v>
      </c>
      <c r="BF502">
        <f t="shared" si="193"/>
        <v>83.333333333333343</v>
      </c>
      <c r="BG502">
        <f t="shared" si="203"/>
        <v>16.666666666666671</v>
      </c>
      <c r="BH502" s="1">
        <f t="shared" si="194"/>
        <v>0</v>
      </c>
      <c r="BI502" s="1">
        <f t="shared" si="195"/>
        <v>0.20000000000000004</v>
      </c>
      <c r="BJ502" s="1">
        <f t="shared" si="196"/>
        <v>0.59</v>
      </c>
      <c r="BK502" s="1">
        <f t="shared" si="197"/>
        <v>9.6000000000000002E-2</v>
      </c>
      <c r="BL502" s="1">
        <f t="shared" si="198"/>
        <v>0.20000000000000004</v>
      </c>
      <c r="BM502" s="1">
        <f t="shared" si="199"/>
        <v>0.20000000000000004</v>
      </c>
      <c r="BN502" s="1">
        <f t="shared" si="202"/>
        <v>3.999999999999985E-4</v>
      </c>
      <c r="BO502" s="1">
        <f t="shared" si="200"/>
        <v>3.5209116706113569E-2</v>
      </c>
    </row>
    <row r="503" spans="1:67" x14ac:dyDescent="0.25">
      <c r="A503" s="3"/>
      <c r="B503" s="3"/>
      <c r="C503" t="s">
        <v>263</v>
      </c>
      <c r="D503" s="5">
        <v>1</v>
      </c>
      <c r="E503" s="9">
        <f t="shared" si="179"/>
        <v>32.432432432432442</v>
      </c>
      <c r="F503" s="9">
        <f t="shared" si="180"/>
        <v>0</v>
      </c>
      <c r="G503">
        <v>0</v>
      </c>
      <c r="H503">
        <v>67.567567567567565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32.432432432432442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41</v>
      </c>
      <c r="AK503" t="s">
        <v>1</v>
      </c>
      <c r="AL503" t="s">
        <v>372</v>
      </c>
      <c r="AQ503" s="1">
        <f t="shared" si="201"/>
        <v>100</v>
      </c>
      <c r="AR503" s="1">
        <f t="shared" si="181"/>
        <v>0</v>
      </c>
      <c r="AS503" s="1">
        <f t="shared" si="182"/>
        <v>0</v>
      </c>
      <c r="AT503" s="1">
        <f t="shared" si="183"/>
        <v>0.67567567567567566</v>
      </c>
      <c r="AU503" s="1">
        <f t="shared" si="184"/>
        <v>0</v>
      </c>
      <c r="AV503" s="1">
        <f t="shared" si="185"/>
        <v>0.41</v>
      </c>
      <c r="AX503" s="1">
        <f t="shared" si="186"/>
        <v>0</v>
      </c>
      <c r="AY503" s="1">
        <f t="shared" si="187"/>
        <v>0</v>
      </c>
      <c r="AZ503" s="1">
        <f t="shared" si="188"/>
        <v>0.5</v>
      </c>
      <c r="BA503" s="1">
        <f t="shared" si="189"/>
        <v>0.5</v>
      </c>
      <c r="BB503" s="1">
        <f t="shared" si="190"/>
        <v>0</v>
      </c>
      <c r="BC503" s="1">
        <f t="shared" si="191"/>
        <v>0</v>
      </c>
      <c r="BD503" s="1">
        <f t="shared" si="192"/>
        <v>0.41</v>
      </c>
      <c r="BF503">
        <f t="shared" si="193"/>
        <v>67.567567567567565</v>
      </c>
      <c r="BG503">
        <f t="shared" si="203"/>
        <v>32.432432432432442</v>
      </c>
      <c r="BH503" s="1">
        <f t="shared" si="194"/>
        <v>0</v>
      </c>
      <c r="BI503" s="1">
        <f t="shared" si="195"/>
        <v>0.48000000000000015</v>
      </c>
      <c r="BJ503" s="1">
        <f t="shared" si="196"/>
        <v>0.59</v>
      </c>
      <c r="BK503" s="1">
        <f t="shared" si="197"/>
        <v>9.6000000000000002E-2</v>
      </c>
      <c r="BL503" s="1">
        <f t="shared" si="198"/>
        <v>0.48000000000000015</v>
      </c>
      <c r="BM503" s="1">
        <f t="shared" si="199"/>
        <v>0.48000000000000015</v>
      </c>
      <c r="BN503" s="1">
        <f t="shared" si="202"/>
        <v>4.9000000000000241E-3</v>
      </c>
      <c r="BO503" s="1">
        <f t="shared" si="200"/>
        <v>5.5652352169781633E-6</v>
      </c>
    </row>
    <row r="504" spans="1:67" x14ac:dyDescent="0.25">
      <c r="A504" s="3"/>
      <c r="B504" s="3"/>
      <c r="C504" t="s">
        <v>264</v>
      </c>
      <c r="D504" s="5">
        <v>1</v>
      </c>
      <c r="E504" s="9">
        <f t="shared" si="179"/>
        <v>35.064935064935057</v>
      </c>
      <c r="F504" s="9">
        <f t="shared" si="180"/>
        <v>0</v>
      </c>
      <c r="G504">
        <v>0</v>
      </c>
      <c r="H504">
        <v>64.935064935064929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35.064935064935057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39</v>
      </c>
      <c r="AK504" t="s">
        <v>1</v>
      </c>
      <c r="AL504" t="s">
        <v>372</v>
      </c>
      <c r="AQ504" s="1">
        <f t="shared" si="201"/>
        <v>99.999999999999986</v>
      </c>
      <c r="AR504" s="1">
        <f t="shared" si="181"/>
        <v>0</v>
      </c>
      <c r="AS504" s="1">
        <f t="shared" si="182"/>
        <v>0</v>
      </c>
      <c r="AT504" s="1">
        <f t="shared" si="183"/>
        <v>0.64935064935064934</v>
      </c>
      <c r="AU504" s="1">
        <f t="shared" si="184"/>
        <v>0</v>
      </c>
      <c r="AV504" s="1">
        <f t="shared" si="185"/>
        <v>0.39</v>
      </c>
      <c r="AX504" s="1">
        <f t="shared" si="186"/>
        <v>0</v>
      </c>
      <c r="AY504" s="1">
        <f t="shared" si="187"/>
        <v>0</v>
      </c>
      <c r="AZ504" s="1">
        <f t="shared" si="188"/>
        <v>0.5</v>
      </c>
      <c r="BA504" s="1">
        <f t="shared" si="189"/>
        <v>0.5</v>
      </c>
      <c r="BB504" s="1">
        <f t="shared" si="190"/>
        <v>0</v>
      </c>
      <c r="BC504" s="1">
        <f t="shared" si="191"/>
        <v>0</v>
      </c>
      <c r="BD504" s="1">
        <f t="shared" si="192"/>
        <v>0.39</v>
      </c>
      <c r="BF504">
        <f t="shared" si="193"/>
        <v>64.935064935064929</v>
      </c>
      <c r="BG504">
        <f t="shared" si="203"/>
        <v>35.064935064935057</v>
      </c>
      <c r="BH504" s="1">
        <f t="shared" si="194"/>
        <v>0</v>
      </c>
      <c r="BI504" s="1">
        <f t="shared" si="195"/>
        <v>0.53999999999999992</v>
      </c>
      <c r="BJ504" s="1">
        <f t="shared" si="196"/>
        <v>0.59</v>
      </c>
      <c r="BK504" s="1">
        <f t="shared" si="197"/>
        <v>9.6000000000000002E-2</v>
      </c>
      <c r="BL504" s="1">
        <f t="shared" si="198"/>
        <v>0.53999999999999992</v>
      </c>
      <c r="BM504" s="1">
        <f t="shared" si="199"/>
        <v>0.53999999999999992</v>
      </c>
      <c r="BN504" s="1">
        <f t="shared" si="202"/>
        <v>2.2499999999999975E-2</v>
      </c>
      <c r="BO504" s="1">
        <f t="shared" si="200"/>
        <v>3.1120223215346117E-4</v>
      </c>
    </row>
    <row r="505" spans="1:67" x14ac:dyDescent="0.25">
      <c r="A505" s="3"/>
      <c r="B505" s="3"/>
      <c r="C505" t="s">
        <v>265</v>
      </c>
      <c r="D505" s="5">
        <v>1</v>
      </c>
      <c r="E505" s="9">
        <f t="shared" si="179"/>
        <v>41.17647058823529</v>
      </c>
      <c r="F505" s="9">
        <f t="shared" si="180"/>
        <v>0</v>
      </c>
      <c r="G505">
        <v>0</v>
      </c>
      <c r="H505">
        <v>58.82352941176471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41.17647058823529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34</v>
      </c>
      <c r="AK505" t="s">
        <v>1</v>
      </c>
      <c r="AL505" t="s">
        <v>372</v>
      </c>
      <c r="AQ505" s="1">
        <f t="shared" si="201"/>
        <v>100</v>
      </c>
      <c r="AR505" s="1">
        <f t="shared" si="181"/>
        <v>0</v>
      </c>
      <c r="AS505" s="1">
        <f t="shared" si="182"/>
        <v>0</v>
      </c>
      <c r="AT505" s="1">
        <f t="shared" si="183"/>
        <v>0.58823529411764708</v>
      </c>
      <c r="AU505" s="1">
        <f t="shared" si="184"/>
        <v>0</v>
      </c>
      <c r="AV505" s="1">
        <f t="shared" si="185"/>
        <v>0.34</v>
      </c>
      <c r="AX505" s="1">
        <f t="shared" si="186"/>
        <v>0</v>
      </c>
      <c r="AY505" s="1">
        <f t="shared" si="187"/>
        <v>0</v>
      </c>
      <c r="AZ505" s="1">
        <f t="shared" si="188"/>
        <v>0.5</v>
      </c>
      <c r="BA505" s="1">
        <f t="shared" si="189"/>
        <v>0.5</v>
      </c>
      <c r="BB505" s="1">
        <f t="shared" si="190"/>
        <v>0</v>
      </c>
      <c r="BC505" s="1">
        <f t="shared" si="191"/>
        <v>0</v>
      </c>
      <c r="BD505" s="1">
        <f t="shared" si="192"/>
        <v>0.34</v>
      </c>
      <c r="BF505">
        <f t="shared" si="193"/>
        <v>58.82352941176471</v>
      </c>
      <c r="BG505">
        <f t="shared" si="203"/>
        <v>41.17647058823529</v>
      </c>
      <c r="BH505" s="1">
        <f t="shared" si="194"/>
        <v>0</v>
      </c>
      <c r="BI505" s="1">
        <f t="shared" si="195"/>
        <v>0.69999999999999984</v>
      </c>
      <c r="BJ505" s="1">
        <f t="shared" si="196"/>
        <v>0.59</v>
      </c>
      <c r="BK505" s="1">
        <f t="shared" si="197"/>
        <v>9.6000000000000002E-2</v>
      </c>
      <c r="BL505" s="1">
        <f t="shared" si="198"/>
        <v>0.38866666666666672</v>
      </c>
      <c r="BM505" s="1">
        <f t="shared" si="199"/>
        <v>0.38866666666666672</v>
      </c>
      <c r="BN505" s="1">
        <f t="shared" si="202"/>
        <v>2.3684444444444469E-3</v>
      </c>
      <c r="BO505" s="1">
        <f t="shared" si="200"/>
        <v>4.5752947244946671E-3</v>
      </c>
    </row>
    <row r="506" spans="1:67" x14ac:dyDescent="0.25">
      <c r="A506" s="3"/>
      <c r="B506" s="3"/>
      <c r="C506" t="s">
        <v>266</v>
      </c>
      <c r="D506" s="5">
        <v>1</v>
      </c>
      <c r="E506" s="9">
        <f t="shared" si="179"/>
        <v>44.44444444444445</v>
      </c>
      <c r="F506" s="9">
        <f t="shared" si="180"/>
        <v>0</v>
      </c>
      <c r="G506">
        <v>0</v>
      </c>
      <c r="H506">
        <v>55.555555555555557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44.44444444444445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30</v>
      </c>
      <c r="AK506" t="s">
        <v>1</v>
      </c>
      <c r="AL506" t="s">
        <v>372</v>
      </c>
      <c r="AQ506" s="1">
        <f t="shared" si="201"/>
        <v>100</v>
      </c>
      <c r="AR506" s="1">
        <f t="shared" si="181"/>
        <v>0</v>
      </c>
      <c r="AS506" s="1">
        <f t="shared" si="182"/>
        <v>0</v>
      </c>
      <c r="AT506" s="1">
        <f t="shared" si="183"/>
        <v>0.55555555555555558</v>
      </c>
      <c r="AU506" s="1">
        <f t="shared" si="184"/>
        <v>0</v>
      </c>
      <c r="AV506" s="1">
        <f t="shared" si="185"/>
        <v>0.3</v>
      </c>
      <c r="AX506" s="1">
        <f t="shared" si="186"/>
        <v>0</v>
      </c>
      <c r="AY506" s="1">
        <f t="shared" si="187"/>
        <v>0</v>
      </c>
      <c r="AZ506" s="1">
        <f t="shared" si="188"/>
        <v>0.5</v>
      </c>
      <c r="BA506" s="1">
        <f t="shared" si="189"/>
        <v>0.5</v>
      </c>
      <c r="BB506" s="1">
        <f t="shared" si="190"/>
        <v>0</v>
      </c>
      <c r="BC506" s="1">
        <f t="shared" si="191"/>
        <v>0</v>
      </c>
      <c r="BD506" s="1">
        <f t="shared" si="192"/>
        <v>0.3</v>
      </c>
      <c r="BF506">
        <f t="shared" si="193"/>
        <v>55.555555555555557</v>
      </c>
      <c r="BG506">
        <f t="shared" si="203"/>
        <v>44.44444444444445</v>
      </c>
      <c r="BH506" s="1">
        <f t="shared" si="194"/>
        <v>0</v>
      </c>
      <c r="BI506" s="1">
        <f t="shared" si="195"/>
        <v>0.8</v>
      </c>
      <c r="BJ506" s="1">
        <f t="shared" si="196"/>
        <v>0.59</v>
      </c>
      <c r="BK506" s="1">
        <f t="shared" si="197"/>
        <v>9.6000000000000002E-2</v>
      </c>
      <c r="BL506" s="1">
        <f t="shared" si="198"/>
        <v>0.35533333333333328</v>
      </c>
      <c r="BM506" s="1">
        <f t="shared" si="199"/>
        <v>0.35533333333333328</v>
      </c>
      <c r="BN506" s="1">
        <f t="shared" si="202"/>
        <v>3.0617777777777731E-3</v>
      </c>
      <c r="BO506" s="1">
        <f t="shared" si="200"/>
        <v>1.158656871836764E-2</v>
      </c>
    </row>
    <row r="507" spans="1:67" x14ac:dyDescent="0.25">
      <c r="A507" s="3"/>
      <c r="B507" s="3"/>
      <c r="C507" t="s">
        <v>267</v>
      </c>
      <c r="D507" s="5">
        <v>1</v>
      </c>
      <c r="E507" s="9">
        <f t="shared" ref="E507:E561" si="204">I507+L507+M507+N507+O507+V507+X507+AB507+AD507</f>
        <v>2.912621359223301</v>
      </c>
      <c r="F507" s="9">
        <f t="shared" ref="F507:F561" si="205">Q507/(H507+P507+Q507+AC507)</f>
        <v>0</v>
      </c>
      <c r="G507">
        <v>0</v>
      </c>
      <c r="H507">
        <v>97.087378640776706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2.912621359223301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</v>
      </c>
      <c r="AK507" t="s">
        <v>1</v>
      </c>
      <c r="AL507" t="s">
        <v>372</v>
      </c>
      <c r="AQ507" s="1">
        <f t="shared" si="201"/>
        <v>100</v>
      </c>
      <c r="AR507" s="1">
        <f t="shared" si="181"/>
        <v>2.9126213592233011E-2</v>
      </c>
      <c r="AS507" s="1">
        <f t="shared" si="182"/>
        <v>0</v>
      </c>
      <c r="AT507" s="1">
        <f t="shared" si="183"/>
        <v>0.970873786407767</v>
      </c>
      <c r="AU507" s="1">
        <f t="shared" si="184"/>
        <v>0</v>
      </c>
      <c r="AV507" s="1">
        <f t="shared" si="185"/>
        <v>0.05</v>
      </c>
      <c r="AX507" s="1">
        <f t="shared" si="186"/>
        <v>0</v>
      </c>
      <c r="AY507" s="1">
        <f t="shared" si="187"/>
        <v>0.03</v>
      </c>
      <c r="AZ507" s="1">
        <f t="shared" si="188"/>
        <v>0.5</v>
      </c>
      <c r="BA507" s="1">
        <f t="shared" si="189"/>
        <v>0.5</v>
      </c>
      <c r="BB507" s="1">
        <f t="shared" si="190"/>
        <v>0.03</v>
      </c>
      <c r="BC507" s="1">
        <f t="shared" si="191"/>
        <v>0.03</v>
      </c>
      <c r="BD507" s="1">
        <f t="shared" si="192"/>
        <v>2.0000000000000004E-2</v>
      </c>
      <c r="BF507">
        <f t="shared" si="193"/>
        <v>97.087378640776706</v>
      </c>
      <c r="BG507">
        <f t="shared" si="203"/>
        <v>2.912621359223301</v>
      </c>
      <c r="BH507" s="1">
        <f t="shared" si="194"/>
        <v>0</v>
      </c>
      <c r="BI507" s="1">
        <f t="shared" si="195"/>
        <v>0.03</v>
      </c>
      <c r="BJ507" s="1">
        <f t="shared" si="196"/>
        <v>0.59</v>
      </c>
      <c r="BK507" s="1">
        <f t="shared" si="197"/>
        <v>9.6000000000000002E-2</v>
      </c>
      <c r="BL507" s="1">
        <f t="shared" si="198"/>
        <v>0.03</v>
      </c>
      <c r="BM507" s="1">
        <f t="shared" si="199"/>
        <v>0.03</v>
      </c>
      <c r="BN507" s="1">
        <f t="shared" si="202"/>
        <v>4.0000000000000018E-4</v>
      </c>
      <c r="BO507" s="1">
        <f t="shared" si="200"/>
        <v>0.12790703118007368</v>
      </c>
    </row>
    <row r="508" spans="1:67" x14ac:dyDescent="0.25">
      <c r="A508" s="3"/>
      <c r="B508" s="3"/>
      <c r="C508" t="s">
        <v>268</v>
      </c>
      <c r="D508" s="5">
        <v>1</v>
      </c>
      <c r="E508" s="9">
        <f t="shared" si="204"/>
        <v>9.0909090909090917</v>
      </c>
      <c r="F508" s="9">
        <f t="shared" si="205"/>
        <v>0</v>
      </c>
      <c r="G508">
        <v>0</v>
      </c>
      <c r="H508">
        <v>90.909090909090907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9.0909090909090917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12</v>
      </c>
      <c r="AK508" t="s">
        <v>1</v>
      </c>
      <c r="AL508" t="s">
        <v>372</v>
      </c>
      <c r="AQ508" s="1">
        <f t="shared" si="201"/>
        <v>100</v>
      </c>
      <c r="AR508" s="1">
        <f t="shared" si="181"/>
        <v>9.0909090909090912E-2</v>
      </c>
      <c r="AS508" s="1">
        <f t="shared" si="182"/>
        <v>0</v>
      </c>
      <c r="AT508" s="1">
        <f t="shared" si="183"/>
        <v>0.90909090909090906</v>
      </c>
      <c r="AU508" s="1">
        <f t="shared" si="184"/>
        <v>0</v>
      </c>
      <c r="AV508" s="1">
        <f t="shared" si="185"/>
        <v>0.12</v>
      </c>
      <c r="AX508" s="1">
        <f t="shared" si="186"/>
        <v>0</v>
      </c>
      <c r="AY508" s="1">
        <f t="shared" si="187"/>
        <v>0.1</v>
      </c>
      <c r="AZ508" s="1">
        <f t="shared" si="188"/>
        <v>0.5</v>
      </c>
      <c r="BA508" s="1">
        <f t="shared" si="189"/>
        <v>0.5</v>
      </c>
      <c r="BB508" s="1">
        <f t="shared" si="190"/>
        <v>0.1</v>
      </c>
      <c r="BC508" s="1">
        <f t="shared" si="191"/>
        <v>0.1</v>
      </c>
      <c r="BD508" s="1">
        <f t="shared" si="192"/>
        <v>1.999999999999999E-2</v>
      </c>
      <c r="BF508">
        <f t="shared" si="193"/>
        <v>90.909090909090907</v>
      </c>
      <c r="BG508">
        <f t="shared" si="203"/>
        <v>9.0909090909090917</v>
      </c>
      <c r="BH508" s="1">
        <f t="shared" si="194"/>
        <v>0</v>
      </c>
      <c r="BI508" s="1">
        <f t="shared" si="195"/>
        <v>0.1</v>
      </c>
      <c r="BJ508" s="1">
        <f t="shared" si="196"/>
        <v>0.59</v>
      </c>
      <c r="BK508" s="1">
        <f t="shared" si="197"/>
        <v>9.6000000000000002E-2</v>
      </c>
      <c r="BL508" s="1">
        <f t="shared" si="198"/>
        <v>0.1</v>
      </c>
      <c r="BM508" s="1">
        <f t="shared" si="199"/>
        <v>0.1</v>
      </c>
      <c r="BN508" s="1">
        <f t="shared" si="202"/>
        <v>3.9999999999999959E-4</v>
      </c>
      <c r="BO508" s="1">
        <f t="shared" si="200"/>
        <v>8.2737301690795989E-2</v>
      </c>
    </row>
    <row r="509" spans="1:67" x14ac:dyDescent="0.25">
      <c r="A509" s="3"/>
      <c r="B509" s="3"/>
      <c r="C509" t="s">
        <v>269</v>
      </c>
      <c r="D509" s="5">
        <v>1</v>
      </c>
      <c r="E509" s="9">
        <f t="shared" si="204"/>
        <v>16.666666666666671</v>
      </c>
      <c r="F509" s="9">
        <f t="shared" si="205"/>
        <v>0</v>
      </c>
      <c r="G509">
        <v>0</v>
      </c>
      <c r="H509">
        <v>83.333333333333343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16.666666666666671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23</v>
      </c>
      <c r="AK509" t="s">
        <v>1</v>
      </c>
      <c r="AL509" t="s">
        <v>372</v>
      </c>
      <c r="AQ509" s="1">
        <f t="shared" si="201"/>
        <v>100.00000000000001</v>
      </c>
      <c r="AR509" s="1">
        <f t="shared" si="181"/>
        <v>0.16666666666666671</v>
      </c>
      <c r="AS509" s="1">
        <f t="shared" si="182"/>
        <v>0</v>
      </c>
      <c r="AT509" s="1">
        <f t="shared" si="183"/>
        <v>0.83333333333333348</v>
      </c>
      <c r="AU509" s="1">
        <f t="shared" si="184"/>
        <v>0</v>
      </c>
      <c r="AV509" s="1">
        <f t="shared" si="185"/>
        <v>0.23</v>
      </c>
      <c r="AX509" s="1">
        <f t="shared" si="186"/>
        <v>0</v>
      </c>
      <c r="AY509" s="1">
        <f t="shared" si="187"/>
        <v>0.2</v>
      </c>
      <c r="AZ509" s="1">
        <f t="shared" si="188"/>
        <v>0.5</v>
      </c>
      <c r="BA509" s="1">
        <f t="shared" si="189"/>
        <v>0.5</v>
      </c>
      <c r="BB509" s="1">
        <f t="shared" si="190"/>
        <v>0.2</v>
      </c>
      <c r="BC509" s="1">
        <f t="shared" si="191"/>
        <v>0.2</v>
      </c>
      <c r="BD509" s="1">
        <f t="shared" si="192"/>
        <v>0.03</v>
      </c>
      <c r="BF509">
        <f t="shared" si="193"/>
        <v>83.333333333333343</v>
      </c>
      <c r="BG509">
        <f t="shared" si="203"/>
        <v>16.666666666666671</v>
      </c>
      <c r="BH509" s="1">
        <f t="shared" si="194"/>
        <v>0</v>
      </c>
      <c r="BI509" s="1">
        <f t="shared" si="195"/>
        <v>0.20000000000000004</v>
      </c>
      <c r="BJ509" s="1">
        <f t="shared" si="196"/>
        <v>0.59</v>
      </c>
      <c r="BK509" s="1">
        <f t="shared" si="197"/>
        <v>9.6000000000000002E-2</v>
      </c>
      <c r="BL509" s="1">
        <f t="shared" si="198"/>
        <v>0.20000000000000004</v>
      </c>
      <c r="BM509" s="1">
        <f t="shared" si="199"/>
        <v>0.20000000000000004</v>
      </c>
      <c r="BN509" s="1">
        <f t="shared" si="202"/>
        <v>8.9999999999999824E-4</v>
      </c>
      <c r="BO509" s="1">
        <f t="shared" si="200"/>
        <v>3.1556298207645328E-2</v>
      </c>
    </row>
    <row r="510" spans="1:67" x14ac:dyDescent="0.25">
      <c r="A510" s="3"/>
      <c r="B510" s="3"/>
      <c r="C510" t="s">
        <v>341</v>
      </c>
      <c r="D510" s="5">
        <v>1</v>
      </c>
      <c r="E510" s="9">
        <f t="shared" si="204"/>
        <v>24.242424242424239</v>
      </c>
      <c r="F510" s="9">
        <f t="shared" si="205"/>
        <v>0</v>
      </c>
      <c r="G510">
        <v>0</v>
      </c>
      <c r="H510">
        <v>75.757575757575751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24.242424242424239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32</v>
      </c>
      <c r="AK510" t="s">
        <v>1</v>
      </c>
      <c r="AL510" t="s">
        <v>372</v>
      </c>
      <c r="AQ510" s="1">
        <f t="shared" si="201"/>
        <v>99.999999999999986</v>
      </c>
      <c r="AR510" s="1">
        <f t="shared" si="181"/>
        <v>0.24242424242424238</v>
      </c>
      <c r="AS510" s="1">
        <f t="shared" si="182"/>
        <v>0</v>
      </c>
      <c r="AT510" s="1">
        <f t="shared" si="183"/>
        <v>0.75757575757575746</v>
      </c>
      <c r="AU510" s="1">
        <f t="shared" si="184"/>
        <v>0</v>
      </c>
      <c r="AV510" s="1">
        <f t="shared" si="185"/>
        <v>0.32</v>
      </c>
      <c r="AX510" s="1">
        <f t="shared" si="186"/>
        <v>0</v>
      </c>
      <c r="AY510" s="1">
        <f t="shared" si="187"/>
        <v>0.32</v>
      </c>
      <c r="AZ510" s="1">
        <f t="shared" si="188"/>
        <v>0.5</v>
      </c>
      <c r="BA510" s="1">
        <f t="shared" si="189"/>
        <v>0.5</v>
      </c>
      <c r="BB510" s="1">
        <f t="shared" si="190"/>
        <v>0.32</v>
      </c>
      <c r="BC510" s="1">
        <f t="shared" si="191"/>
        <v>0.32</v>
      </c>
      <c r="BD510" s="1">
        <f t="shared" si="192"/>
        <v>0</v>
      </c>
      <c r="BF510">
        <f t="shared" si="193"/>
        <v>75.757575757575751</v>
      </c>
      <c r="BG510">
        <f t="shared" si="203"/>
        <v>24.242424242424239</v>
      </c>
      <c r="BH510" s="1">
        <f t="shared" si="194"/>
        <v>0</v>
      </c>
      <c r="BI510" s="1">
        <f t="shared" si="195"/>
        <v>0.32</v>
      </c>
      <c r="BJ510" s="1">
        <f t="shared" si="196"/>
        <v>0.59</v>
      </c>
      <c r="BK510" s="1">
        <f t="shared" si="197"/>
        <v>9.6000000000000002E-2</v>
      </c>
      <c r="BL510" s="1">
        <f t="shared" si="198"/>
        <v>0.32</v>
      </c>
      <c r="BM510" s="1">
        <f t="shared" si="199"/>
        <v>0.32</v>
      </c>
      <c r="BN510" s="1">
        <f t="shared" si="202"/>
        <v>0</v>
      </c>
      <c r="BO510" s="1">
        <f t="shared" si="200"/>
        <v>7.680931721431152E-3</v>
      </c>
    </row>
    <row r="511" spans="1:67" x14ac:dyDescent="0.25">
      <c r="A511" s="3"/>
      <c r="B511" s="3"/>
      <c r="C511" t="s">
        <v>270</v>
      </c>
      <c r="D511" s="5">
        <v>1</v>
      </c>
      <c r="E511" s="9">
        <f t="shared" si="204"/>
        <v>28.57142857142858</v>
      </c>
      <c r="F511" s="9">
        <f t="shared" si="205"/>
        <v>0</v>
      </c>
      <c r="G511">
        <v>0</v>
      </c>
      <c r="H511">
        <v>71.428571428571431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28.57142857142858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39</v>
      </c>
      <c r="AK511" t="s">
        <v>1</v>
      </c>
      <c r="AL511" t="s">
        <v>372</v>
      </c>
      <c r="AQ511" s="1">
        <f t="shared" si="201"/>
        <v>100.00000000000001</v>
      </c>
      <c r="AR511" s="1">
        <f t="shared" si="181"/>
        <v>0.28571428571428581</v>
      </c>
      <c r="AS511" s="1">
        <f t="shared" si="182"/>
        <v>0</v>
      </c>
      <c r="AT511" s="1">
        <f t="shared" si="183"/>
        <v>0.7142857142857143</v>
      </c>
      <c r="AU511" s="1">
        <f t="shared" si="184"/>
        <v>0</v>
      </c>
      <c r="AV511" s="1">
        <f t="shared" si="185"/>
        <v>0.39</v>
      </c>
      <c r="AX511" s="1">
        <f t="shared" si="186"/>
        <v>0</v>
      </c>
      <c r="AY511" s="1">
        <f t="shared" si="187"/>
        <v>0.40000000000000013</v>
      </c>
      <c r="AZ511" s="1">
        <f t="shared" si="188"/>
        <v>0.5</v>
      </c>
      <c r="BA511" s="1">
        <f t="shared" si="189"/>
        <v>0.5</v>
      </c>
      <c r="BB511" s="1">
        <f t="shared" si="190"/>
        <v>0.40000000000000013</v>
      </c>
      <c r="BC511" s="1">
        <f t="shared" si="191"/>
        <v>0.40000000000000013</v>
      </c>
      <c r="BD511" s="1">
        <f t="shared" si="192"/>
        <v>1.000000000000012E-2</v>
      </c>
      <c r="BF511">
        <f t="shared" si="193"/>
        <v>71.428571428571431</v>
      </c>
      <c r="BG511">
        <f t="shared" si="203"/>
        <v>28.57142857142858</v>
      </c>
      <c r="BH511" s="1">
        <f t="shared" si="194"/>
        <v>0</v>
      </c>
      <c r="BI511" s="1">
        <f t="shared" si="195"/>
        <v>0.40000000000000013</v>
      </c>
      <c r="BJ511" s="1">
        <f t="shared" si="196"/>
        <v>0.59</v>
      </c>
      <c r="BK511" s="1">
        <f t="shared" si="197"/>
        <v>9.6000000000000002E-2</v>
      </c>
      <c r="BL511" s="1">
        <f t="shared" si="198"/>
        <v>0.40000000000000013</v>
      </c>
      <c r="BM511" s="1">
        <f t="shared" si="199"/>
        <v>0.40000000000000013</v>
      </c>
      <c r="BN511" s="1">
        <f t="shared" si="202"/>
        <v>1.000000000000024E-4</v>
      </c>
      <c r="BO511" s="1">
        <f t="shared" si="200"/>
        <v>3.1120223215346117E-4</v>
      </c>
    </row>
    <row r="512" spans="1:67" x14ac:dyDescent="0.25">
      <c r="A512" s="3"/>
      <c r="B512" s="3"/>
      <c r="C512" t="s">
        <v>271</v>
      </c>
      <c r="D512" s="5">
        <v>1</v>
      </c>
      <c r="E512" s="9">
        <f t="shared" si="204"/>
        <v>35.064935064935057</v>
      </c>
      <c r="F512" s="9">
        <f t="shared" si="205"/>
        <v>0</v>
      </c>
      <c r="G512">
        <v>0</v>
      </c>
      <c r="H512">
        <v>64.935064935064929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35.064935064935057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41</v>
      </c>
      <c r="AK512" t="s">
        <v>1</v>
      </c>
      <c r="AL512" t="s">
        <v>372</v>
      </c>
      <c r="AQ512" s="1">
        <f t="shared" si="201"/>
        <v>99.999999999999986</v>
      </c>
      <c r="AR512" s="1">
        <f t="shared" si="181"/>
        <v>0.35064935064935054</v>
      </c>
      <c r="AS512" s="1">
        <f t="shared" si="182"/>
        <v>0</v>
      </c>
      <c r="AT512" s="1">
        <f t="shared" si="183"/>
        <v>0.64935064935064934</v>
      </c>
      <c r="AU512" s="1">
        <f t="shared" si="184"/>
        <v>0</v>
      </c>
      <c r="AV512" s="1">
        <f t="shared" si="185"/>
        <v>0.41</v>
      </c>
      <c r="AX512" s="1">
        <f t="shared" si="186"/>
        <v>0</v>
      </c>
      <c r="AY512" s="1">
        <f t="shared" si="187"/>
        <v>0.53999999999999981</v>
      </c>
      <c r="AZ512" s="1">
        <f t="shared" si="188"/>
        <v>0.5</v>
      </c>
      <c r="BA512" s="1">
        <f t="shared" si="189"/>
        <v>0.5</v>
      </c>
      <c r="BB512" s="1">
        <f t="shared" si="190"/>
        <v>0.48666666666666675</v>
      </c>
      <c r="BC512" s="1">
        <f t="shared" si="191"/>
        <v>0.48666666666666675</v>
      </c>
      <c r="BD512" s="1">
        <f t="shared" si="192"/>
        <v>7.6666666666666772E-2</v>
      </c>
      <c r="BF512">
        <f t="shared" si="193"/>
        <v>64.935064935064929</v>
      </c>
      <c r="BG512">
        <f t="shared" si="203"/>
        <v>35.064935064935057</v>
      </c>
      <c r="BH512" s="1">
        <f t="shared" si="194"/>
        <v>0</v>
      </c>
      <c r="BI512" s="1">
        <f t="shared" si="195"/>
        <v>0.53999999999999992</v>
      </c>
      <c r="BJ512" s="1">
        <f t="shared" si="196"/>
        <v>0.59</v>
      </c>
      <c r="BK512" s="1">
        <f t="shared" si="197"/>
        <v>9.6000000000000002E-2</v>
      </c>
      <c r="BL512" s="1">
        <f t="shared" si="198"/>
        <v>0.53999999999999992</v>
      </c>
      <c r="BM512" s="1">
        <f t="shared" si="199"/>
        <v>0.53999999999999992</v>
      </c>
      <c r="BN512" s="1">
        <f t="shared" si="202"/>
        <v>1.6899999999999988E-2</v>
      </c>
      <c r="BO512" s="1">
        <f t="shared" si="200"/>
        <v>5.5652352169781633E-6</v>
      </c>
    </row>
    <row r="513" spans="1:67" x14ac:dyDescent="0.25">
      <c r="A513" s="3"/>
      <c r="B513" s="3"/>
      <c r="C513" t="s">
        <v>342</v>
      </c>
      <c r="D513" s="5">
        <v>1</v>
      </c>
      <c r="E513" s="9">
        <f t="shared" si="204"/>
        <v>37.499999999999993</v>
      </c>
      <c r="F513" s="9">
        <f t="shared" si="205"/>
        <v>0</v>
      </c>
      <c r="G513">
        <v>0</v>
      </c>
      <c r="H513">
        <v>62.5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37.499999999999993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40</v>
      </c>
      <c r="AK513" t="s">
        <v>1</v>
      </c>
      <c r="AL513" t="s">
        <v>372</v>
      </c>
      <c r="AQ513" s="1">
        <f t="shared" si="201"/>
        <v>100</v>
      </c>
      <c r="AR513" s="1">
        <f t="shared" si="181"/>
        <v>0.37499999999999994</v>
      </c>
      <c r="AS513" s="1">
        <f t="shared" si="182"/>
        <v>0</v>
      </c>
      <c r="AT513" s="1">
        <f t="shared" si="183"/>
        <v>0.625</v>
      </c>
      <c r="AU513" s="1">
        <f t="shared" si="184"/>
        <v>0</v>
      </c>
      <c r="AV513" s="1">
        <f t="shared" si="185"/>
        <v>0.4</v>
      </c>
      <c r="AX513" s="1">
        <f t="shared" si="186"/>
        <v>0</v>
      </c>
      <c r="AY513" s="1">
        <f t="shared" si="187"/>
        <v>0.59999999999999987</v>
      </c>
      <c r="AZ513" s="1">
        <f t="shared" si="188"/>
        <v>0.5</v>
      </c>
      <c r="BA513" s="1">
        <f t="shared" si="189"/>
        <v>0.5</v>
      </c>
      <c r="BB513" s="1">
        <f t="shared" si="190"/>
        <v>0.46666666666666673</v>
      </c>
      <c r="BC513" s="1">
        <f t="shared" si="191"/>
        <v>0.46666666666666673</v>
      </c>
      <c r="BD513" s="1">
        <f t="shared" si="192"/>
        <v>6.6666666666666707E-2</v>
      </c>
      <c r="BF513">
        <f t="shared" si="193"/>
        <v>62.5</v>
      </c>
      <c r="BG513">
        <f t="shared" si="203"/>
        <v>37.499999999999993</v>
      </c>
      <c r="BH513" s="1">
        <f t="shared" si="194"/>
        <v>0</v>
      </c>
      <c r="BI513" s="1">
        <f t="shared" si="195"/>
        <v>0.59999999999999987</v>
      </c>
      <c r="BJ513" s="1">
        <f t="shared" si="196"/>
        <v>0.59</v>
      </c>
      <c r="BK513" s="1">
        <f t="shared" si="197"/>
        <v>9.6000000000000002E-2</v>
      </c>
      <c r="BL513" s="1">
        <f t="shared" si="198"/>
        <v>0.42200000000000004</v>
      </c>
      <c r="BM513" s="1">
        <f t="shared" si="199"/>
        <v>0.42200000000000004</v>
      </c>
      <c r="BN513" s="1">
        <f t="shared" si="202"/>
        <v>4.8400000000000087E-4</v>
      </c>
      <c r="BO513" s="1">
        <f t="shared" si="200"/>
        <v>5.8383733685219634E-5</v>
      </c>
    </row>
    <row r="514" spans="1:67" x14ac:dyDescent="0.25">
      <c r="A514" s="3"/>
      <c r="B514" s="3"/>
      <c r="C514" t="s">
        <v>272</v>
      </c>
      <c r="D514" s="5">
        <v>1</v>
      </c>
      <c r="E514" s="9">
        <f t="shared" si="204"/>
        <v>41.17647058823529</v>
      </c>
      <c r="F514" s="9">
        <f t="shared" si="205"/>
        <v>0</v>
      </c>
      <c r="G514">
        <v>0</v>
      </c>
      <c r="H514">
        <v>58.82352941176471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41.17647058823529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36</v>
      </c>
      <c r="AK514" t="s">
        <v>1</v>
      </c>
      <c r="AL514" t="s">
        <v>372</v>
      </c>
      <c r="AQ514" s="1">
        <f t="shared" si="201"/>
        <v>100</v>
      </c>
      <c r="AR514" s="1">
        <f t="shared" ref="AR514:AR568" si="206">(L514+M514+O514+X514)/100</f>
        <v>0.41176470588235292</v>
      </c>
      <c r="AS514" s="1">
        <f t="shared" ref="AS514:AS568" si="207">G514/100</f>
        <v>0</v>
      </c>
      <c r="AT514" s="1">
        <f t="shared" ref="AT514:AT568" si="208">H514/100</f>
        <v>0.58823529411764708</v>
      </c>
      <c r="AU514" s="1">
        <f t="shared" ref="AU514:AU568" si="209">Q514/100</f>
        <v>0</v>
      </c>
      <c r="AV514" s="1">
        <f t="shared" ref="AV514:AV568" si="210">AJ514/100</f>
        <v>0.36</v>
      </c>
      <c r="AX514" s="1">
        <f t="shared" ref="AX514:AX568" si="211">AU514/(AT514+AS514)</f>
        <v>0</v>
      </c>
      <c r="AY514" s="1">
        <f t="shared" ref="AY514:AY568" si="212">AR514/(AS514+AT514)</f>
        <v>0.7</v>
      </c>
      <c r="AZ514" s="1">
        <f t="shared" ref="AZ514:AZ568" si="213">0.5+AX514/16</f>
        <v>0.5</v>
      </c>
      <c r="BA514" s="1">
        <f t="shared" ref="BA514:BA568" si="214">0.5+AX514/4</f>
        <v>0.5</v>
      </c>
      <c r="BB514" s="1">
        <f t="shared" ref="BB514:BB568" si="215">IF(AY514&lt;=AZ514,AY514,IF(AY514&lt;=BA514,AZ514,AZ514-(AY514-BA514)*(8+AX514)/(12*(2+AX514))))</f>
        <v>0.43333333333333335</v>
      </c>
      <c r="BC514" s="1">
        <f t="shared" ref="BC514:BC568" si="216">IF(BB514&lt;1,BB514,1)</f>
        <v>0.43333333333333335</v>
      </c>
      <c r="BD514" s="1">
        <f t="shared" ref="BD514:BD568" si="217">ABS(BC514-AV514)</f>
        <v>7.3333333333333361E-2</v>
      </c>
      <c r="BF514">
        <f t="shared" ref="BF514:BF568" si="218">$BR$3*H514+$BR$4*G514+$BR$5*P514+$BR$6*K514+$BR$7*S514+$BR$8*U514+$BR$9*Y514+$BR$10*J514+$BR$11*AC514+$BR$12*AG514+$BR$13*AH514+$BR$14*R514+$BR$15*AE514</f>
        <v>58.82352941176471</v>
      </c>
      <c r="BG514">
        <f t="shared" si="203"/>
        <v>41.17647058823529</v>
      </c>
      <c r="BH514" s="1">
        <f t="shared" ref="BH514:BH568" si="219">(Q514)/BF514</f>
        <v>0</v>
      </c>
      <c r="BI514" s="1">
        <f t="shared" ref="BI514:BI568" si="220">BG514/BF514</f>
        <v>0.69999999999999984</v>
      </c>
      <c r="BJ514" s="1">
        <f t="shared" ref="BJ514:BJ568" si="221">$BR$32+BH514*$BR$33</f>
        <v>0.59</v>
      </c>
      <c r="BK514" s="1">
        <f t="shared" ref="BK514:BK568" si="222">$BR$34+BH514*$BR$35</f>
        <v>9.6000000000000002E-2</v>
      </c>
      <c r="BL514" s="1">
        <f t="shared" ref="BL514:BL568" si="223">IF(BI514&lt;=BJ514,BI514,IF(BI514&lt;=BK514,BJ514,BJ514-(BI514-BK514)*(8+BH514)/(12*(2+BH514))))</f>
        <v>0.38866666666666672</v>
      </c>
      <c r="BM514" s="1">
        <f t="shared" ref="BM514:BM568" si="224">IF(BL514&lt;1,IF(BL514&gt;0,BL514,0),1)</f>
        <v>0.38866666666666672</v>
      </c>
      <c r="BN514" s="1">
        <f t="shared" si="202"/>
        <v>8.2177777777778141E-4</v>
      </c>
      <c r="BO514" s="1">
        <f t="shared" ref="BO514:BO577" si="225">(AV514-AVERAGE($AV$2:$AV$638))^2</f>
        <v>2.2696577275581882E-3</v>
      </c>
    </row>
    <row r="515" spans="1:67" x14ac:dyDescent="0.25">
      <c r="A515" s="3"/>
      <c r="B515" s="3"/>
      <c r="C515" t="s">
        <v>273</v>
      </c>
      <c r="D515" s="5">
        <v>1</v>
      </c>
      <c r="E515" s="9">
        <f t="shared" si="204"/>
        <v>44.44444444444445</v>
      </c>
      <c r="F515" s="9">
        <f t="shared" si="205"/>
        <v>0</v>
      </c>
      <c r="G515">
        <v>0</v>
      </c>
      <c r="H515">
        <v>55.555555555555557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44.44444444444445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35</v>
      </c>
      <c r="AK515" t="s">
        <v>1</v>
      </c>
      <c r="AL515" t="s">
        <v>372</v>
      </c>
      <c r="AQ515" s="1">
        <f t="shared" ref="AQ515:AQ569" si="226">SUM(G515:AI515)</f>
        <v>100</v>
      </c>
      <c r="AR515" s="1">
        <f t="shared" si="206"/>
        <v>0.44444444444444448</v>
      </c>
      <c r="AS515" s="1">
        <f t="shared" si="207"/>
        <v>0</v>
      </c>
      <c r="AT515" s="1">
        <f t="shared" si="208"/>
        <v>0.55555555555555558</v>
      </c>
      <c r="AU515" s="1">
        <f t="shared" si="209"/>
        <v>0</v>
      </c>
      <c r="AV515" s="1">
        <f t="shared" si="210"/>
        <v>0.35</v>
      </c>
      <c r="AX515" s="1">
        <f t="shared" si="211"/>
        <v>0</v>
      </c>
      <c r="AY515" s="1">
        <f t="shared" si="212"/>
        <v>0.8</v>
      </c>
      <c r="AZ515" s="1">
        <f t="shared" si="213"/>
        <v>0.5</v>
      </c>
      <c r="BA515" s="1">
        <f t="shared" si="214"/>
        <v>0.5</v>
      </c>
      <c r="BB515" s="1">
        <f t="shared" si="215"/>
        <v>0.39999999999999997</v>
      </c>
      <c r="BC515" s="1">
        <f t="shared" si="216"/>
        <v>0.39999999999999997</v>
      </c>
      <c r="BD515" s="1">
        <f t="shared" si="217"/>
        <v>4.9999999999999989E-2</v>
      </c>
      <c r="BF515">
        <f t="shared" si="218"/>
        <v>55.555555555555557</v>
      </c>
      <c r="BG515">
        <f t="shared" si="203"/>
        <v>44.44444444444445</v>
      </c>
      <c r="BH515" s="1">
        <f t="shared" si="219"/>
        <v>0</v>
      </c>
      <c r="BI515" s="1">
        <f t="shared" si="220"/>
        <v>0.8</v>
      </c>
      <c r="BJ515" s="1">
        <f t="shared" si="221"/>
        <v>0.59</v>
      </c>
      <c r="BK515" s="1">
        <f t="shared" si="222"/>
        <v>9.6000000000000002E-2</v>
      </c>
      <c r="BL515" s="1">
        <f t="shared" si="223"/>
        <v>0.35533333333333328</v>
      </c>
      <c r="BM515" s="1">
        <f t="shared" si="224"/>
        <v>0.35533333333333328</v>
      </c>
      <c r="BN515" s="1">
        <f t="shared" ref="BN515:BN569" si="227">(BM515-AV515)^2</f>
        <v>2.8444444444444102E-5</v>
      </c>
      <c r="BO515" s="1">
        <f t="shared" si="225"/>
        <v>3.3224762260264311E-3</v>
      </c>
    </row>
    <row r="516" spans="1:67" x14ac:dyDescent="0.25">
      <c r="A516" s="3"/>
      <c r="B516" s="3"/>
      <c r="C516" t="s">
        <v>274</v>
      </c>
      <c r="D516" s="5">
        <v>1</v>
      </c>
      <c r="E516" s="9">
        <f t="shared" si="204"/>
        <v>47.368421052631582</v>
      </c>
      <c r="F516" s="9">
        <f t="shared" si="205"/>
        <v>0</v>
      </c>
      <c r="G516">
        <v>0</v>
      </c>
      <c r="H516">
        <v>52.631578947368418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47.368421052631582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33</v>
      </c>
      <c r="AK516" t="s">
        <v>1</v>
      </c>
      <c r="AL516" t="s">
        <v>372</v>
      </c>
      <c r="AQ516" s="1">
        <f t="shared" si="226"/>
        <v>100</v>
      </c>
      <c r="AR516" s="1">
        <f t="shared" si="206"/>
        <v>0.47368421052631582</v>
      </c>
      <c r="AS516" s="1">
        <f t="shared" si="207"/>
        <v>0</v>
      </c>
      <c r="AT516" s="1">
        <f t="shared" si="208"/>
        <v>0.52631578947368418</v>
      </c>
      <c r="AU516" s="1">
        <f t="shared" si="209"/>
        <v>0</v>
      </c>
      <c r="AV516" s="1">
        <f t="shared" si="210"/>
        <v>0.33</v>
      </c>
      <c r="AX516" s="1">
        <f t="shared" si="211"/>
        <v>0</v>
      </c>
      <c r="AY516" s="1">
        <f t="shared" si="212"/>
        <v>0.90000000000000013</v>
      </c>
      <c r="AZ516" s="1">
        <f t="shared" si="213"/>
        <v>0.5</v>
      </c>
      <c r="BA516" s="1">
        <f t="shared" si="214"/>
        <v>0.5</v>
      </c>
      <c r="BB516" s="1">
        <f t="shared" si="215"/>
        <v>0.36666666666666659</v>
      </c>
      <c r="BC516" s="1">
        <f t="shared" si="216"/>
        <v>0.36666666666666659</v>
      </c>
      <c r="BD516" s="1">
        <f t="shared" si="217"/>
        <v>3.666666666666657E-2</v>
      </c>
      <c r="BF516">
        <f t="shared" si="218"/>
        <v>52.631578947368418</v>
      </c>
      <c r="BG516">
        <f t="shared" si="203"/>
        <v>47.368421052631582</v>
      </c>
      <c r="BH516" s="1">
        <f t="shared" si="219"/>
        <v>0</v>
      </c>
      <c r="BI516" s="1">
        <f t="shared" si="220"/>
        <v>0.90000000000000013</v>
      </c>
      <c r="BJ516" s="1">
        <f t="shared" si="221"/>
        <v>0.59</v>
      </c>
      <c r="BK516" s="1">
        <f t="shared" si="222"/>
        <v>9.6000000000000002E-2</v>
      </c>
      <c r="BL516" s="1">
        <f t="shared" si="223"/>
        <v>0.3219999999999999</v>
      </c>
      <c r="BM516" s="1">
        <f t="shared" si="224"/>
        <v>0.3219999999999999</v>
      </c>
      <c r="BN516" s="1">
        <f t="shared" si="227"/>
        <v>6.4000000000001894E-5</v>
      </c>
      <c r="BO516" s="1">
        <f t="shared" si="225"/>
        <v>6.0281132229629093E-3</v>
      </c>
    </row>
    <row r="517" spans="1:67" x14ac:dyDescent="0.25">
      <c r="A517" s="3"/>
      <c r="B517" s="3"/>
      <c r="C517" t="s">
        <v>275</v>
      </c>
      <c r="D517" s="5">
        <v>1</v>
      </c>
      <c r="E517" s="9">
        <f t="shared" si="204"/>
        <v>52.380952380952387</v>
      </c>
      <c r="F517" s="9">
        <f t="shared" si="205"/>
        <v>0</v>
      </c>
      <c r="G517">
        <v>0</v>
      </c>
      <c r="H517">
        <v>47.619047619047613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52.380952380952387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28</v>
      </c>
      <c r="AK517" t="s">
        <v>1</v>
      </c>
      <c r="AL517" t="s">
        <v>372</v>
      </c>
      <c r="AQ517" s="1">
        <f t="shared" si="226"/>
        <v>100</v>
      </c>
      <c r="AR517" s="1">
        <f t="shared" si="206"/>
        <v>0.52380952380952384</v>
      </c>
      <c r="AS517" s="1">
        <f t="shared" si="207"/>
        <v>0</v>
      </c>
      <c r="AT517" s="1">
        <f t="shared" si="208"/>
        <v>0.47619047619047611</v>
      </c>
      <c r="AU517" s="1">
        <f t="shared" si="209"/>
        <v>0</v>
      </c>
      <c r="AV517" s="1">
        <f t="shared" si="210"/>
        <v>0.28000000000000003</v>
      </c>
      <c r="AX517" s="1">
        <f t="shared" si="211"/>
        <v>0</v>
      </c>
      <c r="AY517" s="1">
        <f t="shared" si="212"/>
        <v>1.1000000000000003</v>
      </c>
      <c r="AZ517" s="1">
        <f t="shared" si="213"/>
        <v>0.5</v>
      </c>
      <c r="BA517" s="1">
        <f t="shared" si="214"/>
        <v>0.5</v>
      </c>
      <c r="BB517" s="1">
        <f t="shared" si="215"/>
        <v>0.29999999999999993</v>
      </c>
      <c r="BC517" s="1">
        <f t="shared" si="216"/>
        <v>0.29999999999999993</v>
      </c>
      <c r="BD517" s="1">
        <f t="shared" si="217"/>
        <v>1.9999999999999907E-2</v>
      </c>
      <c r="BF517">
        <f t="shared" si="218"/>
        <v>47.619047619047613</v>
      </c>
      <c r="BG517">
        <f t="shared" ref="BG517:BG571" si="228">O517+$BR$17*M517+$BR$18*L517+$BR$19*X517+$BR$20*AD517+$BR$21*I517+$BR$22*N517+$BR$23*AB517+$BR$24*V517+$BR$25*T517+$BR$26*AA517+$BR$28*Z517+$BR$29*AF517+$BR$30*W517+$BR$27*AI517</f>
        <v>52.380952380952387</v>
      </c>
      <c r="BH517" s="1">
        <f t="shared" si="219"/>
        <v>0</v>
      </c>
      <c r="BI517" s="1">
        <f t="shared" si="220"/>
        <v>1.1000000000000003</v>
      </c>
      <c r="BJ517" s="1">
        <f t="shared" si="221"/>
        <v>0.59</v>
      </c>
      <c r="BK517" s="1">
        <f t="shared" si="222"/>
        <v>9.6000000000000002E-2</v>
      </c>
      <c r="BL517" s="1">
        <f t="shared" si="223"/>
        <v>0.25533333333333325</v>
      </c>
      <c r="BM517" s="1">
        <f t="shared" si="224"/>
        <v>0.25533333333333325</v>
      </c>
      <c r="BN517" s="1">
        <f t="shared" si="227"/>
        <v>6.0844444444445008E-4</v>
      </c>
      <c r="BO517" s="1">
        <f t="shared" si="225"/>
        <v>1.6292205715304115E-2</v>
      </c>
    </row>
    <row r="518" spans="1:67" x14ac:dyDescent="0.25">
      <c r="A518" s="3"/>
      <c r="B518" s="3"/>
      <c r="C518" t="s">
        <v>343</v>
      </c>
      <c r="D518" s="5">
        <v>1</v>
      </c>
      <c r="E518" s="9">
        <f t="shared" si="204"/>
        <v>58.333333333333343</v>
      </c>
      <c r="F518" s="9">
        <f t="shared" si="205"/>
        <v>0</v>
      </c>
      <c r="G518">
        <v>0</v>
      </c>
      <c r="H518">
        <v>41.666666666666671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58.333333333333343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30</v>
      </c>
      <c r="AK518" t="s">
        <v>1</v>
      </c>
      <c r="AL518" t="s">
        <v>372</v>
      </c>
      <c r="AQ518" s="1">
        <f t="shared" si="226"/>
        <v>100.00000000000001</v>
      </c>
      <c r="AR518" s="1">
        <f t="shared" si="206"/>
        <v>0.58333333333333348</v>
      </c>
      <c r="AS518" s="1">
        <f t="shared" si="207"/>
        <v>0</v>
      </c>
      <c r="AT518" s="1">
        <f t="shared" si="208"/>
        <v>0.41666666666666674</v>
      </c>
      <c r="AU518" s="1">
        <f t="shared" si="209"/>
        <v>0</v>
      </c>
      <c r="AV518" s="1">
        <f t="shared" si="210"/>
        <v>0.3</v>
      </c>
      <c r="AX518" s="1">
        <f t="shared" si="211"/>
        <v>0</v>
      </c>
      <c r="AY518" s="1">
        <f t="shared" si="212"/>
        <v>1.4000000000000001</v>
      </c>
      <c r="AZ518" s="1">
        <f t="shared" si="213"/>
        <v>0.5</v>
      </c>
      <c r="BA518" s="1">
        <f t="shared" si="214"/>
        <v>0.5</v>
      </c>
      <c r="BB518" s="1">
        <f t="shared" si="215"/>
        <v>0.19999999999999996</v>
      </c>
      <c r="BC518" s="1">
        <f t="shared" si="216"/>
        <v>0.19999999999999996</v>
      </c>
      <c r="BD518" s="1">
        <f t="shared" si="217"/>
        <v>0.10000000000000003</v>
      </c>
      <c r="BF518">
        <f t="shared" si="218"/>
        <v>41.666666666666671</v>
      </c>
      <c r="BG518">
        <f t="shared" si="228"/>
        <v>58.333333333333343</v>
      </c>
      <c r="BH518" s="1">
        <f t="shared" si="219"/>
        <v>0</v>
      </c>
      <c r="BI518" s="1">
        <f t="shared" si="220"/>
        <v>1.4000000000000001</v>
      </c>
      <c r="BJ518" s="1">
        <f t="shared" si="221"/>
        <v>0.59</v>
      </c>
      <c r="BK518" s="1">
        <f t="shared" si="222"/>
        <v>9.6000000000000002E-2</v>
      </c>
      <c r="BL518" s="1">
        <f t="shared" si="223"/>
        <v>0.15533333333333327</v>
      </c>
      <c r="BM518" s="1">
        <f t="shared" si="224"/>
        <v>0.15533333333333327</v>
      </c>
      <c r="BN518" s="1">
        <f t="shared" si="227"/>
        <v>2.0928444444444461E-2</v>
      </c>
      <c r="BO518" s="1">
        <f t="shared" si="225"/>
        <v>1.158656871836764E-2</v>
      </c>
    </row>
    <row r="519" spans="1:67" x14ac:dyDescent="0.25">
      <c r="A519" s="3"/>
      <c r="B519" s="3"/>
      <c r="C519" t="s">
        <v>277</v>
      </c>
      <c r="D519" s="5">
        <v>1</v>
      </c>
      <c r="E519" s="9">
        <f t="shared" si="204"/>
        <v>20</v>
      </c>
      <c r="F519" s="9">
        <f t="shared" si="205"/>
        <v>0.90277777777777779</v>
      </c>
      <c r="G519">
        <v>8</v>
      </c>
      <c r="H519">
        <v>7</v>
      </c>
      <c r="I519">
        <v>20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17</v>
      </c>
      <c r="AK519" t="s">
        <v>1</v>
      </c>
      <c r="AL519" t="s">
        <v>372</v>
      </c>
      <c r="AM519" t="s">
        <v>396</v>
      </c>
      <c r="AO519" t="s">
        <v>378</v>
      </c>
      <c r="AP519" t="s">
        <v>397</v>
      </c>
      <c r="AQ519" s="1">
        <f t="shared" si="226"/>
        <v>100</v>
      </c>
      <c r="AR519" s="1">
        <f t="shared" si="206"/>
        <v>0</v>
      </c>
      <c r="AS519" s="1">
        <f t="shared" si="207"/>
        <v>0.08</v>
      </c>
      <c r="AT519" s="1">
        <f t="shared" si="208"/>
        <v>7.0000000000000007E-2</v>
      </c>
      <c r="AU519" s="1">
        <f t="shared" si="209"/>
        <v>0.65</v>
      </c>
      <c r="AV519" s="1">
        <f t="shared" si="210"/>
        <v>0.17</v>
      </c>
      <c r="AX519" s="1">
        <f t="shared" si="211"/>
        <v>4.333333333333333</v>
      </c>
      <c r="AY519" s="1">
        <f t="shared" si="212"/>
        <v>0</v>
      </c>
      <c r="AZ519" s="1">
        <f t="shared" si="213"/>
        <v>0.77083333333333326</v>
      </c>
      <c r="BA519" s="1">
        <f t="shared" si="214"/>
        <v>1.5833333333333333</v>
      </c>
      <c r="BB519" s="1">
        <f t="shared" si="215"/>
        <v>0</v>
      </c>
      <c r="BC519" s="1">
        <f t="shared" si="216"/>
        <v>0</v>
      </c>
      <c r="BD519" s="1">
        <f t="shared" si="217"/>
        <v>0.17</v>
      </c>
      <c r="BF519">
        <f t="shared" si="218"/>
        <v>39</v>
      </c>
      <c r="BG519">
        <f t="shared" si="228"/>
        <v>10</v>
      </c>
      <c r="BH519" s="1">
        <f t="shared" si="219"/>
        <v>1.6666666666666667</v>
      </c>
      <c r="BI519" s="1">
        <f t="shared" si="220"/>
        <v>0.25641025641025639</v>
      </c>
      <c r="BJ519" s="1">
        <f t="shared" si="221"/>
        <v>0.62166666666666659</v>
      </c>
      <c r="BK519" s="1">
        <f t="shared" si="222"/>
        <v>0.93266666666666664</v>
      </c>
      <c r="BL519" s="1">
        <f t="shared" si="223"/>
        <v>0.25641025641025639</v>
      </c>
      <c r="BM519" s="1">
        <f t="shared" si="224"/>
        <v>0.25641025641025639</v>
      </c>
      <c r="BN519" s="1">
        <f t="shared" si="227"/>
        <v>7.4667324128862532E-3</v>
      </c>
      <c r="BO519" s="1">
        <f t="shared" si="225"/>
        <v>5.647320919845477E-2</v>
      </c>
    </row>
    <row r="520" spans="1:67" x14ac:dyDescent="0.25">
      <c r="A520" s="3"/>
      <c r="B520" s="3"/>
      <c r="C520" t="s">
        <v>278</v>
      </c>
      <c r="D520" s="5">
        <v>1</v>
      </c>
      <c r="E520" s="9">
        <f t="shared" si="204"/>
        <v>43</v>
      </c>
      <c r="F520" s="9">
        <f t="shared" si="205"/>
        <v>0.90476190476190477</v>
      </c>
      <c r="G520">
        <v>14</v>
      </c>
      <c r="H520">
        <v>4</v>
      </c>
      <c r="I520">
        <v>43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38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5.6</v>
      </c>
      <c r="AK520" t="s">
        <v>1</v>
      </c>
      <c r="AL520" t="s">
        <v>372</v>
      </c>
      <c r="AQ520" s="1">
        <f t="shared" si="226"/>
        <v>99</v>
      </c>
      <c r="AR520" s="1">
        <f t="shared" si="206"/>
        <v>0</v>
      </c>
      <c r="AS520" s="1">
        <f t="shared" si="207"/>
        <v>0.14000000000000001</v>
      </c>
      <c r="AT520" s="1">
        <f t="shared" si="208"/>
        <v>0.04</v>
      </c>
      <c r="AU520" s="1">
        <f t="shared" si="209"/>
        <v>0.38</v>
      </c>
      <c r="AV520" s="1">
        <f t="shared" si="210"/>
        <v>5.5999999999999994E-2</v>
      </c>
      <c r="AX520" s="1">
        <f t="shared" si="211"/>
        <v>2.1111111111111107</v>
      </c>
      <c r="AY520" s="1">
        <f t="shared" si="212"/>
        <v>0</v>
      </c>
      <c r="AZ520" s="1">
        <f t="shared" si="213"/>
        <v>0.63194444444444442</v>
      </c>
      <c r="BA520" s="1">
        <f t="shared" si="214"/>
        <v>1.0277777777777777</v>
      </c>
      <c r="BB520" s="1">
        <f t="shared" si="215"/>
        <v>0</v>
      </c>
      <c r="BC520" s="1">
        <f t="shared" si="216"/>
        <v>0</v>
      </c>
      <c r="BD520" s="1">
        <f t="shared" si="217"/>
        <v>5.5999999999999994E-2</v>
      </c>
      <c r="BF520">
        <f t="shared" si="218"/>
        <v>60</v>
      </c>
      <c r="BG520">
        <f t="shared" si="228"/>
        <v>21.5</v>
      </c>
      <c r="BH520" s="1">
        <f t="shared" si="219"/>
        <v>0.6333333333333333</v>
      </c>
      <c r="BI520" s="1">
        <f t="shared" si="220"/>
        <v>0.35833333333333334</v>
      </c>
      <c r="BJ520" s="1">
        <f t="shared" si="221"/>
        <v>0.60203333333333331</v>
      </c>
      <c r="BK520" s="1">
        <f t="shared" si="222"/>
        <v>0.41393333333333338</v>
      </c>
      <c r="BL520" s="1">
        <f t="shared" si="223"/>
        <v>0.35833333333333334</v>
      </c>
      <c r="BM520" s="1">
        <f t="shared" si="224"/>
        <v>0.35833333333333334</v>
      </c>
      <c r="BN520" s="1">
        <f t="shared" si="227"/>
        <v>9.1405444444444456E-2</v>
      </c>
      <c r="BO520" s="1">
        <f t="shared" si="225"/>
        <v>0.12365134008099274</v>
      </c>
    </row>
    <row r="521" spans="1:67" x14ac:dyDescent="0.25">
      <c r="A521" s="3"/>
      <c r="B521" s="3"/>
      <c r="C521" t="s">
        <v>279</v>
      </c>
      <c r="D521" s="5">
        <v>1</v>
      </c>
      <c r="E521" s="9">
        <f t="shared" si="204"/>
        <v>0</v>
      </c>
      <c r="F521" s="9">
        <f t="shared" si="205"/>
        <v>0.90476190476190477</v>
      </c>
      <c r="G521">
        <v>14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43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8.1999999999999993</v>
      </c>
      <c r="AK521" t="s">
        <v>1</v>
      </c>
      <c r="AL521" t="s">
        <v>372</v>
      </c>
      <c r="AQ521" s="1">
        <f t="shared" si="226"/>
        <v>99</v>
      </c>
      <c r="AR521" s="1">
        <f t="shared" si="206"/>
        <v>0</v>
      </c>
      <c r="AS521" s="1">
        <f t="shared" si="207"/>
        <v>0.14000000000000001</v>
      </c>
      <c r="AT521" s="1">
        <f t="shared" si="208"/>
        <v>0.04</v>
      </c>
      <c r="AU521" s="1">
        <f t="shared" si="209"/>
        <v>0.38</v>
      </c>
      <c r="AV521" s="1">
        <f t="shared" si="210"/>
        <v>8.199999999999999E-2</v>
      </c>
      <c r="AX521" s="1">
        <f t="shared" si="211"/>
        <v>2.1111111111111107</v>
      </c>
      <c r="AY521" s="1">
        <f t="shared" si="212"/>
        <v>0</v>
      </c>
      <c r="AZ521" s="1">
        <f t="shared" si="213"/>
        <v>0.63194444444444442</v>
      </c>
      <c r="BA521" s="1">
        <f t="shared" si="214"/>
        <v>1.0277777777777777</v>
      </c>
      <c r="BB521" s="1">
        <f t="shared" si="215"/>
        <v>0</v>
      </c>
      <c r="BC521" s="1">
        <f t="shared" si="216"/>
        <v>0</v>
      </c>
      <c r="BD521" s="1">
        <f t="shared" si="217"/>
        <v>8.199999999999999E-2</v>
      </c>
      <c r="BF521">
        <f t="shared" si="218"/>
        <v>60</v>
      </c>
      <c r="BG521">
        <f t="shared" si="228"/>
        <v>14.333333333333332</v>
      </c>
      <c r="BH521" s="1">
        <f t="shared" si="219"/>
        <v>0.6333333333333333</v>
      </c>
      <c r="BI521" s="1">
        <f t="shared" si="220"/>
        <v>0.23888888888888887</v>
      </c>
      <c r="BJ521" s="1">
        <f t="shared" si="221"/>
        <v>0.60203333333333331</v>
      </c>
      <c r="BK521" s="1">
        <f t="shared" si="222"/>
        <v>0.41393333333333338</v>
      </c>
      <c r="BL521" s="1">
        <f t="shared" si="223"/>
        <v>0.23888888888888887</v>
      </c>
      <c r="BM521" s="1">
        <f t="shared" si="224"/>
        <v>0.23888888888888887</v>
      </c>
      <c r="BN521" s="1">
        <f t="shared" si="227"/>
        <v>2.4614123456790121E-2</v>
      </c>
      <c r="BO521" s="1">
        <f t="shared" si="225"/>
        <v>0.10604201198497533</v>
      </c>
    </row>
    <row r="522" spans="1:67" x14ac:dyDescent="0.25">
      <c r="A522" s="3"/>
      <c r="B522" s="3"/>
      <c r="C522" t="s">
        <v>289</v>
      </c>
      <c r="D522" s="5">
        <v>1</v>
      </c>
      <c r="E522" s="9">
        <f t="shared" si="204"/>
        <v>0</v>
      </c>
      <c r="F522" s="9">
        <f t="shared" si="205"/>
        <v>0.90476190476190477</v>
      </c>
      <c r="G522">
        <v>14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43</v>
      </c>
      <c r="AG522">
        <v>0</v>
      </c>
      <c r="AH522">
        <v>0</v>
      </c>
      <c r="AI522">
        <v>0</v>
      </c>
      <c r="AJ522">
        <v>8.5</v>
      </c>
      <c r="AK522" t="s">
        <v>1</v>
      </c>
      <c r="AL522" t="s">
        <v>372</v>
      </c>
      <c r="AQ522" s="1">
        <f t="shared" si="226"/>
        <v>99</v>
      </c>
      <c r="AR522" s="1">
        <f t="shared" si="206"/>
        <v>0</v>
      </c>
      <c r="AS522" s="1">
        <f t="shared" si="207"/>
        <v>0.14000000000000001</v>
      </c>
      <c r="AT522" s="1">
        <f t="shared" si="208"/>
        <v>0.04</v>
      </c>
      <c r="AU522" s="1">
        <f t="shared" si="209"/>
        <v>0.38</v>
      </c>
      <c r="AV522" s="1">
        <f t="shared" si="210"/>
        <v>8.5000000000000006E-2</v>
      </c>
      <c r="AX522" s="1">
        <f t="shared" si="211"/>
        <v>2.1111111111111107</v>
      </c>
      <c r="AY522" s="1">
        <f t="shared" si="212"/>
        <v>0</v>
      </c>
      <c r="AZ522" s="1">
        <f t="shared" si="213"/>
        <v>0.63194444444444442</v>
      </c>
      <c r="BA522" s="1">
        <f t="shared" si="214"/>
        <v>1.0277777777777777</v>
      </c>
      <c r="BB522" s="1">
        <f t="shared" si="215"/>
        <v>0</v>
      </c>
      <c r="BC522" s="1">
        <f t="shared" si="216"/>
        <v>0</v>
      </c>
      <c r="BD522" s="1">
        <f t="shared" si="217"/>
        <v>8.5000000000000006E-2</v>
      </c>
      <c r="BF522">
        <f t="shared" si="218"/>
        <v>60</v>
      </c>
      <c r="BG522">
        <f t="shared" si="228"/>
        <v>14.333333333333332</v>
      </c>
      <c r="BH522" s="1">
        <f t="shared" si="219"/>
        <v>0.6333333333333333</v>
      </c>
      <c r="BI522" s="1">
        <f t="shared" si="220"/>
        <v>0.23888888888888887</v>
      </c>
      <c r="BJ522" s="1">
        <f t="shared" si="221"/>
        <v>0.60203333333333331</v>
      </c>
      <c r="BK522" s="1">
        <f t="shared" si="222"/>
        <v>0.41393333333333338</v>
      </c>
      <c r="BL522" s="1">
        <f t="shared" si="223"/>
        <v>0.23888888888888887</v>
      </c>
      <c r="BM522" s="1">
        <f t="shared" si="224"/>
        <v>0.23888888888888887</v>
      </c>
      <c r="BN522" s="1">
        <f t="shared" si="227"/>
        <v>2.3681790123456781E-2</v>
      </c>
      <c r="BO522" s="1">
        <f t="shared" si="225"/>
        <v>0.10409716643543482</v>
      </c>
    </row>
    <row r="523" spans="1:67" x14ac:dyDescent="0.25">
      <c r="A523" s="3"/>
      <c r="B523" s="3"/>
      <c r="C523" t="s">
        <v>280</v>
      </c>
      <c r="D523" s="5">
        <v>1</v>
      </c>
      <c r="E523" s="9">
        <f t="shared" si="204"/>
        <v>20</v>
      </c>
      <c r="F523" s="9">
        <f t="shared" si="205"/>
        <v>0.70833333333333337</v>
      </c>
      <c r="G523">
        <v>8</v>
      </c>
      <c r="H523">
        <v>21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24</v>
      </c>
      <c r="AK523" t="s">
        <v>1</v>
      </c>
      <c r="AL523" t="s">
        <v>372</v>
      </c>
      <c r="AQ523" s="1">
        <f t="shared" si="226"/>
        <v>100</v>
      </c>
      <c r="AR523" s="1">
        <f t="shared" si="206"/>
        <v>0</v>
      </c>
      <c r="AS523" s="1">
        <f t="shared" si="207"/>
        <v>0.08</v>
      </c>
      <c r="AT523" s="1">
        <f t="shared" si="208"/>
        <v>0.21</v>
      </c>
      <c r="AU523" s="1">
        <f t="shared" si="209"/>
        <v>0.51</v>
      </c>
      <c r="AV523" s="1">
        <f t="shared" si="210"/>
        <v>0.24</v>
      </c>
      <c r="AX523" s="1">
        <f t="shared" si="211"/>
        <v>1.7586206896551726</v>
      </c>
      <c r="AY523" s="1">
        <f t="shared" si="212"/>
        <v>0</v>
      </c>
      <c r="AZ523" s="1">
        <f t="shared" si="213"/>
        <v>0.60991379310344829</v>
      </c>
      <c r="BA523" s="1">
        <f t="shared" si="214"/>
        <v>0.93965517241379315</v>
      </c>
      <c r="BB523" s="1">
        <f t="shared" si="215"/>
        <v>0</v>
      </c>
      <c r="BC523" s="1">
        <f t="shared" si="216"/>
        <v>0</v>
      </c>
      <c r="BD523" s="1">
        <f t="shared" si="217"/>
        <v>0.24</v>
      </c>
      <c r="BF523">
        <f t="shared" si="218"/>
        <v>53</v>
      </c>
      <c r="BG523">
        <f t="shared" si="228"/>
        <v>10</v>
      </c>
      <c r="BH523" s="1">
        <f t="shared" si="219"/>
        <v>0.96226415094339623</v>
      </c>
      <c r="BI523" s="1">
        <f t="shared" si="220"/>
        <v>0.18867924528301888</v>
      </c>
      <c r="BJ523" s="1">
        <f t="shared" si="221"/>
        <v>0.60828301886792446</v>
      </c>
      <c r="BK523" s="1">
        <f t="shared" si="222"/>
        <v>0.57905660377358492</v>
      </c>
      <c r="BL523" s="1">
        <f t="shared" si="223"/>
        <v>0.18867924528301888</v>
      </c>
      <c r="BM523" s="1">
        <f t="shared" si="224"/>
        <v>0.18867924528301888</v>
      </c>
      <c r="BN523" s="1">
        <f t="shared" si="227"/>
        <v>2.633819864720539E-3</v>
      </c>
      <c r="BO523" s="1">
        <f t="shared" si="225"/>
        <v>2.8103479709177089E-2</v>
      </c>
    </row>
    <row r="524" spans="1:67" x14ac:dyDescent="0.25">
      <c r="A524" s="3"/>
      <c r="B524" s="3"/>
      <c r="C524" t="s">
        <v>281</v>
      </c>
      <c r="D524" s="5">
        <v>1</v>
      </c>
      <c r="E524" s="9">
        <f t="shared" si="204"/>
        <v>43</v>
      </c>
      <c r="F524" s="9">
        <f t="shared" si="205"/>
        <v>0.5</v>
      </c>
      <c r="G524">
        <v>14</v>
      </c>
      <c r="H524">
        <v>21</v>
      </c>
      <c r="I524">
        <v>43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15.5</v>
      </c>
      <c r="AK524" t="s">
        <v>1</v>
      </c>
      <c r="AL524" t="s">
        <v>372</v>
      </c>
      <c r="AQ524" s="1">
        <f t="shared" si="226"/>
        <v>99</v>
      </c>
      <c r="AR524" s="1">
        <f t="shared" si="206"/>
        <v>0</v>
      </c>
      <c r="AS524" s="1">
        <f t="shared" si="207"/>
        <v>0.14000000000000001</v>
      </c>
      <c r="AT524" s="1">
        <f t="shared" si="208"/>
        <v>0.21</v>
      </c>
      <c r="AU524" s="1">
        <f t="shared" si="209"/>
        <v>0.21</v>
      </c>
      <c r="AV524" s="1">
        <f t="shared" si="210"/>
        <v>0.155</v>
      </c>
      <c r="AX524" s="1">
        <f t="shared" si="211"/>
        <v>0.6</v>
      </c>
      <c r="AY524" s="1">
        <f t="shared" si="212"/>
        <v>0</v>
      </c>
      <c r="AZ524" s="1">
        <f t="shared" si="213"/>
        <v>0.53749999999999998</v>
      </c>
      <c r="BA524" s="1">
        <f t="shared" si="214"/>
        <v>0.65</v>
      </c>
      <c r="BB524" s="1">
        <f t="shared" si="215"/>
        <v>0</v>
      </c>
      <c r="BC524" s="1">
        <f t="shared" si="216"/>
        <v>0</v>
      </c>
      <c r="BD524" s="1">
        <f t="shared" si="217"/>
        <v>0.155</v>
      </c>
      <c r="BF524">
        <f t="shared" si="218"/>
        <v>77</v>
      </c>
      <c r="BG524">
        <f t="shared" si="228"/>
        <v>21.5</v>
      </c>
      <c r="BH524" s="1">
        <f t="shared" si="219"/>
        <v>0.27272727272727271</v>
      </c>
      <c r="BI524" s="1">
        <f t="shared" si="220"/>
        <v>0.2792207792207792</v>
      </c>
      <c r="BJ524" s="1">
        <f t="shared" si="221"/>
        <v>0.59518181818181815</v>
      </c>
      <c r="BK524" s="1">
        <f t="shared" si="222"/>
        <v>0.2329090909090909</v>
      </c>
      <c r="BL524" s="1">
        <f t="shared" si="223"/>
        <v>0.2792207792207792</v>
      </c>
      <c r="BM524" s="1">
        <f t="shared" si="224"/>
        <v>0.2792207792207792</v>
      </c>
      <c r="BN524" s="1">
        <f t="shared" si="227"/>
        <v>1.543080199021757E-2</v>
      </c>
      <c r="BO524" s="1">
        <f t="shared" si="225"/>
        <v>6.3827436946157126E-2</v>
      </c>
    </row>
    <row r="525" spans="1:67" x14ac:dyDescent="0.25">
      <c r="A525" s="3"/>
      <c r="B525" s="3"/>
      <c r="C525" t="s">
        <v>282</v>
      </c>
      <c r="D525" s="5">
        <v>1</v>
      </c>
      <c r="E525" s="9">
        <f t="shared" si="204"/>
        <v>0</v>
      </c>
      <c r="F525" s="9">
        <f t="shared" si="205"/>
        <v>0.5</v>
      </c>
      <c r="G525">
        <v>14</v>
      </c>
      <c r="H525">
        <v>21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21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43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12.5</v>
      </c>
      <c r="AK525" t="s">
        <v>1</v>
      </c>
      <c r="AL525" t="s">
        <v>372</v>
      </c>
      <c r="AQ525" s="1">
        <f t="shared" si="226"/>
        <v>99</v>
      </c>
      <c r="AR525" s="1">
        <f t="shared" si="206"/>
        <v>0</v>
      </c>
      <c r="AS525" s="1">
        <f t="shared" si="207"/>
        <v>0.14000000000000001</v>
      </c>
      <c r="AT525" s="1">
        <f t="shared" si="208"/>
        <v>0.21</v>
      </c>
      <c r="AU525" s="1">
        <f t="shared" si="209"/>
        <v>0.21</v>
      </c>
      <c r="AV525" s="1">
        <f t="shared" si="210"/>
        <v>0.125</v>
      </c>
      <c r="AX525" s="1">
        <f t="shared" si="211"/>
        <v>0.6</v>
      </c>
      <c r="AY525" s="1">
        <f t="shared" si="212"/>
        <v>0</v>
      </c>
      <c r="AZ525" s="1">
        <f t="shared" si="213"/>
        <v>0.53749999999999998</v>
      </c>
      <c r="BA525" s="1">
        <f t="shared" si="214"/>
        <v>0.65</v>
      </c>
      <c r="BB525" s="1">
        <f t="shared" si="215"/>
        <v>0</v>
      </c>
      <c r="BC525" s="1">
        <f t="shared" si="216"/>
        <v>0</v>
      </c>
      <c r="BD525" s="1">
        <f t="shared" si="217"/>
        <v>0.125</v>
      </c>
      <c r="BF525">
        <f t="shared" si="218"/>
        <v>77</v>
      </c>
      <c r="BG525">
        <f t="shared" si="228"/>
        <v>14.333333333333332</v>
      </c>
      <c r="BH525" s="1">
        <f t="shared" si="219"/>
        <v>0.27272727272727271</v>
      </c>
      <c r="BI525" s="1">
        <f t="shared" si="220"/>
        <v>0.18614718614718614</v>
      </c>
      <c r="BJ525" s="1">
        <f t="shared" si="221"/>
        <v>0.59518181818181815</v>
      </c>
      <c r="BK525" s="1">
        <f t="shared" si="222"/>
        <v>0.2329090909090909</v>
      </c>
      <c r="BL525" s="1">
        <f t="shared" si="223"/>
        <v>0.18614718614718614</v>
      </c>
      <c r="BM525" s="1">
        <f t="shared" si="224"/>
        <v>0.18614718614718614</v>
      </c>
      <c r="BN525" s="1">
        <f t="shared" si="227"/>
        <v>3.7389783737186333E-3</v>
      </c>
      <c r="BO525" s="1">
        <f t="shared" si="225"/>
        <v>7.988589244156187E-2</v>
      </c>
    </row>
    <row r="526" spans="1:67" x14ac:dyDescent="0.25">
      <c r="A526" s="3"/>
      <c r="B526" s="3"/>
      <c r="C526" t="s">
        <v>283</v>
      </c>
      <c r="D526" s="5">
        <v>1</v>
      </c>
      <c r="E526" s="9">
        <f t="shared" si="204"/>
        <v>0</v>
      </c>
      <c r="F526" s="9">
        <f t="shared" si="205"/>
        <v>0.5</v>
      </c>
      <c r="G526">
        <v>14</v>
      </c>
      <c r="H526">
        <v>21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21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43</v>
      </c>
      <c r="AG526">
        <v>0</v>
      </c>
      <c r="AH526">
        <v>0</v>
      </c>
      <c r="AI526">
        <v>0</v>
      </c>
      <c r="AJ526">
        <v>11.5</v>
      </c>
      <c r="AK526" t="s">
        <v>1</v>
      </c>
      <c r="AL526" t="s">
        <v>372</v>
      </c>
      <c r="AQ526" s="1">
        <f t="shared" si="226"/>
        <v>99</v>
      </c>
      <c r="AR526" s="1">
        <f t="shared" si="206"/>
        <v>0</v>
      </c>
      <c r="AS526" s="1">
        <f t="shared" si="207"/>
        <v>0.14000000000000001</v>
      </c>
      <c r="AT526" s="1">
        <f t="shared" si="208"/>
        <v>0.21</v>
      </c>
      <c r="AU526" s="1">
        <f t="shared" si="209"/>
        <v>0.21</v>
      </c>
      <c r="AV526" s="1">
        <f t="shared" si="210"/>
        <v>0.115</v>
      </c>
      <c r="AX526" s="1">
        <f t="shared" si="211"/>
        <v>0.6</v>
      </c>
      <c r="AY526" s="1">
        <f t="shared" si="212"/>
        <v>0</v>
      </c>
      <c r="AZ526" s="1">
        <f t="shared" si="213"/>
        <v>0.53749999999999998</v>
      </c>
      <c r="BA526" s="1">
        <f t="shared" si="214"/>
        <v>0.65</v>
      </c>
      <c r="BB526" s="1">
        <f t="shared" si="215"/>
        <v>0</v>
      </c>
      <c r="BC526" s="1">
        <f t="shared" si="216"/>
        <v>0</v>
      </c>
      <c r="BD526" s="1">
        <f t="shared" si="217"/>
        <v>0.115</v>
      </c>
      <c r="BF526">
        <f t="shared" si="218"/>
        <v>77</v>
      </c>
      <c r="BG526">
        <f t="shared" si="228"/>
        <v>14.333333333333332</v>
      </c>
      <c r="BH526" s="1">
        <f t="shared" si="219"/>
        <v>0.27272727272727271</v>
      </c>
      <c r="BI526" s="1">
        <f t="shared" si="220"/>
        <v>0.18614718614718614</v>
      </c>
      <c r="BJ526" s="1">
        <f t="shared" si="221"/>
        <v>0.59518181818181815</v>
      </c>
      <c r="BK526" s="1">
        <f t="shared" si="222"/>
        <v>0.2329090909090909</v>
      </c>
      <c r="BL526" s="1">
        <f t="shared" si="223"/>
        <v>0.18614718614718614</v>
      </c>
      <c r="BM526" s="1">
        <f t="shared" si="224"/>
        <v>0.18614718614718614</v>
      </c>
      <c r="BN526" s="1">
        <f t="shared" si="227"/>
        <v>5.0619220966623552E-3</v>
      </c>
      <c r="BO526" s="1">
        <f t="shared" si="225"/>
        <v>8.5638710940030116E-2</v>
      </c>
    </row>
    <row r="527" spans="1:67" x14ac:dyDescent="0.25">
      <c r="A527" s="3"/>
      <c r="B527" s="3"/>
      <c r="C527" t="s">
        <v>284</v>
      </c>
      <c r="D527" s="5">
        <v>1</v>
      </c>
      <c r="E527" s="9">
        <f t="shared" si="204"/>
        <v>43</v>
      </c>
      <c r="F527" s="9">
        <f t="shared" si="205"/>
        <v>0.33333333333333331</v>
      </c>
      <c r="G527">
        <v>14</v>
      </c>
      <c r="H527">
        <v>28</v>
      </c>
      <c r="I527">
        <v>43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17.100000000000001</v>
      </c>
      <c r="AK527" t="s">
        <v>1</v>
      </c>
      <c r="AL527" t="s">
        <v>372</v>
      </c>
      <c r="AQ527" s="1">
        <f t="shared" si="226"/>
        <v>99</v>
      </c>
      <c r="AR527" s="1">
        <f t="shared" si="206"/>
        <v>0</v>
      </c>
      <c r="AS527" s="1">
        <f t="shared" si="207"/>
        <v>0.14000000000000001</v>
      </c>
      <c r="AT527" s="1">
        <f t="shared" si="208"/>
        <v>0.28000000000000003</v>
      </c>
      <c r="AU527" s="1">
        <f t="shared" si="209"/>
        <v>0.14000000000000001</v>
      </c>
      <c r="AV527" s="1">
        <f t="shared" si="210"/>
        <v>0.17100000000000001</v>
      </c>
      <c r="AX527" s="1">
        <f t="shared" si="211"/>
        <v>0.33333333333333331</v>
      </c>
      <c r="AY527" s="1">
        <f t="shared" si="212"/>
        <v>0</v>
      </c>
      <c r="AZ527" s="1">
        <f t="shared" si="213"/>
        <v>0.52083333333333337</v>
      </c>
      <c r="BA527" s="1">
        <f t="shared" si="214"/>
        <v>0.58333333333333337</v>
      </c>
      <c r="BB527" s="1">
        <f t="shared" si="215"/>
        <v>0</v>
      </c>
      <c r="BC527" s="1">
        <f t="shared" si="216"/>
        <v>0</v>
      </c>
      <c r="BD527" s="1">
        <f t="shared" si="217"/>
        <v>0.17100000000000001</v>
      </c>
      <c r="BF527">
        <f t="shared" si="218"/>
        <v>84</v>
      </c>
      <c r="BG527">
        <f t="shared" si="228"/>
        <v>21.5</v>
      </c>
      <c r="BH527" s="1">
        <f t="shared" si="219"/>
        <v>0.16666666666666666</v>
      </c>
      <c r="BI527" s="1">
        <f t="shared" si="220"/>
        <v>0.25595238095238093</v>
      </c>
      <c r="BJ527" s="1">
        <f t="shared" si="221"/>
        <v>0.59316666666666662</v>
      </c>
      <c r="BK527" s="1">
        <f t="shared" si="222"/>
        <v>0.17966666666666667</v>
      </c>
      <c r="BL527" s="1">
        <f t="shared" si="223"/>
        <v>0.25595238095238093</v>
      </c>
      <c r="BM527" s="1">
        <f t="shared" si="224"/>
        <v>0.25595238095238093</v>
      </c>
      <c r="BN527" s="1">
        <f t="shared" si="227"/>
        <v>7.2169070294784525E-3</v>
      </c>
      <c r="BO527" s="1">
        <f t="shared" si="225"/>
        <v>5.5998927348607952E-2</v>
      </c>
    </row>
    <row r="528" spans="1:67" x14ac:dyDescent="0.25">
      <c r="A528" s="3"/>
      <c r="B528" s="3"/>
      <c r="C528" t="s">
        <v>285</v>
      </c>
      <c r="D528" s="5">
        <v>1</v>
      </c>
      <c r="E528" s="9">
        <f t="shared" si="204"/>
        <v>0</v>
      </c>
      <c r="F528" s="9">
        <f t="shared" si="205"/>
        <v>0.33333333333333331</v>
      </c>
      <c r="G528">
        <v>14</v>
      </c>
      <c r="H528">
        <v>28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43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15.7</v>
      </c>
      <c r="AK528" t="s">
        <v>1</v>
      </c>
      <c r="AL528" t="s">
        <v>372</v>
      </c>
      <c r="AQ528" s="1">
        <f t="shared" si="226"/>
        <v>99</v>
      </c>
      <c r="AR528" s="1">
        <f t="shared" si="206"/>
        <v>0</v>
      </c>
      <c r="AS528" s="1">
        <f t="shared" si="207"/>
        <v>0.14000000000000001</v>
      </c>
      <c r="AT528" s="1">
        <f t="shared" si="208"/>
        <v>0.28000000000000003</v>
      </c>
      <c r="AU528" s="1">
        <f t="shared" si="209"/>
        <v>0.14000000000000001</v>
      </c>
      <c r="AV528" s="1">
        <f t="shared" si="210"/>
        <v>0.157</v>
      </c>
      <c r="AX528" s="1">
        <f t="shared" si="211"/>
        <v>0.33333333333333331</v>
      </c>
      <c r="AY528" s="1">
        <f t="shared" si="212"/>
        <v>0</v>
      </c>
      <c r="AZ528" s="1">
        <f t="shared" si="213"/>
        <v>0.52083333333333337</v>
      </c>
      <c r="BA528" s="1">
        <f t="shared" si="214"/>
        <v>0.58333333333333337</v>
      </c>
      <c r="BB528" s="1">
        <f t="shared" si="215"/>
        <v>0</v>
      </c>
      <c r="BC528" s="1">
        <f t="shared" si="216"/>
        <v>0</v>
      </c>
      <c r="BD528" s="1">
        <f t="shared" si="217"/>
        <v>0.157</v>
      </c>
      <c r="BF528">
        <f t="shared" si="218"/>
        <v>84</v>
      </c>
      <c r="BG528">
        <f t="shared" si="228"/>
        <v>14.333333333333332</v>
      </c>
      <c r="BH528" s="1">
        <f t="shared" si="219"/>
        <v>0.16666666666666666</v>
      </c>
      <c r="BI528" s="1">
        <f t="shared" si="220"/>
        <v>0.17063492063492061</v>
      </c>
      <c r="BJ528" s="1">
        <f t="shared" si="221"/>
        <v>0.59316666666666662</v>
      </c>
      <c r="BK528" s="1">
        <f t="shared" si="222"/>
        <v>0.17966666666666667</v>
      </c>
      <c r="BL528" s="1">
        <f t="shared" si="223"/>
        <v>0.17063492063492061</v>
      </c>
      <c r="BM528" s="1">
        <f t="shared" si="224"/>
        <v>0.17063492063492061</v>
      </c>
      <c r="BN528" s="1">
        <f t="shared" si="227"/>
        <v>1.8591106072058386E-4</v>
      </c>
      <c r="BO528" s="1">
        <f t="shared" si="225"/>
        <v>6.2820873246463474E-2</v>
      </c>
    </row>
    <row r="529" spans="1:67" x14ac:dyDescent="0.25">
      <c r="A529" s="3"/>
      <c r="B529" s="3"/>
      <c r="C529" t="s">
        <v>286</v>
      </c>
      <c r="D529" s="5">
        <v>1</v>
      </c>
      <c r="E529" s="9">
        <f t="shared" si="204"/>
        <v>0</v>
      </c>
      <c r="F529" s="9">
        <f t="shared" si="205"/>
        <v>0.33333333333333331</v>
      </c>
      <c r="G529">
        <v>14</v>
      </c>
      <c r="H529">
        <v>28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14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43</v>
      </c>
      <c r="AG529">
        <v>0</v>
      </c>
      <c r="AH529">
        <v>0</v>
      </c>
      <c r="AI529">
        <v>0</v>
      </c>
      <c r="AJ529">
        <v>14.2</v>
      </c>
      <c r="AK529" t="s">
        <v>1</v>
      </c>
      <c r="AL529" t="s">
        <v>372</v>
      </c>
      <c r="AQ529" s="1">
        <f t="shared" si="226"/>
        <v>99</v>
      </c>
      <c r="AR529" s="1">
        <f t="shared" si="206"/>
        <v>0</v>
      </c>
      <c r="AS529" s="1">
        <f t="shared" si="207"/>
        <v>0.14000000000000001</v>
      </c>
      <c r="AT529" s="1">
        <f t="shared" si="208"/>
        <v>0.28000000000000003</v>
      </c>
      <c r="AU529" s="1">
        <f t="shared" si="209"/>
        <v>0.14000000000000001</v>
      </c>
      <c r="AV529" s="1">
        <f t="shared" si="210"/>
        <v>0.14199999999999999</v>
      </c>
      <c r="AX529" s="1">
        <f t="shared" si="211"/>
        <v>0.33333333333333331</v>
      </c>
      <c r="AY529" s="1">
        <f t="shared" si="212"/>
        <v>0</v>
      </c>
      <c r="AZ529" s="1">
        <f t="shared" si="213"/>
        <v>0.52083333333333337</v>
      </c>
      <c r="BA529" s="1">
        <f t="shared" si="214"/>
        <v>0.58333333333333337</v>
      </c>
      <c r="BB529" s="1">
        <f t="shared" si="215"/>
        <v>0</v>
      </c>
      <c r="BC529" s="1">
        <f t="shared" si="216"/>
        <v>0</v>
      </c>
      <c r="BD529" s="1">
        <f t="shared" si="217"/>
        <v>0.14199999999999999</v>
      </c>
      <c r="BF529">
        <f t="shared" si="218"/>
        <v>84</v>
      </c>
      <c r="BG529">
        <f t="shared" si="228"/>
        <v>14.333333333333332</v>
      </c>
      <c r="BH529" s="1">
        <f t="shared" si="219"/>
        <v>0.16666666666666666</v>
      </c>
      <c r="BI529" s="1">
        <f t="shared" si="220"/>
        <v>0.17063492063492061</v>
      </c>
      <c r="BJ529" s="1">
        <f t="shared" si="221"/>
        <v>0.59316666666666662</v>
      </c>
      <c r="BK529" s="1">
        <f t="shared" si="222"/>
        <v>0.17966666666666667</v>
      </c>
      <c r="BL529" s="1">
        <f t="shared" si="223"/>
        <v>0.17063492063492061</v>
      </c>
      <c r="BM529" s="1">
        <f t="shared" si="224"/>
        <v>0.17063492063492061</v>
      </c>
      <c r="BN529" s="1">
        <f t="shared" si="227"/>
        <v>8.1995867976820296E-4</v>
      </c>
      <c r="BO529" s="1">
        <f t="shared" si="225"/>
        <v>7.0565100994165852E-2</v>
      </c>
    </row>
    <row r="530" spans="1:67" x14ac:dyDescent="0.25">
      <c r="A530" s="3"/>
      <c r="B530" s="3"/>
      <c r="C530" t="s">
        <v>287</v>
      </c>
      <c r="D530" s="5">
        <v>1</v>
      </c>
      <c r="E530" s="9">
        <f t="shared" si="204"/>
        <v>0</v>
      </c>
      <c r="F530" s="9">
        <f t="shared" si="205"/>
        <v>0</v>
      </c>
      <c r="G530">
        <v>12</v>
      </c>
      <c r="H530">
        <v>56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33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25</v>
      </c>
      <c r="AK530" t="s">
        <v>1</v>
      </c>
      <c r="AL530" t="s">
        <v>372</v>
      </c>
      <c r="AQ530" s="1">
        <f t="shared" si="226"/>
        <v>101</v>
      </c>
      <c r="AR530" s="1">
        <f t="shared" si="206"/>
        <v>0</v>
      </c>
      <c r="AS530" s="1">
        <f t="shared" si="207"/>
        <v>0.12</v>
      </c>
      <c r="AT530" s="1">
        <f t="shared" si="208"/>
        <v>0.56000000000000005</v>
      </c>
      <c r="AU530" s="1">
        <f t="shared" si="209"/>
        <v>0</v>
      </c>
      <c r="AV530" s="1">
        <f t="shared" si="210"/>
        <v>0.25</v>
      </c>
      <c r="AX530" s="1">
        <f t="shared" si="211"/>
        <v>0</v>
      </c>
      <c r="AY530" s="1">
        <f t="shared" si="212"/>
        <v>0</v>
      </c>
      <c r="AZ530" s="1">
        <f t="shared" si="213"/>
        <v>0.5</v>
      </c>
      <c r="BA530" s="1">
        <f t="shared" si="214"/>
        <v>0.5</v>
      </c>
      <c r="BB530" s="1">
        <f t="shared" si="215"/>
        <v>0</v>
      </c>
      <c r="BC530" s="1">
        <f t="shared" si="216"/>
        <v>0</v>
      </c>
      <c r="BD530" s="1">
        <f t="shared" si="217"/>
        <v>0.25</v>
      </c>
      <c r="BF530">
        <f t="shared" si="218"/>
        <v>104</v>
      </c>
      <c r="BG530">
        <f t="shared" si="228"/>
        <v>11</v>
      </c>
      <c r="BH530" s="1">
        <f t="shared" si="219"/>
        <v>0</v>
      </c>
      <c r="BI530" s="1">
        <f t="shared" si="220"/>
        <v>0.10576923076923077</v>
      </c>
      <c r="BJ530" s="1">
        <f t="shared" si="221"/>
        <v>0.59</v>
      </c>
      <c r="BK530" s="1">
        <f t="shared" si="222"/>
        <v>9.6000000000000002E-2</v>
      </c>
      <c r="BL530" s="1">
        <f t="shared" si="223"/>
        <v>0.10576923076923077</v>
      </c>
      <c r="BM530" s="1">
        <f t="shared" si="224"/>
        <v>0.10576923076923077</v>
      </c>
      <c r="BN530" s="1">
        <f t="shared" si="227"/>
        <v>2.0802514792899404E-2</v>
      </c>
      <c r="BO530" s="1">
        <f t="shared" si="225"/>
        <v>2.4850661210708846E-2</v>
      </c>
    </row>
    <row r="531" spans="1:67" x14ac:dyDescent="0.25">
      <c r="A531" s="3"/>
      <c r="B531" s="3"/>
      <c r="C531" t="s">
        <v>288</v>
      </c>
      <c r="D531" s="5">
        <v>1</v>
      </c>
      <c r="E531" s="9">
        <f t="shared" si="204"/>
        <v>0</v>
      </c>
      <c r="F531" s="9">
        <f t="shared" si="205"/>
        <v>0</v>
      </c>
      <c r="G531">
        <v>16</v>
      </c>
      <c r="H531">
        <v>36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47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16.600000000000001</v>
      </c>
      <c r="AK531" t="s">
        <v>1</v>
      </c>
      <c r="AL531" t="s">
        <v>372</v>
      </c>
      <c r="AQ531" s="1">
        <f t="shared" si="226"/>
        <v>99</v>
      </c>
      <c r="AR531" s="1">
        <f t="shared" si="206"/>
        <v>0</v>
      </c>
      <c r="AS531" s="1">
        <f t="shared" si="207"/>
        <v>0.16</v>
      </c>
      <c r="AT531" s="1">
        <f t="shared" si="208"/>
        <v>0.36</v>
      </c>
      <c r="AU531" s="1">
        <f t="shared" si="209"/>
        <v>0</v>
      </c>
      <c r="AV531" s="1">
        <f t="shared" si="210"/>
        <v>0.16600000000000001</v>
      </c>
      <c r="AX531" s="1">
        <f t="shared" si="211"/>
        <v>0</v>
      </c>
      <c r="AY531" s="1">
        <f t="shared" si="212"/>
        <v>0</v>
      </c>
      <c r="AZ531" s="1">
        <f t="shared" si="213"/>
        <v>0.5</v>
      </c>
      <c r="BA531" s="1">
        <f t="shared" si="214"/>
        <v>0.5</v>
      </c>
      <c r="BB531" s="1">
        <f t="shared" si="215"/>
        <v>0</v>
      </c>
      <c r="BC531" s="1">
        <f t="shared" si="216"/>
        <v>0</v>
      </c>
      <c r="BD531" s="1">
        <f t="shared" si="217"/>
        <v>0.16600000000000001</v>
      </c>
      <c r="BF531">
        <f t="shared" si="218"/>
        <v>100</v>
      </c>
      <c r="BG531">
        <f t="shared" si="228"/>
        <v>15.666666666666666</v>
      </c>
      <c r="BH531" s="1">
        <f t="shared" si="219"/>
        <v>0</v>
      </c>
      <c r="BI531" s="1">
        <f t="shared" si="220"/>
        <v>0.15666666666666665</v>
      </c>
      <c r="BJ531" s="1">
        <f t="shared" si="221"/>
        <v>0.59</v>
      </c>
      <c r="BK531" s="1">
        <f t="shared" si="222"/>
        <v>9.6000000000000002E-2</v>
      </c>
      <c r="BL531" s="1">
        <f t="shared" si="223"/>
        <v>0.15666666666666665</v>
      </c>
      <c r="BM531" s="1">
        <f t="shared" si="224"/>
        <v>0.15666666666666665</v>
      </c>
      <c r="BN531" s="1">
        <f t="shared" si="227"/>
        <v>8.7111111111111617E-5</v>
      </c>
      <c r="BO531" s="1">
        <f t="shared" si="225"/>
        <v>5.8390336597842069E-2</v>
      </c>
    </row>
    <row r="532" spans="1:67" x14ac:dyDescent="0.25">
      <c r="A532" s="3"/>
      <c r="B532" s="3"/>
      <c r="C532" t="s">
        <v>290</v>
      </c>
      <c r="D532" s="5">
        <v>1</v>
      </c>
      <c r="E532" s="9">
        <f t="shared" si="204"/>
        <v>42.857142857142847</v>
      </c>
      <c r="F532" s="9">
        <f t="shared" si="205"/>
        <v>0.5</v>
      </c>
      <c r="G532">
        <v>14.285714285714279</v>
      </c>
      <c r="H532">
        <v>21.428571428571431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21.428571428571431</v>
      </c>
      <c r="R532">
        <v>0</v>
      </c>
      <c r="S532">
        <v>0</v>
      </c>
      <c r="T532">
        <v>0</v>
      </c>
      <c r="U532">
        <v>0</v>
      </c>
      <c r="V532">
        <v>42.857142857142847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16.5</v>
      </c>
      <c r="AK532" t="s">
        <v>1</v>
      </c>
      <c r="AL532" t="s">
        <v>372</v>
      </c>
      <c r="AM532" t="s">
        <v>396</v>
      </c>
      <c r="AO532" t="s">
        <v>378</v>
      </c>
      <c r="AP532" t="s">
        <v>397</v>
      </c>
      <c r="AQ532" s="1">
        <f t="shared" si="226"/>
        <v>99.999999999999986</v>
      </c>
      <c r="AR532" s="1">
        <f t="shared" si="206"/>
        <v>0</v>
      </c>
      <c r="AS532" s="1">
        <f t="shared" si="207"/>
        <v>0.14285714285714279</v>
      </c>
      <c r="AT532" s="1">
        <f t="shared" si="208"/>
        <v>0.2142857142857143</v>
      </c>
      <c r="AU532" s="1">
        <f t="shared" si="209"/>
        <v>0.2142857142857143</v>
      </c>
      <c r="AV532" s="1">
        <f t="shared" si="210"/>
        <v>0.16500000000000001</v>
      </c>
      <c r="AX532" s="1">
        <f t="shared" si="211"/>
        <v>0.60000000000000009</v>
      </c>
      <c r="AY532" s="1">
        <f t="shared" si="212"/>
        <v>0</v>
      </c>
      <c r="AZ532" s="1">
        <f t="shared" si="213"/>
        <v>0.53749999999999998</v>
      </c>
      <c r="BA532" s="1">
        <f t="shared" si="214"/>
        <v>0.65</v>
      </c>
      <c r="BB532" s="1">
        <f t="shared" si="215"/>
        <v>0</v>
      </c>
      <c r="BC532" s="1">
        <f t="shared" si="216"/>
        <v>0</v>
      </c>
      <c r="BD532" s="1">
        <f t="shared" si="217"/>
        <v>0.16500000000000001</v>
      </c>
      <c r="BF532">
        <f t="shared" si="218"/>
        <v>78.571428571428555</v>
      </c>
      <c r="BG532">
        <f t="shared" si="228"/>
        <v>21.428571428571423</v>
      </c>
      <c r="BH532" s="1">
        <f t="shared" si="219"/>
        <v>0.27272727272727282</v>
      </c>
      <c r="BI532" s="1">
        <f t="shared" si="220"/>
        <v>0.27272727272727271</v>
      </c>
      <c r="BJ532" s="1">
        <f t="shared" si="221"/>
        <v>0.59518181818181815</v>
      </c>
      <c r="BK532" s="1">
        <f t="shared" si="222"/>
        <v>0.23290909090909095</v>
      </c>
      <c r="BL532" s="1">
        <f t="shared" si="223"/>
        <v>0.27272727272727271</v>
      </c>
      <c r="BM532" s="1">
        <f t="shared" si="224"/>
        <v>0.27272727272727271</v>
      </c>
      <c r="BN532" s="1">
        <f t="shared" si="227"/>
        <v>1.1605165289256193E-2</v>
      </c>
      <c r="BO532" s="1">
        <f t="shared" si="225"/>
        <v>5.8874618447688896E-2</v>
      </c>
    </row>
    <row r="533" spans="1:67" x14ac:dyDescent="0.25">
      <c r="A533" s="3"/>
      <c r="B533" s="3"/>
      <c r="C533" t="s">
        <v>291</v>
      </c>
      <c r="D533" s="5">
        <v>1</v>
      </c>
      <c r="E533" s="9">
        <f t="shared" si="204"/>
        <v>42.857142857142847</v>
      </c>
      <c r="F533" s="9">
        <f t="shared" si="205"/>
        <v>0.5</v>
      </c>
      <c r="G533">
        <v>14.285714285714279</v>
      </c>
      <c r="H533">
        <v>21.428571428571431</v>
      </c>
      <c r="I533">
        <v>42.857142857142847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21.428571428571431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15.5</v>
      </c>
      <c r="AK533" t="s">
        <v>1</v>
      </c>
      <c r="AL533" t="s">
        <v>372</v>
      </c>
      <c r="AQ533" s="1">
        <f t="shared" si="226"/>
        <v>99.999999999999986</v>
      </c>
      <c r="AR533" s="1">
        <f t="shared" si="206"/>
        <v>0</v>
      </c>
      <c r="AS533" s="1">
        <f t="shared" si="207"/>
        <v>0.14285714285714279</v>
      </c>
      <c r="AT533" s="1">
        <f t="shared" si="208"/>
        <v>0.2142857142857143</v>
      </c>
      <c r="AU533" s="1">
        <f t="shared" si="209"/>
        <v>0.2142857142857143</v>
      </c>
      <c r="AV533" s="1">
        <f t="shared" si="210"/>
        <v>0.155</v>
      </c>
      <c r="AX533" s="1">
        <f t="shared" si="211"/>
        <v>0.60000000000000009</v>
      </c>
      <c r="AY533" s="1">
        <f t="shared" si="212"/>
        <v>0</v>
      </c>
      <c r="AZ533" s="1">
        <f t="shared" si="213"/>
        <v>0.53749999999999998</v>
      </c>
      <c r="BA533" s="1">
        <f t="shared" si="214"/>
        <v>0.65</v>
      </c>
      <c r="BB533" s="1">
        <f t="shared" si="215"/>
        <v>0</v>
      </c>
      <c r="BC533" s="1">
        <f t="shared" si="216"/>
        <v>0</v>
      </c>
      <c r="BD533" s="1">
        <f t="shared" si="217"/>
        <v>0.155</v>
      </c>
      <c r="BF533">
        <f t="shared" si="218"/>
        <v>78.571428571428555</v>
      </c>
      <c r="BG533">
        <f t="shared" si="228"/>
        <v>21.428571428571423</v>
      </c>
      <c r="BH533" s="1">
        <f t="shared" si="219"/>
        <v>0.27272727272727282</v>
      </c>
      <c r="BI533" s="1">
        <f t="shared" si="220"/>
        <v>0.27272727272727271</v>
      </c>
      <c r="BJ533" s="1">
        <f t="shared" si="221"/>
        <v>0.59518181818181815</v>
      </c>
      <c r="BK533" s="1">
        <f t="shared" si="222"/>
        <v>0.23290909090909095</v>
      </c>
      <c r="BL533" s="1">
        <f t="shared" si="223"/>
        <v>0.27272727272727271</v>
      </c>
      <c r="BM533" s="1">
        <f t="shared" si="224"/>
        <v>0.27272727272727271</v>
      </c>
      <c r="BN533" s="1">
        <f t="shared" si="227"/>
        <v>1.3859710743801648E-2</v>
      </c>
      <c r="BO533" s="1">
        <f t="shared" si="225"/>
        <v>6.3827436946157126E-2</v>
      </c>
    </row>
    <row r="534" spans="1:67" x14ac:dyDescent="0.25">
      <c r="A534" s="3"/>
      <c r="B534" s="3"/>
      <c r="C534" t="s">
        <v>293</v>
      </c>
      <c r="D534" s="5">
        <v>1</v>
      </c>
      <c r="E534" s="9">
        <f t="shared" si="204"/>
        <v>0</v>
      </c>
      <c r="F534" s="9">
        <f t="shared" si="205"/>
        <v>0.5</v>
      </c>
      <c r="G534">
        <v>20</v>
      </c>
      <c r="H534">
        <v>30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30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12.5</v>
      </c>
      <c r="AK534" t="s">
        <v>1</v>
      </c>
      <c r="AL534" t="s">
        <v>372</v>
      </c>
      <c r="AQ534" s="1">
        <f t="shared" si="226"/>
        <v>100</v>
      </c>
      <c r="AR534" s="1">
        <f t="shared" si="206"/>
        <v>0</v>
      </c>
      <c r="AS534" s="1">
        <f t="shared" si="207"/>
        <v>0.2</v>
      </c>
      <c r="AT534" s="1">
        <f t="shared" si="208"/>
        <v>0.3</v>
      </c>
      <c r="AU534" s="1">
        <f t="shared" si="209"/>
        <v>0.3</v>
      </c>
      <c r="AV534" s="1">
        <f t="shared" si="210"/>
        <v>0.125</v>
      </c>
      <c r="AX534" s="1">
        <f t="shared" si="211"/>
        <v>0.6</v>
      </c>
      <c r="AY534" s="1">
        <f t="shared" si="212"/>
        <v>0</v>
      </c>
      <c r="AZ534" s="1">
        <f t="shared" si="213"/>
        <v>0.53749999999999998</v>
      </c>
      <c r="BA534" s="1">
        <f t="shared" si="214"/>
        <v>0.65</v>
      </c>
      <c r="BB534" s="1">
        <f t="shared" si="215"/>
        <v>0</v>
      </c>
      <c r="BC534" s="1">
        <f t="shared" si="216"/>
        <v>0</v>
      </c>
      <c r="BD534" s="1">
        <f t="shared" si="217"/>
        <v>0.125</v>
      </c>
      <c r="BF534">
        <f t="shared" si="218"/>
        <v>110</v>
      </c>
      <c r="BG534">
        <f t="shared" si="228"/>
        <v>6.6666666666666661</v>
      </c>
      <c r="BH534" s="1">
        <f t="shared" si="219"/>
        <v>0.27272727272727271</v>
      </c>
      <c r="BI534" s="1">
        <f t="shared" si="220"/>
        <v>6.0606060606060601E-2</v>
      </c>
      <c r="BJ534" s="1">
        <f t="shared" si="221"/>
        <v>0.59518181818181815</v>
      </c>
      <c r="BK534" s="1">
        <f t="shared" si="222"/>
        <v>0.2329090909090909</v>
      </c>
      <c r="BL534" s="1">
        <f t="shared" si="223"/>
        <v>6.0606060606060601E-2</v>
      </c>
      <c r="BM534" s="1">
        <f t="shared" si="224"/>
        <v>6.0606060606060601E-2</v>
      </c>
      <c r="BN534" s="1">
        <f t="shared" si="227"/>
        <v>4.1465794306703397E-3</v>
      </c>
      <c r="BO534" s="1">
        <f t="shared" si="225"/>
        <v>7.988589244156187E-2</v>
      </c>
    </row>
    <row r="535" spans="1:67" x14ac:dyDescent="0.25">
      <c r="A535" s="3"/>
      <c r="B535" s="3"/>
      <c r="C535" t="s">
        <v>292</v>
      </c>
      <c r="D535" s="5">
        <v>1</v>
      </c>
      <c r="E535" s="9">
        <f t="shared" si="204"/>
        <v>0</v>
      </c>
      <c r="F535" s="9">
        <f t="shared" si="205"/>
        <v>0.5</v>
      </c>
      <c r="G535">
        <v>20</v>
      </c>
      <c r="H535">
        <v>30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20</v>
      </c>
      <c r="AG535">
        <v>0</v>
      </c>
      <c r="AH535">
        <v>0</v>
      </c>
      <c r="AI535">
        <v>0</v>
      </c>
      <c r="AJ535">
        <v>11.5</v>
      </c>
      <c r="AK535" t="s">
        <v>1</v>
      </c>
      <c r="AL535" t="s">
        <v>372</v>
      </c>
      <c r="AQ535" s="1">
        <f t="shared" si="226"/>
        <v>100</v>
      </c>
      <c r="AR535" s="1">
        <f t="shared" si="206"/>
        <v>0</v>
      </c>
      <c r="AS535" s="1">
        <f t="shared" si="207"/>
        <v>0.2</v>
      </c>
      <c r="AT535" s="1">
        <f t="shared" si="208"/>
        <v>0.3</v>
      </c>
      <c r="AU535" s="1">
        <f t="shared" si="209"/>
        <v>0.3</v>
      </c>
      <c r="AV535" s="1">
        <f t="shared" si="210"/>
        <v>0.115</v>
      </c>
      <c r="AX535" s="1">
        <f t="shared" si="211"/>
        <v>0.6</v>
      </c>
      <c r="AY535" s="1">
        <f t="shared" si="212"/>
        <v>0</v>
      </c>
      <c r="AZ535" s="1">
        <f t="shared" si="213"/>
        <v>0.53749999999999998</v>
      </c>
      <c r="BA535" s="1">
        <f t="shared" si="214"/>
        <v>0.65</v>
      </c>
      <c r="BB535" s="1">
        <f t="shared" si="215"/>
        <v>0</v>
      </c>
      <c r="BC535" s="1">
        <f t="shared" si="216"/>
        <v>0</v>
      </c>
      <c r="BD535" s="1">
        <f t="shared" si="217"/>
        <v>0.115</v>
      </c>
      <c r="BF535">
        <f t="shared" si="218"/>
        <v>110</v>
      </c>
      <c r="BG535">
        <f t="shared" si="228"/>
        <v>6.6666666666666661</v>
      </c>
      <c r="BH535" s="1">
        <f t="shared" si="219"/>
        <v>0.27272727272727271</v>
      </c>
      <c r="BI535" s="1">
        <f t="shared" si="220"/>
        <v>6.0606060606060601E-2</v>
      </c>
      <c r="BJ535" s="1">
        <f t="shared" si="221"/>
        <v>0.59518181818181815</v>
      </c>
      <c r="BK535" s="1">
        <f t="shared" si="222"/>
        <v>0.2329090909090909</v>
      </c>
      <c r="BL535" s="1">
        <f t="shared" si="223"/>
        <v>6.0606060606060601E-2</v>
      </c>
      <c r="BM535" s="1">
        <f t="shared" si="224"/>
        <v>6.0606060606060601E-2</v>
      </c>
      <c r="BN535" s="1">
        <f t="shared" si="227"/>
        <v>2.9587006427915529E-3</v>
      </c>
      <c r="BO535" s="1">
        <f t="shared" si="225"/>
        <v>8.5638710940030116E-2</v>
      </c>
    </row>
    <row r="536" spans="1:67" x14ac:dyDescent="0.25">
      <c r="A536" s="3"/>
      <c r="B536" s="3"/>
      <c r="C536" t="s">
        <v>294</v>
      </c>
      <c r="D536" s="5">
        <v>1</v>
      </c>
      <c r="E536" s="9">
        <f t="shared" si="204"/>
        <v>42.857142857142847</v>
      </c>
      <c r="F536" s="9">
        <f t="shared" si="205"/>
        <v>0.33333333333333326</v>
      </c>
      <c r="G536">
        <v>14.285714285714279</v>
      </c>
      <c r="H536">
        <v>28.571428571428569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14.285714285714279</v>
      </c>
      <c r="R536">
        <v>0</v>
      </c>
      <c r="S536">
        <v>0</v>
      </c>
      <c r="T536">
        <v>0</v>
      </c>
      <c r="U536">
        <v>0</v>
      </c>
      <c r="V536">
        <v>42.857142857142847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16.8</v>
      </c>
      <c r="AK536" t="s">
        <v>1</v>
      </c>
      <c r="AL536" t="s">
        <v>372</v>
      </c>
      <c r="AQ536" s="1">
        <f t="shared" si="226"/>
        <v>99.999999999999972</v>
      </c>
      <c r="AR536" s="1">
        <f t="shared" si="206"/>
        <v>0</v>
      </c>
      <c r="AS536" s="1">
        <f t="shared" si="207"/>
        <v>0.14285714285714279</v>
      </c>
      <c r="AT536" s="1">
        <f t="shared" si="208"/>
        <v>0.2857142857142857</v>
      </c>
      <c r="AU536" s="1">
        <f t="shared" si="209"/>
        <v>0.14285714285714279</v>
      </c>
      <c r="AV536" s="1">
        <f t="shared" si="210"/>
        <v>0.16800000000000001</v>
      </c>
      <c r="AX536" s="1">
        <f t="shared" si="211"/>
        <v>0.33333333333333326</v>
      </c>
      <c r="AY536" s="1">
        <f t="shared" si="212"/>
        <v>0</v>
      </c>
      <c r="AZ536" s="1">
        <f t="shared" si="213"/>
        <v>0.52083333333333337</v>
      </c>
      <c r="BA536" s="1">
        <f t="shared" si="214"/>
        <v>0.58333333333333326</v>
      </c>
      <c r="BB536" s="1">
        <f t="shared" si="215"/>
        <v>0</v>
      </c>
      <c r="BC536" s="1">
        <f t="shared" si="216"/>
        <v>0</v>
      </c>
      <c r="BD536" s="1">
        <f t="shared" si="217"/>
        <v>0.16800000000000001</v>
      </c>
      <c r="BF536">
        <f t="shared" si="218"/>
        <v>85.714285714285694</v>
      </c>
      <c r="BG536">
        <f t="shared" si="228"/>
        <v>21.428571428571423</v>
      </c>
      <c r="BH536" s="1">
        <f t="shared" si="219"/>
        <v>0.16666666666666663</v>
      </c>
      <c r="BI536" s="1">
        <f t="shared" si="220"/>
        <v>0.25</v>
      </c>
      <c r="BJ536" s="1">
        <f t="shared" si="221"/>
        <v>0.59316666666666662</v>
      </c>
      <c r="BK536" s="1">
        <f t="shared" si="222"/>
        <v>0.17966666666666664</v>
      </c>
      <c r="BL536" s="1">
        <f t="shared" si="223"/>
        <v>0.25</v>
      </c>
      <c r="BM536" s="1">
        <f t="shared" si="224"/>
        <v>0.25</v>
      </c>
      <c r="BN536" s="1">
        <f t="shared" si="227"/>
        <v>6.7239999999999982E-3</v>
      </c>
      <c r="BO536" s="1">
        <f t="shared" si="225"/>
        <v>5.7427772898148426E-2</v>
      </c>
    </row>
    <row r="537" spans="1:67" x14ac:dyDescent="0.25">
      <c r="A537" s="3"/>
      <c r="B537" s="3"/>
      <c r="C537" t="s">
        <v>295</v>
      </c>
      <c r="D537" s="5">
        <v>1</v>
      </c>
      <c r="E537" s="9">
        <f t="shared" si="204"/>
        <v>42.857142857142847</v>
      </c>
      <c r="F537" s="9">
        <f t="shared" si="205"/>
        <v>0.33333333333333326</v>
      </c>
      <c r="G537">
        <v>14.285714285714279</v>
      </c>
      <c r="H537">
        <v>28.571428571428569</v>
      </c>
      <c r="I537">
        <v>42.857142857142847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14.285714285714279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17.100000000000001</v>
      </c>
      <c r="AK537" t="s">
        <v>1</v>
      </c>
      <c r="AL537" t="s">
        <v>372</v>
      </c>
      <c r="AQ537" s="1">
        <f t="shared" si="226"/>
        <v>99.999999999999972</v>
      </c>
      <c r="AR537" s="1">
        <f t="shared" si="206"/>
        <v>0</v>
      </c>
      <c r="AS537" s="1">
        <f t="shared" si="207"/>
        <v>0.14285714285714279</v>
      </c>
      <c r="AT537" s="1">
        <f t="shared" si="208"/>
        <v>0.2857142857142857</v>
      </c>
      <c r="AU537" s="1">
        <f t="shared" si="209"/>
        <v>0.14285714285714279</v>
      </c>
      <c r="AV537" s="1">
        <f t="shared" si="210"/>
        <v>0.17100000000000001</v>
      </c>
      <c r="AX537" s="1">
        <f t="shared" si="211"/>
        <v>0.33333333333333326</v>
      </c>
      <c r="AY537" s="1">
        <f t="shared" si="212"/>
        <v>0</v>
      </c>
      <c r="AZ537" s="1">
        <f t="shared" si="213"/>
        <v>0.52083333333333337</v>
      </c>
      <c r="BA537" s="1">
        <f t="shared" si="214"/>
        <v>0.58333333333333326</v>
      </c>
      <c r="BB537" s="1">
        <f t="shared" si="215"/>
        <v>0</v>
      </c>
      <c r="BC537" s="1">
        <f t="shared" si="216"/>
        <v>0</v>
      </c>
      <c r="BD537" s="1">
        <f t="shared" si="217"/>
        <v>0.17100000000000001</v>
      </c>
      <c r="BF537">
        <f t="shared" si="218"/>
        <v>85.714285714285694</v>
      </c>
      <c r="BG537">
        <f t="shared" si="228"/>
        <v>21.428571428571423</v>
      </c>
      <c r="BH537" s="1">
        <f t="shared" si="219"/>
        <v>0.16666666666666663</v>
      </c>
      <c r="BI537" s="1">
        <f t="shared" si="220"/>
        <v>0.25</v>
      </c>
      <c r="BJ537" s="1">
        <f t="shared" si="221"/>
        <v>0.59316666666666662</v>
      </c>
      <c r="BK537" s="1">
        <f t="shared" si="222"/>
        <v>0.17966666666666664</v>
      </c>
      <c r="BL537" s="1">
        <f t="shared" si="223"/>
        <v>0.25</v>
      </c>
      <c r="BM537" s="1">
        <f t="shared" si="224"/>
        <v>0.25</v>
      </c>
      <c r="BN537" s="1">
        <f t="shared" si="227"/>
        <v>6.2409999999999983E-3</v>
      </c>
      <c r="BO537" s="1">
        <f t="shared" si="225"/>
        <v>5.5998927348607952E-2</v>
      </c>
    </row>
    <row r="538" spans="1:67" x14ac:dyDescent="0.25">
      <c r="A538" s="3"/>
      <c r="B538" s="3"/>
      <c r="C538" t="s">
        <v>296</v>
      </c>
      <c r="D538" s="5">
        <v>1</v>
      </c>
      <c r="E538" s="9">
        <f t="shared" si="204"/>
        <v>0</v>
      </c>
      <c r="F538" s="9">
        <f t="shared" si="205"/>
        <v>0.33333333333333331</v>
      </c>
      <c r="G538">
        <v>20</v>
      </c>
      <c r="H538">
        <v>40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15.7</v>
      </c>
      <c r="AK538" t="s">
        <v>1</v>
      </c>
      <c r="AL538" t="s">
        <v>372</v>
      </c>
      <c r="AQ538" s="1">
        <f t="shared" si="226"/>
        <v>100</v>
      </c>
      <c r="AR538" s="1">
        <f t="shared" si="206"/>
        <v>0</v>
      </c>
      <c r="AS538" s="1">
        <f t="shared" si="207"/>
        <v>0.2</v>
      </c>
      <c r="AT538" s="1">
        <f t="shared" si="208"/>
        <v>0.4</v>
      </c>
      <c r="AU538" s="1">
        <f t="shared" si="209"/>
        <v>0.2</v>
      </c>
      <c r="AV538" s="1">
        <f t="shared" si="210"/>
        <v>0.157</v>
      </c>
      <c r="AX538" s="1">
        <f t="shared" si="211"/>
        <v>0.33333333333333331</v>
      </c>
      <c r="AY538" s="1">
        <f t="shared" si="212"/>
        <v>0</v>
      </c>
      <c r="AZ538" s="1">
        <f t="shared" si="213"/>
        <v>0.52083333333333337</v>
      </c>
      <c r="BA538" s="1">
        <f t="shared" si="214"/>
        <v>0.58333333333333337</v>
      </c>
      <c r="BB538" s="1">
        <f t="shared" si="215"/>
        <v>0</v>
      </c>
      <c r="BC538" s="1">
        <f t="shared" si="216"/>
        <v>0</v>
      </c>
      <c r="BD538" s="1">
        <f t="shared" si="217"/>
        <v>0.157</v>
      </c>
      <c r="BF538">
        <f t="shared" si="218"/>
        <v>120</v>
      </c>
      <c r="BG538">
        <f t="shared" si="228"/>
        <v>6.6666666666666661</v>
      </c>
      <c r="BH538" s="1">
        <f t="shared" si="219"/>
        <v>0.16666666666666666</v>
      </c>
      <c r="BI538" s="1">
        <f t="shared" si="220"/>
        <v>5.5555555555555552E-2</v>
      </c>
      <c r="BJ538" s="1">
        <f t="shared" si="221"/>
        <v>0.59316666666666662</v>
      </c>
      <c r="BK538" s="1">
        <f t="shared" si="222"/>
        <v>0.17966666666666667</v>
      </c>
      <c r="BL538" s="1">
        <f t="shared" si="223"/>
        <v>5.5555555555555552E-2</v>
      </c>
      <c r="BM538" s="1">
        <f t="shared" si="224"/>
        <v>5.5555555555555552E-2</v>
      </c>
      <c r="BN538" s="1">
        <f t="shared" si="227"/>
        <v>1.0290975308641976E-2</v>
      </c>
      <c r="BO538" s="1">
        <f t="shared" si="225"/>
        <v>6.2820873246463474E-2</v>
      </c>
    </row>
    <row r="539" spans="1:67" x14ac:dyDescent="0.25">
      <c r="A539" s="3"/>
      <c r="B539" s="3"/>
      <c r="C539" t="s">
        <v>297</v>
      </c>
      <c r="D539" s="5">
        <v>1</v>
      </c>
      <c r="E539" s="9">
        <f t="shared" si="204"/>
        <v>0</v>
      </c>
      <c r="F539" s="9">
        <f t="shared" si="205"/>
        <v>0.33333333333333331</v>
      </c>
      <c r="G539">
        <v>20</v>
      </c>
      <c r="H539">
        <v>40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20</v>
      </c>
      <c r="AG539">
        <v>0</v>
      </c>
      <c r="AH539">
        <v>0</v>
      </c>
      <c r="AI539">
        <v>0</v>
      </c>
      <c r="AJ539">
        <v>14.2</v>
      </c>
      <c r="AK539" t="s">
        <v>1</v>
      </c>
      <c r="AL539" t="s">
        <v>372</v>
      </c>
      <c r="AQ539" s="1">
        <f t="shared" si="226"/>
        <v>100</v>
      </c>
      <c r="AR539" s="1">
        <f t="shared" si="206"/>
        <v>0</v>
      </c>
      <c r="AS539" s="1">
        <f t="shared" si="207"/>
        <v>0.2</v>
      </c>
      <c r="AT539" s="1">
        <f t="shared" si="208"/>
        <v>0.4</v>
      </c>
      <c r="AU539" s="1">
        <f t="shared" si="209"/>
        <v>0.2</v>
      </c>
      <c r="AV539" s="1">
        <f t="shared" si="210"/>
        <v>0.14199999999999999</v>
      </c>
      <c r="AX539" s="1">
        <f t="shared" si="211"/>
        <v>0.33333333333333331</v>
      </c>
      <c r="AY539" s="1">
        <f t="shared" si="212"/>
        <v>0</v>
      </c>
      <c r="AZ539" s="1">
        <f t="shared" si="213"/>
        <v>0.52083333333333337</v>
      </c>
      <c r="BA539" s="1">
        <f t="shared" si="214"/>
        <v>0.58333333333333337</v>
      </c>
      <c r="BB539" s="1">
        <f t="shared" si="215"/>
        <v>0</v>
      </c>
      <c r="BC539" s="1">
        <f t="shared" si="216"/>
        <v>0</v>
      </c>
      <c r="BD539" s="1">
        <f t="shared" si="217"/>
        <v>0.14199999999999999</v>
      </c>
      <c r="BF539">
        <f t="shared" si="218"/>
        <v>120</v>
      </c>
      <c r="BG539">
        <f t="shared" si="228"/>
        <v>6.6666666666666661</v>
      </c>
      <c r="BH539" s="1">
        <f t="shared" si="219"/>
        <v>0.16666666666666666</v>
      </c>
      <c r="BI539" s="1">
        <f t="shared" si="220"/>
        <v>5.5555555555555552E-2</v>
      </c>
      <c r="BJ539" s="1">
        <f t="shared" si="221"/>
        <v>0.59316666666666662</v>
      </c>
      <c r="BK539" s="1">
        <f t="shared" si="222"/>
        <v>0.17966666666666667</v>
      </c>
      <c r="BL539" s="1">
        <f t="shared" si="223"/>
        <v>5.5555555555555552E-2</v>
      </c>
      <c r="BM539" s="1">
        <f t="shared" si="224"/>
        <v>5.5555555555555552E-2</v>
      </c>
      <c r="BN539" s="1">
        <f t="shared" si="227"/>
        <v>7.4726419753086406E-3</v>
      </c>
      <c r="BO539" s="1">
        <f t="shared" si="225"/>
        <v>7.0565100994165852E-2</v>
      </c>
    </row>
    <row r="540" spans="1:67" x14ac:dyDescent="0.25">
      <c r="A540" s="3"/>
      <c r="B540" s="3"/>
      <c r="C540" t="s">
        <v>581</v>
      </c>
      <c r="D540" s="5">
        <v>1</v>
      </c>
      <c r="E540" s="9">
        <f t="shared" si="204"/>
        <v>0</v>
      </c>
      <c r="F540" s="9">
        <f t="shared" si="205"/>
        <v>0</v>
      </c>
      <c r="G540">
        <v>0</v>
      </c>
      <c r="H540">
        <v>20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80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12</v>
      </c>
      <c r="AK540" t="s">
        <v>1</v>
      </c>
      <c r="AL540" t="s">
        <v>374</v>
      </c>
      <c r="AO540" t="s">
        <v>378</v>
      </c>
      <c r="AQ540" s="1">
        <f t="shared" si="226"/>
        <v>100</v>
      </c>
      <c r="AR540" s="1">
        <f t="shared" si="206"/>
        <v>0</v>
      </c>
      <c r="AS540" s="1">
        <f t="shared" si="207"/>
        <v>0</v>
      </c>
      <c r="AT540" s="1">
        <f t="shared" si="208"/>
        <v>0.2</v>
      </c>
      <c r="AU540" s="1">
        <f t="shared" si="209"/>
        <v>0</v>
      </c>
      <c r="AV540" s="1">
        <f t="shared" si="210"/>
        <v>0.12</v>
      </c>
      <c r="AX540" s="1">
        <f t="shared" si="211"/>
        <v>0</v>
      </c>
      <c r="AY540" s="1">
        <f t="shared" si="212"/>
        <v>0</v>
      </c>
      <c r="AZ540" s="1">
        <f t="shared" si="213"/>
        <v>0.5</v>
      </c>
      <c r="BA540" s="1">
        <f t="shared" si="214"/>
        <v>0.5</v>
      </c>
      <c r="BB540" s="1">
        <f t="shared" si="215"/>
        <v>0</v>
      </c>
      <c r="BC540" s="1">
        <f t="shared" si="216"/>
        <v>0</v>
      </c>
      <c r="BD540" s="1">
        <f t="shared" si="217"/>
        <v>0.12</v>
      </c>
      <c r="BF540">
        <f t="shared" si="218"/>
        <v>20</v>
      </c>
      <c r="BG540">
        <f t="shared" si="228"/>
        <v>40</v>
      </c>
      <c r="BH540" s="1">
        <f t="shared" si="219"/>
        <v>0</v>
      </c>
      <c r="BI540" s="1">
        <f t="shared" si="220"/>
        <v>2</v>
      </c>
      <c r="BJ540" s="1">
        <f t="shared" si="221"/>
        <v>0.59</v>
      </c>
      <c r="BK540" s="1">
        <f t="shared" si="222"/>
        <v>9.6000000000000002E-2</v>
      </c>
      <c r="BL540" s="1">
        <f t="shared" si="223"/>
        <v>-4.4666666666666632E-2</v>
      </c>
      <c r="BM540" s="1">
        <f t="shared" si="224"/>
        <v>0</v>
      </c>
      <c r="BN540" s="1">
        <f t="shared" si="227"/>
        <v>1.44E-2</v>
      </c>
      <c r="BO540" s="1">
        <f t="shared" si="225"/>
        <v>8.2737301690795989E-2</v>
      </c>
    </row>
    <row r="541" spans="1:67" x14ac:dyDescent="0.25">
      <c r="A541" s="3"/>
      <c r="B541" s="3"/>
      <c r="C541" t="s">
        <v>582</v>
      </c>
      <c r="D541" s="5">
        <v>1</v>
      </c>
      <c r="E541" s="9">
        <f t="shared" si="204"/>
        <v>0</v>
      </c>
      <c r="F541" s="9">
        <f t="shared" si="205"/>
        <v>0</v>
      </c>
      <c r="G541">
        <v>0</v>
      </c>
      <c r="H541">
        <v>30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70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20</v>
      </c>
      <c r="AK541" t="s">
        <v>1</v>
      </c>
      <c r="AL541" t="s">
        <v>374</v>
      </c>
      <c r="AQ541" s="1">
        <f t="shared" si="226"/>
        <v>100</v>
      </c>
      <c r="AR541" s="1">
        <f t="shared" si="206"/>
        <v>0</v>
      </c>
      <c r="AS541" s="1">
        <f t="shared" si="207"/>
        <v>0</v>
      </c>
      <c r="AT541" s="1">
        <f t="shared" si="208"/>
        <v>0.3</v>
      </c>
      <c r="AU541" s="1">
        <f t="shared" si="209"/>
        <v>0</v>
      </c>
      <c r="AV541" s="1">
        <f t="shared" si="210"/>
        <v>0.2</v>
      </c>
      <c r="AX541" s="1">
        <f t="shared" si="211"/>
        <v>0</v>
      </c>
      <c r="AY541" s="1">
        <f t="shared" si="212"/>
        <v>0</v>
      </c>
      <c r="AZ541" s="1">
        <f t="shared" si="213"/>
        <v>0.5</v>
      </c>
      <c r="BA541" s="1">
        <f t="shared" si="214"/>
        <v>0.5</v>
      </c>
      <c r="BB541" s="1">
        <f t="shared" si="215"/>
        <v>0</v>
      </c>
      <c r="BC541" s="1">
        <f t="shared" si="216"/>
        <v>0</v>
      </c>
      <c r="BD541" s="1">
        <f t="shared" si="217"/>
        <v>0.2</v>
      </c>
      <c r="BF541">
        <f t="shared" si="218"/>
        <v>30</v>
      </c>
      <c r="BG541">
        <f t="shared" si="228"/>
        <v>35</v>
      </c>
      <c r="BH541" s="1">
        <f t="shared" si="219"/>
        <v>0</v>
      </c>
      <c r="BI541" s="1">
        <f t="shared" si="220"/>
        <v>1.1666666666666667</v>
      </c>
      <c r="BJ541" s="1">
        <f t="shared" si="221"/>
        <v>0.59</v>
      </c>
      <c r="BK541" s="1">
        <f t="shared" si="222"/>
        <v>9.6000000000000002E-2</v>
      </c>
      <c r="BL541" s="1">
        <f t="shared" si="223"/>
        <v>0.2331111111111111</v>
      </c>
      <c r="BM541" s="1">
        <f t="shared" si="224"/>
        <v>0.2331111111111111</v>
      </c>
      <c r="BN541" s="1">
        <f t="shared" si="227"/>
        <v>1.0963456790123443E-3</v>
      </c>
      <c r="BO541" s="1">
        <f t="shared" si="225"/>
        <v>4.3114753703050047E-2</v>
      </c>
    </row>
    <row r="542" spans="1:67" x14ac:dyDescent="0.25">
      <c r="A542" s="3"/>
      <c r="B542" s="3"/>
      <c r="C542" t="s">
        <v>583</v>
      </c>
      <c r="D542" s="5">
        <v>1</v>
      </c>
      <c r="E542" s="9">
        <f t="shared" si="204"/>
        <v>0</v>
      </c>
      <c r="F542" s="9">
        <f t="shared" si="205"/>
        <v>0</v>
      </c>
      <c r="G542">
        <v>0</v>
      </c>
      <c r="H542">
        <v>40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60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33</v>
      </c>
      <c r="AK542" t="s">
        <v>1</v>
      </c>
      <c r="AL542" t="s">
        <v>374</v>
      </c>
      <c r="AQ542" s="1">
        <f t="shared" si="226"/>
        <v>100</v>
      </c>
      <c r="AR542" s="1">
        <f t="shared" si="206"/>
        <v>0</v>
      </c>
      <c r="AS542" s="1">
        <f t="shared" si="207"/>
        <v>0</v>
      </c>
      <c r="AT542" s="1">
        <f t="shared" si="208"/>
        <v>0.4</v>
      </c>
      <c r="AU542" s="1">
        <f t="shared" si="209"/>
        <v>0</v>
      </c>
      <c r="AV542" s="1">
        <f t="shared" si="210"/>
        <v>0.33</v>
      </c>
      <c r="AX542" s="1">
        <f t="shared" si="211"/>
        <v>0</v>
      </c>
      <c r="AY542" s="1">
        <f t="shared" si="212"/>
        <v>0</v>
      </c>
      <c r="AZ542" s="1">
        <f t="shared" si="213"/>
        <v>0.5</v>
      </c>
      <c r="BA542" s="1">
        <f t="shared" si="214"/>
        <v>0.5</v>
      </c>
      <c r="BB542" s="1">
        <f t="shared" si="215"/>
        <v>0</v>
      </c>
      <c r="BC542" s="1">
        <f t="shared" si="216"/>
        <v>0</v>
      </c>
      <c r="BD542" s="1">
        <f t="shared" si="217"/>
        <v>0.33</v>
      </c>
      <c r="BF542">
        <f t="shared" si="218"/>
        <v>40</v>
      </c>
      <c r="BG542">
        <f t="shared" si="228"/>
        <v>30</v>
      </c>
      <c r="BH542" s="1">
        <f t="shared" si="219"/>
        <v>0</v>
      </c>
      <c r="BI542" s="1">
        <f t="shared" si="220"/>
        <v>0.75</v>
      </c>
      <c r="BJ542" s="1">
        <f t="shared" si="221"/>
        <v>0.59</v>
      </c>
      <c r="BK542" s="1">
        <f t="shared" si="222"/>
        <v>9.6000000000000002E-2</v>
      </c>
      <c r="BL542" s="1">
        <f t="shared" si="223"/>
        <v>0.372</v>
      </c>
      <c r="BM542" s="1">
        <f t="shared" si="224"/>
        <v>0.372</v>
      </c>
      <c r="BN542" s="1">
        <f t="shared" si="227"/>
        <v>1.7639999999999984E-3</v>
      </c>
      <c r="BO542" s="1">
        <f t="shared" si="225"/>
        <v>6.0281132229629093E-3</v>
      </c>
    </row>
    <row r="543" spans="1:67" x14ac:dyDescent="0.25">
      <c r="A543" s="3"/>
      <c r="B543" s="3"/>
      <c r="C543" t="s">
        <v>584</v>
      </c>
      <c r="D543" s="5">
        <v>1</v>
      </c>
      <c r="E543" s="9">
        <f t="shared" si="204"/>
        <v>0</v>
      </c>
      <c r="F543" s="9">
        <f t="shared" si="205"/>
        <v>0</v>
      </c>
      <c r="G543">
        <v>0</v>
      </c>
      <c r="H543">
        <v>50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50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43</v>
      </c>
      <c r="AK543" t="s">
        <v>1</v>
      </c>
      <c r="AL543" t="s">
        <v>374</v>
      </c>
      <c r="AQ543" s="1">
        <f t="shared" si="226"/>
        <v>100</v>
      </c>
      <c r="AR543" s="1">
        <f t="shared" si="206"/>
        <v>0</v>
      </c>
      <c r="AS543" s="1">
        <f t="shared" si="207"/>
        <v>0</v>
      </c>
      <c r="AT543" s="1">
        <f t="shared" si="208"/>
        <v>0.5</v>
      </c>
      <c r="AU543" s="1">
        <f t="shared" si="209"/>
        <v>0</v>
      </c>
      <c r="AV543" s="1">
        <f t="shared" si="210"/>
        <v>0.43</v>
      </c>
      <c r="AX543" s="1">
        <f t="shared" si="211"/>
        <v>0</v>
      </c>
      <c r="AY543" s="1">
        <f t="shared" si="212"/>
        <v>0</v>
      </c>
      <c r="AZ543" s="1">
        <f t="shared" si="213"/>
        <v>0.5</v>
      </c>
      <c r="BA543" s="1">
        <f t="shared" si="214"/>
        <v>0.5</v>
      </c>
      <c r="BB543" s="1">
        <f t="shared" si="215"/>
        <v>0</v>
      </c>
      <c r="BC543" s="1">
        <f t="shared" si="216"/>
        <v>0</v>
      </c>
      <c r="BD543" s="1">
        <f t="shared" si="217"/>
        <v>0.43</v>
      </c>
      <c r="BF543">
        <f t="shared" si="218"/>
        <v>50</v>
      </c>
      <c r="BG543">
        <f t="shared" si="228"/>
        <v>25</v>
      </c>
      <c r="BH543" s="1">
        <f t="shared" si="219"/>
        <v>0</v>
      </c>
      <c r="BI543" s="1">
        <f t="shared" si="220"/>
        <v>0.5</v>
      </c>
      <c r="BJ543" s="1">
        <f t="shared" si="221"/>
        <v>0.59</v>
      </c>
      <c r="BK543" s="1">
        <f t="shared" si="222"/>
        <v>9.6000000000000002E-2</v>
      </c>
      <c r="BL543" s="1">
        <f t="shared" si="223"/>
        <v>0.5</v>
      </c>
      <c r="BM543" s="1">
        <f t="shared" si="224"/>
        <v>0.5</v>
      </c>
      <c r="BN543" s="1">
        <f t="shared" si="227"/>
        <v>4.9000000000000007E-3</v>
      </c>
      <c r="BO543" s="1">
        <f t="shared" si="225"/>
        <v>4.9992823828049458E-4</v>
      </c>
    </row>
    <row r="544" spans="1:67" x14ac:dyDescent="0.25">
      <c r="A544" s="3"/>
      <c r="B544" s="3"/>
      <c r="C544" t="s">
        <v>585</v>
      </c>
      <c r="D544" s="5">
        <v>1</v>
      </c>
      <c r="E544" s="9">
        <f t="shared" si="204"/>
        <v>0</v>
      </c>
      <c r="F544" s="9">
        <f t="shared" si="205"/>
        <v>0</v>
      </c>
      <c r="G544">
        <v>0</v>
      </c>
      <c r="H544">
        <v>60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40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40</v>
      </c>
      <c r="AK544" t="s">
        <v>1</v>
      </c>
      <c r="AL544" t="s">
        <v>374</v>
      </c>
      <c r="AQ544" s="1">
        <f t="shared" si="226"/>
        <v>100</v>
      </c>
      <c r="AR544" s="1">
        <f t="shared" si="206"/>
        <v>0</v>
      </c>
      <c r="AS544" s="1">
        <f t="shared" si="207"/>
        <v>0</v>
      </c>
      <c r="AT544" s="1">
        <f t="shared" si="208"/>
        <v>0.6</v>
      </c>
      <c r="AU544" s="1">
        <f t="shared" si="209"/>
        <v>0</v>
      </c>
      <c r="AV544" s="1">
        <f t="shared" si="210"/>
        <v>0.4</v>
      </c>
      <c r="AX544" s="1">
        <f t="shared" si="211"/>
        <v>0</v>
      </c>
      <c r="AY544" s="1">
        <f t="shared" si="212"/>
        <v>0</v>
      </c>
      <c r="AZ544" s="1">
        <f t="shared" si="213"/>
        <v>0.5</v>
      </c>
      <c r="BA544" s="1">
        <f t="shared" si="214"/>
        <v>0.5</v>
      </c>
      <c r="BB544" s="1">
        <f t="shared" si="215"/>
        <v>0</v>
      </c>
      <c r="BC544" s="1">
        <f t="shared" si="216"/>
        <v>0</v>
      </c>
      <c r="BD544" s="1">
        <f t="shared" si="217"/>
        <v>0.4</v>
      </c>
      <c r="BF544">
        <f t="shared" si="218"/>
        <v>60</v>
      </c>
      <c r="BG544">
        <f t="shared" si="228"/>
        <v>20</v>
      </c>
      <c r="BH544" s="1">
        <f t="shared" si="219"/>
        <v>0</v>
      </c>
      <c r="BI544" s="1">
        <f t="shared" si="220"/>
        <v>0.33333333333333331</v>
      </c>
      <c r="BJ544" s="1">
        <f t="shared" si="221"/>
        <v>0.59</v>
      </c>
      <c r="BK544" s="1">
        <f t="shared" si="222"/>
        <v>9.6000000000000002E-2</v>
      </c>
      <c r="BL544" s="1">
        <f t="shared" si="223"/>
        <v>0.33333333333333331</v>
      </c>
      <c r="BM544" s="1">
        <f t="shared" si="224"/>
        <v>0.33333333333333331</v>
      </c>
      <c r="BN544" s="1">
        <f t="shared" si="227"/>
        <v>4.4444444444444496E-3</v>
      </c>
      <c r="BO544" s="1">
        <f t="shared" si="225"/>
        <v>5.8383733685219634E-5</v>
      </c>
    </row>
    <row r="545" spans="1:67" x14ac:dyDescent="0.25">
      <c r="A545" s="3"/>
      <c r="B545" s="3"/>
      <c r="C545" t="s">
        <v>586</v>
      </c>
      <c r="D545" s="5">
        <v>1</v>
      </c>
      <c r="E545" s="9">
        <f t="shared" si="204"/>
        <v>0</v>
      </c>
      <c r="F545" s="9">
        <f t="shared" si="205"/>
        <v>0</v>
      </c>
      <c r="G545">
        <v>0</v>
      </c>
      <c r="H545">
        <v>70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32</v>
      </c>
      <c r="AK545" t="s">
        <v>1</v>
      </c>
      <c r="AL545" t="s">
        <v>374</v>
      </c>
      <c r="AQ545" s="1">
        <f t="shared" si="226"/>
        <v>100</v>
      </c>
      <c r="AR545" s="1">
        <f t="shared" si="206"/>
        <v>0</v>
      </c>
      <c r="AS545" s="1">
        <f t="shared" si="207"/>
        <v>0</v>
      </c>
      <c r="AT545" s="1">
        <f t="shared" si="208"/>
        <v>0.7</v>
      </c>
      <c r="AU545" s="1">
        <f t="shared" si="209"/>
        <v>0</v>
      </c>
      <c r="AV545" s="1">
        <f t="shared" si="210"/>
        <v>0.32</v>
      </c>
      <c r="AX545" s="1">
        <f t="shared" si="211"/>
        <v>0</v>
      </c>
      <c r="AY545" s="1">
        <f t="shared" si="212"/>
        <v>0</v>
      </c>
      <c r="AZ545" s="1">
        <f t="shared" si="213"/>
        <v>0.5</v>
      </c>
      <c r="BA545" s="1">
        <f t="shared" si="214"/>
        <v>0.5</v>
      </c>
      <c r="BB545" s="1">
        <f t="shared" si="215"/>
        <v>0</v>
      </c>
      <c r="BC545" s="1">
        <f t="shared" si="216"/>
        <v>0</v>
      </c>
      <c r="BD545" s="1">
        <f t="shared" si="217"/>
        <v>0.32</v>
      </c>
      <c r="BF545">
        <f t="shared" si="218"/>
        <v>70</v>
      </c>
      <c r="BG545">
        <f t="shared" si="228"/>
        <v>15</v>
      </c>
      <c r="BH545" s="1">
        <f t="shared" si="219"/>
        <v>0</v>
      </c>
      <c r="BI545" s="1">
        <f t="shared" si="220"/>
        <v>0.21428571428571427</v>
      </c>
      <c r="BJ545" s="1">
        <f t="shared" si="221"/>
        <v>0.59</v>
      </c>
      <c r="BK545" s="1">
        <f t="shared" si="222"/>
        <v>9.6000000000000002E-2</v>
      </c>
      <c r="BL545" s="1">
        <f t="shared" si="223"/>
        <v>0.21428571428571427</v>
      </c>
      <c r="BM545" s="1">
        <f t="shared" si="224"/>
        <v>0.21428571428571427</v>
      </c>
      <c r="BN545" s="1">
        <f t="shared" si="227"/>
        <v>1.1175510204081637E-2</v>
      </c>
      <c r="BO545" s="1">
        <f t="shared" si="225"/>
        <v>7.680931721431152E-3</v>
      </c>
    </row>
    <row r="546" spans="1:67" x14ac:dyDescent="0.25">
      <c r="A546" s="3"/>
      <c r="B546" s="3"/>
      <c r="C546" t="s">
        <v>587</v>
      </c>
      <c r="D546" s="5">
        <v>1</v>
      </c>
      <c r="E546" s="9">
        <f t="shared" si="204"/>
        <v>0</v>
      </c>
      <c r="F546" s="9">
        <f t="shared" si="205"/>
        <v>0</v>
      </c>
      <c r="G546">
        <v>0</v>
      </c>
      <c r="H546">
        <v>75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25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26</v>
      </c>
      <c r="AK546" t="s">
        <v>1</v>
      </c>
      <c r="AL546" t="s">
        <v>374</v>
      </c>
      <c r="AQ546" s="1">
        <f t="shared" si="226"/>
        <v>100</v>
      </c>
      <c r="AR546" s="1">
        <f t="shared" si="206"/>
        <v>0</v>
      </c>
      <c r="AS546" s="1">
        <f t="shared" si="207"/>
        <v>0</v>
      </c>
      <c r="AT546" s="1">
        <f t="shared" si="208"/>
        <v>0.75</v>
      </c>
      <c r="AU546" s="1">
        <f t="shared" si="209"/>
        <v>0</v>
      </c>
      <c r="AV546" s="1">
        <f t="shared" si="210"/>
        <v>0.26</v>
      </c>
      <c r="AX546" s="1">
        <f t="shared" si="211"/>
        <v>0</v>
      </c>
      <c r="AY546" s="1">
        <f t="shared" si="212"/>
        <v>0</v>
      </c>
      <c r="AZ546" s="1">
        <f t="shared" si="213"/>
        <v>0.5</v>
      </c>
      <c r="BA546" s="1">
        <f t="shared" si="214"/>
        <v>0.5</v>
      </c>
      <c r="BB546" s="1">
        <f t="shared" si="215"/>
        <v>0</v>
      </c>
      <c r="BC546" s="1">
        <f t="shared" si="216"/>
        <v>0</v>
      </c>
      <c r="BD546" s="1">
        <f t="shared" si="217"/>
        <v>0.26</v>
      </c>
      <c r="BF546">
        <f t="shared" si="218"/>
        <v>75</v>
      </c>
      <c r="BG546">
        <f t="shared" si="228"/>
        <v>12.5</v>
      </c>
      <c r="BH546" s="1">
        <f t="shared" si="219"/>
        <v>0</v>
      </c>
      <c r="BI546" s="1">
        <f t="shared" si="220"/>
        <v>0.16666666666666666</v>
      </c>
      <c r="BJ546" s="1">
        <f t="shared" si="221"/>
        <v>0.59</v>
      </c>
      <c r="BK546" s="1">
        <f t="shared" si="222"/>
        <v>9.6000000000000002E-2</v>
      </c>
      <c r="BL546" s="1">
        <f t="shared" si="223"/>
        <v>0.16666666666666666</v>
      </c>
      <c r="BM546" s="1">
        <f t="shared" si="224"/>
        <v>0.16666666666666666</v>
      </c>
      <c r="BN546" s="1">
        <f t="shared" si="227"/>
        <v>8.7111111111111139E-3</v>
      </c>
      <c r="BO546" s="1">
        <f t="shared" si="225"/>
        <v>2.1797842712240601E-2</v>
      </c>
    </row>
    <row r="547" spans="1:67" x14ac:dyDescent="0.25">
      <c r="A547" s="3"/>
      <c r="B547" s="3"/>
      <c r="C547" t="s">
        <v>303</v>
      </c>
      <c r="D547" s="5">
        <v>1</v>
      </c>
      <c r="E547" s="9">
        <f t="shared" si="204"/>
        <v>20</v>
      </c>
      <c r="F547" s="9">
        <f t="shared" si="205"/>
        <v>0.90277777777777779</v>
      </c>
      <c r="G547">
        <v>8</v>
      </c>
      <c r="H547">
        <v>7</v>
      </c>
      <c r="I547">
        <v>20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65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13</v>
      </c>
      <c r="AK547" t="s">
        <v>1</v>
      </c>
      <c r="AL547" t="s">
        <v>372</v>
      </c>
      <c r="AO547" t="s">
        <v>378</v>
      </c>
      <c r="AP547">
        <v>11</v>
      </c>
      <c r="AQ547" s="1">
        <f t="shared" si="226"/>
        <v>100</v>
      </c>
      <c r="AR547" s="1">
        <f t="shared" si="206"/>
        <v>0</v>
      </c>
      <c r="AS547" s="1">
        <f t="shared" si="207"/>
        <v>0.08</v>
      </c>
      <c r="AT547" s="1">
        <f t="shared" si="208"/>
        <v>7.0000000000000007E-2</v>
      </c>
      <c r="AU547" s="1">
        <f t="shared" si="209"/>
        <v>0.65</v>
      </c>
      <c r="AV547" s="1">
        <f t="shared" si="210"/>
        <v>0.13</v>
      </c>
      <c r="AX547" s="1">
        <f t="shared" si="211"/>
        <v>4.333333333333333</v>
      </c>
      <c r="AY547" s="1">
        <f t="shared" si="212"/>
        <v>0</v>
      </c>
      <c r="AZ547" s="1">
        <f t="shared" si="213"/>
        <v>0.77083333333333326</v>
      </c>
      <c r="BA547" s="1">
        <f t="shared" si="214"/>
        <v>1.5833333333333333</v>
      </c>
      <c r="BB547" s="1">
        <f t="shared" si="215"/>
        <v>0</v>
      </c>
      <c r="BC547" s="1">
        <f t="shared" si="216"/>
        <v>0</v>
      </c>
      <c r="BD547" s="1">
        <f t="shared" si="217"/>
        <v>0.13</v>
      </c>
      <c r="BF547">
        <f t="shared" si="218"/>
        <v>39</v>
      </c>
      <c r="BG547">
        <f t="shared" si="228"/>
        <v>10</v>
      </c>
      <c r="BH547" s="1">
        <f t="shared" si="219"/>
        <v>1.6666666666666667</v>
      </c>
      <c r="BI547" s="1">
        <f t="shared" si="220"/>
        <v>0.25641025641025639</v>
      </c>
      <c r="BJ547" s="1">
        <f t="shared" si="221"/>
        <v>0.62166666666666659</v>
      </c>
      <c r="BK547" s="1">
        <f t="shared" si="222"/>
        <v>0.93266666666666664</v>
      </c>
      <c r="BL547" s="1">
        <f t="shared" si="223"/>
        <v>0.25641025641025639</v>
      </c>
      <c r="BM547" s="1">
        <f t="shared" si="224"/>
        <v>0.25641025641025639</v>
      </c>
      <c r="BN547" s="1">
        <f t="shared" si="227"/>
        <v>1.5979552925706766E-2</v>
      </c>
      <c r="BO547" s="1">
        <f t="shared" si="225"/>
        <v>7.7084483192327746E-2</v>
      </c>
    </row>
    <row r="548" spans="1:67" x14ac:dyDescent="0.25">
      <c r="A548" s="3"/>
      <c r="B548" s="3"/>
      <c r="C548" t="s">
        <v>304</v>
      </c>
      <c r="D548" s="5">
        <v>1</v>
      </c>
      <c r="E548" s="9">
        <f t="shared" si="204"/>
        <v>20</v>
      </c>
      <c r="F548" s="9">
        <f t="shared" si="205"/>
        <v>0.90277777777777779</v>
      </c>
      <c r="G548">
        <v>8</v>
      </c>
      <c r="H548">
        <v>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20</v>
      </c>
      <c r="P548">
        <v>0</v>
      </c>
      <c r="Q548">
        <v>65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64</v>
      </c>
      <c r="AK548" t="s">
        <v>1</v>
      </c>
      <c r="AL548" t="s">
        <v>372</v>
      </c>
      <c r="AP548">
        <v>57</v>
      </c>
      <c r="AQ548" s="1">
        <f t="shared" si="226"/>
        <v>100</v>
      </c>
      <c r="AR548" s="1">
        <f t="shared" si="206"/>
        <v>0.2</v>
      </c>
      <c r="AS548" s="1">
        <f t="shared" si="207"/>
        <v>0.08</v>
      </c>
      <c r="AT548" s="1">
        <f t="shared" si="208"/>
        <v>7.0000000000000007E-2</v>
      </c>
      <c r="AU548" s="1">
        <f t="shared" si="209"/>
        <v>0.65</v>
      </c>
      <c r="AV548" s="1">
        <f t="shared" si="210"/>
        <v>0.64</v>
      </c>
      <c r="AX548" s="1">
        <f t="shared" si="211"/>
        <v>4.333333333333333</v>
      </c>
      <c r="AY548" s="1">
        <f t="shared" si="212"/>
        <v>1.3333333333333333</v>
      </c>
      <c r="AZ548" s="1">
        <f t="shared" si="213"/>
        <v>0.77083333333333326</v>
      </c>
      <c r="BA548" s="1">
        <f t="shared" si="214"/>
        <v>1.5833333333333333</v>
      </c>
      <c r="BB548" s="1">
        <f t="shared" si="215"/>
        <v>0.77083333333333326</v>
      </c>
      <c r="BC548" s="1">
        <f t="shared" si="216"/>
        <v>0.77083333333333326</v>
      </c>
      <c r="BD548" s="1">
        <f t="shared" si="217"/>
        <v>0.13083333333333325</v>
      </c>
      <c r="BF548">
        <f t="shared" si="218"/>
        <v>39</v>
      </c>
      <c r="BG548">
        <f t="shared" si="228"/>
        <v>20</v>
      </c>
      <c r="BH548" s="1">
        <f t="shared" si="219"/>
        <v>1.6666666666666667</v>
      </c>
      <c r="BI548" s="1">
        <f t="shared" si="220"/>
        <v>0.51282051282051277</v>
      </c>
      <c r="BJ548" s="1">
        <f t="shared" si="221"/>
        <v>0.62166666666666659</v>
      </c>
      <c r="BK548" s="1">
        <f t="shared" si="222"/>
        <v>0.93266666666666664</v>
      </c>
      <c r="BL548" s="1">
        <f t="shared" si="223"/>
        <v>0.51282051282051277</v>
      </c>
      <c r="BM548" s="1">
        <f t="shared" si="224"/>
        <v>0.51282051282051277</v>
      </c>
      <c r="BN548" s="1">
        <f t="shared" si="227"/>
        <v>1.617462195923736E-2</v>
      </c>
      <c r="BO548" s="1">
        <f t="shared" si="225"/>
        <v>5.3990739770447424E-2</v>
      </c>
    </row>
    <row r="549" spans="1:67" x14ac:dyDescent="0.25">
      <c r="A549" s="3"/>
      <c r="B549" s="3"/>
      <c r="C549" t="s">
        <v>305</v>
      </c>
      <c r="D549" s="5">
        <v>1</v>
      </c>
      <c r="E549" s="9">
        <f t="shared" si="204"/>
        <v>20</v>
      </c>
      <c r="F549" s="9">
        <f t="shared" si="205"/>
        <v>0.70833333333333337</v>
      </c>
      <c r="G549">
        <v>8</v>
      </c>
      <c r="H549">
        <v>21</v>
      </c>
      <c r="I549">
        <v>20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51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21</v>
      </c>
      <c r="AK549" t="s">
        <v>1</v>
      </c>
      <c r="AL549" t="s">
        <v>372</v>
      </c>
      <c r="AP549">
        <v>17</v>
      </c>
      <c r="AQ549" s="1">
        <f t="shared" si="226"/>
        <v>100</v>
      </c>
      <c r="AR549" s="1">
        <f t="shared" si="206"/>
        <v>0</v>
      </c>
      <c r="AS549" s="1">
        <f t="shared" si="207"/>
        <v>0.08</v>
      </c>
      <c r="AT549" s="1">
        <f t="shared" si="208"/>
        <v>0.21</v>
      </c>
      <c r="AU549" s="1">
        <f t="shared" si="209"/>
        <v>0.51</v>
      </c>
      <c r="AV549" s="1">
        <f t="shared" si="210"/>
        <v>0.21</v>
      </c>
      <c r="AX549" s="1">
        <f t="shared" si="211"/>
        <v>1.7586206896551726</v>
      </c>
      <c r="AY549" s="1">
        <f t="shared" si="212"/>
        <v>0</v>
      </c>
      <c r="AZ549" s="1">
        <f t="shared" si="213"/>
        <v>0.60991379310344829</v>
      </c>
      <c r="BA549" s="1">
        <f t="shared" si="214"/>
        <v>0.93965517241379315</v>
      </c>
      <c r="BB549" s="1">
        <f t="shared" si="215"/>
        <v>0</v>
      </c>
      <c r="BC549" s="1">
        <f t="shared" si="216"/>
        <v>0</v>
      </c>
      <c r="BD549" s="1">
        <f t="shared" si="217"/>
        <v>0.21</v>
      </c>
      <c r="BF549">
        <f t="shared" si="218"/>
        <v>53</v>
      </c>
      <c r="BG549">
        <f t="shared" si="228"/>
        <v>10</v>
      </c>
      <c r="BH549" s="1">
        <f t="shared" si="219"/>
        <v>0.96226415094339623</v>
      </c>
      <c r="BI549" s="1">
        <f t="shared" si="220"/>
        <v>0.18867924528301888</v>
      </c>
      <c r="BJ549" s="1">
        <f t="shared" si="221"/>
        <v>0.60828301886792446</v>
      </c>
      <c r="BK549" s="1">
        <f t="shared" si="222"/>
        <v>0.57905660377358492</v>
      </c>
      <c r="BL549" s="1">
        <f t="shared" si="223"/>
        <v>0.18867924528301888</v>
      </c>
      <c r="BM549" s="1">
        <f t="shared" si="224"/>
        <v>0.18867924528301888</v>
      </c>
      <c r="BN549" s="1">
        <f t="shared" si="227"/>
        <v>4.5457458170167231E-4</v>
      </c>
      <c r="BO549" s="1">
        <f t="shared" si="225"/>
        <v>3.9061935204581816E-2</v>
      </c>
    </row>
    <row r="550" spans="1:67" x14ac:dyDescent="0.25">
      <c r="A550" s="3"/>
      <c r="B550" s="3"/>
      <c r="C550" t="s">
        <v>150</v>
      </c>
      <c r="D550" s="5">
        <v>1</v>
      </c>
      <c r="E550" s="9">
        <f t="shared" si="204"/>
        <v>20</v>
      </c>
      <c r="F550" s="9">
        <f t="shared" si="205"/>
        <v>0.70833333333333337</v>
      </c>
      <c r="G550">
        <v>8</v>
      </c>
      <c r="H550">
        <v>21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20</v>
      </c>
      <c r="P550">
        <v>0</v>
      </c>
      <c r="Q550">
        <v>51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45</v>
      </c>
      <c r="AK550" t="s">
        <v>1</v>
      </c>
      <c r="AL550" t="s">
        <v>372</v>
      </c>
      <c r="AP550">
        <v>40</v>
      </c>
      <c r="AQ550" s="1">
        <f t="shared" si="226"/>
        <v>100</v>
      </c>
      <c r="AR550" s="1">
        <f t="shared" si="206"/>
        <v>0.2</v>
      </c>
      <c r="AS550" s="1">
        <f t="shared" si="207"/>
        <v>0.08</v>
      </c>
      <c r="AT550" s="1">
        <f t="shared" si="208"/>
        <v>0.21</v>
      </c>
      <c r="AU550" s="1">
        <f t="shared" si="209"/>
        <v>0.51</v>
      </c>
      <c r="AV550" s="1">
        <f t="shared" si="210"/>
        <v>0.45</v>
      </c>
      <c r="AX550" s="1">
        <f t="shared" si="211"/>
        <v>1.7586206896551726</v>
      </c>
      <c r="AY550" s="1">
        <f t="shared" si="212"/>
        <v>0.68965517241379315</v>
      </c>
      <c r="AZ550" s="1">
        <f t="shared" si="213"/>
        <v>0.60991379310344829</v>
      </c>
      <c r="BA550" s="1">
        <f t="shared" si="214"/>
        <v>0.93965517241379315</v>
      </c>
      <c r="BB550" s="1">
        <f t="shared" si="215"/>
        <v>0.60991379310344829</v>
      </c>
      <c r="BC550" s="1">
        <f t="shared" si="216"/>
        <v>0.60991379310344829</v>
      </c>
      <c r="BD550" s="1">
        <f t="shared" si="217"/>
        <v>0.15991379310344828</v>
      </c>
      <c r="BF550">
        <f t="shared" si="218"/>
        <v>53</v>
      </c>
      <c r="BG550">
        <f t="shared" si="228"/>
        <v>20</v>
      </c>
      <c r="BH550" s="1">
        <f t="shared" si="219"/>
        <v>0.96226415094339623</v>
      </c>
      <c r="BI550" s="1">
        <f t="shared" si="220"/>
        <v>0.37735849056603776</v>
      </c>
      <c r="BJ550" s="1">
        <f t="shared" si="221"/>
        <v>0.60828301886792446</v>
      </c>
      <c r="BK550" s="1">
        <f t="shared" si="222"/>
        <v>0.57905660377358492</v>
      </c>
      <c r="BL550" s="1">
        <f t="shared" si="223"/>
        <v>0.37735849056603776</v>
      </c>
      <c r="BM550" s="1">
        <f t="shared" si="224"/>
        <v>0.37735849056603776</v>
      </c>
      <c r="BN550" s="1">
        <f t="shared" si="227"/>
        <v>5.2767888928444261E-3</v>
      </c>
      <c r="BO550" s="1">
        <f t="shared" si="225"/>
        <v>1.7942912413440124E-3</v>
      </c>
    </row>
    <row r="551" spans="1:67" x14ac:dyDescent="0.25">
      <c r="A551" s="3"/>
      <c r="B551" s="3"/>
      <c r="C551" t="s">
        <v>306</v>
      </c>
      <c r="D551" s="5">
        <v>1</v>
      </c>
      <c r="E551" s="9">
        <f t="shared" si="204"/>
        <v>40</v>
      </c>
      <c r="F551" s="9">
        <f t="shared" si="205"/>
        <v>0.5</v>
      </c>
      <c r="G551">
        <v>0</v>
      </c>
      <c r="H551">
        <v>30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30</v>
      </c>
      <c r="R551">
        <v>0</v>
      </c>
      <c r="S551">
        <v>0</v>
      </c>
      <c r="T551">
        <v>0</v>
      </c>
      <c r="U551">
        <v>0</v>
      </c>
      <c r="V551">
        <v>40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55</v>
      </c>
      <c r="AK551" t="s">
        <v>1</v>
      </c>
      <c r="AL551" t="s">
        <v>372</v>
      </c>
      <c r="AN551" t="s">
        <v>373</v>
      </c>
      <c r="AO551" t="s">
        <v>378</v>
      </c>
      <c r="AQ551" s="1">
        <f t="shared" si="226"/>
        <v>100</v>
      </c>
      <c r="AR551" s="1">
        <f t="shared" si="206"/>
        <v>0</v>
      </c>
      <c r="AS551" s="1">
        <f t="shared" si="207"/>
        <v>0</v>
      </c>
      <c r="AT551" s="1">
        <f t="shared" si="208"/>
        <v>0.3</v>
      </c>
      <c r="AU551" s="1">
        <f t="shared" si="209"/>
        <v>0.3</v>
      </c>
      <c r="AV551" s="1">
        <f t="shared" si="210"/>
        <v>0.55000000000000004</v>
      </c>
      <c r="AX551" s="1">
        <f t="shared" si="211"/>
        <v>1</v>
      </c>
      <c r="AY551" s="1">
        <f t="shared" si="212"/>
        <v>0</v>
      </c>
      <c r="AZ551" s="1">
        <f t="shared" si="213"/>
        <v>0.5625</v>
      </c>
      <c r="BA551" s="1">
        <f t="shared" si="214"/>
        <v>0.75</v>
      </c>
      <c r="BB551" s="1">
        <f t="shared" si="215"/>
        <v>0</v>
      </c>
      <c r="BC551" s="1">
        <f t="shared" si="216"/>
        <v>0</v>
      </c>
      <c r="BD551" s="1">
        <f t="shared" si="217"/>
        <v>0.55000000000000004</v>
      </c>
      <c r="BF551">
        <f t="shared" si="218"/>
        <v>30</v>
      </c>
      <c r="BG551">
        <f t="shared" si="228"/>
        <v>20</v>
      </c>
      <c r="BH551" s="1">
        <f t="shared" si="219"/>
        <v>1</v>
      </c>
      <c r="BI551" s="1">
        <f t="shared" si="220"/>
        <v>0.66666666666666663</v>
      </c>
      <c r="BJ551" s="1">
        <f t="shared" si="221"/>
        <v>0.60899999999999999</v>
      </c>
      <c r="BK551" s="1">
        <f t="shared" si="222"/>
        <v>0.59799999999999998</v>
      </c>
      <c r="BL551" s="1">
        <f t="shared" si="223"/>
        <v>0.59183333333333332</v>
      </c>
      <c r="BM551" s="1">
        <f t="shared" si="224"/>
        <v>0.59183333333333332</v>
      </c>
      <c r="BN551" s="1">
        <f t="shared" si="227"/>
        <v>1.7500277777777731E-3</v>
      </c>
      <c r="BO551" s="1">
        <f t="shared" si="225"/>
        <v>2.0266106256661608E-2</v>
      </c>
    </row>
    <row r="552" spans="1:67" x14ac:dyDescent="0.25">
      <c r="A552" s="3"/>
      <c r="B552" s="3"/>
      <c r="C552" t="s">
        <v>307</v>
      </c>
      <c r="D552" s="5">
        <v>1</v>
      </c>
      <c r="E552" s="9">
        <f t="shared" si="204"/>
        <v>28</v>
      </c>
      <c r="F552" s="9">
        <f t="shared" si="205"/>
        <v>0.33333333333333331</v>
      </c>
      <c r="G552">
        <v>0</v>
      </c>
      <c r="H552">
        <v>48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24</v>
      </c>
      <c r="R552">
        <v>0</v>
      </c>
      <c r="S552">
        <v>0</v>
      </c>
      <c r="T552">
        <v>0</v>
      </c>
      <c r="U552">
        <v>0</v>
      </c>
      <c r="V552">
        <v>28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52</v>
      </c>
      <c r="AK552" t="s">
        <v>1</v>
      </c>
      <c r="AL552" t="s">
        <v>372</v>
      </c>
      <c r="AQ552" s="1">
        <f t="shared" si="226"/>
        <v>100</v>
      </c>
      <c r="AR552" s="1">
        <f t="shared" si="206"/>
        <v>0</v>
      </c>
      <c r="AS552" s="1">
        <f t="shared" si="207"/>
        <v>0</v>
      </c>
      <c r="AT552" s="1">
        <f t="shared" si="208"/>
        <v>0.48</v>
      </c>
      <c r="AU552" s="1">
        <f t="shared" si="209"/>
        <v>0.24</v>
      </c>
      <c r="AV552" s="1">
        <f t="shared" si="210"/>
        <v>0.52</v>
      </c>
      <c r="AX552" s="1">
        <f t="shared" si="211"/>
        <v>0.5</v>
      </c>
      <c r="AY552" s="1">
        <f t="shared" si="212"/>
        <v>0</v>
      </c>
      <c r="AZ552" s="1">
        <f t="shared" si="213"/>
        <v>0.53125</v>
      </c>
      <c r="BA552" s="1">
        <f t="shared" si="214"/>
        <v>0.625</v>
      </c>
      <c r="BB552" s="1">
        <f t="shared" si="215"/>
        <v>0</v>
      </c>
      <c r="BC552" s="1">
        <f t="shared" si="216"/>
        <v>0</v>
      </c>
      <c r="BD552" s="1">
        <f t="shared" si="217"/>
        <v>0.52</v>
      </c>
      <c r="BF552">
        <f t="shared" si="218"/>
        <v>48</v>
      </c>
      <c r="BG552">
        <f t="shared" si="228"/>
        <v>14</v>
      </c>
      <c r="BH552" s="1">
        <f t="shared" si="219"/>
        <v>0.5</v>
      </c>
      <c r="BI552" s="1">
        <f t="shared" si="220"/>
        <v>0.29166666666666669</v>
      </c>
      <c r="BJ552" s="1">
        <f t="shared" si="221"/>
        <v>0.59949999999999992</v>
      </c>
      <c r="BK552" s="1">
        <f t="shared" si="222"/>
        <v>0.34699999999999998</v>
      </c>
      <c r="BL552" s="1">
        <f t="shared" si="223"/>
        <v>0.29166666666666669</v>
      </c>
      <c r="BM552" s="1">
        <f t="shared" si="224"/>
        <v>0.29166666666666669</v>
      </c>
      <c r="BN552" s="1">
        <f t="shared" si="227"/>
        <v>5.2136111111111112E-2</v>
      </c>
      <c r="BO552" s="1">
        <f t="shared" si="225"/>
        <v>1.2624561752066324E-2</v>
      </c>
    </row>
    <row r="553" spans="1:67" x14ac:dyDescent="0.25">
      <c r="A553" s="3"/>
      <c r="B553" s="3"/>
      <c r="C553" t="s">
        <v>308</v>
      </c>
      <c r="D553" s="5">
        <v>1</v>
      </c>
      <c r="E553" s="9">
        <f t="shared" si="204"/>
        <v>24</v>
      </c>
      <c r="F553" s="9">
        <f t="shared" si="205"/>
        <v>0.31578947368421051</v>
      </c>
      <c r="G553">
        <v>0</v>
      </c>
      <c r="H553">
        <v>52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24</v>
      </c>
      <c r="R553">
        <v>0</v>
      </c>
      <c r="S553">
        <v>0</v>
      </c>
      <c r="T553">
        <v>0</v>
      </c>
      <c r="U553">
        <v>0</v>
      </c>
      <c r="V553">
        <v>24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48</v>
      </c>
      <c r="AK553" t="s">
        <v>1</v>
      </c>
      <c r="AL553" t="s">
        <v>372</v>
      </c>
      <c r="AQ553" s="1">
        <f t="shared" si="226"/>
        <v>100</v>
      </c>
      <c r="AR553" s="1">
        <f t="shared" si="206"/>
        <v>0</v>
      </c>
      <c r="AS553" s="1">
        <f t="shared" si="207"/>
        <v>0</v>
      </c>
      <c r="AT553" s="1">
        <f t="shared" si="208"/>
        <v>0.52</v>
      </c>
      <c r="AU553" s="1">
        <f t="shared" si="209"/>
        <v>0.24</v>
      </c>
      <c r="AV553" s="1">
        <f t="shared" si="210"/>
        <v>0.48</v>
      </c>
      <c r="AX553" s="1">
        <f t="shared" si="211"/>
        <v>0.46153846153846151</v>
      </c>
      <c r="AY553" s="1">
        <f t="shared" si="212"/>
        <v>0</v>
      </c>
      <c r="AZ553" s="1">
        <f t="shared" si="213"/>
        <v>0.52884615384615385</v>
      </c>
      <c r="BA553" s="1">
        <f t="shared" si="214"/>
        <v>0.61538461538461542</v>
      </c>
      <c r="BB553" s="1">
        <f t="shared" si="215"/>
        <v>0</v>
      </c>
      <c r="BC553" s="1">
        <f t="shared" si="216"/>
        <v>0</v>
      </c>
      <c r="BD553" s="1">
        <f t="shared" si="217"/>
        <v>0.48</v>
      </c>
      <c r="BF553">
        <f t="shared" si="218"/>
        <v>52</v>
      </c>
      <c r="BG553">
        <f t="shared" si="228"/>
        <v>12</v>
      </c>
      <c r="BH553" s="1">
        <f t="shared" si="219"/>
        <v>0.46153846153846156</v>
      </c>
      <c r="BI553" s="1">
        <f t="shared" si="220"/>
        <v>0.23076923076923078</v>
      </c>
      <c r="BJ553" s="1">
        <f t="shared" si="221"/>
        <v>0.59876923076923072</v>
      </c>
      <c r="BK553" s="1">
        <f t="shared" si="222"/>
        <v>0.32769230769230773</v>
      </c>
      <c r="BL553" s="1">
        <f t="shared" si="223"/>
        <v>0.23076923076923078</v>
      </c>
      <c r="BM553" s="1">
        <f t="shared" si="224"/>
        <v>0.23076923076923078</v>
      </c>
      <c r="BN553" s="1">
        <f t="shared" si="227"/>
        <v>6.2115976331360928E-2</v>
      </c>
      <c r="BO553" s="1">
        <f t="shared" si="225"/>
        <v>5.2358357459392837E-3</v>
      </c>
    </row>
    <row r="554" spans="1:67" x14ac:dyDescent="0.25">
      <c r="A554" s="3"/>
      <c r="B554" s="3"/>
      <c r="D554" s="5">
        <v>1</v>
      </c>
      <c r="E554" s="9">
        <f t="shared" si="204"/>
        <v>16</v>
      </c>
      <c r="F554" s="9">
        <f t="shared" si="205"/>
        <v>0.88095238095238093</v>
      </c>
      <c r="G554">
        <v>0</v>
      </c>
      <c r="H554">
        <v>10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16</v>
      </c>
      <c r="P554">
        <v>0</v>
      </c>
      <c r="Q554">
        <v>74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88.8</v>
      </c>
      <c r="AK554" t="s">
        <v>1</v>
      </c>
      <c r="AL554" t="s">
        <v>374</v>
      </c>
      <c r="AO554" t="s">
        <v>399</v>
      </c>
      <c r="AP554" t="s">
        <v>818</v>
      </c>
      <c r="AQ554" s="1">
        <f t="shared" si="226"/>
        <v>100</v>
      </c>
      <c r="AR554" s="1">
        <f t="shared" si="206"/>
        <v>0.16</v>
      </c>
      <c r="AS554" s="1">
        <f t="shared" si="207"/>
        <v>0</v>
      </c>
      <c r="AT554" s="1">
        <f t="shared" si="208"/>
        <v>0.1</v>
      </c>
      <c r="AU554" s="1">
        <f t="shared" si="209"/>
        <v>0.74</v>
      </c>
      <c r="AV554" s="1">
        <f t="shared" si="210"/>
        <v>0.88800000000000001</v>
      </c>
      <c r="AX554" s="1">
        <f t="shared" si="211"/>
        <v>7.3999999999999995</v>
      </c>
      <c r="AY554" s="1">
        <f t="shared" si="212"/>
        <v>1.5999999999999999</v>
      </c>
      <c r="AZ554" s="1">
        <f t="shared" si="213"/>
        <v>0.96249999999999991</v>
      </c>
      <c r="BA554" s="1">
        <f t="shared" si="214"/>
        <v>2.3499999999999996</v>
      </c>
      <c r="BB554" s="1">
        <f t="shared" si="215"/>
        <v>0.96249999999999991</v>
      </c>
      <c r="BC554" s="1">
        <f t="shared" si="216"/>
        <v>0.96249999999999991</v>
      </c>
      <c r="BD554" s="1">
        <f t="shared" si="217"/>
        <v>7.44999999999999E-2</v>
      </c>
      <c r="BF554">
        <f t="shared" si="218"/>
        <v>10</v>
      </c>
      <c r="BG554">
        <f t="shared" si="228"/>
        <v>16</v>
      </c>
      <c r="BH554" s="1">
        <f t="shared" si="219"/>
        <v>7.4</v>
      </c>
      <c r="BI554" s="1">
        <f t="shared" si="220"/>
        <v>1.6</v>
      </c>
      <c r="BJ554" s="1">
        <f t="shared" si="221"/>
        <v>0.73059999999999992</v>
      </c>
      <c r="BK554" s="1">
        <f t="shared" si="222"/>
        <v>3.8108000000000004</v>
      </c>
      <c r="BL554" s="1">
        <f t="shared" si="223"/>
        <v>0.73059999999999992</v>
      </c>
      <c r="BM554" s="1">
        <f t="shared" si="224"/>
        <v>0.73059999999999992</v>
      </c>
      <c r="BN554" s="1">
        <f t="shared" si="227"/>
        <v>2.4774760000000031E-2</v>
      </c>
      <c r="BO554" s="1">
        <f t="shared" si="225"/>
        <v>0.23074484100843504</v>
      </c>
    </row>
    <row r="555" spans="1:67" x14ac:dyDescent="0.25">
      <c r="A555" s="3"/>
      <c r="B555" s="3"/>
      <c r="C555" t="s">
        <v>309</v>
      </c>
      <c r="D555" s="5">
        <v>1</v>
      </c>
      <c r="E555" s="9">
        <f t="shared" si="204"/>
        <v>15</v>
      </c>
      <c r="F555" s="9">
        <f t="shared" si="205"/>
        <v>0.94117647058823528</v>
      </c>
      <c r="G555">
        <v>0</v>
      </c>
      <c r="H555">
        <v>5</v>
      </c>
      <c r="I555">
        <v>0</v>
      </c>
      <c r="J555">
        <v>0</v>
      </c>
      <c r="K555">
        <v>0</v>
      </c>
      <c r="L555">
        <v>15</v>
      </c>
      <c r="M555">
        <v>0</v>
      </c>
      <c r="N555">
        <v>0</v>
      </c>
      <c r="O555">
        <v>0</v>
      </c>
      <c r="P555">
        <v>0</v>
      </c>
      <c r="Q555">
        <v>80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100</v>
      </c>
      <c r="AK555" t="s">
        <v>1</v>
      </c>
      <c r="AL555" t="s">
        <v>374</v>
      </c>
      <c r="AO555" t="s">
        <v>378</v>
      </c>
      <c r="AQ555" s="1">
        <f t="shared" si="226"/>
        <v>100</v>
      </c>
      <c r="AR555" s="1">
        <f t="shared" si="206"/>
        <v>0.15</v>
      </c>
      <c r="AS555" s="1">
        <f t="shared" si="207"/>
        <v>0</v>
      </c>
      <c r="AT555" s="1">
        <f t="shared" si="208"/>
        <v>0.05</v>
      </c>
      <c r="AU555" s="1">
        <f t="shared" si="209"/>
        <v>0.8</v>
      </c>
      <c r="AV555" s="1">
        <f t="shared" si="210"/>
        <v>1</v>
      </c>
      <c r="AX555" s="1">
        <f t="shared" si="211"/>
        <v>16</v>
      </c>
      <c r="AY555" s="1">
        <f t="shared" si="212"/>
        <v>2.9999999999999996</v>
      </c>
      <c r="AZ555" s="1">
        <f t="shared" si="213"/>
        <v>1.5</v>
      </c>
      <c r="BA555" s="1">
        <f t="shared" si="214"/>
        <v>4.5</v>
      </c>
      <c r="BB555" s="1">
        <f t="shared" si="215"/>
        <v>1.5</v>
      </c>
      <c r="BC555" s="1">
        <f t="shared" si="216"/>
        <v>1</v>
      </c>
      <c r="BD555" s="1">
        <f t="shared" si="217"/>
        <v>0</v>
      </c>
      <c r="BF555">
        <f t="shared" si="218"/>
        <v>5</v>
      </c>
      <c r="BG555">
        <f t="shared" si="228"/>
        <v>15</v>
      </c>
      <c r="BH555" s="1">
        <f t="shared" si="219"/>
        <v>16</v>
      </c>
      <c r="BI555" s="1">
        <f t="shared" si="220"/>
        <v>3</v>
      </c>
      <c r="BJ555" s="1">
        <f t="shared" si="221"/>
        <v>0.89399999999999991</v>
      </c>
      <c r="BK555" s="1">
        <f t="shared" si="222"/>
        <v>8.1280000000000001</v>
      </c>
      <c r="BL555" s="1">
        <f t="shared" si="223"/>
        <v>0.89399999999999991</v>
      </c>
      <c r="BM555" s="1">
        <f t="shared" si="224"/>
        <v>0.89399999999999991</v>
      </c>
      <c r="BN555" s="1">
        <f t="shared" si="227"/>
        <v>1.123600000000002E-2</v>
      </c>
      <c r="BO555" s="1">
        <f t="shared" si="225"/>
        <v>0.35088927382559071</v>
      </c>
    </row>
    <row r="556" spans="1:67" x14ac:dyDescent="0.25">
      <c r="A556" s="3"/>
      <c r="B556" s="3"/>
      <c r="C556" t="s">
        <v>310</v>
      </c>
      <c r="D556" s="5">
        <v>1</v>
      </c>
      <c r="E556" s="9">
        <f t="shared" si="204"/>
        <v>14.87</v>
      </c>
      <c r="F556" s="9">
        <f t="shared" si="205"/>
        <v>0.9317193559760254</v>
      </c>
      <c r="G556">
        <v>0</v>
      </c>
      <c r="H556">
        <v>4.96</v>
      </c>
      <c r="I556">
        <v>0</v>
      </c>
      <c r="J556">
        <v>0</v>
      </c>
      <c r="K556">
        <v>0</v>
      </c>
      <c r="L556">
        <v>14.87</v>
      </c>
      <c r="M556">
        <v>0</v>
      </c>
      <c r="N556">
        <v>0</v>
      </c>
      <c r="O556">
        <v>0</v>
      </c>
      <c r="P556">
        <v>0.85</v>
      </c>
      <c r="Q556">
        <v>79.28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100</v>
      </c>
      <c r="AK556" t="s">
        <v>1</v>
      </c>
      <c r="AL556" t="s">
        <v>372</v>
      </c>
      <c r="AQ556" s="1">
        <f t="shared" si="226"/>
        <v>99.960000000000008</v>
      </c>
      <c r="AR556" s="1">
        <f t="shared" si="206"/>
        <v>0.1487</v>
      </c>
      <c r="AS556" s="1">
        <f t="shared" si="207"/>
        <v>0</v>
      </c>
      <c r="AT556" s="1">
        <f t="shared" si="208"/>
        <v>4.9599999999999998E-2</v>
      </c>
      <c r="AU556" s="1">
        <f t="shared" si="209"/>
        <v>0.79280000000000006</v>
      </c>
      <c r="AV556" s="1">
        <f t="shared" si="210"/>
        <v>1</v>
      </c>
      <c r="AX556" s="1">
        <f t="shared" si="211"/>
        <v>15.983870967741938</v>
      </c>
      <c r="AY556" s="1">
        <f t="shared" si="212"/>
        <v>2.997983870967742</v>
      </c>
      <c r="AZ556" s="1">
        <f t="shared" si="213"/>
        <v>1.498991935483871</v>
      </c>
      <c r="BA556" s="1">
        <f t="shared" si="214"/>
        <v>4.495967741935484</v>
      </c>
      <c r="BB556" s="1">
        <f t="shared" si="215"/>
        <v>1.498991935483871</v>
      </c>
      <c r="BC556" s="1">
        <f t="shared" si="216"/>
        <v>1</v>
      </c>
      <c r="BD556" s="1">
        <f t="shared" si="217"/>
        <v>0</v>
      </c>
      <c r="BF556">
        <f t="shared" si="218"/>
        <v>5.5549999999999997</v>
      </c>
      <c r="BG556">
        <f t="shared" si="228"/>
        <v>14.87</v>
      </c>
      <c r="BH556" s="1">
        <f t="shared" si="219"/>
        <v>14.271827182718273</v>
      </c>
      <c r="BI556" s="1">
        <f t="shared" si="220"/>
        <v>2.6768676867686767</v>
      </c>
      <c r="BJ556" s="1">
        <f t="shared" si="221"/>
        <v>0.86116471647164716</v>
      </c>
      <c r="BK556" s="1">
        <f t="shared" si="222"/>
        <v>7.2604572457245729</v>
      </c>
      <c r="BL556" s="1">
        <f t="shared" si="223"/>
        <v>0.86116471647164716</v>
      </c>
      <c r="BM556" s="1">
        <f t="shared" si="224"/>
        <v>0.86116471647164716</v>
      </c>
      <c r="BN556" s="1">
        <f t="shared" si="227"/>
        <v>1.927523595239812E-2</v>
      </c>
      <c r="BO556" s="1">
        <f t="shared" si="225"/>
        <v>0.35088927382559071</v>
      </c>
    </row>
    <row r="557" spans="1:67" x14ac:dyDescent="0.25">
      <c r="A557" s="3"/>
      <c r="B557" s="3"/>
      <c r="C557" t="s">
        <v>311</v>
      </c>
      <c r="D557" s="5">
        <v>1</v>
      </c>
      <c r="E557" s="9">
        <f t="shared" si="204"/>
        <v>14.75</v>
      </c>
      <c r="F557" s="9">
        <f t="shared" si="205"/>
        <v>0.92235514895613413</v>
      </c>
      <c r="G557">
        <v>0</v>
      </c>
      <c r="H557">
        <v>4.92</v>
      </c>
      <c r="I557">
        <v>0</v>
      </c>
      <c r="J557">
        <v>0</v>
      </c>
      <c r="K557">
        <v>0</v>
      </c>
      <c r="L557">
        <v>14.75</v>
      </c>
      <c r="M557">
        <v>0</v>
      </c>
      <c r="N557">
        <v>0</v>
      </c>
      <c r="O557">
        <v>0</v>
      </c>
      <c r="P557">
        <v>1.7</v>
      </c>
      <c r="Q557">
        <v>78.64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100</v>
      </c>
      <c r="AK557" t="s">
        <v>1</v>
      </c>
      <c r="AL557" t="s">
        <v>374</v>
      </c>
      <c r="AQ557" s="1">
        <f t="shared" si="226"/>
        <v>100.01</v>
      </c>
      <c r="AR557" s="1">
        <f t="shared" si="206"/>
        <v>0.14749999999999999</v>
      </c>
      <c r="AS557" s="1">
        <f t="shared" si="207"/>
        <v>0</v>
      </c>
      <c r="AT557" s="1">
        <f t="shared" si="208"/>
        <v>4.9200000000000001E-2</v>
      </c>
      <c r="AU557" s="1">
        <f t="shared" si="209"/>
        <v>0.78639999999999999</v>
      </c>
      <c r="AV557" s="1">
        <f t="shared" si="210"/>
        <v>1</v>
      </c>
      <c r="AX557" s="1">
        <f t="shared" si="211"/>
        <v>15.983739837398373</v>
      </c>
      <c r="AY557" s="1">
        <f t="shared" si="212"/>
        <v>2.9979674796747964</v>
      </c>
      <c r="AZ557" s="1">
        <f t="shared" si="213"/>
        <v>1.4989837398373984</v>
      </c>
      <c r="BA557" s="1">
        <f t="shared" si="214"/>
        <v>4.4959349593495936</v>
      </c>
      <c r="BB557" s="1">
        <f t="shared" si="215"/>
        <v>1.4989837398373984</v>
      </c>
      <c r="BC557" s="1">
        <f t="shared" si="216"/>
        <v>1</v>
      </c>
      <c r="BD557" s="1">
        <f t="shared" si="217"/>
        <v>0</v>
      </c>
      <c r="BF557">
        <f t="shared" si="218"/>
        <v>6.1099999999999994</v>
      </c>
      <c r="BG557">
        <f t="shared" si="228"/>
        <v>14.75</v>
      </c>
      <c r="BH557" s="1">
        <f t="shared" si="219"/>
        <v>12.870703764320787</v>
      </c>
      <c r="BI557" s="1">
        <f t="shared" si="220"/>
        <v>2.414075286415712</v>
      </c>
      <c r="BJ557" s="1">
        <f t="shared" si="221"/>
        <v>0.8345433715220949</v>
      </c>
      <c r="BK557" s="1">
        <f t="shared" si="222"/>
        <v>6.5570932896890355</v>
      </c>
      <c r="BL557" s="1">
        <f t="shared" si="223"/>
        <v>0.8345433715220949</v>
      </c>
      <c r="BM557" s="1">
        <f t="shared" si="224"/>
        <v>0.8345433715220949</v>
      </c>
      <c r="BN557" s="1">
        <f t="shared" si="227"/>
        <v>2.7375895907275516E-2</v>
      </c>
      <c r="BO557" s="1">
        <f t="shared" si="225"/>
        <v>0.35088927382559071</v>
      </c>
    </row>
    <row r="558" spans="1:67" x14ac:dyDescent="0.25">
      <c r="A558" s="3"/>
      <c r="B558" s="3"/>
      <c r="C558" t="s">
        <v>312</v>
      </c>
      <c r="D558" s="5">
        <v>1</v>
      </c>
      <c r="E558" s="9">
        <f t="shared" si="204"/>
        <v>10</v>
      </c>
      <c r="F558" s="9">
        <f t="shared" si="205"/>
        <v>0.88888888888888884</v>
      </c>
      <c r="G558">
        <v>0</v>
      </c>
      <c r="H558">
        <v>10</v>
      </c>
      <c r="I558">
        <v>0</v>
      </c>
      <c r="J558">
        <v>0</v>
      </c>
      <c r="K558">
        <v>0</v>
      </c>
      <c r="L558">
        <v>10</v>
      </c>
      <c r="M558">
        <v>0</v>
      </c>
      <c r="N558">
        <v>0</v>
      </c>
      <c r="O558">
        <v>0</v>
      </c>
      <c r="P558">
        <v>0</v>
      </c>
      <c r="Q558">
        <v>80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91</v>
      </c>
      <c r="AK558" t="s">
        <v>1</v>
      </c>
      <c r="AL558" t="s">
        <v>374</v>
      </c>
      <c r="AQ558" s="1">
        <f t="shared" si="226"/>
        <v>100</v>
      </c>
      <c r="AR558" s="1">
        <f t="shared" si="206"/>
        <v>0.1</v>
      </c>
      <c r="AS558" s="1">
        <f t="shared" si="207"/>
        <v>0</v>
      </c>
      <c r="AT558" s="1">
        <f t="shared" si="208"/>
        <v>0.1</v>
      </c>
      <c r="AU558" s="1">
        <f t="shared" si="209"/>
        <v>0.8</v>
      </c>
      <c r="AV558" s="1">
        <f t="shared" si="210"/>
        <v>0.91</v>
      </c>
      <c r="AX558" s="1">
        <f t="shared" si="211"/>
        <v>8</v>
      </c>
      <c r="AY558" s="1">
        <f t="shared" si="212"/>
        <v>1</v>
      </c>
      <c r="AZ558" s="1">
        <f t="shared" si="213"/>
        <v>1</v>
      </c>
      <c r="BA558" s="1">
        <f t="shared" si="214"/>
        <v>2.5</v>
      </c>
      <c r="BB558" s="1">
        <f t="shared" si="215"/>
        <v>1</v>
      </c>
      <c r="BC558" s="1">
        <f t="shared" si="216"/>
        <v>1</v>
      </c>
      <c r="BD558" s="1">
        <f t="shared" si="217"/>
        <v>8.9999999999999969E-2</v>
      </c>
      <c r="BF558">
        <f t="shared" si="218"/>
        <v>10</v>
      </c>
      <c r="BG558">
        <f t="shared" si="228"/>
        <v>10</v>
      </c>
      <c r="BH558" s="1">
        <f t="shared" si="219"/>
        <v>8</v>
      </c>
      <c r="BI558" s="1">
        <f t="shared" si="220"/>
        <v>1</v>
      </c>
      <c r="BJ558" s="1">
        <f t="shared" si="221"/>
        <v>0.74199999999999999</v>
      </c>
      <c r="BK558" s="1">
        <f t="shared" si="222"/>
        <v>4.1120000000000001</v>
      </c>
      <c r="BL558" s="1">
        <f t="shared" si="223"/>
        <v>0.74199999999999999</v>
      </c>
      <c r="BM558" s="1">
        <f t="shared" si="224"/>
        <v>0.74199999999999999</v>
      </c>
      <c r="BN558" s="1">
        <f t="shared" si="227"/>
        <v>2.8224000000000013E-2</v>
      </c>
      <c r="BO558" s="1">
        <f t="shared" si="225"/>
        <v>0.25236464031180494</v>
      </c>
    </row>
    <row r="559" spans="1:67" x14ac:dyDescent="0.25">
      <c r="A559" s="3"/>
      <c r="B559" s="3"/>
      <c r="C559" t="s">
        <v>313</v>
      </c>
      <c r="D559" s="5">
        <v>1</v>
      </c>
      <c r="E559" s="9">
        <f t="shared" si="204"/>
        <v>9.83</v>
      </c>
      <c r="F559" s="9">
        <f t="shared" si="205"/>
        <v>0.87213042031717869</v>
      </c>
      <c r="G559">
        <v>0</v>
      </c>
      <c r="H559">
        <v>9.83</v>
      </c>
      <c r="I559">
        <v>0</v>
      </c>
      <c r="J559">
        <v>0</v>
      </c>
      <c r="K559">
        <v>0</v>
      </c>
      <c r="L559">
        <v>9.83</v>
      </c>
      <c r="M559">
        <v>0</v>
      </c>
      <c r="N559">
        <v>0</v>
      </c>
      <c r="O559">
        <v>0</v>
      </c>
      <c r="P559">
        <v>1.7</v>
      </c>
      <c r="Q559">
        <v>78.64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83</v>
      </c>
      <c r="AK559" t="s">
        <v>1</v>
      </c>
      <c r="AL559" t="s">
        <v>374</v>
      </c>
      <c r="AQ559" s="1">
        <f t="shared" si="226"/>
        <v>100</v>
      </c>
      <c r="AR559" s="1">
        <f t="shared" si="206"/>
        <v>9.8299999999999998E-2</v>
      </c>
      <c r="AS559" s="1">
        <f t="shared" si="207"/>
        <v>0</v>
      </c>
      <c r="AT559" s="1">
        <f t="shared" si="208"/>
        <v>9.8299999999999998E-2</v>
      </c>
      <c r="AU559" s="1">
        <f t="shared" si="209"/>
        <v>0.78639999999999999</v>
      </c>
      <c r="AV559" s="1">
        <f t="shared" si="210"/>
        <v>0.83</v>
      </c>
      <c r="AX559" s="1">
        <f t="shared" si="211"/>
        <v>8</v>
      </c>
      <c r="AY559" s="1">
        <f t="shared" si="212"/>
        <v>1</v>
      </c>
      <c r="AZ559" s="1">
        <f t="shared" si="213"/>
        <v>1</v>
      </c>
      <c r="BA559" s="1">
        <f t="shared" si="214"/>
        <v>2.5</v>
      </c>
      <c r="BB559" s="1">
        <f t="shared" si="215"/>
        <v>1</v>
      </c>
      <c r="BC559" s="1">
        <f t="shared" si="216"/>
        <v>1</v>
      </c>
      <c r="BD559" s="1">
        <f t="shared" si="217"/>
        <v>0.17000000000000004</v>
      </c>
      <c r="BF559">
        <f t="shared" si="218"/>
        <v>11.02</v>
      </c>
      <c r="BG559">
        <f t="shared" si="228"/>
        <v>9.83</v>
      </c>
      <c r="BH559" s="1">
        <f t="shared" si="219"/>
        <v>7.1361161524500911</v>
      </c>
      <c r="BI559" s="1">
        <f t="shared" si="220"/>
        <v>0.89201451905626139</v>
      </c>
      <c r="BJ559" s="1">
        <f t="shared" si="221"/>
        <v>0.72558620689655173</v>
      </c>
      <c r="BK559" s="1">
        <f t="shared" si="222"/>
        <v>3.6783303085299459</v>
      </c>
      <c r="BL559" s="1">
        <f t="shared" si="223"/>
        <v>0.72558620689655173</v>
      </c>
      <c r="BM559" s="1">
        <f t="shared" si="224"/>
        <v>0.72558620689655173</v>
      </c>
      <c r="BN559" s="1">
        <f t="shared" si="227"/>
        <v>1.0902240190249693E-2</v>
      </c>
      <c r="BO559" s="1">
        <f t="shared" si="225"/>
        <v>0.1783871882995508</v>
      </c>
    </row>
    <row r="560" spans="1:67" x14ac:dyDescent="0.25">
      <c r="A560" s="3"/>
      <c r="B560" s="3"/>
      <c r="C560" t="s">
        <v>314</v>
      </c>
      <c r="D560" s="5">
        <v>1</v>
      </c>
      <c r="E560" s="9">
        <f t="shared" si="204"/>
        <v>9.6999999999999993</v>
      </c>
      <c r="F560" s="9">
        <f t="shared" si="205"/>
        <v>0.8593576965669989</v>
      </c>
      <c r="G560">
        <v>0</v>
      </c>
      <c r="H560">
        <v>9.6999999999999993</v>
      </c>
      <c r="I560">
        <v>0</v>
      </c>
      <c r="J560">
        <v>0</v>
      </c>
      <c r="K560">
        <v>0</v>
      </c>
      <c r="L560">
        <v>9.6999999999999993</v>
      </c>
      <c r="M560">
        <v>0</v>
      </c>
      <c r="N560">
        <v>0</v>
      </c>
      <c r="O560">
        <v>0</v>
      </c>
      <c r="P560">
        <v>3</v>
      </c>
      <c r="Q560">
        <v>77.599999999999994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76</v>
      </c>
      <c r="AK560" t="s">
        <v>1</v>
      </c>
      <c r="AL560" t="s">
        <v>372</v>
      </c>
      <c r="AQ560" s="1">
        <f t="shared" si="226"/>
        <v>100</v>
      </c>
      <c r="AR560" s="1">
        <f t="shared" si="206"/>
        <v>9.6999999999999989E-2</v>
      </c>
      <c r="AS560" s="1">
        <f t="shared" si="207"/>
        <v>0</v>
      </c>
      <c r="AT560" s="1">
        <f t="shared" si="208"/>
        <v>9.6999999999999989E-2</v>
      </c>
      <c r="AU560" s="1">
        <f t="shared" si="209"/>
        <v>0.77599999999999991</v>
      </c>
      <c r="AV560" s="1">
        <f t="shared" si="210"/>
        <v>0.76</v>
      </c>
      <c r="AX560" s="1">
        <f t="shared" si="211"/>
        <v>8</v>
      </c>
      <c r="AY560" s="1">
        <f t="shared" si="212"/>
        <v>1</v>
      </c>
      <c r="AZ560" s="1">
        <f t="shared" si="213"/>
        <v>1</v>
      </c>
      <c r="BA560" s="1">
        <f t="shared" si="214"/>
        <v>2.5</v>
      </c>
      <c r="BB560" s="1">
        <f t="shared" si="215"/>
        <v>1</v>
      </c>
      <c r="BC560" s="1">
        <f t="shared" si="216"/>
        <v>1</v>
      </c>
      <c r="BD560" s="1">
        <f t="shared" si="217"/>
        <v>0.24</v>
      </c>
      <c r="BF560">
        <f t="shared" si="218"/>
        <v>11.799999999999999</v>
      </c>
      <c r="BG560">
        <f t="shared" si="228"/>
        <v>9.6999999999999993</v>
      </c>
      <c r="BH560" s="1">
        <f t="shared" si="219"/>
        <v>6.5762711864406782</v>
      </c>
      <c r="BI560" s="1">
        <f t="shared" si="220"/>
        <v>0.82203389830508478</v>
      </c>
      <c r="BJ560" s="1">
        <f t="shared" si="221"/>
        <v>0.71494915254237279</v>
      </c>
      <c r="BK560" s="1">
        <f t="shared" si="222"/>
        <v>3.3972881355932207</v>
      </c>
      <c r="BL560" s="1">
        <f t="shared" si="223"/>
        <v>0.71494915254237279</v>
      </c>
      <c r="BM560" s="1">
        <f t="shared" si="224"/>
        <v>0.71494915254237279</v>
      </c>
      <c r="BN560" s="1">
        <f t="shared" si="227"/>
        <v>2.0295788566503967E-3</v>
      </c>
      <c r="BO560" s="1">
        <f t="shared" si="225"/>
        <v>0.12415691778882852</v>
      </c>
    </row>
    <row r="561" spans="1:67" x14ac:dyDescent="0.25">
      <c r="A561" s="3"/>
      <c r="B561" s="3"/>
      <c r="C561" t="s">
        <v>315</v>
      </c>
      <c r="D561" s="5">
        <v>1</v>
      </c>
      <c r="E561" s="9">
        <f t="shared" si="204"/>
        <v>7</v>
      </c>
      <c r="F561" s="9">
        <f t="shared" si="205"/>
        <v>0.86021505376344087</v>
      </c>
      <c r="G561">
        <v>0</v>
      </c>
      <c r="H561">
        <v>13</v>
      </c>
      <c r="I561">
        <v>0</v>
      </c>
      <c r="J561">
        <v>0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80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57</v>
      </c>
      <c r="AK561" t="s">
        <v>1</v>
      </c>
      <c r="AL561" t="s">
        <v>374</v>
      </c>
      <c r="AQ561" s="1">
        <f t="shared" si="226"/>
        <v>100</v>
      </c>
      <c r="AR561" s="1">
        <f t="shared" si="206"/>
        <v>7.0000000000000007E-2</v>
      </c>
      <c r="AS561" s="1">
        <f t="shared" si="207"/>
        <v>0</v>
      </c>
      <c r="AT561" s="1">
        <f t="shared" si="208"/>
        <v>0.13</v>
      </c>
      <c r="AU561" s="1">
        <f t="shared" si="209"/>
        <v>0.8</v>
      </c>
      <c r="AV561" s="1">
        <f t="shared" si="210"/>
        <v>0.56999999999999995</v>
      </c>
      <c r="AX561" s="1">
        <f t="shared" si="211"/>
        <v>6.1538461538461542</v>
      </c>
      <c r="AY561" s="1">
        <f t="shared" si="212"/>
        <v>0.53846153846153855</v>
      </c>
      <c r="AZ561" s="1">
        <f t="shared" si="213"/>
        <v>0.88461538461538458</v>
      </c>
      <c r="BA561" s="1">
        <f t="shared" si="214"/>
        <v>2.0384615384615383</v>
      </c>
      <c r="BB561" s="1">
        <f t="shared" si="215"/>
        <v>0.53846153846153855</v>
      </c>
      <c r="BC561" s="1">
        <f t="shared" si="216"/>
        <v>0.53846153846153855</v>
      </c>
      <c r="BD561" s="1">
        <f t="shared" si="217"/>
        <v>3.1538461538461404E-2</v>
      </c>
      <c r="BF561">
        <f t="shared" si="218"/>
        <v>13</v>
      </c>
      <c r="BG561">
        <f t="shared" si="228"/>
        <v>7</v>
      </c>
      <c r="BH561" s="1">
        <f t="shared" si="219"/>
        <v>6.1538461538461542</v>
      </c>
      <c r="BI561" s="1">
        <f t="shared" si="220"/>
        <v>0.53846153846153844</v>
      </c>
      <c r="BJ561" s="1">
        <f t="shared" si="221"/>
        <v>0.70692307692307688</v>
      </c>
      <c r="BK561" s="1">
        <f t="shared" si="222"/>
        <v>3.1852307692307695</v>
      </c>
      <c r="BL561" s="1">
        <f t="shared" si="223"/>
        <v>0.53846153846153844</v>
      </c>
      <c r="BM561" s="1">
        <f t="shared" si="224"/>
        <v>0.53846153846153844</v>
      </c>
      <c r="BN561" s="1">
        <f t="shared" si="227"/>
        <v>9.9467455621301626E-4</v>
      </c>
      <c r="BO561" s="1">
        <f t="shared" si="225"/>
        <v>2.6360469259725097E-2</v>
      </c>
    </row>
    <row r="562" spans="1:67" x14ac:dyDescent="0.25">
      <c r="A562" s="3"/>
      <c r="B562" s="3"/>
      <c r="C562" t="s">
        <v>316</v>
      </c>
      <c r="D562" s="5">
        <v>1</v>
      </c>
      <c r="E562" s="9">
        <f t="shared" ref="E562:E570" si="229">I562+L562+M562+N562+O562+V562+X562+AB562+AD562</f>
        <v>6.88</v>
      </c>
      <c r="F562" s="9">
        <f t="shared" ref="F562:F570" si="230">Q562/(H562+P562+Q562+AC562)</f>
        <v>0.84450171821305842</v>
      </c>
      <c r="G562">
        <v>0</v>
      </c>
      <c r="H562">
        <v>12.78</v>
      </c>
      <c r="I562">
        <v>0</v>
      </c>
      <c r="J562">
        <v>0</v>
      </c>
      <c r="K562">
        <v>0</v>
      </c>
      <c r="L562">
        <v>6.88</v>
      </c>
      <c r="M562">
        <v>0</v>
      </c>
      <c r="N562">
        <v>0</v>
      </c>
      <c r="O562">
        <v>0</v>
      </c>
      <c r="P562">
        <v>1.7</v>
      </c>
      <c r="Q562">
        <v>78.64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52</v>
      </c>
      <c r="AK562" t="s">
        <v>1</v>
      </c>
      <c r="AL562" t="s">
        <v>374</v>
      </c>
      <c r="AQ562" s="1">
        <f t="shared" si="226"/>
        <v>100</v>
      </c>
      <c r="AR562" s="1">
        <f t="shared" si="206"/>
        <v>6.88E-2</v>
      </c>
      <c r="AS562" s="1">
        <f t="shared" si="207"/>
        <v>0</v>
      </c>
      <c r="AT562" s="1">
        <f t="shared" si="208"/>
        <v>0.1278</v>
      </c>
      <c r="AU562" s="1">
        <f t="shared" si="209"/>
        <v>0.78639999999999999</v>
      </c>
      <c r="AV562" s="1">
        <f t="shared" si="210"/>
        <v>0.52</v>
      </c>
      <c r="AX562" s="1">
        <f t="shared" si="211"/>
        <v>6.1533646322378717</v>
      </c>
      <c r="AY562" s="1">
        <f t="shared" si="212"/>
        <v>0.53834115805946792</v>
      </c>
      <c r="AZ562" s="1">
        <f t="shared" si="213"/>
        <v>0.88458528951486692</v>
      </c>
      <c r="BA562" s="1">
        <f t="shared" si="214"/>
        <v>2.0383411580594677</v>
      </c>
      <c r="BB562" s="1">
        <f t="shared" si="215"/>
        <v>0.53834115805946792</v>
      </c>
      <c r="BC562" s="1">
        <f t="shared" si="216"/>
        <v>0.53834115805946792</v>
      </c>
      <c r="BD562" s="1">
        <f t="shared" si="217"/>
        <v>1.8341158059467899E-2</v>
      </c>
      <c r="BF562">
        <f t="shared" si="218"/>
        <v>13.969999999999999</v>
      </c>
      <c r="BG562">
        <f t="shared" si="228"/>
        <v>6.88</v>
      </c>
      <c r="BH562" s="1">
        <f t="shared" si="219"/>
        <v>5.6292054402290628</v>
      </c>
      <c r="BI562" s="1">
        <f t="shared" si="220"/>
        <v>0.49248389405869725</v>
      </c>
      <c r="BJ562" s="1">
        <f t="shared" si="221"/>
        <v>0.69695490336435217</v>
      </c>
      <c r="BK562" s="1">
        <f t="shared" si="222"/>
        <v>2.9218611309949898</v>
      </c>
      <c r="BL562" s="1">
        <f t="shared" si="223"/>
        <v>0.49248389405869725</v>
      </c>
      <c r="BM562" s="1">
        <f t="shared" si="224"/>
        <v>0.49248389405869725</v>
      </c>
      <c r="BN562" s="1">
        <f t="shared" si="227"/>
        <v>7.5713608617299761E-4</v>
      </c>
      <c r="BO562" s="1">
        <f t="shared" si="225"/>
        <v>1.2624561752066324E-2</v>
      </c>
    </row>
    <row r="563" spans="1:67" x14ac:dyDescent="0.25">
      <c r="A563" s="3"/>
      <c r="B563" s="3"/>
      <c r="C563" t="s">
        <v>317</v>
      </c>
      <c r="D563" s="5">
        <v>1</v>
      </c>
      <c r="E563" s="9">
        <f t="shared" si="229"/>
        <v>6.79</v>
      </c>
      <c r="F563" s="9">
        <f t="shared" si="230"/>
        <v>0.83252869863748524</v>
      </c>
      <c r="G563">
        <v>0</v>
      </c>
      <c r="H563">
        <v>12.61</v>
      </c>
      <c r="I563">
        <v>0</v>
      </c>
      <c r="J563">
        <v>0</v>
      </c>
      <c r="K563">
        <v>0</v>
      </c>
      <c r="L563">
        <v>6.79</v>
      </c>
      <c r="M563">
        <v>0</v>
      </c>
      <c r="N563">
        <v>0</v>
      </c>
      <c r="O563">
        <v>0</v>
      </c>
      <c r="P563">
        <v>3</v>
      </c>
      <c r="Q563">
        <v>77.599999999999994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28</v>
      </c>
      <c r="AK563" t="s">
        <v>1</v>
      </c>
      <c r="AL563" t="s">
        <v>372</v>
      </c>
      <c r="AQ563" s="1">
        <f t="shared" si="226"/>
        <v>100</v>
      </c>
      <c r="AR563" s="1">
        <f t="shared" si="206"/>
        <v>6.7900000000000002E-2</v>
      </c>
      <c r="AS563" s="1">
        <f t="shared" si="207"/>
        <v>0</v>
      </c>
      <c r="AT563" s="1">
        <f t="shared" si="208"/>
        <v>0.12609999999999999</v>
      </c>
      <c r="AU563" s="1">
        <f t="shared" si="209"/>
        <v>0.77599999999999991</v>
      </c>
      <c r="AV563" s="1">
        <f t="shared" si="210"/>
        <v>0.28000000000000003</v>
      </c>
      <c r="AX563" s="1">
        <f t="shared" si="211"/>
        <v>6.1538461538461533</v>
      </c>
      <c r="AY563" s="1">
        <f t="shared" si="212"/>
        <v>0.53846153846153855</v>
      </c>
      <c r="AZ563" s="1">
        <f t="shared" si="213"/>
        <v>0.88461538461538458</v>
      </c>
      <c r="BA563" s="1">
        <f t="shared" si="214"/>
        <v>2.0384615384615383</v>
      </c>
      <c r="BB563" s="1">
        <f t="shared" si="215"/>
        <v>0.53846153846153855</v>
      </c>
      <c r="BC563" s="1">
        <f t="shared" si="216"/>
        <v>0.53846153846153855</v>
      </c>
      <c r="BD563" s="1">
        <f t="shared" si="217"/>
        <v>0.25846153846153852</v>
      </c>
      <c r="BF563">
        <f t="shared" si="218"/>
        <v>14.709999999999999</v>
      </c>
      <c r="BG563">
        <f t="shared" si="228"/>
        <v>6.79</v>
      </c>
      <c r="BH563" s="1">
        <f t="shared" si="219"/>
        <v>5.2753229095853165</v>
      </c>
      <c r="BI563" s="1">
        <f t="shared" si="220"/>
        <v>0.46159075458871518</v>
      </c>
      <c r="BJ563" s="1">
        <f t="shared" si="221"/>
        <v>0.69023113528212099</v>
      </c>
      <c r="BK563" s="1">
        <f t="shared" si="222"/>
        <v>2.7442121006118287</v>
      </c>
      <c r="BL563" s="1">
        <f t="shared" si="223"/>
        <v>0.46159075458871518</v>
      </c>
      <c r="BM563" s="1">
        <f t="shared" si="224"/>
        <v>0.46159075458871518</v>
      </c>
      <c r="BN563" s="1">
        <f t="shared" si="227"/>
        <v>3.2975202152098974E-2</v>
      </c>
      <c r="BO563" s="1">
        <f t="shared" si="225"/>
        <v>1.6292205715304115E-2</v>
      </c>
    </row>
    <row r="564" spans="1:67" x14ac:dyDescent="0.25">
      <c r="A564" s="3"/>
      <c r="B564" s="3"/>
      <c r="C564" t="s">
        <v>597</v>
      </c>
      <c r="D564" s="5">
        <v>1</v>
      </c>
      <c r="E564" s="9">
        <f t="shared" si="229"/>
        <v>0</v>
      </c>
      <c r="F564" s="9">
        <f t="shared" si="230"/>
        <v>0</v>
      </c>
      <c r="G564">
        <v>0</v>
      </c>
      <c r="H564">
        <v>100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 t="s">
        <v>1</v>
      </c>
      <c r="AL564" t="s">
        <v>372</v>
      </c>
      <c r="AN564" t="s">
        <v>373</v>
      </c>
      <c r="AO564" t="s">
        <v>378</v>
      </c>
      <c r="AP564" t="s">
        <v>817</v>
      </c>
      <c r="AQ564" s="1">
        <f t="shared" si="226"/>
        <v>100</v>
      </c>
      <c r="AR564" s="1">
        <f t="shared" si="206"/>
        <v>0</v>
      </c>
      <c r="AS564" s="1">
        <f t="shared" si="207"/>
        <v>0</v>
      </c>
      <c r="AT564" s="1">
        <f t="shared" si="208"/>
        <v>1</v>
      </c>
      <c r="AU564" s="1">
        <f t="shared" si="209"/>
        <v>0</v>
      </c>
      <c r="AV564" s="1">
        <f t="shared" si="210"/>
        <v>0</v>
      </c>
      <c r="AX564" s="1">
        <f t="shared" si="211"/>
        <v>0</v>
      </c>
      <c r="AY564" s="1">
        <f t="shared" si="212"/>
        <v>0</v>
      </c>
      <c r="AZ564" s="1">
        <f t="shared" si="213"/>
        <v>0.5</v>
      </c>
      <c r="BA564" s="1">
        <f t="shared" si="214"/>
        <v>0.5</v>
      </c>
      <c r="BB564" s="1">
        <f t="shared" si="215"/>
        <v>0</v>
      </c>
      <c r="BC564" s="1">
        <f t="shared" si="216"/>
        <v>0</v>
      </c>
      <c r="BD564" s="1">
        <f t="shared" si="217"/>
        <v>0</v>
      </c>
      <c r="BF564">
        <f t="shared" si="218"/>
        <v>100</v>
      </c>
      <c r="BG564">
        <f t="shared" si="228"/>
        <v>0</v>
      </c>
      <c r="BH564" s="1">
        <f t="shared" si="219"/>
        <v>0</v>
      </c>
      <c r="BI564" s="1">
        <f t="shared" si="220"/>
        <v>0</v>
      </c>
      <c r="BJ564" s="1">
        <f t="shared" si="221"/>
        <v>0.59</v>
      </c>
      <c r="BK564" s="1">
        <f t="shared" si="222"/>
        <v>9.6000000000000002E-2</v>
      </c>
      <c r="BL564" s="1">
        <f t="shared" si="223"/>
        <v>0</v>
      </c>
      <c r="BM564" s="1">
        <f t="shared" si="224"/>
        <v>0</v>
      </c>
      <c r="BN564" s="1">
        <f t="shared" si="227"/>
        <v>0</v>
      </c>
      <c r="BO564" s="1">
        <f t="shared" si="225"/>
        <v>0.16617112367241488</v>
      </c>
    </row>
    <row r="565" spans="1:67" x14ac:dyDescent="0.25">
      <c r="A565" s="3"/>
      <c r="B565" s="3"/>
      <c r="C565" t="s">
        <v>598</v>
      </c>
      <c r="D565" s="5">
        <v>1</v>
      </c>
      <c r="E565" s="9">
        <f t="shared" si="229"/>
        <v>8</v>
      </c>
      <c r="F565" s="9">
        <f t="shared" si="230"/>
        <v>0</v>
      </c>
      <c r="G565">
        <v>0</v>
      </c>
      <c r="H565">
        <v>92</v>
      </c>
      <c r="I565">
        <v>0</v>
      </c>
      <c r="J565">
        <v>0</v>
      </c>
      <c r="K565">
        <v>0</v>
      </c>
      <c r="L565">
        <v>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4</v>
      </c>
      <c r="AK565" t="s">
        <v>1</v>
      </c>
      <c r="AL565" t="s">
        <v>372</v>
      </c>
      <c r="AQ565" s="1">
        <f t="shared" si="226"/>
        <v>100</v>
      </c>
      <c r="AR565" s="1">
        <f t="shared" si="206"/>
        <v>0.08</v>
      </c>
      <c r="AS565" s="1">
        <f t="shared" si="207"/>
        <v>0</v>
      </c>
      <c r="AT565" s="1">
        <f t="shared" si="208"/>
        <v>0.92</v>
      </c>
      <c r="AU565" s="1">
        <f t="shared" si="209"/>
        <v>0</v>
      </c>
      <c r="AV565" s="1">
        <f t="shared" si="210"/>
        <v>0.04</v>
      </c>
      <c r="AX565" s="1">
        <f t="shared" si="211"/>
        <v>0</v>
      </c>
      <c r="AY565" s="1">
        <f t="shared" si="212"/>
        <v>8.6956521739130432E-2</v>
      </c>
      <c r="AZ565" s="1">
        <f t="shared" si="213"/>
        <v>0.5</v>
      </c>
      <c r="BA565" s="1">
        <f t="shared" si="214"/>
        <v>0.5</v>
      </c>
      <c r="BB565" s="1">
        <f t="shared" si="215"/>
        <v>8.6956521739130432E-2</v>
      </c>
      <c r="BC565" s="1">
        <f t="shared" si="216"/>
        <v>8.6956521739130432E-2</v>
      </c>
      <c r="BD565" s="1">
        <f t="shared" si="217"/>
        <v>4.6956521739130432E-2</v>
      </c>
      <c r="BF565">
        <f t="shared" si="218"/>
        <v>92</v>
      </c>
      <c r="BG565">
        <f t="shared" si="228"/>
        <v>8</v>
      </c>
      <c r="BH565" s="1">
        <f t="shared" si="219"/>
        <v>0</v>
      </c>
      <c r="BI565" s="1">
        <f t="shared" si="220"/>
        <v>8.6956521739130432E-2</v>
      </c>
      <c r="BJ565" s="1">
        <f t="shared" si="221"/>
        <v>0.59</v>
      </c>
      <c r="BK565" s="1">
        <f t="shared" si="222"/>
        <v>9.6000000000000002E-2</v>
      </c>
      <c r="BL565" s="1">
        <f t="shared" si="223"/>
        <v>8.6956521739130432E-2</v>
      </c>
      <c r="BM565" s="1">
        <f t="shared" si="224"/>
        <v>8.6956521739130432E-2</v>
      </c>
      <c r="BN565" s="1">
        <f t="shared" si="227"/>
        <v>2.2049149338374289E-3</v>
      </c>
      <c r="BO565" s="1">
        <f t="shared" si="225"/>
        <v>0.13515984967854194</v>
      </c>
    </row>
    <row r="566" spans="1:67" x14ac:dyDescent="0.25">
      <c r="A566" s="3"/>
      <c r="B566" s="3"/>
      <c r="C566" t="s">
        <v>599</v>
      </c>
      <c r="D566" s="5">
        <v>1</v>
      </c>
      <c r="E566" s="9">
        <f t="shared" si="229"/>
        <v>13</v>
      </c>
      <c r="F566" s="9">
        <f t="shared" si="230"/>
        <v>0</v>
      </c>
      <c r="G566">
        <v>0</v>
      </c>
      <c r="H566">
        <v>87</v>
      </c>
      <c r="I566">
        <v>0</v>
      </c>
      <c r="J566">
        <v>0</v>
      </c>
      <c r="K566">
        <v>0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11</v>
      </c>
      <c r="AK566" t="s">
        <v>1</v>
      </c>
      <c r="AL566" t="s">
        <v>372</v>
      </c>
      <c r="AQ566" s="1">
        <f t="shared" si="226"/>
        <v>100</v>
      </c>
      <c r="AR566" s="1">
        <f t="shared" si="206"/>
        <v>0.13</v>
      </c>
      <c r="AS566" s="1">
        <f t="shared" si="207"/>
        <v>0</v>
      </c>
      <c r="AT566" s="1">
        <f t="shared" si="208"/>
        <v>0.87</v>
      </c>
      <c r="AU566" s="1">
        <f t="shared" si="209"/>
        <v>0</v>
      </c>
      <c r="AV566" s="1">
        <f t="shared" si="210"/>
        <v>0.11</v>
      </c>
      <c r="AX566" s="1">
        <f t="shared" si="211"/>
        <v>0</v>
      </c>
      <c r="AY566" s="1">
        <f t="shared" si="212"/>
        <v>0.14942528735632185</v>
      </c>
      <c r="AZ566" s="1">
        <f t="shared" si="213"/>
        <v>0.5</v>
      </c>
      <c r="BA566" s="1">
        <f t="shared" si="214"/>
        <v>0.5</v>
      </c>
      <c r="BB566" s="1">
        <f t="shared" si="215"/>
        <v>0.14942528735632185</v>
      </c>
      <c r="BC566" s="1">
        <f t="shared" si="216"/>
        <v>0.14942528735632185</v>
      </c>
      <c r="BD566" s="1">
        <f t="shared" si="217"/>
        <v>3.942528735632185E-2</v>
      </c>
      <c r="BF566">
        <f t="shared" si="218"/>
        <v>87</v>
      </c>
      <c r="BG566">
        <f t="shared" si="228"/>
        <v>13</v>
      </c>
      <c r="BH566" s="1">
        <f t="shared" si="219"/>
        <v>0</v>
      </c>
      <c r="BI566" s="1">
        <f t="shared" si="220"/>
        <v>0.14942528735632185</v>
      </c>
      <c r="BJ566" s="1">
        <f t="shared" si="221"/>
        <v>0.59</v>
      </c>
      <c r="BK566" s="1">
        <f t="shared" si="222"/>
        <v>9.6000000000000002E-2</v>
      </c>
      <c r="BL566" s="1">
        <f t="shared" si="223"/>
        <v>0.14942528735632185</v>
      </c>
      <c r="BM566" s="1">
        <f t="shared" si="224"/>
        <v>0.14942528735632185</v>
      </c>
      <c r="BN566" s="1">
        <f t="shared" si="227"/>
        <v>1.5543532831285515E-3</v>
      </c>
      <c r="BO566" s="1">
        <f t="shared" si="225"/>
        <v>8.8590120189264238E-2</v>
      </c>
    </row>
    <row r="567" spans="1:67" x14ac:dyDescent="0.25">
      <c r="A567" s="3"/>
      <c r="B567" s="3"/>
      <c r="C567" t="s">
        <v>600</v>
      </c>
      <c r="D567" s="5">
        <v>1</v>
      </c>
      <c r="E567" s="9">
        <f t="shared" si="229"/>
        <v>18</v>
      </c>
      <c r="F567" s="9">
        <f t="shared" si="230"/>
        <v>0</v>
      </c>
      <c r="G567">
        <v>0</v>
      </c>
      <c r="H567">
        <v>82</v>
      </c>
      <c r="I567">
        <v>0</v>
      </c>
      <c r="J567">
        <v>0</v>
      </c>
      <c r="K567">
        <v>0</v>
      </c>
      <c r="L567">
        <v>18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15</v>
      </c>
      <c r="AK567" t="s">
        <v>1</v>
      </c>
      <c r="AL567" t="s">
        <v>372</v>
      </c>
      <c r="AQ567" s="1">
        <f t="shared" si="226"/>
        <v>100</v>
      </c>
      <c r="AR567" s="1">
        <f t="shared" si="206"/>
        <v>0.18</v>
      </c>
      <c r="AS567" s="1">
        <f t="shared" si="207"/>
        <v>0</v>
      </c>
      <c r="AT567" s="1">
        <f t="shared" si="208"/>
        <v>0.82</v>
      </c>
      <c r="AU567" s="1">
        <f t="shared" si="209"/>
        <v>0</v>
      </c>
      <c r="AV567" s="1">
        <f t="shared" si="210"/>
        <v>0.15</v>
      </c>
      <c r="AX567" s="1">
        <f t="shared" si="211"/>
        <v>0</v>
      </c>
      <c r="AY567" s="1">
        <f t="shared" si="212"/>
        <v>0.21951219512195122</v>
      </c>
      <c r="AZ567" s="1">
        <f t="shared" si="213"/>
        <v>0.5</v>
      </c>
      <c r="BA567" s="1">
        <f t="shared" si="214"/>
        <v>0.5</v>
      </c>
      <c r="BB567" s="1">
        <f t="shared" si="215"/>
        <v>0.21951219512195122</v>
      </c>
      <c r="BC567" s="1">
        <f t="shared" si="216"/>
        <v>0.21951219512195122</v>
      </c>
      <c r="BD567" s="1">
        <f t="shared" si="217"/>
        <v>6.9512195121951226E-2</v>
      </c>
      <c r="BF567">
        <f t="shared" si="218"/>
        <v>82</v>
      </c>
      <c r="BG567">
        <f t="shared" si="228"/>
        <v>18</v>
      </c>
      <c r="BH567" s="1">
        <f t="shared" si="219"/>
        <v>0</v>
      </c>
      <c r="BI567" s="1">
        <f t="shared" si="220"/>
        <v>0.21951219512195122</v>
      </c>
      <c r="BJ567" s="1">
        <f t="shared" si="221"/>
        <v>0.59</v>
      </c>
      <c r="BK567" s="1">
        <f t="shared" si="222"/>
        <v>9.6000000000000002E-2</v>
      </c>
      <c r="BL567" s="1">
        <f t="shared" si="223"/>
        <v>0.21951219512195122</v>
      </c>
      <c r="BM567" s="1">
        <f t="shared" si="224"/>
        <v>0.21951219512195122</v>
      </c>
      <c r="BN567" s="1">
        <f t="shared" si="227"/>
        <v>4.8319452706722197E-3</v>
      </c>
      <c r="BO567" s="1">
        <f t="shared" si="225"/>
        <v>6.637884619539125E-2</v>
      </c>
    </row>
    <row r="568" spans="1:67" x14ac:dyDescent="0.25">
      <c r="A568" s="3"/>
      <c r="B568" s="3"/>
      <c r="C568" t="s">
        <v>601</v>
      </c>
      <c r="D568" s="5">
        <v>1</v>
      </c>
      <c r="E568" s="9">
        <f t="shared" si="229"/>
        <v>23</v>
      </c>
      <c r="F568" s="9">
        <f t="shared" si="230"/>
        <v>0</v>
      </c>
      <c r="G568">
        <v>0</v>
      </c>
      <c r="H568">
        <v>77</v>
      </c>
      <c r="I568">
        <v>0</v>
      </c>
      <c r="J568">
        <v>0</v>
      </c>
      <c r="K568">
        <v>0</v>
      </c>
      <c r="L568">
        <v>23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22</v>
      </c>
      <c r="AK568" t="s">
        <v>1</v>
      </c>
      <c r="AL568" t="s">
        <v>372</v>
      </c>
      <c r="AQ568" s="1">
        <f t="shared" si="226"/>
        <v>100</v>
      </c>
      <c r="AR568" s="1">
        <f t="shared" si="206"/>
        <v>0.23</v>
      </c>
      <c r="AS568" s="1">
        <f t="shared" si="207"/>
        <v>0</v>
      </c>
      <c r="AT568" s="1">
        <f t="shared" si="208"/>
        <v>0.77</v>
      </c>
      <c r="AU568" s="1">
        <f t="shared" si="209"/>
        <v>0</v>
      </c>
      <c r="AV568" s="1">
        <f t="shared" si="210"/>
        <v>0.22</v>
      </c>
      <c r="AX568" s="1">
        <f t="shared" si="211"/>
        <v>0</v>
      </c>
      <c r="AY568" s="1">
        <f t="shared" si="212"/>
        <v>0.29870129870129869</v>
      </c>
      <c r="AZ568" s="1">
        <f t="shared" si="213"/>
        <v>0.5</v>
      </c>
      <c r="BA568" s="1">
        <f t="shared" si="214"/>
        <v>0.5</v>
      </c>
      <c r="BB568" s="1">
        <f t="shared" si="215"/>
        <v>0.29870129870129869</v>
      </c>
      <c r="BC568" s="1">
        <f t="shared" si="216"/>
        <v>0.29870129870129869</v>
      </c>
      <c r="BD568" s="1">
        <f t="shared" si="217"/>
        <v>7.8701298701298689E-2</v>
      </c>
      <c r="BF568">
        <f t="shared" si="218"/>
        <v>77</v>
      </c>
      <c r="BG568">
        <f t="shared" si="228"/>
        <v>23</v>
      </c>
      <c r="BH568" s="1">
        <f t="shared" si="219"/>
        <v>0</v>
      </c>
      <c r="BI568" s="1">
        <f t="shared" si="220"/>
        <v>0.29870129870129869</v>
      </c>
      <c r="BJ568" s="1">
        <f t="shared" si="221"/>
        <v>0.59</v>
      </c>
      <c r="BK568" s="1">
        <f t="shared" si="222"/>
        <v>9.6000000000000002E-2</v>
      </c>
      <c r="BL568" s="1">
        <f t="shared" si="223"/>
        <v>0.29870129870129869</v>
      </c>
      <c r="BM568" s="1">
        <f t="shared" si="224"/>
        <v>0.29870129870129869</v>
      </c>
      <c r="BN568" s="1">
        <f t="shared" si="227"/>
        <v>6.193894417271039E-3</v>
      </c>
      <c r="BO568" s="1">
        <f t="shared" si="225"/>
        <v>3.5209116706113569E-2</v>
      </c>
    </row>
    <row r="569" spans="1:67" x14ac:dyDescent="0.25">
      <c r="A569" s="3"/>
      <c r="B569" s="3"/>
      <c r="C569" t="s">
        <v>602</v>
      </c>
      <c r="D569" s="5">
        <v>1</v>
      </c>
      <c r="E569" s="9">
        <f t="shared" si="229"/>
        <v>28</v>
      </c>
      <c r="F569" s="9">
        <f t="shared" si="230"/>
        <v>0</v>
      </c>
      <c r="G569">
        <v>0</v>
      </c>
      <c r="H569">
        <v>72</v>
      </c>
      <c r="I569">
        <v>0</v>
      </c>
      <c r="J569">
        <v>0</v>
      </c>
      <c r="K569">
        <v>0</v>
      </c>
      <c r="L569">
        <v>28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35</v>
      </c>
      <c r="AK569" t="s">
        <v>1</v>
      </c>
      <c r="AL569" t="s">
        <v>372</v>
      </c>
      <c r="AQ569" s="1">
        <f t="shared" si="226"/>
        <v>100</v>
      </c>
      <c r="AR569" s="1">
        <f t="shared" ref="AR569:AR632" si="231">(L569+M569+O569+X569)/100</f>
        <v>0.28000000000000003</v>
      </c>
      <c r="AS569" s="1">
        <f t="shared" ref="AS569:AS632" si="232">G569/100</f>
        <v>0</v>
      </c>
      <c r="AT569" s="1">
        <f t="shared" ref="AT569:AT632" si="233">H569/100</f>
        <v>0.72</v>
      </c>
      <c r="AU569" s="1">
        <f t="shared" ref="AU569:AU632" si="234">Q569/100</f>
        <v>0</v>
      </c>
      <c r="AV569" s="1">
        <f t="shared" ref="AV569:AV632" si="235">AJ569/100</f>
        <v>0.35</v>
      </c>
      <c r="AX569" s="1">
        <f t="shared" ref="AX569:AX632" si="236">AU569/(AT569+AS569)</f>
        <v>0</v>
      </c>
      <c r="AY569" s="1">
        <f t="shared" ref="AY569:AY632" si="237">AR569/(AS569+AT569)</f>
        <v>0.38888888888888895</v>
      </c>
      <c r="AZ569" s="1">
        <f t="shared" ref="AZ569:AZ632" si="238">0.5+AX569/16</f>
        <v>0.5</v>
      </c>
      <c r="BA569" s="1">
        <f t="shared" ref="BA569:BA632" si="239">0.5+AX569/4</f>
        <v>0.5</v>
      </c>
      <c r="BB569" s="1">
        <f t="shared" ref="BB569:BB632" si="240">IF(AY569&lt;=AZ569,AY569,IF(AY569&lt;=BA569,AZ569,AZ569-(AY569-BA569)*(8+AX569)/(12*(2+AX569))))</f>
        <v>0.38888888888888895</v>
      </c>
      <c r="BC569" s="1">
        <f t="shared" ref="BC569:BC632" si="241">IF(BB569&lt;1,BB569,1)</f>
        <v>0.38888888888888895</v>
      </c>
      <c r="BD569" s="1">
        <f t="shared" ref="BD569:BD632" si="242">ABS(BC569-AV569)</f>
        <v>3.8888888888888973E-2</v>
      </c>
      <c r="BF569">
        <f t="shared" ref="BF569:BF632" si="243">$BR$3*H569+$BR$4*G569+$BR$5*P569+$BR$6*K569+$BR$7*S569+$BR$8*U569+$BR$9*Y569+$BR$10*J569+$BR$11*AC569+$BR$12*AG569+$BR$13*AH569+$BR$14*R569+$BR$15*AE569</f>
        <v>72</v>
      </c>
      <c r="BG569">
        <f t="shared" si="228"/>
        <v>28</v>
      </c>
      <c r="BH569" s="1">
        <f t="shared" ref="BH569:BH632" si="244">(Q569)/BF569</f>
        <v>0</v>
      </c>
      <c r="BI569" s="1">
        <f t="shared" ref="BI569:BI632" si="245">BG569/BF569</f>
        <v>0.3888888888888889</v>
      </c>
      <c r="BJ569" s="1">
        <f t="shared" ref="BJ569:BJ632" si="246">$BR$32+BH569*$BR$33</f>
        <v>0.59</v>
      </c>
      <c r="BK569" s="1">
        <f t="shared" ref="BK569:BK632" si="247">$BR$34+BH569*$BR$35</f>
        <v>9.6000000000000002E-2</v>
      </c>
      <c r="BL569" s="1">
        <f t="shared" ref="BL569:BL632" si="248">IF(BI569&lt;=BJ569,BI569,IF(BI569&lt;=BK569,BJ569,BJ569-(BI569-BK569)*(8+BH569)/(12*(2+BH569))))</f>
        <v>0.3888888888888889</v>
      </c>
      <c r="BM569" s="1">
        <f t="shared" ref="BM569:BM632" si="249">IF(BL569&lt;1,IF(BL569&gt;0,BL569,0),1)</f>
        <v>0.3888888888888889</v>
      </c>
      <c r="BN569" s="1">
        <f t="shared" si="227"/>
        <v>1.5123456790123479E-3</v>
      </c>
      <c r="BO569" s="1">
        <f t="shared" si="225"/>
        <v>3.3224762260264311E-3</v>
      </c>
    </row>
    <row r="570" spans="1:67" x14ac:dyDescent="0.25">
      <c r="A570" s="3"/>
      <c r="B570" s="3"/>
      <c r="C570" t="s">
        <v>603</v>
      </c>
      <c r="D570" s="5">
        <v>1</v>
      </c>
      <c r="E570" s="9">
        <f t="shared" si="229"/>
        <v>33</v>
      </c>
      <c r="F570" s="9">
        <f t="shared" si="230"/>
        <v>0</v>
      </c>
      <c r="G570">
        <v>0</v>
      </c>
      <c r="H570">
        <v>67</v>
      </c>
      <c r="I570">
        <v>0</v>
      </c>
      <c r="J570">
        <v>0</v>
      </c>
      <c r="K570">
        <v>0</v>
      </c>
      <c r="L570">
        <v>33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40</v>
      </c>
      <c r="AK570" t="s">
        <v>1</v>
      </c>
      <c r="AL570" t="s">
        <v>372</v>
      </c>
      <c r="AQ570" s="1">
        <f t="shared" ref="AQ570:AQ633" si="250">SUM(G570:AI570)</f>
        <v>100</v>
      </c>
      <c r="AR570" s="1">
        <f t="shared" si="231"/>
        <v>0.33</v>
      </c>
      <c r="AS570" s="1">
        <f t="shared" si="232"/>
        <v>0</v>
      </c>
      <c r="AT570" s="1">
        <f t="shared" si="233"/>
        <v>0.67</v>
      </c>
      <c r="AU570" s="1">
        <f t="shared" si="234"/>
        <v>0</v>
      </c>
      <c r="AV570" s="1">
        <f t="shared" si="235"/>
        <v>0.4</v>
      </c>
      <c r="AX570" s="1">
        <f t="shared" si="236"/>
        <v>0</v>
      </c>
      <c r="AY570" s="1">
        <f t="shared" si="237"/>
        <v>0.4925373134328358</v>
      </c>
      <c r="AZ570" s="1">
        <f t="shared" si="238"/>
        <v>0.5</v>
      </c>
      <c r="BA570" s="1">
        <f t="shared" si="239"/>
        <v>0.5</v>
      </c>
      <c r="BB570" s="1">
        <f t="shared" si="240"/>
        <v>0.4925373134328358</v>
      </c>
      <c r="BC570" s="1">
        <f t="shared" si="241"/>
        <v>0.4925373134328358</v>
      </c>
      <c r="BD570" s="1">
        <f t="shared" si="242"/>
        <v>9.2537313432835777E-2</v>
      </c>
      <c r="BF570">
        <f t="shared" si="243"/>
        <v>67</v>
      </c>
      <c r="BG570">
        <f t="shared" si="228"/>
        <v>33</v>
      </c>
      <c r="BH570" s="1">
        <f t="shared" si="244"/>
        <v>0</v>
      </c>
      <c r="BI570" s="1">
        <f t="shared" si="245"/>
        <v>0.4925373134328358</v>
      </c>
      <c r="BJ570" s="1">
        <f t="shared" si="246"/>
        <v>0.59</v>
      </c>
      <c r="BK570" s="1">
        <f t="shared" si="247"/>
        <v>9.6000000000000002E-2</v>
      </c>
      <c r="BL570" s="1">
        <f t="shared" si="248"/>
        <v>0.4925373134328358</v>
      </c>
      <c r="BM570" s="1">
        <f t="shared" si="249"/>
        <v>0.4925373134328358</v>
      </c>
      <c r="BN570" s="1">
        <f t="shared" ref="BN570:BN633" si="251">(BM570-AV570)^2</f>
        <v>8.5631543773668894E-3</v>
      </c>
      <c r="BO570" s="1">
        <f t="shared" si="225"/>
        <v>5.8383733685219634E-5</v>
      </c>
    </row>
    <row r="571" spans="1:67" x14ac:dyDescent="0.25">
      <c r="A571" s="3"/>
      <c r="B571" s="3"/>
      <c r="C571" t="s">
        <v>604</v>
      </c>
      <c r="D571" s="6">
        <v>1</v>
      </c>
      <c r="E571" s="1"/>
      <c r="F571" s="1"/>
      <c r="G571">
        <v>0</v>
      </c>
      <c r="H571">
        <v>62</v>
      </c>
      <c r="I571">
        <v>0</v>
      </c>
      <c r="J571">
        <v>0</v>
      </c>
      <c r="K571">
        <v>0</v>
      </c>
      <c r="L571">
        <v>38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40</v>
      </c>
      <c r="AK571" t="s">
        <v>1</v>
      </c>
      <c r="AL571" t="s">
        <v>372</v>
      </c>
      <c r="AQ571" s="1">
        <f t="shared" si="250"/>
        <v>100</v>
      </c>
      <c r="AR571" s="1">
        <f t="shared" si="231"/>
        <v>0.38</v>
      </c>
      <c r="AS571" s="1">
        <f t="shared" si="232"/>
        <v>0</v>
      </c>
      <c r="AT571" s="1">
        <f t="shared" si="233"/>
        <v>0.62</v>
      </c>
      <c r="AU571" s="1">
        <f t="shared" si="234"/>
        <v>0</v>
      </c>
      <c r="AV571" s="1">
        <f t="shared" si="235"/>
        <v>0.4</v>
      </c>
      <c r="AX571" s="1">
        <f t="shared" si="236"/>
        <v>0</v>
      </c>
      <c r="AY571" s="1">
        <f t="shared" si="237"/>
        <v>0.61290322580645162</v>
      </c>
      <c r="AZ571" s="1">
        <f t="shared" si="238"/>
        <v>0.5</v>
      </c>
      <c r="BA571" s="1">
        <f t="shared" si="239"/>
        <v>0.5</v>
      </c>
      <c r="BB571" s="1">
        <f t="shared" si="240"/>
        <v>0.46236559139784944</v>
      </c>
      <c r="BC571" s="1">
        <f t="shared" si="241"/>
        <v>0.46236559139784944</v>
      </c>
      <c r="BD571" s="1">
        <f t="shared" si="242"/>
        <v>6.2365591397849418E-2</v>
      </c>
      <c r="BF571">
        <f t="shared" si="243"/>
        <v>62</v>
      </c>
      <c r="BG571">
        <f t="shared" si="228"/>
        <v>38</v>
      </c>
      <c r="BH571" s="1">
        <f t="shared" si="244"/>
        <v>0</v>
      </c>
      <c r="BI571" s="1">
        <f t="shared" si="245"/>
        <v>0.61290322580645162</v>
      </c>
      <c r="BJ571" s="1">
        <f t="shared" si="246"/>
        <v>0.59</v>
      </c>
      <c r="BK571" s="1">
        <f t="shared" si="247"/>
        <v>9.6000000000000002E-2</v>
      </c>
      <c r="BL571" s="1">
        <f t="shared" si="248"/>
        <v>0.41769892473118275</v>
      </c>
      <c r="BM571" s="1">
        <f t="shared" si="249"/>
        <v>0.41769892473118275</v>
      </c>
      <c r="BN571" s="1">
        <f t="shared" si="251"/>
        <v>3.1325193664007167E-4</v>
      </c>
      <c r="BO571" s="1">
        <f t="shared" si="225"/>
        <v>5.8383733685219634E-5</v>
      </c>
    </row>
    <row r="572" spans="1:67" x14ac:dyDescent="0.25">
      <c r="A572" s="3"/>
      <c r="B572" s="3"/>
      <c r="C572" t="s">
        <v>318</v>
      </c>
      <c r="D572" s="5">
        <v>1</v>
      </c>
      <c r="E572" s="9">
        <f t="shared" ref="E572:E594" si="252">I572+L572+M572+N572+O572+V572+X572+AB572+AD572</f>
        <v>44.43</v>
      </c>
      <c r="F572" s="9">
        <f t="shared" ref="F572:F594" si="253">Q572/(H572+P572+Q572+AC572)</f>
        <v>0.84793953572071257</v>
      </c>
      <c r="G572">
        <v>0</v>
      </c>
      <c r="H572">
        <v>6.73</v>
      </c>
      <c r="I572">
        <v>21.77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22.66</v>
      </c>
      <c r="P572">
        <v>1.72</v>
      </c>
      <c r="Q572">
        <v>47.12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48.5</v>
      </c>
      <c r="AK572" t="s">
        <v>1</v>
      </c>
      <c r="AL572" t="s">
        <v>374</v>
      </c>
      <c r="AM572" t="s">
        <v>400</v>
      </c>
      <c r="AO572" t="s">
        <v>378</v>
      </c>
      <c r="AQ572" s="1">
        <f t="shared" si="250"/>
        <v>100</v>
      </c>
      <c r="AR572" s="1">
        <f t="shared" si="231"/>
        <v>0.2266</v>
      </c>
      <c r="AS572" s="1">
        <f t="shared" si="232"/>
        <v>0</v>
      </c>
      <c r="AT572" s="1">
        <f t="shared" si="233"/>
        <v>6.7299999999999999E-2</v>
      </c>
      <c r="AU572" s="1">
        <f t="shared" si="234"/>
        <v>0.47119999999999995</v>
      </c>
      <c r="AV572" s="1">
        <f t="shared" si="235"/>
        <v>0.48499999999999999</v>
      </c>
      <c r="AX572" s="1">
        <f t="shared" si="236"/>
        <v>7.0014858841010392</v>
      </c>
      <c r="AY572" s="1">
        <f t="shared" si="237"/>
        <v>3.3670133729569094</v>
      </c>
      <c r="AZ572" s="1">
        <f t="shared" si="238"/>
        <v>0.93759286775631501</v>
      </c>
      <c r="BA572" s="1">
        <f t="shared" si="239"/>
        <v>2.25037147102526</v>
      </c>
      <c r="BB572" s="1">
        <f t="shared" si="240"/>
        <v>0.78251395499767717</v>
      </c>
      <c r="BC572" s="1">
        <f t="shared" si="241"/>
        <v>0.78251395499767717</v>
      </c>
      <c r="BD572" s="1">
        <f t="shared" si="242"/>
        <v>0.29751395499767719</v>
      </c>
      <c r="BF572">
        <f t="shared" si="243"/>
        <v>7.9340000000000002</v>
      </c>
      <c r="BG572">
        <f t="shared" ref="BG572:BG635" si="254">O572+$BR$17*M572+$BR$18*L572+$BR$19*X572+$BR$20*AD572+$BR$21*I572+$BR$22*N572+$BR$23*AB572+$BR$24*V572+$BR$25*T572+$BR$26*AA572+$BR$28*Z572+$BR$29*AF572+$BR$30*W572+$BR$27*AI572</f>
        <v>33.545000000000002</v>
      </c>
      <c r="BH572" s="1">
        <f t="shared" si="244"/>
        <v>5.9389967229644567</v>
      </c>
      <c r="BI572" s="1">
        <f t="shared" si="245"/>
        <v>4.2280060499117722</v>
      </c>
      <c r="BJ572" s="1">
        <f t="shared" si="246"/>
        <v>0.70284093773632461</v>
      </c>
      <c r="BK572" s="1">
        <f t="shared" si="247"/>
        <v>3.0773763549281572</v>
      </c>
      <c r="BL572" s="1">
        <f t="shared" si="248"/>
        <v>0.53448818373605478</v>
      </c>
      <c r="BM572" s="1">
        <f t="shared" si="249"/>
        <v>0.53448818373605478</v>
      </c>
      <c r="BN572" s="1">
        <f t="shared" si="251"/>
        <v>2.4490803294935182E-3</v>
      </c>
      <c r="BO572" s="1">
        <f t="shared" si="225"/>
        <v>5.9844264967051633E-3</v>
      </c>
    </row>
    <row r="573" spans="1:67" x14ac:dyDescent="0.25">
      <c r="A573" s="3"/>
      <c r="B573" s="3"/>
      <c r="C573" t="s">
        <v>319</v>
      </c>
      <c r="D573" s="5">
        <v>1</v>
      </c>
      <c r="E573" s="9">
        <f t="shared" si="252"/>
        <v>44.43</v>
      </c>
      <c r="F573" s="9">
        <f t="shared" si="253"/>
        <v>0.84793953572071257</v>
      </c>
      <c r="G573">
        <v>0</v>
      </c>
      <c r="H573">
        <v>6.73</v>
      </c>
      <c r="I573">
        <v>16.77</v>
      </c>
      <c r="J573">
        <v>0</v>
      </c>
      <c r="K573">
        <v>0</v>
      </c>
      <c r="L573">
        <v>0</v>
      </c>
      <c r="M573">
        <v>0</v>
      </c>
      <c r="N573">
        <v>5</v>
      </c>
      <c r="O573">
        <v>22.66</v>
      </c>
      <c r="P573">
        <v>1.72</v>
      </c>
      <c r="Q573">
        <v>47.12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38</v>
      </c>
      <c r="AK573" t="s">
        <v>1</v>
      </c>
      <c r="AL573" t="s">
        <v>374</v>
      </c>
      <c r="AQ573" s="1">
        <f t="shared" si="250"/>
        <v>100</v>
      </c>
      <c r="AR573" s="1">
        <f t="shared" si="231"/>
        <v>0.2266</v>
      </c>
      <c r="AS573" s="1">
        <f t="shared" si="232"/>
        <v>0</v>
      </c>
      <c r="AT573" s="1">
        <f t="shared" si="233"/>
        <v>6.7299999999999999E-2</v>
      </c>
      <c r="AU573" s="1">
        <f t="shared" si="234"/>
        <v>0.47119999999999995</v>
      </c>
      <c r="AV573" s="1">
        <f t="shared" si="235"/>
        <v>0.38</v>
      </c>
      <c r="AX573" s="1">
        <f t="shared" si="236"/>
        <v>7.0014858841010392</v>
      </c>
      <c r="AY573" s="1">
        <f t="shared" si="237"/>
        <v>3.3670133729569094</v>
      </c>
      <c r="AZ573" s="1">
        <f t="shared" si="238"/>
        <v>0.93759286775631501</v>
      </c>
      <c r="BA573" s="1">
        <f t="shared" si="239"/>
        <v>2.25037147102526</v>
      </c>
      <c r="BB573" s="1">
        <f t="shared" si="240"/>
        <v>0.78251395499767717</v>
      </c>
      <c r="BC573" s="1">
        <f t="shared" si="241"/>
        <v>0.78251395499767717</v>
      </c>
      <c r="BD573" s="1">
        <f t="shared" si="242"/>
        <v>0.40251395499767717</v>
      </c>
      <c r="BF573">
        <f t="shared" si="243"/>
        <v>7.9340000000000002</v>
      </c>
      <c r="BG573">
        <f t="shared" si="254"/>
        <v>33.545000000000002</v>
      </c>
      <c r="BH573" s="1">
        <f t="shared" si="244"/>
        <v>5.9389967229644567</v>
      </c>
      <c r="BI573" s="1">
        <f t="shared" si="245"/>
        <v>4.2280060499117722</v>
      </c>
      <c r="BJ573" s="1">
        <f t="shared" si="246"/>
        <v>0.70284093773632461</v>
      </c>
      <c r="BK573" s="1">
        <f t="shared" si="247"/>
        <v>3.0773763549281572</v>
      </c>
      <c r="BL573" s="1">
        <f t="shared" si="248"/>
        <v>0.53448818373605478</v>
      </c>
      <c r="BM573" s="1">
        <f t="shared" si="249"/>
        <v>0.53448818373605478</v>
      </c>
      <c r="BN573" s="1">
        <f t="shared" si="251"/>
        <v>2.3866598914065017E-2</v>
      </c>
      <c r="BO573" s="1">
        <f t="shared" si="225"/>
        <v>7.6402073062170313E-4</v>
      </c>
    </row>
    <row r="574" spans="1:67" x14ac:dyDescent="0.25">
      <c r="A574" s="3"/>
      <c r="B574" s="3"/>
      <c r="C574" t="s">
        <v>320</v>
      </c>
      <c r="D574" s="5">
        <v>1</v>
      </c>
      <c r="E574" s="9">
        <f t="shared" si="252"/>
        <v>44.43</v>
      </c>
      <c r="F574" s="9">
        <f t="shared" si="253"/>
        <v>0.84793953572071257</v>
      </c>
      <c r="G574">
        <v>0</v>
      </c>
      <c r="H574">
        <v>6.73</v>
      </c>
      <c r="I574">
        <v>11.77</v>
      </c>
      <c r="J574">
        <v>0</v>
      </c>
      <c r="K574">
        <v>0</v>
      </c>
      <c r="L574">
        <v>0</v>
      </c>
      <c r="M574">
        <v>0</v>
      </c>
      <c r="N574">
        <v>10</v>
      </c>
      <c r="O574">
        <v>22.66</v>
      </c>
      <c r="P574">
        <v>1.72</v>
      </c>
      <c r="Q574">
        <v>47.12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38</v>
      </c>
      <c r="AK574" t="s">
        <v>1</v>
      </c>
      <c r="AL574" t="s">
        <v>374</v>
      </c>
      <c r="AQ574" s="1">
        <f t="shared" si="250"/>
        <v>100</v>
      </c>
      <c r="AR574" s="1">
        <f t="shared" si="231"/>
        <v>0.2266</v>
      </c>
      <c r="AS574" s="1">
        <f t="shared" si="232"/>
        <v>0</v>
      </c>
      <c r="AT574" s="1">
        <f t="shared" si="233"/>
        <v>6.7299999999999999E-2</v>
      </c>
      <c r="AU574" s="1">
        <f t="shared" si="234"/>
        <v>0.47119999999999995</v>
      </c>
      <c r="AV574" s="1">
        <f t="shared" si="235"/>
        <v>0.38</v>
      </c>
      <c r="AX574" s="1">
        <f t="shared" si="236"/>
        <v>7.0014858841010392</v>
      </c>
      <c r="AY574" s="1">
        <f t="shared" si="237"/>
        <v>3.3670133729569094</v>
      </c>
      <c r="AZ574" s="1">
        <f t="shared" si="238"/>
        <v>0.93759286775631501</v>
      </c>
      <c r="BA574" s="1">
        <f t="shared" si="239"/>
        <v>2.25037147102526</v>
      </c>
      <c r="BB574" s="1">
        <f t="shared" si="240"/>
        <v>0.78251395499767717</v>
      </c>
      <c r="BC574" s="1">
        <f t="shared" si="241"/>
        <v>0.78251395499767717</v>
      </c>
      <c r="BD574" s="1">
        <f t="shared" si="242"/>
        <v>0.40251395499767717</v>
      </c>
      <c r="BF574">
        <f t="shared" si="243"/>
        <v>7.9340000000000002</v>
      </c>
      <c r="BG574">
        <f t="shared" si="254"/>
        <v>33.545000000000002</v>
      </c>
      <c r="BH574" s="1">
        <f t="shared" si="244"/>
        <v>5.9389967229644567</v>
      </c>
      <c r="BI574" s="1">
        <f t="shared" si="245"/>
        <v>4.2280060499117722</v>
      </c>
      <c r="BJ574" s="1">
        <f t="shared" si="246"/>
        <v>0.70284093773632461</v>
      </c>
      <c r="BK574" s="1">
        <f t="shared" si="247"/>
        <v>3.0773763549281572</v>
      </c>
      <c r="BL574" s="1">
        <f t="shared" si="248"/>
        <v>0.53448818373605478</v>
      </c>
      <c r="BM574" s="1">
        <f t="shared" si="249"/>
        <v>0.53448818373605478</v>
      </c>
      <c r="BN574" s="1">
        <f t="shared" si="251"/>
        <v>2.3866598914065017E-2</v>
      </c>
      <c r="BO574" s="1">
        <f t="shared" si="225"/>
        <v>7.6402073062170313E-4</v>
      </c>
    </row>
    <row r="575" spans="1:67" x14ac:dyDescent="0.25">
      <c r="A575" s="3"/>
      <c r="B575" s="3"/>
      <c r="C575" t="s">
        <v>321</v>
      </c>
      <c r="D575" s="5">
        <v>1</v>
      </c>
      <c r="E575" s="9">
        <f t="shared" si="252"/>
        <v>44.43</v>
      </c>
      <c r="F575" s="9">
        <f t="shared" si="253"/>
        <v>0.84793953572071257</v>
      </c>
      <c r="G575">
        <v>0</v>
      </c>
      <c r="H575">
        <v>6.73</v>
      </c>
      <c r="I575">
        <v>16.77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22.66</v>
      </c>
      <c r="P575">
        <v>1.72</v>
      </c>
      <c r="Q575">
        <v>47.12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5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37</v>
      </c>
      <c r="AK575" t="s">
        <v>1</v>
      </c>
      <c r="AL575" t="s">
        <v>374</v>
      </c>
      <c r="AQ575" s="1">
        <f t="shared" si="250"/>
        <v>100</v>
      </c>
      <c r="AR575" s="1">
        <f t="shared" si="231"/>
        <v>0.2266</v>
      </c>
      <c r="AS575" s="1">
        <f t="shared" si="232"/>
        <v>0</v>
      </c>
      <c r="AT575" s="1">
        <f t="shared" si="233"/>
        <v>6.7299999999999999E-2</v>
      </c>
      <c r="AU575" s="1">
        <f t="shared" si="234"/>
        <v>0.47119999999999995</v>
      </c>
      <c r="AV575" s="1">
        <f t="shared" si="235"/>
        <v>0.37</v>
      </c>
      <c r="AX575" s="1">
        <f t="shared" si="236"/>
        <v>7.0014858841010392</v>
      </c>
      <c r="AY575" s="1">
        <f t="shared" si="237"/>
        <v>3.3670133729569094</v>
      </c>
      <c r="AZ575" s="1">
        <f t="shared" si="238"/>
        <v>0.93759286775631501</v>
      </c>
      <c r="BA575" s="1">
        <f t="shared" si="239"/>
        <v>2.25037147102526</v>
      </c>
      <c r="BB575" s="1">
        <f t="shared" si="240"/>
        <v>0.78251395499767717</v>
      </c>
      <c r="BC575" s="1">
        <f t="shared" si="241"/>
        <v>0.78251395499767717</v>
      </c>
      <c r="BD575" s="1">
        <f t="shared" si="242"/>
        <v>0.41251395499767718</v>
      </c>
      <c r="BF575">
        <f t="shared" si="243"/>
        <v>7.9340000000000002</v>
      </c>
      <c r="BG575">
        <f t="shared" si="254"/>
        <v>33.545000000000002</v>
      </c>
      <c r="BH575" s="1">
        <f t="shared" si="244"/>
        <v>5.9389967229644567</v>
      </c>
      <c r="BI575" s="1">
        <f t="shared" si="245"/>
        <v>4.2280060499117722</v>
      </c>
      <c r="BJ575" s="1">
        <f t="shared" si="246"/>
        <v>0.70284093773632461</v>
      </c>
      <c r="BK575" s="1">
        <f t="shared" si="247"/>
        <v>3.0773763549281572</v>
      </c>
      <c r="BL575" s="1">
        <f t="shared" si="248"/>
        <v>0.53448818373605478</v>
      </c>
      <c r="BM575" s="1">
        <f t="shared" si="249"/>
        <v>0.53448818373605478</v>
      </c>
      <c r="BN575" s="1">
        <f t="shared" si="251"/>
        <v>2.7056362588786118E-2</v>
      </c>
      <c r="BO575" s="1">
        <f t="shared" si="225"/>
        <v>1.4168392290899454E-3</v>
      </c>
    </row>
    <row r="576" spans="1:67" x14ac:dyDescent="0.25">
      <c r="A576" s="3"/>
      <c r="B576" s="3"/>
      <c r="C576" t="s">
        <v>322</v>
      </c>
      <c r="D576" s="5">
        <v>1</v>
      </c>
      <c r="E576" s="9">
        <f t="shared" si="252"/>
        <v>44.43</v>
      </c>
      <c r="F576" s="9">
        <f t="shared" si="253"/>
        <v>0.84793953572071257</v>
      </c>
      <c r="G576">
        <v>0</v>
      </c>
      <c r="H576">
        <v>6.73</v>
      </c>
      <c r="I576">
        <v>11.77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22.66</v>
      </c>
      <c r="P576">
        <v>1.72</v>
      </c>
      <c r="Q576">
        <v>47.12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39</v>
      </c>
      <c r="AK576" t="s">
        <v>1</v>
      </c>
      <c r="AL576" t="s">
        <v>374</v>
      </c>
      <c r="AQ576" s="1">
        <f t="shared" si="250"/>
        <v>100</v>
      </c>
      <c r="AR576" s="1">
        <f t="shared" si="231"/>
        <v>0.2266</v>
      </c>
      <c r="AS576" s="1">
        <f t="shared" si="232"/>
        <v>0</v>
      </c>
      <c r="AT576" s="1">
        <f t="shared" si="233"/>
        <v>6.7299999999999999E-2</v>
      </c>
      <c r="AU576" s="1">
        <f t="shared" si="234"/>
        <v>0.47119999999999995</v>
      </c>
      <c r="AV576" s="1">
        <f t="shared" si="235"/>
        <v>0.39</v>
      </c>
      <c r="AX576" s="1">
        <f t="shared" si="236"/>
        <v>7.0014858841010392</v>
      </c>
      <c r="AY576" s="1">
        <f t="shared" si="237"/>
        <v>3.3670133729569094</v>
      </c>
      <c r="AZ576" s="1">
        <f t="shared" si="238"/>
        <v>0.93759286775631501</v>
      </c>
      <c r="BA576" s="1">
        <f t="shared" si="239"/>
        <v>2.25037147102526</v>
      </c>
      <c r="BB576" s="1">
        <f t="shared" si="240"/>
        <v>0.78251395499767717</v>
      </c>
      <c r="BC576" s="1">
        <f t="shared" si="241"/>
        <v>0.78251395499767717</v>
      </c>
      <c r="BD576" s="1">
        <f t="shared" si="242"/>
        <v>0.39251395499767716</v>
      </c>
      <c r="BF576">
        <f t="shared" si="243"/>
        <v>7.9340000000000002</v>
      </c>
      <c r="BG576">
        <f t="shared" si="254"/>
        <v>33.545000000000002</v>
      </c>
      <c r="BH576" s="1">
        <f t="shared" si="244"/>
        <v>5.9389967229644567</v>
      </c>
      <c r="BI576" s="1">
        <f t="shared" si="245"/>
        <v>4.2280060499117722</v>
      </c>
      <c r="BJ576" s="1">
        <f t="shared" si="246"/>
        <v>0.70284093773632461</v>
      </c>
      <c r="BK576" s="1">
        <f t="shared" si="247"/>
        <v>3.0773763549281572</v>
      </c>
      <c r="BL576" s="1">
        <f t="shared" si="248"/>
        <v>0.53448818373605478</v>
      </c>
      <c r="BM576" s="1">
        <f t="shared" si="249"/>
        <v>0.53448818373605478</v>
      </c>
      <c r="BN576" s="1">
        <f t="shared" si="251"/>
        <v>2.087683523934392E-2</v>
      </c>
      <c r="BO576" s="1">
        <f t="shared" si="225"/>
        <v>3.1120223215346117E-4</v>
      </c>
    </row>
    <row r="577" spans="1:67" x14ac:dyDescent="0.25">
      <c r="A577" s="3"/>
      <c r="B577" s="3"/>
      <c r="C577" t="s">
        <v>323</v>
      </c>
      <c r="D577" s="5">
        <v>1</v>
      </c>
      <c r="E577" s="9">
        <f t="shared" si="252"/>
        <v>44.43</v>
      </c>
      <c r="F577" s="9">
        <f t="shared" si="253"/>
        <v>0.84793953572071257</v>
      </c>
      <c r="G577">
        <v>0</v>
      </c>
      <c r="H577">
        <v>6.73</v>
      </c>
      <c r="I577">
        <v>6.77</v>
      </c>
      <c r="J577">
        <v>0</v>
      </c>
      <c r="K577">
        <v>0</v>
      </c>
      <c r="L577">
        <v>0</v>
      </c>
      <c r="M577">
        <v>0</v>
      </c>
      <c r="N577">
        <v>5</v>
      </c>
      <c r="O577">
        <v>22.66</v>
      </c>
      <c r="P577">
        <v>1.72</v>
      </c>
      <c r="Q577">
        <v>47.12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37</v>
      </c>
      <c r="AK577" t="s">
        <v>1</v>
      </c>
      <c r="AL577" t="s">
        <v>374</v>
      </c>
      <c r="AQ577" s="1">
        <f t="shared" si="250"/>
        <v>100</v>
      </c>
      <c r="AR577" s="1">
        <f t="shared" si="231"/>
        <v>0.2266</v>
      </c>
      <c r="AS577" s="1">
        <f t="shared" si="232"/>
        <v>0</v>
      </c>
      <c r="AT577" s="1">
        <f t="shared" si="233"/>
        <v>6.7299999999999999E-2</v>
      </c>
      <c r="AU577" s="1">
        <f t="shared" si="234"/>
        <v>0.47119999999999995</v>
      </c>
      <c r="AV577" s="1">
        <f t="shared" si="235"/>
        <v>0.37</v>
      </c>
      <c r="AX577" s="1">
        <f t="shared" si="236"/>
        <v>7.0014858841010392</v>
      </c>
      <c r="AY577" s="1">
        <f t="shared" si="237"/>
        <v>3.3670133729569094</v>
      </c>
      <c r="AZ577" s="1">
        <f t="shared" si="238"/>
        <v>0.93759286775631501</v>
      </c>
      <c r="BA577" s="1">
        <f t="shared" si="239"/>
        <v>2.25037147102526</v>
      </c>
      <c r="BB577" s="1">
        <f t="shared" si="240"/>
        <v>0.78251395499767717</v>
      </c>
      <c r="BC577" s="1">
        <f t="shared" si="241"/>
        <v>0.78251395499767717</v>
      </c>
      <c r="BD577" s="1">
        <f t="shared" si="242"/>
        <v>0.41251395499767718</v>
      </c>
      <c r="BF577">
        <f t="shared" si="243"/>
        <v>7.9340000000000002</v>
      </c>
      <c r="BG577">
        <f t="shared" si="254"/>
        <v>33.545000000000002</v>
      </c>
      <c r="BH577" s="1">
        <f t="shared" si="244"/>
        <v>5.9389967229644567</v>
      </c>
      <c r="BI577" s="1">
        <f t="shared" si="245"/>
        <v>4.2280060499117722</v>
      </c>
      <c r="BJ577" s="1">
        <f t="shared" si="246"/>
        <v>0.70284093773632461</v>
      </c>
      <c r="BK577" s="1">
        <f t="shared" si="247"/>
        <v>3.0773763549281572</v>
      </c>
      <c r="BL577" s="1">
        <f t="shared" si="248"/>
        <v>0.53448818373605478</v>
      </c>
      <c r="BM577" s="1">
        <f t="shared" si="249"/>
        <v>0.53448818373605478</v>
      </c>
      <c r="BN577" s="1">
        <f t="shared" si="251"/>
        <v>2.7056362588786118E-2</v>
      </c>
      <c r="BO577" s="1">
        <f t="shared" si="225"/>
        <v>1.4168392290899454E-3</v>
      </c>
    </row>
    <row r="578" spans="1:67" x14ac:dyDescent="0.25">
      <c r="A578" s="3"/>
      <c r="B578" s="3"/>
      <c r="C578" t="s">
        <v>327</v>
      </c>
      <c r="D578" s="5">
        <v>1</v>
      </c>
      <c r="E578" s="9">
        <f t="shared" si="252"/>
        <v>41.17647058823529</v>
      </c>
      <c r="F578" s="9">
        <f t="shared" si="253"/>
        <v>0</v>
      </c>
      <c r="G578">
        <v>0</v>
      </c>
      <c r="H578">
        <v>58.82352941176471</v>
      </c>
      <c r="I578">
        <v>0</v>
      </c>
      <c r="J578">
        <v>0</v>
      </c>
      <c r="K578">
        <v>0</v>
      </c>
      <c r="L578">
        <v>0</v>
      </c>
      <c r="M578">
        <v>41.17647058823529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46</v>
      </c>
      <c r="AK578" t="s">
        <v>1</v>
      </c>
      <c r="AL578" t="s">
        <v>374</v>
      </c>
      <c r="AO578" t="s">
        <v>378</v>
      </c>
      <c r="AQ578" s="1">
        <f t="shared" si="250"/>
        <v>100</v>
      </c>
      <c r="AR578" s="1">
        <f t="shared" si="231"/>
        <v>0.41176470588235292</v>
      </c>
      <c r="AS578" s="1">
        <f t="shared" si="232"/>
        <v>0</v>
      </c>
      <c r="AT578" s="1">
        <f t="shared" si="233"/>
        <v>0.58823529411764708</v>
      </c>
      <c r="AU578" s="1">
        <f t="shared" si="234"/>
        <v>0</v>
      </c>
      <c r="AV578" s="1">
        <f t="shared" si="235"/>
        <v>0.46</v>
      </c>
      <c r="AX578" s="1">
        <f t="shared" si="236"/>
        <v>0</v>
      </c>
      <c r="AY578" s="1">
        <f t="shared" si="237"/>
        <v>0.7</v>
      </c>
      <c r="AZ578" s="1">
        <f t="shared" si="238"/>
        <v>0.5</v>
      </c>
      <c r="BA578" s="1">
        <f t="shared" si="239"/>
        <v>0.5</v>
      </c>
      <c r="BB578" s="1">
        <f t="shared" si="240"/>
        <v>0.43333333333333335</v>
      </c>
      <c r="BC578" s="1">
        <f t="shared" si="241"/>
        <v>0.43333333333333335</v>
      </c>
      <c r="BD578" s="1">
        <f t="shared" si="242"/>
        <v>2.6666666666666672E-2</v>
      </c>
      <c r="BF578">
        <f t="shared" si="243"/>
        <v>58.82352941176471</v>
      </c>
      <c r="BG578">
        <f t="shared" si="254"/>
        <v>41.17647058823529</v>
      </c>
      <c r="BH578" s="1">
        <f t="shared" si="244"/>
        <v>0</v>
      </c>
      <c r="BI578" s="1">
        <f t="shared" si="245"/>
        <v>0.69999999999999984</v>
      </c>
      <c r="BJ578" s="1">
        <f t="shared" si="246"/>
        <v>0.59</v>
      </c>
      <c r="BK578" s="1">
        <f t="shared" si="247"/>
        <v>9.6000000000000002E-2</v>
      </c>
      <c r="BL578" s="1">
        <f t="shared" si="248"/>
        <v>0.38866666666666672</v>
      </c>
      <c r="BM578" s="1">
        <f t="shared" si="249"/>
        <v>0.38866666666666672</v>
      </c>
      <c r="BN578" s="1">
        <f t="shared" si="251"/>
        <v>5.0884444444444406E-3</v>
      </c>
      <c r="BO578" s="1">
        <f t="shared" ref="BO578:BO641" si="255">(AV578-AVERAGE($AV$2:$AV$638))^2</f>
        <v>2.7414727428757718E-3</v>
      </c>
    </row>
    <row r="579" spans="1:67" x14ac:dyDescent="0.25">
      <c r="A579" s="3"/>
      <c r="B579" s="3"/>
      <c r="C579" t="s">
        <v>324</v>
      </c>
      <c r="D579" s="5">
        <v>1</v>
      </c>
      <c r="E579" s="9">
        <f t="shared" si="252"/>
        <v>47.368421052631582</v>
      </c>
      <c r="F579" s="9">
        <f t="shared" si="253"/>
        <v>0</v>
      </c>
      <c r="G579">
        <v>0</v>
      </c>
      <c r="H579">
        <v>52.631578947368418</v>
      </c>
      <c r="I579">
        <v>0</v>
      </c>
      <c r="J579">
        <v>0</v>
      </c>
      <c r="K579">
        <v>0</v>
      </c>
      <c r="L579">
        <v>0</v>
      </c>
      <c r="M579">
        <v>47.368421052631582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41</v>
      </c>
      <c r="AK579" t="s">
        <v>1</v>
      </c>
      <c r="AL579" t="s">
        <v>374</v>
      </c>
      <c r="AQ579" s="1">
        <f t="shared" si="250"/>
        <v>100</v>
      </c>
      <c r="AR579" s="1">
        <f t="shared" si="231"/>
        <v>0.47368421052631582</v>
      </c>
      <c r="AS579" s="1">
        <f t="shared" si="232"/>
        <v>0</v>
      </c>
      <c r="AT579" s="1">
        <f t="shared" si="233"/>
        <v>0.52631578947368418</v>
      </c>
      <c r="AU579" s="1">
        <f t="shared" si="234"/>
        <v>0</v>
      </c>
      <c r="AV579" s="1">
        <f t="shared" si="235"/>
        <v>0.41</v>
      </c>
      <c r="AX579" s="1">
        <f t="shared" si="236"/>
        <v>0</v>
      </c>
      <c r="AY579" s="1">
        <f t="shared" si="237"/>
        <v>0.90000000000000013</v>
      </c>
      <c r="AZ579" s="1">
        <f t="shared" si="238"/>
        <v>0.5</v>
      </c>
      <c r="BA579" s="1">
        <f t="shared" si="239"/>
        <v>0.5</v>
      </c>
      <c r="BB579" s="1">
        <f t="shared" si="240"/>
        <v>0.36666666666666659</v>
      </c>
      <c r="BC579" s="1">
        <f t="shared" si="241"/>
        <v>0.36666666666666659</v>
      </c>
      <c r="BD579" s="1">
        <f t="shared" si="242"/>
        <v>4.333333333333339E-2</v>
      </c>
      <c r="BF579">
        <f t="shared" si="243"/>
        <v>52.631578947368418</v>
      </c>
      <c r="BG579">
        <f t="shared" si="254"/>
        <v>47.368421052631582</v>
      </c>
      <c r="BH579" s="1">
        <f t="shared" si="244"/>
        <v>0</v>
      </c>
      <c r="BI579" s="1">
        <f t="shared" si="245"/>
        <v>0.90000000000000013</v>
      </c>
      <c r="BJ579" s="1">
        <f t="shared" si="246"/>
        <v>0.59</v>
      </c>
      <c r="BK579" s="1">
        <f t="shared" si="247"/>
        <v>9.6000000000000002E-2</v>
      </c>
      <c r="BL579" s="1">
        <f t="shared" si="248"/>
        <v>0.3219999999999999</v>
      </c>
      <c r="BM579" s="1">
        <f t="shared" si="249"/>
        <v>0.3219999999999999</v>
      </c>
      <c r="BN579" s="1">
        <f t="shared" si="251"/>
        <v>7.7440000000000139E-3</v>
      </c>
      <c r="BO579" s="1">
        <f t="shared" si="255"/>
        <v>5.5652352169781633E-6</v>
      </c>
    </row>
    <row r="580" spans="1:67" x14ac:dyDescent="0.25">
      <c r="A580" s="3"/>
      <c r="B580" s="3"/>
      <c r="C580" t="s">
        <v>325</v>
      </c>
      <c r="D580" s="5">
        <v>1</v>
      </c>
      <c r="E580" s="9">
        <f t="shared" si="252"/>
        <v>41.17647058823529</v>
      </c>
      <c r="F580" s="9">
        <f t="shared" si="253"/>
        <v>0</v>
      </c>
      <c r="G580">
        <v>0</v>
      </c>
      <c r="H580">
        <v>58.82352941176471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41.17647058823529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34</v>
      </c>
      <c r="AK580" t="s">
        <v>1</v>
      </c>
      <c r="AL580" t="s">
        <v>374</v>
      </c>
      <c r="AQ580" s="1">
        <f t="shared" si="250"/>
        <v>100</v>
      </c>
      <c r="AR580" s="1">
        <f t="shared" si="231"/>
        <v>0.41176470588235292</v>
      </c>
      <c r="AS580" s="1">
        <f t="shared" si="232"/>
        <v>0</v>
      </c>
      <c r="AT580" s="1">
        <f t="shared" si="233"/>
        <v>0.58823529411764708</v>
      </c>
      <c r="AU580" s="1">
        <f t="shared" si="234"/>
        <v>0</v>
      </c>
      <c r="AV580" s="1">
        <f t="shared" si="235"/>
        <v>0.34</v>
      </c>
      <c r="AX580" s="1">
        <f t="shared" si="236"/>
        <v>0</v>
      </c>
      <c r="AY580" s="1">
        <f t="shared" si="237"/>
        <v>0.7</v>
      </c>
      <c r="AZ580" s="1">
        <f t="shared" si="238"/>
        <v>0.5</v>
      </c>
      <c r="BA580" s="1">
        <f t="shared" si="239"/>
        <v>0.5</v>
      </c>
      <c r="BB580" s="1">
        <f t="shared" si="240"/>
        <v>0.43333333333333335</v>
      </c>
      <c r="BC580" s="1">
        <f t="shared" si="241"/>
        <v>0.43333333333333335</v>
      </c>
      <c r="BD580" s="1">
        <f t="shared" si="242"/>
        <v>9.3333333333333324E-2</v>
      </c>
      <c r="BF580">
        <f t="shared" si="243"/>
        <v>58.82352941176471</v>
      </c>
      <c r="BG580">
        <f t="shared" si="254"/>
        <v>41.17647058823529</v>
      </c>
      <c r="BH580" s="1">
        <f t="shared" si="244"/>
        <v>0</v>
      </c>
      <c r="BI580" s="1">
        <f t="shared" si="245"/>
        <v>0.69999999999999984</v>
      </c>
      <c r="BJ580" s="1">
        <f t="shared" si="246"/>
        <v>0.59</v>
      </c>
      <c r="BK580" s="1">
        <f t="shared" si="247"/>
        <v>9.6000000000000002E-2</v>
      </c>
      <c r="BL580" s="1">
        <f t="shared" si="248"/>
        <v>0.38866666666666672</v>
      </c>
      <c r="BM580" s="1">
        <f t="shared" si="249"/>
        <v>0.38866666666666672</v>
      </c>
      <c r="BN580" s="1">
        <f t="shared" si="251"/>
        <v>2.3684444444444469E-3</v>
      </c>
      <c r="BO580" s="1">
        <f t="shared" si="255"/>
        <v>4.5752947244946671E-3</v>
      </c>
    </row>
    <row r="581" spans="1:67" x14ac:dyDescent="0.25">
      <c r="A581" s="3"/>
      <c r="B581" s="3"/>
      <c r="C581" t="s">
        <v>326</v>
      </c>
      <c r="D581" s="5">
        <v>1</v>
      </c>
      <c r="E581" s="9">
        <f t="shared" si="252"/>
        <v>47.368421052631582</v>
      </c>
      <c r="F581" s="9">
        <f t="shared" si="253"/>
        <v>0</v>
      </c>
      <c r="G581">
        <v>0</v>
      </c>
      <c r="H581">
        <v>52.631578947368418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47.368421052631582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25</v>
      </c>
      <c r="AK581" t="s">
        <v>1</v>
      </c>
      <c r="AL581" t="s">
        <v>374</v>
      </c>
      <c r="AQ581" s="1">
        <f t="shared" si="250"/>
        <v>100</v>
      </c>
      <c r="AR581" s="1">
        <f t="shared" si="231"/>
        <v>0.47368421052631582</v>
      </c>
      <c r="AS581" s="1">
        <f t="shared" si="232"/>
        <v>0</v>
      </c>
      <c r="AT581" s="1">
        <f t="shared" si="233"/>
        <v>0.52631578947368418</v>
      </c>
      <c r="AU581" s="1">
        <f t="shared" si="234"/>
        <v>0</v>
      </c>
      <c r="AV581" s="1">
        <f t="shared" si="235"/>
        <v>0.25</v>
      </c>
      <c r="AX581" s="1">
        <f t="shared" si="236"/>
        <v>0</v>
      </c>
      <c r="AY581" s="1">
        <f t="shared" si="237"/>
        <v>0.90000000000000013</v>
      </c>
      <c r="AZ581" s="1">
        <f t="shared" si="238"/>
        <v>0.5</v>
      </c>
      <c r="BA581" s="1">
        <f t="shared" si="239"/>
        <v>0.5</v>
      </c>
      <c r="BB581" s="1">
        <f t="shared" si="240"/>
        <v>0.36666666666666659</v>
      </c>
      <c r="BC581" s="1">
        <f t="shared" si="241"/>
        <v>0.36666666666666659</v>
      </c>
      <c r="BD581" s="1">
        <f t="shared" si="242"/>
        <v>0.11666666666666659</v>
      </c>
      <c r="BF581">
        <f t="shared" si="243"/>
        <v>52.631578947368418</v>
      </c>
      <c r="BG581">
        <f t="shared" si="254"/>
        <v>47.368421052631582</v>
      </c>
      <c r="BH581" s="1">
        <f t="shared" si="244"/>
        <v>0</v>
      </c>
      <c r="BI581" s="1">
        <f t="shared" si="245"/>
        <v>0.90000000000000013</v>
      </c>
      <c r="BJ581" s="1">
        <f t="shared" si="246"/>
        <v>0.59</v>
      </c>
      <c r="BK581" s="1">
        <f t="shared" si="247"/>
        <v>9.6000000000000002E-2</v>
      </c>
      <c r="BL581" s="1">
        <f t="shared" si="248"/>
        <v>0.3219999999999999</v>
      </c>
      <c r="BM581" s="1">
        <f t="shared" si="249"/>
        <v>0.3219999999999999</v>
      </c>
      <c r="BN581" s="1">
        <f t="shared" si="251"/>
        <v>5.1839999999999855E-3</v>
      </c>
      <c r="BO581" s="1">
        <f t="shared" si="255"/>
        <v>2.4850661210708846E-2</v>
      </c>
    </row>
    <row r="582" spans="1:67" x14ac:dyDescent="0.25">
      <c r="A582" s="3"/>
      <c r="B582" s="3"/>
      <c r="C582" t="s">
        <v>329</v>
      </c>
      <c r="D582" s="5">
        <v>1</v>
      </c>
      <c r="E582" s="9">
        <f t="shared" si="252"/>
        <v>13.34</v>
      </c>
      <c r="F582" s="9">
        <f t="shared" si="253"/>
        <v>0.79070636601470046</v>
      </c>
      <c r="G582">
        <v>4.04</v>
      </c>
      <c r="H582">
        <v>16.8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13.34</v>
      </c>
      <c r="P582">
        <v>0</v>
      </c>
      <c r="Q582">
        <v>63.47</v>
      </c>
      <c r="R582">
        <v>0</v>
      </c>
      <c r="S582">
        <v>0</v>
      </c>
      <c r="T582">
        <v>0</v>
      </c>
      <c r="U582">
        <v>2.35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39.690729833140168</v>
      </c>
      <c r="AK582" t="s">
        <v>1</v>
      </c>
      <c r="AL582" t="s">
        <v>374</v>
      </c>
      <c r="AM582" t="s">
        <v>414</v>
      </c>
      <c r="AO582" t="s">
        <v>378</v>
      </c>
      <c r="AQ582" s="1">
        <f t="shared" si="250"/>
        <v>100</v>
      </c>
      <c r="AR582" s="1">
        <f t="shared" si="231"/>
        <v>0.13339999999999999</v>
      </c>
      <c r="AS582" s="1">
        <f t="shared" si="232"/>
        <v>4.0399999999999998E-2</v>
      </c>
      <c r="AT582" s="1">
        <f t="shared" si="233"/>
        <v>0.16800000000000001</v>
      </c>
      <c r="AU582" s="1">
        <f t="shared" si="234"/>
        <v>0.63470000000000004</v>
      </c>
      <c r="AV582" s="1">
        <f t="shared" si="235"/>
        <v>0.3969072983314017</v>
      </c>
      <c r="AX582" s="1">
        <f t="shared" si="236"/>
        <v>3.0455854126679465</v>
      </c>
      <c r="AY582" s="1">
        <f t="shared" si="237"/>
        <v>0.64011516314779271</v>
      </c>
      <c r="AZ582" s="1">
        <f t="shared" si="238"/>
        <v>0.69034908829174668</v>
      </c>
      <c r="BA582" s="1">
        <f t="shared" si="239"/>
        <v>1.2613963531669867</v>
      </c>
      <c r="BB582" s="1">
        <f t="shared" si="240"/>
        <v>0.64011516314779271</v>
      </c>
      <c r="BC582" s="1">
        <f t="shared" si="241"/>
        <v>0.64011516314779271</v>
      </c>
      <c r="BD582" s="1">
        <f t="shared" si="242"/>
        <v>0.24320786481639101</v>
      </c>
      <c r="BF582">
        <f t="shared" si="243"/>
        <v>40.010000000000005</v>
      </c>
      <c r="BG582">
        <f t="shared" si="254"/>
        <v>13.34</v>
      </c>
      <c r="BH582" s="1">
        <f t="shared" si="244"/>
        <v>1.5863534116470881</v>
      </c>
      <c r="BI582" s="1">
        <f t="shared" si="245"/>
        <v>0.3334166458385403</v>
      </c>
      <c r="BJ582" s="1">
        <f t="shared" si="246"/>
        <v>0.62014071482129463</v>
      </c>
      <c r="BK582" s="1">
        <f t="shared" si="247"/>
        <v>0.8923494126468382</v>
      </c>
      <c r="BL582" s="1">
        <f t="shared" si="248"/>
        <v>0.3334166458385403</v>
      </c>
      <c r="BM582" s="1">
        <f t="shared" si="249"/>
        <v>0.3334166458385403</v>
      </c>
      <c r="BN582" s="1">
        <f t="shared" si="251"/>
        <v>4.0310629539692874E-3</v>
      </c>
      <c r="BO582" s="1">
        <f t="shared" si="255"/>
        <v>1.152107398167124E-4</v>
      </c>
    </row>
    <row r="583" spans="1:67" x14ac:dyDescent="0.25">
      <c r="A583" s="3"/>
      <c r="B583" s="3"/>
      <c r="C583" t="s">
        <v>330</v>
      </c>
      <c r="D583" s="6">
        <v>1</v>
      </c>
      <c r="E583" s="9">
        <f t="shared" si="252"/>
        <v>13.35</v>
      </c>
      <c r="F583" s="9">
        <f t="shared" si="253"/>
        <v>0.79070636601470046</v>
      </c>
      <c r="G583">
        <v>4.04</v>
      </c>
      <c r="H583">
        <v>16.8</v>
      </c>
      <c r="I583">
        <v>0</v>
      </c>
      <c r="J583">
        <v>0</v>
      </c>
      <c r="K583">
        <v>0</v>
      </c>
      <c r="L583">
        <v>3.34</v>
      </c>
      <c r="M583">
        <v>0</v>
      </c>
      <c r="N583">
        <v>0</v>
      </c>
      <c r="O583">
        <v>10.01</v>
      </c>
      <c r="P583">
        <v>0</v>
      </c>
      <c r="Q583">
        <v>63.47</v>
      </c>
      <c r="R583">
        <v>0</v>
      </c>
      <c r="S583">
        <v>0</v>
      </c>
      <c r="T583">
        <v>0</v>
      </c>
      <c r="U583">
        <v>2.35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36.368000523699209</v>
      </c>
      <c r="AK583" t="s">
        <v>1</v>
      </c>
      <c r="AL583" t="s">
        <v>374</v>
      </c>
      <c r="AQ583" s="1">
        <f t="shared" si="250"/>
        <v>100.00999999999999</v>
      </c>
      <c r="AR583" s="1">
        <f t="shared" si="231"/>
        <v>0.13350000000000001</v>
      </c>
      <c r="AS583" s="1">
        <f t="shared" si="232"/>
        <v>4.0399999999999998E-2</v>
      </c>
      <c r="AT583" s="1">
        <f t="shared" si="233"/>
        <v>0.16800000000000001</v>
      </c>
      <c r="AU583" s="1">
        <f t="shared" si="234"/>
        <v>0.63470000000000004</v>
      </c>
      <c r="AV583" s="1">
        <f t="shared" si="235"/>
        <v>0.36368000523699207</v>
      </c>
      <c r="AX583" s="1">
        <f t="shared" si="236"/>
        <v>3.0455854126679465</v>
      </c>
      <c r="AY583" s="1">
        <f t="shared" si="237"/>
        <v>0.64059500959692905</v>
      </c>
      <c r="AZ583" s="1">
        <f t="shared" si="238"/>
        <v>0.69034908829174668</v>
      </c>
      <c r="BA583" s="1">
        <f t="shared" si="239"/>
        <v>1.2613963531669867</v>
      </c>
      <c r="BB583" s="1">
        <f t="shared" si="240"/>
        <v>0.64059500959692905</v>
      </c>
      <c r="BC583" s="1">
        <f t="shared" si="241"/>
        <v>0.64059500959692905</v>
      </c>
      <c r="BD583" s="1">
        <f t="shared" si="242"/>
        <v>0.27691500435993699</v>
      </c>
      <c r="BF583">
        <f t="shared" si="243"/>
        <v>40.010000000000005</v>
      </c>
      <c r="BG583">
        <f t="shared" si="254"/>
        <v>13.35</v>
      </c>
      <c r="BH583" s="1">
        <f t="shared" si="244"/>
        <v>1.5863534116470881</v>
      </c>
      <c r="BI583" s="1">
        <f t="shared" si="245"/>
        <v>0.33366658335416138</v>
      </c>
      <c r="BJ583" s="1">
        <f t="shared" si="246"/>
        <v>0.62014071482129463</v>
      </c>
      <c r="BK583" s="1">
        <f t="shared" si="247"/>
        <v>0.8923494126468382</v>
      </c>
      <c r="BL583" s="1">
        <f t="shared" si="248"/>
        <v>0.33366658335416138</v>
      </c>
      <c r="BM583" s="1">
        <f t="shared" si="249"/>
        <v>0.33366658335416138</v>
      </c>
      <c r="BN583" s="1">
        <f t="shared" si="251"/>
        <v>9.0080549311677969E-4</v>
      </c>
      <c r="BO583" s="1">
        <f t="shared" si="255"/>
        <v>1.9325624596758712E-3</v>
      </c>
    </row>
    <row r="584" spans="1:67" x14ac:dyDescent="0.25">
      <c r="A584" s="3"/>
      <c r="B584" s="3"/>
      <c r="C584" t="s">
        <v>331</v>
      </c>
      <c r="D584" s="5">
        <v>1</v>
      </c>
      <c r="E584" s="9">
        <f t="shared" si="252"/>
        <v>13.34</v>
      </c>
      <c r="F584" s="9">
        <f t="shared" si="253"/>
        <v>0.79070636601470046</v>
      </c>
      <c r="G584">
        <v>4.04</v>
      </c>
      <c r="H584">
        <v>16.8</v>
      </c>
      <c r="I584">
        <v>0</v>
      </c>
      <c r="J584">
        <v>0</v>
      </c>
      <c r="K584">
        <v>0</v>
      </c>
      <c r="L584">
        <v>5.34</v>
      </c>
      <c r="M584">
        <v>0</v>
      </c>
      <c r="N584">
        <v>0</v>
      </c>
      <c r="O584">
        <v>8</v>
      </c>
      <c r="P584">
        <v>0</v>
      </c>
      <c r="Q584">
        <v>63.47</v>
      </c>
      <c r="R584">
        <v>0</v>
      </c>
      <c r="S584">
        <v>0</v>
      </c>
      <c r="T584">
        <v>0</v>
      </c>
      <c r="U584">
        <v>2.35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35.725130843291723</v>
      </c>
      <c r="AK584" t="s">
        <v>1</v>
      </c>
      <c r="AL584" t="s">
        <v>374</v>
      </c>
      <c r="AQ584" s="1">
        <f t="shared" si="250"/>
        <v>100</v>
      </c>
      <c r="AR584" s="1">
        <f t="shared" si="231"/>
        <v>0.13339999999999999</v>
      </c>
      <c r="AS584" s="1">
        <f t="shared" si="232"/>
        <v>4.0399999999999998E-2</v>
      </c>
      <c r="AT584" s="1">
        <f t="shared" si="233"/>
        <v>0.16800000000000001</v>
      </c>
      <c r="AU584" s="1">
        <f t="shared" si="234"/>
        <v>0.63470000000000004</v>
      </c>
      <c r="AV584" s="1">
        <f t="shared" si="235"/>
        <v>0.35725130843291725</v>
      </c>
      <c r="AX584" s="1">
        <f t="shared" si="236"/>
        <v>3.0455854126679465</v>
      </c>
      <c r="AY584" s="1">
        <f t="shared" si="237"/>
        <v>0.64011516314779271</v>
      </c>
      <c r="AZ584" s="1">
        <f t="shared" si="238"/>
        <v>0.69034908829174668</v>
      </c>
      <c r="BA584" s="1">
        <f t="shared" si="239"/>
        <v>1.2613963531669867</v>
      </c>
      <c r="BB584" s="1">
        <f t="shared" si="240"/>
        <v>0.64011516314779271</v>
      </c>
      <c r="BC584" s="1">
        <f t="shared" si="241"/>
        <v>0.64011516314779271</v>
      </c>
      <c r="BD584" s="1">
        <f t="shared" si="242"/>
        <v>0.28286385471487546</v>
      </c>
      <c r="BF584">
        <f t="shared" si="243"/>
        <v>40.010000000000005</v>
      </c>
      <c r="BG584">
        <f t="shared" si="254"/>
        <v>13.34</v>
      </c>
      <c r="BH584" s="1">
        <f t="shared" si="244"/>
        <v>1.5863534116470881</v>
      </c>
      <c r="BI584" s="1">
        <f t="shared" si="245"/>
        <v>0.3334166458385403</v>
      </c>
      <c r="BJ584" s="1">
        <f t="shared" si="246"/>
        <v>0.62014071482129463</v>
      </c>
      <c r="BK584" s="1">
        <f t="shared" si="247"/>
        <v>0.8923494126468382</v>
      </c>
      <c r="BL584" s="1">
        <f t="shared" si="248"/>
        <v>0.3334166458385403</v>
      </c>
      <c r="BM584" s="1">
        <f t="shared" si="249"/>
        <v>0.3334166458385403</v>
      </c>
      <c r="BN584" s="1">
        <f t="shared" si="251"/>
        <v>5.6809114098779138E-4</v>
      </c>
      <c r="BO584" s="1">
        <f t="shared" si="255"/>
        <v>2.5391134500591492E-3</v>
      </c>
    </row>
    <row r="585" spans="1:67" x14ac:dyDescent="0.25">
      <c r="A585" s="3"/>
      <c r="B585" s="3"/>
      <c r="C585" t="s">
        <v>332</v>
      </c>
      <c r="D585" s="5">
        <v>1</v>
      </c>
      <c r="E585" s="9">
        <f t="shared" si="252"/>
        <v>13.34</v>
      </c>
      <c r="F585" s="9">
        <f t="shared" si="253"/>
        <v>0.79070636601470046</v>
      </c>
      <c r="G585">
        <v>4.04</v>
      </c>
      <c r="H585">
        <v>16.8</v>
      </c>
      <c r="I585">
        <v>0</v>
      </c>
      <c r="J585">
        <v>0</v>
      </c>
      <c r="K585">
        <v>0</v>
      </c>
      <c r="L585">
        <v>6.67</v>
      </c>
      <c r="M585">
        <v>0</v>
      </c>
      <c r="N585">
        <v>0</v>
      </c>
      <c r="O585">
        <v>6.67</v>
      </c>
      <c r="P585">
        <v>0</v>
      </c>
      <c r="Q585">
        <v>63.47</v>
      </c>
      <c r="R585">
        <v>0</v>
      </c>
      <c r="S585">
        <v>0</v>
      </c>
      <c r="T585">
        <v>0</v>
      </c>
      <c r="U585">
        <v>2.35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36.771194916750012</v>
      </c>
      <c r="AK585" t="s">
        <v>1</v>
      </c>
      <c r="AL585" t="s">
        <v>374</v>
      </c>
      <c r="AQ585" s="1">
        <f t="shared" si="250"/>
        <v>100</v>
      </c>
      <c r="AR585" s="1">
        <f t="shared" si="231"/>
        <v>0.13339999999999999</v>
      </c>
      <c r="AS585" s="1">
        <f t="shared" si="232"/>
        <v>4.0399999999999998E-2</v>
      </c>
      <c r="AT585" s="1">
        <f t="shared" si="233"/>
        <v>0.16800000000000001</v>
      </c>
      <c r="AU585" s="1">
        <f t="shared" si="234"/>
        <v>0.63470000000000004</v>
      </c>
      <c r="AV585" s="1">
        <f t="shared" si="235"/>
        <v>0.36771194916750011</v>
      </c>
      <c r="AX585" s="1">
        <f t="shared" si="236"/>
        <v>3.0455854126679465</v>
      </c>
      <c r="AY585" s="1">
        <f t="shared" si="237"/>
        <v>0.64011516314779271</v>
      </c>
      <c r="AZ585" s="1">
        <f t="shared" si="238"/>
        <v>0.69034908829174668</v>
      </c>
      <c r="BA585" s="1">
        <f t="shared" si="239"/>
        <v>1.2613963531669867</v>
      </c>
      <c r="BB585" s="1">
        <f t="shared" si="240"/>
        <v>0.64011516314779271</v>
      </c>
      <c r="BC585" s="1">
        <f t="shared" si="241"/>
        <v>0.64011516314779271</v>
      </c>
      <c r="BD585" s="1">
        <f t="shared" si="242"/>
        <v>0.2724032139802926</v>
      </c>
      <c r="BF585">
        <f t="shared" si="243"/>
        <v>40.010000000000005</v>
      </c>
      <c r="BG585">
        <f t="shared" si="254"/>
        <v>13.34</v>
      </c>
      <c r="BH585" s="1">
        <f t="shared" si="244"/>
        <v>1.5863534116470881</v>
      </c>
      <c r="BI585" s="1">
        <f t="shared" si="245"/>
        <v>0.3334166458385403</v>
      </c>
      <c r="BJ585" s="1">
        <f t="shared" si="246"/>
        <v>0.62014071482129463</v>
      </c>
      <c r="BK585" s="1">
        <f t="shared" si="247"/>
        <v>0.8923494126468382</v>
      </c>
      <c r="BL585" s="1">
        <f t="shared" si="248"/>
        <v>0.3334166458385403</v>
      </c>
      <c r="BM585" s="1">
        <f t="shared" si="249"/>
        <v>0.3334166458385403</v>
      </c>
      <c r="BN585" s="1">
        <f t="shared" si="251"/>
        <v>1.1761678304253614E-3</v>
      </c>
      <c r="BO585" s="1">
        <f t="shared" si="255"/>
        <v>1.5943231049162065E-3</v>
      </c>
    </row>
    <row r="586" spans="1:67" x14ac:dyDescent="0.25">
      <c r="A586" s="3"/>
      <c r="B586" s="3"/>
      <c r="C586" t="s">
        <v>333</v>
      </c>
      <c r="D586" s="5">
        <v>1</v>
      </c>
      <c r="E586" s="9">
        <f t="shared" si="252"/>
        <v>13.34</v>
      </c>
      <c r="F586" s="9">
        <f t="shared" si="253"/>
        <v>0.79070636601470046</v>
      </c>
      <c r="G586">
        <v>4.04</v>
      </c>
      <c r="H586">
        <v>16.8</v>
      </c>
      <c r="I586">
        <v>0</v>
      </c>
      <c r="J586">
        <v>0</v>
      </c>
      <c r="K586">
        <v>0</v>
      </c>
      <c r="L586">
        <v>8</v>
      </c>
      <c r="M586">
        <v>0</v>
      </c>
      <c r="N586">
        <v>0</v>
      </c>
      <c r="O586">
        <v>5.34</v>
      </c>
      <c r="P586">
        <v>0</v>
      </c>
      <c r="Q586">
        <v>63.47</v>
      </c>
      <c r="R586">
        <v>0</v>
      </c>
      <c r="S586">
        <v>0</v>
      </c>
      <c r="T586">
        <v>0</v>
      </c>
      <c r="U586">
        <v>2.35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37.74083369501632</v>
      </c>
      <c r="AK586" t="s">
        <v>1</v>
      </c>
      <c r="AL586" t="s">
        <v>374</v>
      </c>
      <c r="AQ586" s="1">
        <f t="shared" si="250"/>
        <v>100</v>
      </c>
      <c r="AR586" s="1">
        <f t="shared" si="231"/>
        <v>0.13339999999999999</v>
      </c>
      <c r="AS586" s="1">
        <f t="shared" si="232"/>
        <v>4.0399999999999998E-2</v>
      </c>
      <c r="AT586" s="1">
        <f t="shared" si="233"/>
        <v>0.16800000000000001</v>
      </c>
      <c r="AU586" s="1">
        <f t="shared" si="234"/>
        <v>0.63470000000000004</v>
      </c>
      <c r="AV586" s="1">
        <f t="shared" si="235"/>
        <v>0.37740833695016318</v>
      </c>
      <c r="AX586" s="1">
        <f t="shared" si="236"/>
        <v>3.0455854126679465</v>
      </c>
      <c r="AY586" s="1">
        <f t="shared" si="237"/>
        <v>0.64011516314779271</v>
      </c>
      <c r="AZ586" s="1">
        <f t="shared" si="238"/>
        <v>0.69034908829174668</v>
      </c>
      <c r="BA586" s="1">
        <f t="shared" si="239"/>
        <v>1.2613963531669867</v>
      </c>
      <c r="BB586" s="1">
        <f t="shared" si="240"/>
        <v>0.64011516314779271</v>
      </c>
      <c r="BC586" s="1">
        <f t="shared" si="241"/>
        <v>0.64011516314779271</v>
      </c>
      <c r="BD586" s="1">
        <f t="shared" si="242"/>
        <v>0.26270682619762953</v>
      </c>
      <c r="BF586">
        <f t="shared" si="243"/>
        <v>40.010000000000005</v>
      </c>
      <c r="BG586">
        <f t="shared" si="254"/>
        <v>13.34</v>
      </c>
      <c r="BH586" s="1">
        <f t="shared" si="244"/>
        <v>1.5863534116470881</v>
      </c>
      <c r="BI586" s="1">
        <f t="shared" si="245"/>
        <v>0.3334166458385403</v>
      </c>
      <c r="BJ586" s="1">
        <f t="shared" si="246"/>
        <v>0.62014071482129463</v>
      </c>
      <c r="BK586" s="1">
        <f t="shared" si="247"/>
        <v>0.8923494126468382</v>
      </c>
      <c r="BL586" s="1">
        <f t="shared" si="248"/>
        <v>0.3334166458385403</v>
      </c>
      <c r="BM586" s="1">
        <f t="shared" si="249"/>
        <v>0.3334166458385403</v>
      </c>
      <c r="BN586" s="1">
        <f t="shared" si="251"/>
        <v>1.9352688868604392E-3</v>
      </c>
      <c r="BO586" s="1">
        <f t="shared" si="255"/>
        <v>9.1400937556023419E-4</v>
      </c>
    </row>
    <row r="587" spans="1:67" x14ac:dyDescent="0.25">
      <c r="A587" s="3"/>
      <c r="B587" s="3"/>
      <c r="C587" t="s">
        <v>334</v>
      </c>
      <c r="D587" s="5">
        <v>1</v>
      </c>
      <c r="E587" s="9">
        <f t="shared" si="252"/>
        <v>13.35</v>
      </c>
      <c r="F587" s="9">
        <f t="shared" si="253"/>
        <v>0.79070636601470046</v>
      </c>
      <c r="G587">
        <v>4.04</v>
      </c>
      <c r="H587">
        <v>16.8</v>
      </c>
      <c r="I587">
        <v>0</v>
      </c>
      <c r="J587">
        <v>0</v>
      </c>
      <c r="K587">
        <v>0</v>
      </c>
      <c r="L587">
        <v>10.01</v>
      </c>
      <c r="M587">
        <v>0</v>
      </c>
      <c r="N587">
        <v>0</v>
      </c>
      <c r="O587">
        <v>3.34</v>
      </c>
      <c r="P587">
        <v>0</v>
      </c>
      <c r="Q587">
        <v>63.47</v>
      </c>
      <c r="R587">
        <v>0</v>
      </c>
      <c r="S587">
        <v>0</v>
      </c>
      <c r="T587">
        <v>0</v>
      </c>
      <c r="U587">
        <v>2.35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39.518350345983158</v>
      </c>
      <c r="AK587" t="s">
        <v>1</v>
      </c>
      <c r="AL587" t="s">
        <v>374</v>
      </c>
      <c r="AQ587" s="1">
        <f t="shared" si="250"/>
        <v>100.00999999999999</v>
      </c>
      <c r="AR587" s="1">
        <f t="shared" si="231"/>
        <v>0.13350000000000001</v>
      </c>
      <c r="AS587" s="1">
        <f t="shared" si="232"/>
        <v>4.0399999999999998E-2</v>
      </c>
      <c r="AT587" s="1">
        <f t="shared" si="233"/>
        <v>0.16800000000000001</v>
      </c>
      <c r="AU587" s="1">
        <f t="shared" si="234"/>
        <v>0.63470000000000004</v>
      </c>
      <c r="AV587" s="1">
        <f t="shared" si="235"/>
        <v>0.39518350345983161</v>
      </c>
      <c r="AX587" s="1">
        <f t="shared" si="236"/>
        <v>3.0455854126679465</v>
      </c>
      <c r="AY587" s="1">
        <f t="shared" si="237"/>
        <v>0.64059500959692905</v>
      </c>
      <c r="AZ587" s="1">
        <f t="shared" si="238"/>
        <v>0.69034908829174668</v>
      </c>
      <c r="BA587" s="1">
        <f t="shared" si="239"/>
        <v>1.2613963531669867</v>
      </c>
      <c r="BB587" s="1">
        <f t="shared" si="240"/>
        <v>0.64059500959692905</v>
      </c>
      <c r="BC587" s="1">
        <f t="shared" si="241"/>
        <v>0.64059500959692905</v>
      </c>
      <c r="BD587" s="1">
        <f t="shared" si="242"/>
        <v>0.24541150613709745</v>
      </c>
      <c r="BF587">
        <f t="shared" si="243"/>
        <v>40.010000000000005</v>
      </c>
      <c r="BG587">
        <f t="shared" si="254"/>
        <v>13.35</v>
      </c>
      <c r="BH587" s="1">
        <f t="shared" si="244"/>
        <v>1.5863534116470881</v>
      </c>
      <c r="BI587" s="1">
        <f t="shared" si="245"/>
        <v>0.33366658335416138</v>
      </c>
      <c r="BJ587" s="1">
        <f t="shared" si="246"/>
        <v>0.62014071482129463</v>
      </c>
      <c r="BK587" s="1">
        <f t="shared" si="247"/>
        <v>0.8923494126468382</v>
      </c>
      <c r="BL587" s="1">
        <f t="shared" si="248"/>
        <v>0.33366658335416138</v>
      </c>
      <c r="BM587" s="1">
        <f t="shared" si="249"/>
        <v>0.33366658335416138</v>
      </c>
      <c r="BN587" s="1">
        <f t="shared" si="251"/>
        <v>3.7843314592874138E-3</v>
      </c>
      <c r="BO587" s="1">
        <f t="shared" si="255"/>
        <v>1.5518734952127552E-4</v>
      </c>
    </row>
    <row r="588" spans="1:67" x14ac:dyDescent="0.25">
      <c r="A588" s="3"/>
      <c r="B588" s="3"/>
      <c r="C588" t="s">
        <v>335</v>
      </c>
      <c r="D588" s="5">
        <v>1</v>
      </c>
      <c r="E588" s="9">
        <f t="shared" si="252"/>
        <v>13.34</v>
      </c>
      <c r="F588" s="9">
        <f t="shared" si="253"/>
        <v>0.79070636601470046</v>
      </c>
      <c r="G588">
        <v>4.04</v>
      </c>
      <c r="H588">
        <v>16.8</v>
      </c>
      <c r="I588">
        <v>0</v>
      </c>
      <c r="J588">
        <v>0</v>
      </c>
      <c r="K588">
        <v>0</v>
      </c>
      <c r="L588">
        <v>13.34</v>
      </c>
      <c r="M588">
        <v>0</v>
      </c>
      <c r="N588">
        <v>0</v>
      </c>
      <c r="O588">
        <v>0</v>
      </c>
      <c r="P588">
        <v>0</v>
      </c>
      <c r="Q588">
        <v>63.47</v>
      </c>
      <c r="R588">
        <v>0</v>
      </c>
      <c r="S588">
        <v>0</v>
      </c>
      <c r="T588">
        <v>0</v>
      </c>
      <c r="U588">
        <v>2.35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38.59856336147169</v>
      </c>
      <c r="AK588" t="s">
        <v>1</v>
      </c>
      <c r="AL588" t="s">
        <v>374</v>
      </c>
      <c r="AQ588" s="1">
        <f t="shared" si="250"/>
        <v>100</v>
      </c>
      <c r="AR588" s="1">
        <f t="shared" si="231"/>
        <v>0.13339999999999999</v>
      </c>
      <c r="AS588" s="1">
        <f t="shared" si="232"/>
        <v>4.0399999999999998E-2</v>
      </c>
      <c r="AT588" s="1">
        <f t="shared" si="233"/>
        <v>0.16800000000000001</v>
      </c>
      <c r="AU588" s="1">
        <f t="shared" si="234"/>
        <v>0.63470000000000004</v>
      </c>
      <c r="AV588" s="1">
        <f t="shared" si="235"/>
        <v>0.38598563361471688</v>
      </c>
      <c r="AX588" s="1">
        <f t="shared" si="236"/>
        <v>3.0455854126679465</v>
      </c>
      <c r="AY588" s="1">
        <f t="shared" si="237"/>
        <v>0.64011516314779271</v>
      </c>
      <c r="AZ588" s="1">
        <f t="shared" si="238"/>
        <v>0.69034908829174668</v>
      </c>
      <c r="BA588" s="1">
        <f t="shared" si="239"/>
        <v>1.2613963531669867</v>
      </c>
      <c r="BB588" s="1">
        <f t="shared" si="240"/>
        <v>0.64011516314779271</v>
      </c>
      <c r="BC588" s="1">
        <f t="shared" si="241"/>
        <v>0.64011516314779271</v>
      </c>
      <c r="BD588" s="1">
        <f t="shared" si="242"/>
        <v>0.25412952953307583</v>
      </c>
      <c r="BF588">
        <f t="shared" si="243"/>
        <v>40.010000000000005</v>
      </c>
      <c r="BG588">
        <f t="shared" si="254"/>
        <v>13.34</v>
      </c>
      <c r="BH588" s="1">
        <f t="shared" si="244"/>
        <v>1.5863534116470881</v>
      </c>
      <c r="BI588" s="1">
        <f t="shared" si="245"/>
        <v>0.3334166458385403</v>
      </c>
      <c r="BJ588" s="1">
        <f t="shared" si="246"/>
        <v>0.62014071482129463</v>
      </c>
      <c r="BK588" s="1">
        <f t="shared" si="247"/>
        <v>0.8923494126468382</v>
      </c>
      <c r="BL588" s="1">
        <f t="shared" si="248"/>
        <v>0.3334166458385403</v>
      </c>
      <c r="BM588" s="1">
        <f t="shared" si="249"/>
        <v>0.3334166458385403</v>
      </c>
      <c r="BN588" s="1">
        <f t="shared" si="251"/>
        <v>2.7634984758118024E-3</v>
      </c>
      <c r="BO588" s="1">
        <f t="shared" si="255"/>
        <v>4.6895164166444993E-4</v>
      </c>
    </row>
    <row r="589" spans="1:67" x14ac:dyDescent="0.25">
      <c r="A589" s="3"/>
      <c r="B589" s="3"/>
      <c r="C589" t="s">
        <v>336</v>
      </c>
      <c r="D589" s="5">
        <v>1</v>
      </c>
      <c r="E589" s="9">
        <f t="shared" si="252"/>
        <v>13.44</v>
      </c>
      <c r="F589" s="9">
        <f t="shared" si="253"/>
        <v>0.79070636601470046</v>
      </c>
      <c r="G589">
        <v>4.04</v>
      </c>
      <c r="H589">
        <v>16.8</v>
      </c>
      <c r="I589">
        <v>0</v>
      </c>
      <c r="J589">
        <v>0</v>
      </c>
      <c r="K589">
        <v>0</v>
      </c>
      <c r="L589">
        <v>0</v>
      </c>
      <c r="M589">
        <v>3.34</v>
      </c>
      <c r="N589">
        <v>0</v>
      </c>
      <c r="O589">
        <v>10.1</v>
      </c>
      <c r="P589">
        <v>0</v>
      </c>
      <c r="Q589">
        <v>63.47</v>
      </c>
      <c r="R589">
        <v>0</v>
      </c>
      <c r="S589">
        <v>0</v>
      </c>
      <c r="T589">
        <v>0</v>
      </c>
      <c r="U589">
        <v>2.35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40.799340682654567</v>
      </c>
      <c r="AK589" t="s">
        <v>1</v>
      </c>
      <c r="AL589" t="s">
        <v>374</v>
      </c>
      <c r="AQ589" s="1">
        <f t="shared" si="250"/>
        <v>100.1</v>
      </c>
      <c r="AR589" s="1">
        <f t="shared" si="231"/>
        <v>0.13439999999999999</v>
      </c>
      <c r="AS589" s="1">
        <f t="shared" si="232"/>
        <v>4.0399999999999998E-2</v>
      </c>
      <c r="AT589" s="1">
        <f t="shared" si="233"/>
        <v>0.16800000000000001</v>
      </c>
      <c r="AU589" s="1">
        <f t="shared" si="234"/>
        <v>0.63470000000000004</v>
      </c>
      <c r="AV589" s="1">
        <f t="shared" si="235"/>
        <v>0.40799340682654567</v>
      </c>
      <c r="AX589" s="1">
        <f t="shared" si="236"/>
        <v>3.0455854126679465</v>
      </c>
      <c r="AY589" s="1">
        <f t="shared" si="237"/>
        <v>0.64491362763915538</v>
      </c>
      <c r="AZ589" s="1">
        <f t="shared" si="238"/>
        <v>0.69034908829174668</v>
      </c>
      <c r="BA589" s="1">
        <f t="shared" si="239"/>
        <v>1.2613963531669867</v>
      </c>
      <c r="BB589" s="1">
        <f t="shared" si="240"/>
        <v>0.64491362763915538</v>
      </c>
      <c r="BC589" s="1">
        <f t="shared" si="241"/>
        <v>0.64491362763915538</v>
      </c>
      <c r="BD589" s="1">
        <f t="shared" si="242"/>
        <v>0.23692022081260972</v>
      </c>
      <c r="BF589">
        <f t="shared" si="243"/>
        <v>40.010000000000005</v>
      </c>
      <c r="BG589">
        <f t="shared" si="254"/>
        <v>13.44</v>
      </c>
      <c r="BH589" s="1">
        <f t="shared" si="244"/>
        <v>1.5863534116470881</v>
      </c>
      <c r="BI589" s="1">
        <f t="shared" si="245"/>
        <v>0.33591602099475126</v>
      </c>
      <c r="BJ589" s="1">
        <f t="shared" si="246"/>
        <v>0.62014071482129463</v>
      </c>
      <c r="BK589" s="1">
        <f t="shared" si="247"/>
        <v>0.8923494126468382</v>
      </c>
      <c r="BL589" s="1">
        <f t="shared" si="248"/>
        <v>0.33591602099475126</v>
      </c>
      <c r="BM589" s="1">
        <f t="shared" si="249"/>
        <v>0.33591602099475126</v>
      </c>
      <c r="BN589" s="1">
        <f t="shared" si="251"/>
        <v>5.1951495483453566E-3</v>
      </c>
      <c r="BO589" s="1">
        <f t="shared" si="255"/>
        <v>1.2424349203667295E-7</v>
      </c>
    </row>
    <row r="590" spans="1:67" x14ac:dyDescent="0.25">
      <c r="A590" s="3"/>
      <c r="B590" s="3"/>
      <c r="C590" t="s">
        <v>337</v>
      </c>
      <c r="D590" s="5">
        <v>1</v>
      </c>
      <c r="E590" s="9">
        <f t="shared" si="252"/>
        <v>13.34</v>
      </c>
      <c r="F590" s="9">
        <f t="shared" si="253"/>
        <v>0.79070636601470046</v>
      </c>
      <c r="G590">
        <v>4.04</v>
      </c>
      <c r="H590">
        <v>16.8</v>
      </c>
      <c r="I590">
        <v>0</v>
      </c>
      <c r="J590">
        <v>0</v>
      </c>
      <c r="K590">
        <v>0</v>
      </c>
      <c r="L590">
        <v>0</v>
      </c>
      <c r="M590">
        <v>6.67</v>
      </c>
      <c r="N590">
        <v>0</v>
      </c>
      <c r="O590">
        <v>6.67</v>
      </c>
      <c r="P590">
        <v>0</v>
      </c>
      <c r="Q590">
        <v>63.47</v>
      </c>
      <c r="R590">
        <v>0</v>
      </c>
      <c r="S590">
        <v>0</v>
      </c>
      <c r="T590">
        <v>0</v>
      </c>
      <c r="U590">
        <v>2.35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43.140266261723369</v>
      </c>
      <c r="AK590" t="s">
        <v>1</v>
      </c>
      <c r="AL590" t="s">
        <v>374</v>
      </c>
      <c r="AQ590" s="1">
        <f t="shared" si="250"/>
        <v>100</v>
      </c>
      <c r="AR590" s="1">
        <f t="shared" si="231"/>
        <v>0.13339999999999999</v>
      </c>
      <c r="AS590" s="1">
        <f t="shared" si="232"/>
        <v>4.0399999999999998E-2</v>
      </c>
      <c r="AT590" s="1">
        <f t="shared" si="233"/>
        <v>0.16800000000000001</v>
      </c>
      <c r="AU590" s="1">
        <f t="shared" si="234"/>
        <v>0.63470000000000004</v>
      </c>
      <c r="AV590" s="1">
        <f t="shared" si="235"/>
        <v>0.4314026626172337</v>
      </c>
      <c r="AX590" s="1">
        <f t="shared" si="236"/>
        <v>3.0455854126679465</v>
      </c>
      <c r="AY590" s="1">
        <f t="shared" si="237"/>
        <v>0.64011516314779271</v>
      </c>
      <c r="AZ590" s="1">
        <f t="shared" si="238"/>
        <v>0.69034908829174668</v>
      </c>
      <c r="BA590" s="1">
        <f t="shared" si="239"/>
        <v>1.2613963531669867</v>
      </c>
      <c r="BB590" s="1">
        <f t="shared" si="240"/>
        <v>0.64011516314779271</v>
      </c>
      <c r="BC590" s="1">
        <f t="shared" si="241"/>
        <v>0.64011516314779271</v>
      </c>
      <c r="BD590" s="1">
        <f t="shared" si="242"/>
        <v>0.20871250053055901</v>
      </c>
      <c r="BF590">
        <f t="shared" si="243"/>
        <v>40.010000000000005</v>
      </c>
      <c r="BG590">
        <f t="shared" si="254"/>
        <v>13.34</v>
      </c>
      <c r="BH590" s="1">
        <f t="shared" si="244"/>
        <v>1.5863534116470881</v>
      </c>
      <c r="BI590" s="1">
        <f t="shared" si="245"/>
        <v>0.3334166458385403</v>
      </c>
      <c r="BJ590" s="1">
        <f t="shared" si="246"/>
        <v>0.62014071482129463</v>
      </c>
      <c r="BK590" s="1">
        <f t="shared" si="247"/>
        <v>0.8923494126468382</v>
      </c>
      <c r="BL590" s="1">
        <f t="shared" si="248"/>
        <v>0.3334166458385403</v>
      </c>
      <c r="BM590" s="1">
        <f t="shared" si="249"/>
        <v>0.3334166458385403</v>
      </c>
      <c r="BN590" s="1">
        <f t="shared" si="251"/>
        <v>9.6012594841543841E-3</v>
      </c>
      <c r="BO590" s="1">
        <f t="shared" si="255"/>
        <v>5.6462017822998302E-4</v>
      </c>
    </row>
    <row r="591" spans="1:67" x14ac:dyDescent="0.25">
      <c r="A591" s="3"/>
      <c r="B591" s="3"/>
      <c r="C591" t="s">
        <v>338</v>
      </c>
      <c r="D591" s="5">
        <v>1</v>
      </c>
      <c r="E591" s="9">
        <f t="shared" si="252"/>
        <v>13.35</v>
      </c>
      <c r="F591" s="9">
        <f t="shared" si="253"/>
        <v>0.79070636601470046</v>
      </c>
      <c r="G591">
        <v>4.04</v>
      </c>
      <c r="H591">
        <v>16.8</v>
      </c>
      <c r="I591">
        <v>0</v>
      </c>
      <c r="J591">
        <v>0</v>
      </c>
      <c r="K591">
        <v>0</v>
      </c>
      <c r="L591">
        <v>0</v>
      </c>
      <c r="M591">
        <v>10.01</v>
      </c>
      <c r="N591">
        <v>0</v>
      </c>
      <c r="O591">
        <v>3.34</v>
      </c>
      <c r="P591">
        <v>0</v>
      </c>
      <c r="Q591">
        <v>63.47</v>
      </c>
      <c r="R591">
        <v>0</v>
      </c>
      <c r="S591">
        <v>0</v>
      </c>
      <c r="T591">
        <v>0</v>
      </c>
      <c r="U591">
        <v>2.35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38.15454115348809</v>
      </c>
      <c r="AK591" t="s">
        <v>1</v>
      </c>
      <c r="AL591" t="s">
        <v>374</v>
      </c>
      <c r="AQ591" s="1">
        <f t="shared" si="250"/>
        <v>100.00999999999999</v>
      </c>
      <c r="AR591" s="1">
        <f t="shared" si="231"/>
        <v>0.13350000000000001</v>
      </c>
      <c r="AS591" s="1">
        <f t="shared" si="232"/>
        <v>4.0399999999999998E-2</v>
      </c>
      <c r="AT591" s="1">
        <f t="shared" si="233"/>
        <v>0.16800000000000001</v>
      </c>
      <c r="AU591" s="1">
        <f t="shared" si="234"/>
        <v>0.63470000000000004</v>
      </c>
      <c r="AV591" s="1">
        <f t="shared" si="235"/>
        <v>0.38154541153488092</v>
      </c>
      <c r="AX591" s="1">
        <f t="shared" si="236"/>
        <v>3.0455854126679465</v>
      </c>
      <c r="AY591" s="1">
        <f t="shared" si="237"/>
        <v>0.64059500959692905</v>
      </c>
      <c r="AZ591" s="1">
        <f t="shared" si="238"/>
        <v>0.69034908829174668</v>
      </c>
      <c r="BA591" s="1">
        <f t="shared" si="239"/>
        <v>1.2613963531669867</v>
      </c>
      <c r="BB591" s="1">
        <f t="shared" si="240"/>
        <v>0.64059500959692905</v>
      </c>
      <c r="BC591" s="1">
        <f t="shared" si="241"/>
        <v>0.64059500959692905</v>
      </c>
      <c r="BD591" s="1">
        <f t="shared" si="242"/>
        <v>0.25904959806204814</v>
      </c>
      <c r="BF591">
        <f t="shared" si="243"/>
        <v>40.010000000000005</v>
      </c>
      <c r="BG591">
        <f t="shared" si="254"/>
        <v>13.35</v>
      </c>
      <c r="BH591" s="1">
        <f t="shared" si="244"/>
        <v>1.5863534116470881</v>
      </c>
      <c r="BI591" s="1">
        <f t="shared" si="245"/>
        <v>0.33366658335416138</v>
      </c>
      <c r="BJ591" s="1">
        <f t="shared" si="246"/>
        <v>0.62014071482129463</v>
      </c>
      <c r="BK591" s="1">
        <f t="shared" si="247"/>
        <v>0.8923494126468382</v>
      </c>
      <c r="BL591" s="1">
        <f t="shared" si="248"/>
        <v>0.33366658335416138</v>
      </c>
      <c r="BM591" s="1">
        <f t="shared" si="249"/>
        <v>0.33366658335416138</v>
      </c>
      <c r="BN591" s="1">
        <f t="shared" si="251"/>
        <v>2.2923821879588632E-3</v>
      </c>
      <c r="BO591" s="1">
        <f t="shared" si="255"/>
        <v>6.8097581901100941E-4</v>
      </c>
    </row>
    <row r="592" spans="1:67" x14ac:dyDescent="0.25">
      <c r="A592" s="3"/>
      <c r="B592" s="3"/>
      <c r="C592" t="s">
        <v>339</v>
      </c>
      <c r="D592" s="5">
        <v>1</v>
      </c>
      <c r="E592" s="9">
        <f t="shared" si="252"/>
        <v>13.34</v>
      </c>
      <c r="F592" s="9">
        <f t="shared" si="253"/>
        <v>0.79070636601470046</v>
      </c>
      <c r="G592">
        <v>4.04</v>
      </c>
      <c r="H592">
        <v>16.8</v>
      </c>
      <c r="I592">
        <v>0</v>
      </c>
      <c r="J592">
        <v>0</v>
      </c>
      <c r="K592">
        <v>0</v>
      </c>
      <c r="L592">
        <v>0</v>
      </c>
      <c r="M592">
        <v>13.34</v>
      </c>
      <c r="N592">
        <v>0</v>
      </c>
      <c r="O592">
        <v>0</v>
      </c>
      <c r="P592">
        <v>0</v>
      </c>
      <c r="Q592">
        <v>63.47</v>
      </c>
      <c r="R592">
        <v>0</v>
      </c>
      <c r="S592">
        <v>0</v>
      </c>
      <c r="T592">
        <v>0</v>
      </c>
      <c r="U592">
        <v>2.35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36.901186004118173</v>
      </c>
      <c r="AK592" t="s">
        <v>1</v>
      </c>
      <c r="AL592" t="s">
        <v>374</v>
      </c>
      <c r="AQ592" s="1">
        <f t="shared" si="250"/>
        <v>100</v>
      </c>
      <c r="AR592" s="1">
        <f t="shared" si="231"/>
        <v>0.13339999999999999</v>
      </c>
      <c r="AS592" s="1">
        <f t="shared" si="232"/>
        <v>4.0399999999999998E-2</v>
      </c>
      <c r="AT592" s="1">
        <f t="shared" si="233"/>
        <v>0.16800000000000001</v>
      </c>
      <c r="AU592" s="1">
        <f t="shared" si="234"/>
        <v>0.63470000000000004</v>
      </c>
      <c r="AV592" s="1">
        <f t="shared" si="235"/>
        <v>0.36901186004118175</v>
      </c>
      <c r="AX592" s="1">
        <f t="shared" si="236"/>
        <v>3.0455854126679465</v>
      </c>
      <c r="AY592" s="1">
        <f t="shared" si="237"/>
        <v>0.64011516314779271</v>
      </c>
      <c r="AZ592" s="1">
        <f t="shared" si="238"/>
        <v>0.69034908829174668</v>
      </c>
      <c r="BA592" s="1">
        <f t="shared" si="239"/>
        <v>1.2613963531669867</v>
      </c>
      <c r="BB592" s="1">
        <f t="shared" si="240"/>
        <v>0.64011516314779271</v>
      </c>
      <c r="BC592" s="1">
        <f t="shared" si="241"/>
        <v>0.64011516314779271</v>
      </c>
      <c r="BD592" s="1">
        <f t="shared" si="242"/>
        <v>0.27110330310661096</v>
      </c>
      <c r="BF592">
        <f t="shared" si="243"/>
        <v>40.010000000000005</v>
      </c>
      <c r="BG592">
        <f t="shared" si="254"/>
        <v>13.34</v>
      </c>
      <c r="BH592" s="1">
        <f t="shared" si="244"/>
        <v>1.5863534116470881</v>
      </c>
      <c r="BI592" s="1">
        <f t="shared" si="245"/>
        <v>0.3334166458385403</v>
      </c>
      <c r="BJ592" s="1">
        <f t="shared" si="246"/>
        <v>0.62014071482129463</v>
      </c>
      <c r="BK592" s="1">
        <f t="shared" si="247"/>
        <v>0.8923494126468382</v>
      </c>
      <c r="BL592" s="1">
        <f t="shared" si="248"/>
        <v>0.3334166458385403</v>
      </c>
      <c r="BM592" s="1">
        <f t="shared" si="249"/>
        <v>0.3334166458385403</v>
      </c>
      <c r="BN592" s="1">
        <f t="shared" si="251"/>
        <v>1.2670192741319273E-3</v>
      </c>
      <c r="BO592" s="1">
        <f t="shared" si="255"/>
        <v>1.492204653675561E-3</v>
      </c>
    </row>
    <row r="593" spans="1:67" x14ac:dyDescent="0.25">
      <c r="A593" s="3"/>
      <c r="B593" s="3"/>
      <c r="C593" t="s">
        <v>605</v>
      </c>
      <c r="D593" s="5">
        <v>1</v>
      </c>
      <c r="E593" s="9">
        <f t="shared" si="252"/>
        <v>14.310197086546699</v>
      </c>
      <c r="F593" s="9">
        <f t="shared" si="253"/>
        <v>0</v>
      </c>
      <c r="G593">
        <v>0</v>
      </c>
      <c r="H593">
        <v>85.689802913453292</v>
      </c>
      <c r="I593">
        <v>0</v>
      </c>
      <c r="J593">
        <v>0</v>
      </c>
      <c r="K593">
        <v>0</v>
      </c>
      <c r="L593">
        <v>0</v>
      </c>
      <c r="M593">
        <v>14.310197086546699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16.164999999999999</v>
      </c>
      <c r="AK593" t="s">
        <v>1</v>
      </c>
      <c r="AL593" t="s">
        <v>374</v>
      </c>
      <c r="AO593" t="s">
        <v>378</v>
      </c>
      <c r="AQ593" s="1">
        <f t="shared" si="250"/>
        <v>99.999999999999986</v>
      </c>
      <c r="AR593" s="1">
        <f t="shared" si="231"/>
        <v>0.143101970865467</v>
      </c>
      <c r="AS593" s="1">
        <f t="shared" si="232"/>
        <v>0</v>
      </c>
      <c r="AT593" s="1">
        <f t="shared" si="233"/>
        <v>0.85689802913453295</v>
      </c>
      <c r="AU593" s="1">
        <f t="shared" si="234"/>
        <v>0</v>
      </c>
      <c r="AV593" s="1">
        <f t="shared" si="235"/>
        <v>0.16164999999999999</v>
      </c>
      <c r="AX593" s="1">
        <f t="shared" si="236"/>
        <v>0</v>
      </c>
      <c r="AY593" s="1">
        <f t="shared" si="237"/>
        <v>0.16700000000000001</v>
      </c>
      <c r="AZ593" s="1">
        <f t="shared" si="238"/>
        <v>0.5</v>
      </c>
      <c r="BA593" s="1">
        <f t="shared" si="239"/>
        <v>0.5</v>
      </c>
      <c r="BB593" s="1">
        <f t="shared" si="240"/>
        <v>0.16700000000000001</v>
      </c>
      <c r="BC593" s="1">
        <f t="shared" si="241"/>
        <v>0.16700000000000001</v>
      </c>
      <c r="BD593" s="1">
        <f t="shared" si="242"/>
        <v>5.3500000000000214E-3</v>
      </c>
      <c r="BF593">
        <f t="shared" si="243"/>
        <v>85.689802913453292</v>
      </c>
      <c r="BG593">
        <f t="shared" si="254"/>
        <v>14.310197086546699</v>
      </c>
      <c r="BH593" s="1">
        <f t="shared" si="244"/>
        <v>0</v>
      </c>
      <c r="BI593" s="1">
        <f t="shared" si="245"/>
        <v>0.16699999999999998</v>
      </c>
      <c r="BJ593" s="1">
        <f t="shared" si="246"/>
        <v>0.59</v>
      </c>
      <c r="BK593" s="1">
        <f t="shared" si="247"/>
        <v>9.6000000000000002E-2</v>
      </c>
      <c r="BL593" s="1">
        <f t="shared" si="248"/>
        <v>0.16699999999999998</v>
      </c>
      <c r="BM593" s="1">
        <f t="shared" si="249"/>
        <v>0.16699999999999998</v>
      </c>
      <c r="BN593" s="1">
        <f t="shared" si="251"/>
        <v>2.8622499999999931E-5</v>
      </c>
      <c r="BO593" s="1">
        <f t="shared" si="255"/>
        <v>6.051153514467577E-2</v>
      </c>
    </row>
    <row r="594" spans="1:67" x14ac:dyDescent="0.25">
      <c r="A594" s="3"/>
      <c r="B594" s="3"/>
      <c r="C594" t="s">
        <v>606</v>
      </c>
      <c r="D594" s="5">
        <v>1</v>
      </c>
      <c r="E594" s="9">
        <f t="shared" si="252"/>
        <v>25.03748125937031</v>
      </c>
      <c r="F594" s="9">
        <f t="shared" si="253"/>
        <v>0</v>
      </c>
      <c r="G594">
        <v>0</v>
      </c>
      <c r="H594">
        <v>74.962518740629676</v>
      </c>
      <c r="I594">
        <v>0</v>
      </c>
      <c r="J594">
        <v>0</v>
      </c>
      <c r="K594">
        <v>0</v>
      </c>
      <c r="L594">
        <v>0</v>
      </c>
      <c r="M594">
        <v>25.03748125937031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31.692</v>
      </c>
      <c r="AK594" t="s">
        <v>1</v>
      </c>
      <c r="AL594" t="s">
        <v>374</v>
      </c>
      <c r="AQ594" s="1">
        <f t="shared" si="250"/>
        <v>99.999999999999986</v>
      </c>
      <c r="AR594" s="1">
        <f t="shared" si="231"/>
        <v>0.25037481259370309</v>
      </c>
      <c r="AS594" s="1">
        <f t="shared" si="232"/>
        <v>0</v>
      </c>
      <c r="AT594" s="1">
        <f t="shared" si="233"/>
        <v>0.7496251874062968</v>
      </c>
      <c r="AU594" s="1">
        <f t="shared" si="234"/>
        <v>0</v>
      </c>
      <c r="AV594" s="1">
        <f t="shared" si="235"/>
        <v>0.31691999999999998</v>
      </c>
      <c r="AX594" s="1">
        <f t="shared" si="236"/>
        <v>0</v>
      </c>
      <c r="AY594" s="1">
        <f t="shared" si="237"/>
        <v>0.33399999999999996</v>
      </c>
      <c r="AZ594" s="1">
        <f t="shared" si="238"/>
        <v>0.5</v>
      </c>
      <c r="BA594" s="1">
        <f t="shared" si="239"/>
        <v>0.5</v>
      </c>
      <c r="BB594" s="1">
        <f t="shared" si="240"/>
        <v>0.33399999999999996</v>
      </c>
      <c r="BC594" s="1">
        <f t="shared" si="241"/>
        <v>0.33399999999999996</v>
      </c>
      <c r="BD594" s="1">
        <f t="shared" si="242"/>
        <v>1.7079999999999984E-2</v>
      </c>
      <c r="BF594">
        <f t="shared" si="243"/>
        <v>74.962518740629676</v>
      </c>
      <c r="BG594">
        <f t="shared" si="254"/>
        <v>25.03748125937031</v>
      </c>
      <c r="BH594" s="1">
        <f t="shared" si="244"/>
        <v>0</v>
      </c>
      <c r="BI594" s="1">
        <f t="shared" si="245"/>
        <v>0.33399999999999996</v>
      </c>
      <c r="BJ594" s="1">
        <f t="shared" si="246"/>
        <v>0.59</v>
      </c>
      <c r="BK594" s="1">
        <f t="shared" si="247"/>
        <v>9.6000000000000002E-2</v>
      </c>
      <c r="BL594" s="1">
        <f t="shared" si="248"/>
        <v>0.33399999999999996</v>
      </c>
      <c r="BM594" s="1">
        <f t="shared" si="249"/>
        <v>0.33399999999999996</v>
      </c>
      <c r="BN594" s="1">
        <f t="shared" si="251"/>
        <v>2.9172639999999945E-4</v>
      </c>
      <c r="BO594" s="1">
        <f t="shared" si="255"/>
        <v>8.2302862189593765E-3</v>
      </c>
    </row>
    <row r="595" spans="1:67" x14ac:dyDescent="0.25">
      <c r="A595" s="3"/>
      <c r="B595" s="3"/>
      <c r="C595" t="s">
        <v>607</v>
      </c>
      <c r="D595" s="6">
        <v>1</v>
      </c>
      <c r="E595" s="1"/>
      <c r="F595" s="1"/>
      <c r="G595">
        <v>0</v>
      </c>
      <c r="H595">
        <v>66.666666666666657</v>
      </c>
      <c r="I595">
        <v>0</v>
      </c>
      <c r="J595">
        <v>0</v>
      </c>
      <c r="K595">
        <v>0</v>
      </c>
      <c r="L595">
        <v>0</v>
      </c>
      <c r="M595">
        <v>33.333333333333329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38.933999999999997</v>
      </c>
      <c r="AK595" t="s">
        <v>1</v>
      </c>
      <c r="AL595" t="s">
        <v>374</v>
      </c>
      <c r="AQ595" s="1">
        <f t="shared" si="250"/>
        <v>99.999999999999986</v>
      </c>
      <c r="AR595" s="1">
        <f t="shared" si="231"/>
        <v>0.33333333333333326</v>
      </c>
      <c r="AS595" s="1">
        <f t="shared" si="232"/>
        <v>0</v>
      </c>
      <c r="AT595" s="1">
        <f t="shared" si="233"/>
        <v>0.66666666666666652</v>
      </c>
      <c r="AU595" s="1">
        <f t="shared" si="234"/>
        <v>0</v>
      </c>
      <c r="AV595" s="1">
        <f t="shared" si="235"/>
        <v>0.38933999999999996</v>
      </c>
      <c r="AX595" s="1">
        <f t="shared" si="236"/>
        <v>0</v>
      </c>
      <c r="AY595" s="1">
        <f t="shared" si="237"/>
        <v>0.5</v>
      </c>
      <c r="AZ595" s="1">
        <f t="shared" si="238"/>
        <v>0.5</v>
      </c>
      <c r="BA595" s="1">
        <f t="shared" si="239"/>
        <v>0.5</v>
      </c>
      <c r="BB595" s="1">
        <f t="shared" si="240"/>
        <v>0.5</v>
      </c>
      <c r="BC595" s="1">
        <f t="shared" si="241"/>
        <v>0.5</v>
      </c>
      <c r="BD595" s="1">
        <f t="shared" si="242"/>
        <v>0.11066000000000004</v>
      </c>
      <c r="BF595">
        <f t="shared" si="243"/>
        <v>66.666666666666657</v>
      </c>
      <c r="BG595">
        <f t="shared" si="254"/>
        <v>33.333333333333329</v>
      </c>
      <c r="BH595" s="1">
        <f t="shared" si="244"/>
        <v>0</v>
      </c>
      <c r="BI595" s="1">
        <f t="shared" si="245"/>
        <v>0.5</v>
      </c>
      <c r="BJ595" s="1">
        <f t="shared" si="246"/>
        <v>0.59</v>
      </c>
      <c r="BK595" s="1">
        <f t="shared" si="247"/>
        <v>9.6000000000000002E-2</v>
      </c>
      <c r="BL595" s="1">
        <f t="shared" si="248"/>
        <v>0.5</v>
      </c>
      <c r="BM595" s="1">
        <f t="shared" si="249"/>
        <v>0.5</v>
      </c>
      <c r="BN595" s="1">
        <f t="shared" si="251"/>
        <v>1.2245635600000008E-2</v>
      </c>
      <c r="BO595" s="1">
        <f t="shared" si="255"/>
        <v>3.3492385305236696E-4</v>
      </c>
    </row>
    <row r="596" spans="1:67" x14ac:dyDescent="0.25">
      <c r="A596" s="3"/>
      <c r="B596" s="3"/>
      <c r="C596" t="s">
        <v>608</v>
      </c>
      <c r="D596" s="5">
        <v>1</v>
      </c>
      <c r="E596" s="9">
        <f t="shared" ref="E596:E609" si="256">I596+L596+M596+N596+O596+V596+X596+AB596+AD596</f>
        <v>40.011997600479901</v>
      </c>
      <c r="F596" s="9">
        <f t="shared" ref="F596:F609" si="257">Q596/(H596+P596+Q596+AC596)</f>
        <v>0</v>
      </c>
      <c r="G596">
        <v>0</v>
      </c>
      <c r="H596">
        <v>59.988002399520092</v>
      </c>
      <c r="I596">
        <v>0</v>
      </c>
      <c r="J596">
        <v>0</v>
      </c>
      <c r="K596">
        <v>0</v>
      </c>
      <c r="L596">
        <v>0</v>
      </c>
      <c r="M596">
        <v>40.011997600479901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44.831000000000003</v>
      </c>
      <c r="AK596" t="s">
        <v>1</v>
      </c>
      <c r="AL596" t="s">
        <v>374</v>
      </c>
      <c r="AQ596" s="1">
        <f t="shared" si="250"/>
        <v>100</v>
      </c>
      <c r="AR596" s="1">
        <f t="shared" si="231"/>
        <v>0.40011997600479904</v>
      </c>
      <c r="AS596" s="1">
        <f t="shared" si="232"/>
        <v>0</v>
      </c>
      <c r="AT596" s="1">
        <f t="shared" si="233"/>
        <v>0.59988002399520091</v>
      </c>
      <c r="AU596" s="1">
        <f t="shared" si="234"/>
        <v>0</v>
      </c>
      <c r="AV596" s="1">
        <f t="shared" si="235"/>
        <v>0.44831000000000004</v>
      </c>
      <c r="AX596" s="1">
        <f t="shared" si="236"/>
        <v>0</v>
      </c>
      <c r="AY596" s="1">
        <f t="shared" si="237"/>
        <v>0.66700000000000004</v>
      </c>
      <c r="AZ596" s="1">
        <f t="shared" si="238"/>
        <v>0.5</v>
      </c>
      <c r="BA596" s="1">
        <f t="shared" si="239"/>
        <v>0.5</v>
      </c>
      <c r="BB596" s="1">
        <f t="shared" si="240"/>
        <v>0.4443333333333333</v>
      </c>
      <c r="BC596" s="1">
        <f t="shared" si="241"/>
        <v>0.4443333333333333</v>
      </c>
      <c r="BD596" s="1">
        <f t="shared" si="242"/>
        <v>3.9766666666667394E-3</v>
      </c>
      <c r="BF596">
        <f t="shared" si="243"/>
        <v>59.988002399520092</v>
      </c>
      <c r="BG596">
        <f t="shared" si="254"/>
        <v>40.011997600479901</v>
      </c>
      <c r="BH596" s="1">
        <f t="shared" si="244"/>
        <v>0</v>
      </c>
      <c r="BI596" s="1">
        <f t="shared" si="245"/>
        <v>0.66700000000000004</v>
      </c>
      <c r="BJ596" s="1">
        <f t="shared" si="246"/>
        <v>0.59</v>
      </c>
      <c r="BK596" s="1">
        <f t="shared" si="247"/>
        <v>9.6000000000000002E-2</v>
      </c>
      <c r="BL596" s="1">
        <f t="shared" si="248"/>
        <v>0.39966666666666661</v>
      </c>
      <c r="BM596" s="1">
        <f t="shared" si="249"/>
        <v>0.39966666666666661</v>
      </c>
      <c r="BN596" s="1">
        <f t="shared" si="251"/>
        <v>2.3661738777777867E-3</v>
      </c>
      <c r="BO596" s="1">
        <f t="shared" si="255"/>
        <v>1.6539736675851477E-3</v>
      </c>
    </row>
    <row r="597" spans="1:67" x14ac:dyDescent="0.25">
      <c r="A597" s="3"/>
      <c r="B597" s="3"/>
      <c r="C597" t="s">
        <v>609</v>
      </c>
      <c r="D597" s="5">
        <v>1</v>
      </c>
      <c r="E597" s="9">
        <f t="shared" si="256"/>
        <v>44.994499449944989</v>
      </c>
      <c r="F597" s="9">
        <f t="shared" si="257"/>
        <v>0</v>
      </c>
      <c r="G597">
        <v>0</v>
      </c>
      <c r="H597">
        <v>55.005500550055011</v>
      </c>
      <c r="I597">
        <v>0</v>
      </c>
      <c r="J597">
        <v>0</v>
      </c>
      <c r="K597">
        <v>0</v>
      </c>
      <c r="L597">
        <v>0</v>
      </c>
      <c r="M597">
        <v>44.994499449944989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39.976999999999997</v>
      </c>
      <c r="AK597" t="s">
        <v>1</v>
      </c>
      <c r="AL597" t="s">
        <v>374</v>
      </c>
      <c r="AQ597" s="1">
        <f t="shared" si="250"/>
        <v>100</v>
      </c>
      <c r="AR597" s="1">
        <f t="shared" si="231"/>
        <v>0.44994499449944991</v>
      </c>
      <c r="AS597" s="1">
        <f t="shared" si="232"/>
        <v>0</v>
      </c>
      <c r="AT597" s="1">
        <f t="shared" si="233"/>
        <v>0.55005500550055009</v>
      </c>
      <c r="AU597" s="1">
        <f t="shared" si="234"/>
        <v>0</v>
      </c>
      <c r="AV597" s="1">
        <f t="shared" si="235"/>
        <v>0.39976999999999996</v>
      </c>
      <c r="AX597" s="1">
        <f t="shared" si="236"/>
        <v>0</v>
      </c>
      <c r="AY597" s="1">
        <f t="shared" si="237"/>
        <v>0.81799999999999984</v>
      </c>
      <c r="AZ597" s="1">
        <f t="shared" si="238"/>
        <v>0.5</v>
      </c>
      <c r="BA597" s="1">
        <f t="shared" si="239"/>
        <v>0.5</v>
      </c>
      <c r="BB597" s="1">
        <f t="shared" si="240"/>
        <v>0.39400000000000007</v>
      </c>
      <c r="BC597" s="1">
        <f t="shared" si="241"/>
        <v>0.39400000000000007</v>
      </c>
      <c r="BD597" s="1">
        <f t="shared" si="242"/>
        <v>5.7699999999998863E-3</v>
      </c>
      <c r="BF597">
        <f t="shared" si="243"/>
        <v>55.005500550055011</v>
      </c>
      <c r="BG597">
        <f t="shared" si="254"/>
        <v>44.994499449944989</v>
      </c>
      <c r="BH597" s="1">
        <f t="shared" si="244"/>
        <v>0</v>
      </c>
      <c r="BI597" s="1">
        <f t="shared" si="245"/>
        <v>0.81799999999999984</v>
      </c>
      <c r="BJ597" s="1">
        <f t="shared" si="246"/>
        <v>0.59</v>
      </c>
      <c r="BK597" s="1">
        <f t="shared" si="247"/>
        <v>9.6000000000000002E-2</v>
      </c>
      <c r="BL597" s="1">
        <f t="shared" si="248"/>
        <v>0.34933333333333338</v>
      </c>
      <c r="BM597" s="1">
        <f t="shared" si="249"/>
        <v>0.34933333333333338</v>
      </c>
      <c r="BN597" s="1">
        <f t="shared" si="251"/>
        <v>2.5438573444444353E-3</v>
      </c>
      <c r="BO597" s="1">
        <f t="shared" si="255"/>
        <v>6.1951459149990181E-5</v>
      </c>
    </row>
    <row r="598" spans="1:67" x14ac:dyDescent="0.25">
      <c r="A598" s="3"/>
      <c r="B598" s="3"/>
      <c r="C598" t="s">
        <v>610</v>
      </c>
      <c r="D598" s="5">
        <v>1</v>
      </c>
      <c r="E598" s="9">
        <f t="shared" si="256"/>
        <v>14.310197086546699</v>
      </c>
      <c r="F598" s="9">
        <f t="shared" si="257"/>
        <v>0</v>
      </c>
      <c r="G598">
        <v>0</v>
      </c>
      <c r="H598">
        <v>85.689802913453292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14.310197086546699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15.436999999999999</v>
      </c>
      <c r="AK598" t="s">
        <v>1</v>
      </c>
      <c r="AL598" t="s">
        <v>374</v>
      </c>
      <c r="AQ598" s="1">
        <f t="shared" si="250"/>
        <v>99.999999999999986</v>
      </c>
      <c r="AR598" s="1">
        <f t="shared" si="231"/>
        <v>0.143101970865467</v>
      </c>
      <c r="AS598" s="1">
        <f t="shared" si="232"/>
        <v>0</v>
      </c>
      <c r="AT598" s="1">
        <f t="shared" si="233"/>
        <v>0.85689802913453295</v>
      </c>
      <c r="AU598" s="1">
        <f t="shared" si="234"/>
        <v>0</v>
      </c>
      <c r="AV598" s="1">
        <f t="shared" si="235"/>
        <v>0.15437000000000001</v>
      </c>
      <c r="AX598" s="1">
        <f t="shared" si="236"/>
        <v>0</v>
      </c>
      <c r="AY598" s="1">
        <f t="shared" si="237"/>
        <v>0.16700000000000001</v>
      </c>
      <c r="AZ598" s="1">
        <f t="shared" si="238"/>
        <v>0.5</v>
      </c>
      <c r="BA598" s="1">
        <f t="shared" si="239"/>
        <v>0.5</v>
      </c>
      <c r="BB598" s="1">
        <f t="shared" si="240"/>
        <v>0.16700000000000001</v>
      </c>
      <c r="BC598" s="1">
        <f t="shared" si="241"/>
        <v>0.16700000000000001</v>
      </c>
      <c r="BD598" s="1">
        <f t="shared" si="242"/>
        <v>1.2630000000000002E-2</v>
      </c>
      <c r="BF598">
        <f t="shared" si="243"/>
        <v>85.689802913453292</v>
      </c>
      <c r="BG598">
        <f t="shared" si="254"/>
        <v>14.310197086546699</v>
      </c>
      <c r="BH598" s="1">
        <f t="shared" si="244"/>
        <v>0</v>
      </c>
      <c r="BI598" s="1">
        <f t="shared" si="245"/>
        <v>0.16699999999999998</v>
      </c>
      <c r="BJ598" s="1">
        <f t="shared" si="246"/>
        <v>0.59</v>
      </c>
      <c r="BK598" s="1">
        <f t="shared" si="247"/>
        <v>9.6000000000000002E-2</v>
      </c>
      <c r="BL598" s="1">
        <f t="shared" si="248"/>
        <v>0.16699999999999998</v>
      </c>
      <c r="BM598" s="1">
        <f t="shared" si="249"/>
        <v>0.16699999999999998</v>
      </c>
      <c r="BN598" s="1">
        <f t="shared" si="251"/>
        <v>1.5951689999999937E-4</v>
      </c>
      <c r="BO598" s="1">
        <f t="shared" si="255"/>
        <v>6.414616141156064E-2</v>
      </c>
    </row>
    <row r="599" spans="1:67" x14ac:dyDescent="0.25">
      <c r="A599" s="3"/>
      <c r="B599" s="3"/>
      <c r="C599" t="s">
        <v>611</v>
      </c>
      <c r="D599" s="5">
        <v>1</v>
      </c>
      <c r="E599" s="9">
        <f t="shared" si="256"/>
        <v>25.03748125937031</v>
      </c>
      <c r="F599" s="9">
        <f t="shared" si="257"/>
        <v>0</v>
      </c>
      <c r="G599">
        <v>0</v>
      </c>
      <c r="H599">
        <v>74.962518740629676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25.03748125937031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29.209</v>
      </c>
      <c r="AK599" t="s">
        <v>1</v>
      </c>
      <c r="AL599" t="s">
        <v>374</v>
      </c>
      <c r="AQ599" s="1">
        <f t="shared" si="250"/>
        <v>99.999999999999986</v>
      </c>
      <c r="AR599" s="1">
        <f t="shared" si="231"/>
        <v>0.25037481259370309</v>
      </c>
      <c r="AS599" s="1">
        <f t="shared" si="232"/>
        <v>0</v>
      </c>
      <c r="AT599" s="1">
        <f t="shared" si="233"/>
        <v>0.7496251874062968</v>
      </c>
      <c r="AU599" s="1">
        <f t="shared" si="234"/>
        <v>0</v>
      </c>
      <c r="AV599" s="1">
        <f t="shared" si="235"/>
        <v>0.29209000000000002</v>
      </c>
      <c r="AX599" s="1">
        <f t="shared" si="236"/>
        <v>0</v>
      </c>
      <c r="AY599" s="1">
        <f t="shared" si="237"/>
        <v>0.33399999999999996</v>
      </c>
      <c r="AZ599" s="1">
        <f t="shared" si="238"/>
        <v>0.5</v>
      </c>
      <c r="BA599" s="1">
        <f t="shared" si="239"/>
        <v>0.5</v>
      </c>
      <c r="BB599" s="1">
        <f t="shared" si="240"/>
        <v>0.33399999999999996</v>
      </c>
      <c r="BC599" s="1">
        <f t="shared" si="241"/>
        <v>0.33399999999999996</v>
      </c>
      <c r="BD599" s="1">
        <f t="shared" si="242"/>
        <v>4.1909999999999947E-2</v>
      </c>
      <c r="BF599">
        <f t="shared" si="243"/>
        <v>74.962518740629676</v>
      </c>
      <c r="BG599">
        <f t="shared" si="254"/>
        <v>25.03748125937031</v>
      </c>
      <c r="BH599" s="1">
        <f t="shared" si="244"/>
        <v>0</v>
      </c>
      <c r="BI599" s="1">
        <f t="shared" si="245"/>
        <v>0.33399999999999996</v>
      </c>
      <c r="BJ599" s="1">
        <f t="shared" si="246"/>
        <v>0.59</v>
      </c>
      <c r="BK599" s="1">
        <f t="shared" si="247"/>
        <v>9.6000000000000002E-2</v>
      </c>
      <c r="BL599" s="1">
        <f t="shared" si="248"/>
        <v>0.33399999999999996</v>
      </c>
      <c r="BM599" s="1">
        <f t="shared" si="249"/>
        <v>0.33399999999999996</v>
      </c>
      <c r="BN599" s="1">
        <f t="shared" si="251"/>
        <v>1.7564480999999956E-3</v>
      </c>
      <c r="BO599" s="1">
        <f t="shared" si="255"/>
        <v>1.3352016250656013E-2</v>
      </c>
    </row>
    <row r="600" spans="1:67" x14ac:dyDescent="0.25">
      <c r="A600" s="3"/>
      <c r="B600" s="3"/>
      <c r="C600" t="s">
        <v>612</v>
      </c>
      <c r="D600" s="5">
        <v>1</v>
      </c>
      <c r="E600" s="9">
        <f t="shared" si="256"/>
        <v>33.333333333333329</v>
      </c>
      <c r="F600" s="9">
        <f t="shared" si="257"/>
        <v>0</v>
      </c>
      <c r="G600">
        <v>0</v>
      </c>
      <c r="H600">
        <v>66.666666666666657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33.333333333333329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37.700000000000003</v>
      </c>
      <c r="AK600" t="s">
        <v>1</v>
      </c>
      <c r="AL600" t="s">
        <v>374</v>
      </c>
      <c r="AQ600" s="1">
        <f t="shared" si="250"/>
        <v>99.999999999999986</v>
      </c>
      <c r="AR600" s="1">
        <f t="shared" si="231"/>
        <v>0.33333333333333326</v>
      </c>
      <c r="AS600" s="1">
        <f t="shared" si="232"/>
        <v>0</v>
      </c>
      <c r="AT600" s="1">
        <f t="shared" si="233"/>
        <v>0.66666666666666652</v>
      </c>
      <c r="AU600" s="1">
        <f t="shared" si="234"/>
        <v>0</v>
      </c>
      <c r="AV600" s="1">
        <f t="shared" si="235"/>
        <v>0.377</v>
      </c>
      <c r="AX600" s="1">
        <f t="shared" si="236"/>
        <v>0</v>
      </c>
      <c r="AY600" s="1">
        <f t="shared" si="237"/>
        <v>0.5</v>
      </c>
      <c r="AZ600" s="1">
        <f t="shared" si="238"/>
        <v>0.5</v>
      </c>
      <c r="BA600" s="1">
        <f t="shared" si="239"/>
        <v>0.5</v>
      </c>
      <c r="BB600" s="1">
        <f t="shared" si="240"/>
        <v>0.5</v>
      </c>
      <c r="BC600" s="1">
        <f t="shared" si="241"/>
        <v>0.5</v>
      </c>
      <c r="BD600" s="1">
        <f t="shared" si="242"/>
        <v>0.123</v>
      </c>
      <c r="BF600">
        <f t="shared" si="243"/>
        <v>66.666666666666657</v>
      </c>
      <c r="BG600">
        <f t="shared" si="254"/>
        <v>33.333333333333329</v>
      </c>
      <c r="BH600" s="1">
        <f t="shared" si="244"/>
        <v>0</v>
      </c>
      <c r="BI600" s="1">
        <f t="shared" si="245"/>
        <v>0.5</v>
      </c>
      <c r="BJ600" s="1">
        <f t="shared" si="246"/>
        <v>0.59</v>
      </c>
      <c r="BK600" s="1">
        <f t="shared" si="247"/>
        <v>9.6000000000000002E-2</v>
      </c>
      <c r="BL600" s="1">
        <f t="shared" si="248"/>
        <v>0.5</v>
      </c>
      <c r="BM600" s="1">
        <f t="shared" si="249"/>
        <v>0.5</v>
      </c>
      <c r="BN600" s="1">
        <f t="shared" si="251"/>
        <v>1.5129E-2</v>
      </c>
      <c r="BO600" s="1">
        <f t="shared" si="255"/>
        <v>9.388662801621758E-4</v>
      </c>
    </row>
    <row r="601" spans="1:67" x14ac:dyDescent="0.25">
      <c r="A601" s="3"/>
      <c r="B601" s="3"/>
      <c r="C601" t="s">
        <v>613</v>
      </c>
      <c r="D601" s="5">
        <v>1</v>
      </c>
      <c r="E601" s="9">
        <f t="shared" si="256"/>
        <v>40.011997600479901</v>
      </c>
      <c r="F601" s="9">
        <f t="shared" si="257"/>
        <v>0</v>
      </c>
      <c r="G601">
        <v>0</v>
      </c>
      <c r="H601">
        <v>59.988002399520092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40.011997600479901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38.411999999999999</v>
      </c>
      <c r="AK601" t="s">
        <v>1</v>
      </c>
      <c r="AL601" t="s">
        <v>374</v>
      </c>
      <c r="AQ601" s="1">
        <f t="shared" si="250"/>
        <v>100</v>
      </c>
      <c r="AR601" s="1">
        <f t="shared" si="231"/>
        <v>0.40011997600479904</v>
      </c>
      <c r="AS601" s="1">
        <f t="shared" si="232"/>
        <v>0</v>
      </c>
      <c r="AT601" s="1">
        <f t="shared" si="233"/>
        <v>0.59988002399520091</v>
      </c>
      <c r="AU601" s="1">
        <f t="shared" si="234"/>
        <v>0</v>
      </c>
      <c r="AV601" s="1">
        <f t="shared" si="235"/>
        <v>0.38412000000000002</v>
      </c>
      <c r="AX601" s="1">
        <f t="shared" si="236"/>
        <v>0</v>
      </c>
      <c r="AY601" s="1">
        <f t="shared" si="237"/>
        <v>0.66700000000000004</v>
      </c>
      <c r="AZ601" s="1">
        <f t="shared" si="238"/>
        <v>0.5</v>
      </c>
      <c r="BA601" s="1">
        <f t="shared" si="239"/>
        <v>0.5</v>
      </c>
      <c r="BB601" s="1">
        <f t="shared" si="240"/>
        <v>0.4443333333333333</v>
      </c>
      <c r="BC601" s="1">
        <f t="shared" si="241"/>
        <v>0.4443333333333333</v>
      </c>
      <c r="BD601" s="1">
        <f t="shared" si="242"/>
        <v>6.0213333333333285E-2</v>
      </c>
      <c r="BF601">
        <f t="shared" si="243"/>
        <v>59.988002399520092</v>
      </c>
      <c r="BG601">
        <f t="shared" si="254"/>
        <v>40.011997600479901</v>
      </c>
      <c r="BH601" s="1">
        <f t="shared" si="244"/>
        <v>0</v>
      </c>
      <c r="BI601" s="1">
        <f t="shared" si="245"/>
        <v>0.66700000000000004</v>
      </c>
      <c r="BJ601" s="1">
        <f t="shared" si="246"/>
        <v>0.59</v>
      </c>
      <c r="BK601" s="1">
        <f t="shared" si="247"/>
        <v>9.6000000000000002E-2</v>
      </c>
      <c r="BL601" s="1">
        <f t="shared" si="248"/>
        <v>0.39966666666666661</v>
      </c>
      <c r="BM601" s="1">
        <f t="shared" si="249"/>
        <v>0.39966666666666661</v>
      </c>
      <c r="BN601" s="1">
        <f t="shared" si="251"/>
        <v>2.4169884444444228E-4</v>
      </c>
      <c r="BO601" s="1">
        <f t="shared" si="255"/>
        <v>5.5323390925278697E-4</v>
      </c>
    </row>
    <row r="602" spans="1:67" x14ac:dyDescent="0.25">
      <c r="A602" s="3"/>
      <c r="B602" s="3"/>
      <c r="C602" t="s">
        <v>614</v>
      </c>
      <c r="D602" s="5">
        <v>1</v>
      </c>
      <c r="E602" s="9">
        <f t="shared" si="256"/>
        <v>44.994499449944989</v>
      </c>
      <c r="F602" s="9">
        <f t="shared" si="257"/>
        <v>0</v>
      </c>
      <c r="G602">
        <v>0</v>
      </c>
      <c r="H602">
        <v>55.005500550055011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44.994499449944989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33.652999999999999</v>
      </c>
      <c r="AK602" t="s">
        <v>1</v>
      </c>
      <c r="AL602" t="s">
        <v>374</v>
      </c>
      <c r="AQ602" s="1">
        <f t="shared" si="250"/>
        <v>100</v>
      </c>
      <c r="AR602" s="1">
        <f t="shared" si="231"/>
        <v>0.44994499449944991</v>
      </c>
      <c r="AS602" s="1">
        <f t="shared" si="232"/>
        <v>0</v>
      </c>
      <c r="AT602" s="1">
        <f t="shared" si="233"/>
        <v>0.55005500550055009</v>
      </c>
      <c r="AU602" s="1">
        <f t="shared" si="234"/>
        <v>0</v>
      </c>
      <c r="AV602" s="1">
        <f t="shared" si="235"/>
        <v>0.33653</v>
      </c>
      <c r="AX602" s="1">
        <f t="shared" si="236"/>
        <v>0</v>
      </c>
      <c r="AY602" s="1">
        <f t="shared" si="237"/>
        <v>0.81799999999999984</v>
      </c>
      <c r="AZ602" s="1">
        <f t="shared" si="238"/>
        <v>0.5</v>
      </c>
      <c r="BA602" s="1">
        <f t="shared" si="239"/>
        <v>0.5</v>
      </c>
      <c r="BB602" s="1">
        <f t="shared" si="240"/>
        <v>0.39400000000000007</v>
      </c>
      <c r="BC602" s="1">
        <f t="shared" si="241"/>
        <v>0.39400000000000007</v>
      </c>
      <c r="BD602" s="1">
        <f t="shared" si="242"/>
        <v>5.7470000000000077E-2</v>
      </c>
      <c r="BF602">
        <f t="shared" si="243"/>
        <v>55.005500550055011</v>
      </c>
      <c r="BG602">
        <f t="shared" si="254"/>
        <v>44.994499449944989</v>
      </c>
      <c r="BH602" s="1">
        <f t="shared" si="244"/>
        <v>0</v>
      </c>
      <c r="BI602" s="1">
        <f t="shared" si="245"/>
        <v>0.81799999999999984</v>
      </c>
      <c r="BJ602" s="1">
        <f t="shared" si="246"/>
        <v>0.59</v>
      </c>
      <c r="BK602" s="1">
        <f t="shared" si="247"/>
        <v>9.6000000000000002E-2</v>
      </c>
      <c r="BL602" s="1">
        <f t="shared" si="248"/>
        <v>0.34933333333333338</v>
      </c>
      <c r="BM602" s="1">
        <f t="shared" si="249"/>
        <v>0.34933333333333338</v>
      </c>
      <c r="BN602" s="1">
        <f t="shared" si="251"/>
        <v>1.6392534444444585E-4</v>
      </c>
      <c r="BO602" s="1">
        <f t="shared" si="255"/>
        <v>5.0567636434631505E-3</v>
      </c>
    </row>
    <row r="603" spans="1:67" x14ac:dyDescent="0.25">
      <c r="A603" s="3"/>
      <c r="B603" s="3"/>
      <c r="C603" t="s">
        <v>615</v>
      </c>
      <c r="D603" s="5">
        <v>1</v>
      </c>
      <c r="E603" s="9">
        <f t="shared" si="256"/>
        <v>14.310197086546699</v>
      </c>
      <c r="F603" s="9">
        <f t="shared" si="257"/>
        <v>0</v>
      </c>
      <c r="G603">
        <v>0</v>
      </c>
      <c r="H603">
        <v>85.689802913453292</v>
      </c>
      <c r="I603">
        <v>0</v>
      </c>
      <c r="J603">
        <v>0</v>
      </c>
      <c r="K603">
        <v>0</v>
      </c>
      <c r="L603">
        <v>14.310197086546699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15.548</v>
      </c>
      <c r="AK603" t="s">
        <v>1</v>
      </c>
      <c r="AL603" t="s">
        <v>374</v>
      </c>
      <c r="AQ603" s="1">
        <f t="shared" si="250"/>
        <v>99.999999999999986</v>
      </c>
      <c r="AR603" s="1">
        <f t="shared" si="231"/>
        <v>0.143101970865467</v>
      </c>
      <c r="AS603" s="1">
        <f t="shared" si="232"/>
        <v>0</v>
      </c>
      <c r="AT603" s="1">
        <f t="shared" si="233"/>
        <v>0.85689802913453295</v>
      </c>
      <c r="AU603" s="1">
        <f t="shared" si="234"/>
        <v>0</v>
      </c>
      <c r="AV603" s="1">
        <f t="shared" si="235"/>
        <v>0.15548000000000001</v>
      </c>
      <c r="AX603" s="1">
        <f t="shared" si="236"/>
        <v>0</v>
      </c>
      <c r="AY603" s="1">
        <f t="shared" si="237"/>
        <v>0.16700000000000001</v>
      </c>
      <c r="AZ603" s="1">
        <f t="shared" si="238"/>
        <v>0.5</v>
      </c>
      <c r="BA603" s="1">
        <f t="shared" si="239"/>
        <v>0.5</v>
      </c>
      <c r="BB603" s="1">
        <f t="shared" si="240"/>
        <v>0.16700000000000001</v>
      </c>
      <c r="BC603" s="1">
        <f t="shared" si="241"/>
        <v>0.16700000000000001</v>
      </c>
      <c r="BD603" s="1">
        <f t="shared" si="242"/>
        <v>1.1520000000000002E-2</v>
      </c>
      <c r="BF603">
        <f t="shared" si="243"/>
        <v>85.689802913453292</v>
      </c>
      <c r="BG603">
        <f t="shared" si="254"/>
        <v>14.310197086546699</v>
      </c>
      <c r="BH603" s="1">
        <f t="shared" si="244"/>
        <v>0</v>
      </c>
      <c r="BI603" s="1">
        <f t="shared" si="245"/>
        <v>0.16699999999999998</v>
      </c>
      <c r="BJ603" s="1">
        <f t="shared" si="246"/>
        <v>0.59</v>
      </c>
      <c r="BK603" s="1">
        <f t="shared" si="247"/>
        <v>9.6000000000000002E-2</v>
      </c>
      <c r="BL603" s="1">
        <f t="shared" si="248"/>
        <v>0.16699999999999998</v>
      </c>
      <c r="BM603" s="1">
        <f t="shared" si="249"/>
        <v>0.16699999999999998</v>
      </c>
      <c r="BN603" s="1">
        <f t="shared" si="251"/>
        <v>1.3271039999999943E-4</v>
      </c>
      <c r="BO603" s="1">
        <f t="shared" si="255"/>
        <v>6.3585132058230659E-2</v>
      </c>
    </row>
    <row r="604" spans="1:67" x14ac:dyDescent="0.25">
      <c r="A604" s="3"/>
      <c r="B604" s="3"/>
      <c r="C604" t="s">
        <v>616</v>
      </c>
      <c r="D604" s="5">
        <v>1</v>
      </c>
      <c r="E604" s="9">
        <f t="shared" si="256"/>
        <v>25.03748125937031</v>
      </c>
      <c r="F604" s="9">
        <f t="shared" si="257"/>
        <v>0</v>
      </c>
      <c r="G604">
        <v>0</v>
      </c>
      <c r="H604">
        <v>74.962518740629676</v>
      </c>
      <c r="I604">
        <v>0</v>
      </c>
      <c r="J604">
        <v>0</v>
      </c>
      <c r="K604">
        <v>0</v>
      </c>
      <c r="L604">
        <v>25.03748125937031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28.687999999999999</v>
      </c>
      <c r="AK604" t="s">
        <v>1</v>
      </c>
      <c r="AL604" t="s">
        <v>374</v>
      </c>
      <c r="AQ604" s="1">
        <f t="shared" si="250"/>
        <v>99.999999999999986</v>
      </c>
      <c r="AR604" s="1">
        <f t="shared" si="231"/>
        <v>0.25037481259370309</v>
      </c>
      <c r="AS604" s="1">
        <f t="shared" si="232"/>
        <v>0</v>
      </c>
      <c r="AT604" s="1">
        <f t="shared" si="233"/>
        <v>0.7496251874062968</v>
      </c>
      <c r="AU604" s="1">
        <f t="shared" si="234"/>
        <v>0</v>
      </c>
      <c r="AV604" s="1">
        <f t="shared" si="235"/>
        <v>0.28687999999999997</v>
      </c>
      <c r="AX604" s="1">
        <f t="shared" si="236"/>
        <v>0</v>
      </c>
      <c r="AY604" s="1">
        <f t="shared" si="237"/>
        <v>0.33399999999999996</v>
      </c>
      <c r="AZ604" s="1">
        <f t="shared" si="238"/>
        <v>0.5</v>
      </c>
      <c r="BA604" s="1">
        <f t="shared" si="239"/>
        <v>0.5</v>
      </c>
      <c r="BB604" s="1">
        <f t="shared" si="240"/>
        <v>0.33399999999999996</v>
      </c>
      <c r="BC604" s="1">
        <f t="shared" si="241"/>
        <v>0.33399999999999996</v>
      </c>
      <c r="BD604" s="1">
        <f t="shared" si="242"/>
        <v>4.7119999999999995E-2</v>
      </c>
      <c r="BF604">
        <f t="shared" si="243"/>
        <v>74.962518740629676</v>
      </c>
      <c r="BG604">
        <f t="shared" si="254"/>
        <v>25.03748125937031</v>
      </c>
      <c r="BH604" s="1">
        <f t="shared" si="244"/>
        <v>0</v>
      </c>
      <c r="BI604" s="1">
        <f t="shared" si="245"/>
        <v>0.33399999999999996</v>
      </c>
      <c r="BJ604" s="1">
        <f t="shared" si="246"/>
        <v>0.59</v>
      </c>
      <c r="BK604" s="1">
        <f t="shared" si="247"/>
        <v>9.6000000000000002E-2</v>
      </c>
      <c r="BL604" s="1">
        <f t="shared" si="248"/>
        <v>0.33399999999999996</v>
      </c>
      <c r="BM604" s="1">
        <f t="shared" si="249"/>
        <v>0.33399999999999996</v>
      </c>
      <c r="BN604" s="1">
        <f t="shared" si="251"/>
        <v>2.2202943999999995E-3</v>
      </c>
      <c r="BO604" s="1">
        <f t="shared" si="255"/>
        <v>1.4583200988357978E-2</v>
      </c>
    </row>
    <row r="605" spans="1:67" x14ac:dyDescent="0.25">
      <c r="A605" s="3"/>
      <c r="B605" s="3"/>
      <c r="C605" t="s">
        <v>617</v>
      </c>
      <c r="D605" s="5">
        <v>1</v>
      </c>
      <c r="E605" s="9">
        <f t="shared" si="256"/>
        <v>33.333333333333329</v>
      </c>
      <c r="F605" s="9">
        <f t="shared" si="257"/>
        <v>0</v>
      </c>
      <c r="G605">
        <v>0</v>
      </c>
      <c r="H605">
        <v>66.666666666666657</v>
      </c>
      <c r="I605">
        <v>0</v>
      </c>
      <c r="J605">
        <v>0</v>
      </c>
      <c r="K605">
        <v>0</v>
      </c>
      <c r="L605">
        <v>33.333333333333329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33.857999999999997</v>
      </c>
      <c r="AK605" t="s">
        <v>1</v>
      </c>
      <c r="AL605" t="s">
        <v>374</v>
      </c>
      <c r="AQ605" s="1">
        <f t="shared" si="250"/>
        <v>99.999999999999986</v>
      </c>
      <c r="AR605" s="1">
        <f t="shared" si="231"/>
        <v>0.33333333333333326</v>
      </c>
      <c r="AS605" s="1">
        <f t="shared" si="232"/>
        <v>0</v>
      </c>
      <c r="AT605" s="1">
        <f t="shared" si="233"/>
        <v>0.66666666666666652</v>
      </c>
      <c r="AU605" s="1">
        <f t="shared" si="234"/>
        <v>0</v>
      </c>
      <c r="AV605" s="1">
        <f t="shared" si="235"/>
        <v>0.33857999999999999</v>
      </c>
      <c r="AX605" s="1">
        <f t="shared" si="236"/>
        <v>0</v>
      </c>
      <c r="AY605" s="1">
        <f t="shared" si="237"/>
        <v>0.5</v>
      </c>
      <c r="AZ605" s="1">
        <f t="shared" si="238"/>
        <v>0.5</v>
      </c>
      <c r="BA605" s="1">
        <f t="shared" si="239"/>
        <v>0.5</v>
      </c>
      <c r="BB605" s="1">
        <f t="shared" si="240"/>
        <v>0.5</v>
      </c>
      <c r="BC605" s="1">
        <f t="shared" si="241"/>
        <v>0.5</v>
      </c>
      <c r="BD605" s="1">
        <f t="shared" si="242"/>
        <v>0.16142000000000001</v>
      </c>
      <c r="BF605">
        <f t="shared" si="243"/>
        <v>66.666666666666657</v>
      </c>
      <c r="BG605">
        <f t="shared" si="254"/>
        <v>33.333333333333329</v>
      </c>
      <c r="BH605" s="1">
        <f t="shared" si="244"/>
        <v>0</v>
      </c>
      <c r="BI605" s="1">
        <f t="shared" si="245"/>
        <v>0.5</v>
      </c>
      <c r="BJ605" s="1">
        <f t="shared" si="246"/>
        <v>0.59</v>
      </c>
      <c r="BK605" s="1">
        <f t="shared" si="247"/>
        <v>9.6000000000000002E-2</v>
      </c>
      <c r="BL605" s="1">
        <f t="shared" si="248"/>
        <v>0.5</v>
      </c>
      <c r="BM605" s="1">
        <f t="shared" si="249"/>
        <v>0.5</v>
      </c>
      <c r="BN605" s="1">
        <f t="shared" si="251"/>
        <v>2.6056416400000004E-2</v>
      </c>
      <c r="BO605" s="1">
        <f t="shared" si="255"/>
        <v>4.7694113512771613E-3</v>
      </c>
    </row>
    <row r="606" spans="1:67" x14ac:dyDescent="0.25">
      <c r="A606" s="3"/>
      <c r="B606" s="3"/>
      <c r="C606" t="s">
        <v>618</v>
      </c>
      <c r="D606" s="5">
        <v>1</v>
      </c>
      <c r="E606" s="9">
        <f t="shared" si="256"/>
        <v>40.011997600479901</v>
      </c>
      <c r="F606" s="9">
        <f t="shared" si="257"/>
        <v>0</v>
      </c>
      <c r="G606">
        <v>0</v>
      </c>
      <c r="H606">
        <v>59.988002399520092</v>
      </c>
      <c r="I606">
        <v>0</v>
      </c>
      <c r="J606">
        <v>0</v>
      </c>
      <c r="K606">
        <v>0</v>
      </c>
      <c r="L606">
        <v>40.011997600479901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31.786999999999999</v>
      </c>
      <c r="AK606" t="s">
        <v>1</v>
      </c>
      <c r="AL606" t="s">
        <v>374</v>
      </c>
      <c r="AQ606" s="1">
        <f t="shared" si="250"/>
        <v>100</v>
      </c>
      <c r="AR606" s="1">
        <f t="shared" si="231"/>
        <v>0.40011997600479904</v>
      </c>
      <c r="AS606" s="1">
        <f t="shared" si="232"/>
        <v>0</v>
      </c>
      <c r="AT606" s="1">
        <f t="shared" si="233"/>
        <v>0.59988002399520091</v>
      </c>
      <c r="AU606" s="1">
        <f t="shared" si="234"/>
        <v>0</v>
      </c>
      <c r="AV606" s="1">
        <f t="shared" si="235"/>
        <v>0.31786999999999999</v>
      </c>
      <c r="AX606" s="1">
        <f t="shared" si="236"/>
        <v>0</v>
      </c>
      <c r="AY606" s="1">
        <f t="shared" si="237"/>
        <v>0.66700000000000004</v>
      </c>
      <c r="AZ606" s="1">
        <f t="shared" si="238"/>
        <v>0.5</v>
      </c>
      <c r="BA606" s="1">
        <f t="shared" si="239"/>
        <v>0.5</v>
      </c>
      <c r="BB606" s="1">
        <f t="shared" si="240"/>
        <v>0.4443333333333333</v>
      </c>
      <c r="BC606" s="1">
        <f t="shared" si="241"/>
        <v>0.4443333333333333</v>
      </c>
      <c r="BD606" s="1">
        <f t="shared" si="242"/>
        <v>0.12646333333333332</v>
      </c>
      <c r="BF606">
        <f t="shared" si="243"/>
        <v>59.988002399520092</v>
      </c>
      <c r="BG606">
        <f t="shared" si="254"/>
        <v>40.011997600479901</v>
      </c>
      <c r="BH606" s="1">
        <f t="shared" si="244"/>
        <v>0</v>
      </c>
      <c r="BI606" s="1">
        <f t="shared" si="245"/>
        <v>0.66700000000000004</v>
      </c>
      <c r="BJ606" s="1">
        <f t="shared" si="246"/>
        <v>0.59</v>
      </c>
      <c r="BK606" s="1">
        <f t="shared" si="247"/>
        <v>9.6000000000000002E-2</v>
      </c>
      <c r="BL606" s="1">
        <f t="shared" si="248"/>
        <v>0.39966666666666661</v>
      </c>
      <c r="BM606" s="1">
        <f t="shared" si="249"/>
        <v>0.39966666666666661</v>
      </c>
      <c r="BN606" s="1">
        <f t="shared" si="251"/>
        <v>6.6906946777777719E-3</v>
      </c>
      <c r="BO606" s="1">
        <f t="shared" si="255"/>
        <v>8.0588189616048918E-3</v>
      </c>
    </row>
    <row r="607" spans="1:67" x14ac:dyDescent="0.25">
      <c r="A607" s="3"/>
      <c r="B607" s="3"/>
      <c r="C607" t="s">
        <v>619</v>
      </c>
      <c r="D607" s="5">
        <v>1</v>
      </c>
      <c r="E607" s="9">
        <f t="shared" si="256"/>
        <v>44.994499449944989</v>
      </c>
      <c r="F607" s="9">
        <f t="shared" si="257"/>
        <v>0</v>
      </c>
      <c r="G607">
        <v>0</v>
      </c>
      <c r="H607">
        <v>55.005500550055011</v>
      </c>
      <c r="I607">
        <v>0</v>
      </c>
      <c r="J607">
        <v>0</v>
      </c>
      <c r="K607">
        <v>0</v>
      </c>
      <c r="L607">
        <v>44.994499449944989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29.826000000000001</v>
      </c>
      <c r="AK607" t="s">
        <v>1</v>
      </c>
      <c r="AL607" t="s">
        <v>374</v>
      </c>
      <c r="AQ607" s="1">
        <f t="shared" si="250"/>
        <v>100</v>
      </c>
      <c r="AR607" s="1">
        <f t="shared" si="231"/>
        <v>0.44994499449944991</v>
      </c>
      <c r="AS607" s="1">
        <f t="shared" si="232"/>
        <v>0</v>
      </c>
      <c r="AT607" s="1">
        <f t="shared" si="233"/>
        <v>0.55005500550055009</v>
      </c>
      <c r="AU607" s="1">
        <f t="shared" si="234"/>
        <v>0</v>
      </c>
      <c r="AV607" s="1">
        <f t="shared" si="235"/>
        <v>0.29826000000000003</v>
      </c>
      <c r="AX607" s="1">
        <f t="shared" si="236"/>
        <v>0</v>
      </c>
      <c r="AY607" s="1">
        <f t="shared" si="237"/>
        <v>0.81799999999999984</v>
      </c>
      <c r="AZ607" s="1">
        <f t="shared" si="238"/>
        <v>0.5</v>
      </c>
      <c r="BA607" s="1">
        <f t="shared" si="239"/>
        <v>0.5</v>
      </c>
      <c r="BB607" s="1">
        <f t="shared" si="240"/>
        <v>0.39400000000000007</v>
      </c>
      <c r="BC607" s="1">
        <f t="shared" si="241"/>
        <v>0.39400000000000007</v>
      </c>
      <c r="BD607" s="1">
        <f t="shared" si="242"/>
        <v>9.5740000000000047E-2</v>
      </c>
      <c r="BF607">
        <f t="shared" si="243"/>
        <v>55.005500550055011</v>
      </c>
      <c r="BG607">
        <f t="shared" si="254"/>
        <v>44.994499449944989</v>
      </c>
      <c r="BH607" s="1">
        <f t="shared" si="244"/>
        <v>0</v>
      </c>
      <c r="BI607" s="1">
        <f t="shared" si="245"/>
        <v>0.81799999999999984</v>
      </c>
      <c r="BJ607" s="1">
        <f t="shared" si="246"/>
        <v>0.59</v>
      </c>
      <c r="BK607" s="1">
        <f t="shared" si="247"/>
        <v>9.6000000000000002E-2</v>
      </c>
      <c r="BL607" s="1">
        <f t="shared" si="248"/>
        <v>0.34933333333333338</v>
      </c>
      <c r="BM607" s="1">
        <f t="shared" si="249"/>
        <v>0.34933333333333338</v>
      </c>
      <c r="BN607" s="1">
        <f t="shared" si="251"/>
        <v>2.6084853777777806E-3</v>
      </c>
      <c r="BO607" s="1">
        <f t="shared" si="255"/>
        <v>1.1964186737101106E-2</v>
      </c>
    </row>
    <row r="608" spans="1:67" x14ac:dyDescent="0.25">
      <c r="A608" s="3"/>
      <c r="B608" s="3"/>
      <c r="C608" t="s">
        <v>620</v>
      </c>
      <c r="D608" s="5">
        <v>1</v>
      </c>
      <c r="E608" s="9">
        <f t="shared" si="256"/>
        <v>14.310197086546699</v>
      </c>
      <c r="F608" s="9">
        <f t="shared" si="257"/>
        <v>0</v>
      </c>
      <c r="G608">
        <v>0</v>
      </c>
      <c r="H608">
        <v>85.689802913453292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14.310197086546699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15.121</v>
      </c>
      <c r="AK608" t="s">
        <v>1</v>
      </c>
      <c r="AL608" t="s">
        <v>374</v>
      </c>
      <c r="AQ608" s="1">
        <f t="shared" si="250"/>
        <v>99.999999999999986</v>
      </c>
      <c r="AR608" s="1">
        <f t="shared" si="231"/>
        <v>0</v>
      </c>
      <c r="AS608" s="1">
        <f t="shared" si="232"/>
        <v>0</v>
      </c>
      <c r="AT608" s="1">
        <f t="shared" si="233"/>
        <v>0.85689802913453295</v>
      </c>
      <c r="AU608" s="1">
        <f t="shared" si="234"/>
        <v>0</v>
      </c>
      <c r="AV608" s="1">
        <f t="shared" si="235"/>
        <v>0.15121000000000001</v>
      </c>
      <c r="AX608" s="1">
        <f t="shared" si="236"/>
        <v>0</v>
      </c>
      <c r="AY608" s="1">
        <f t="shared" si="237"/>
        <v>0</v>
      </c>
      <c r="AZ608" s="1">
        <f t="shared" si="238"/>
        <v>0.5</v>
      </c>
      <c r="BA608" s="1">
        <f t="shared" si="239"/>
        <v>0.5</v>
      </c>
      <c r="BB608" s="1">
        <f t="shared" si="240"/>
        <v>0</v>
      </c>
      <c r="BC608" s="1">
        <f t="shared" si="241"/>
        <v>0</v>
      </c>
      <c r="BD608" s="1">
        <f t="shared" si="242"/>
        <v>0.15121000000000001</v>
      </c>
      <c r="BF608">
        <f t="shared" si="243"/>
        <v>85.689802913453292</v>
      </c>
      <c r="BG608">
        <f t="shared" si="254"/>
        <v>14.310197086546699</v>
      </c>
      <c r="BH608" s="1">
        <f t="shared" si="244"/>
        <v>0</v>
      </c>
      <c r="BI608" s="1">
        <f t="shared" si="245"/>
        <v>0.16699999999999998</v>
      </c>
      <c r="BJ608" s="1">
        <f t="shared" si="246"/>
        <v>0.59</v>
      </c>
      <c r="BK608" s="1">
        <f t="shared" si="247"/>
        <v>9.6000000000000002E-2</v>
      </c>
      <c r="BL608" s="1">
        <f t="shared" si="248"/>
        <v>0.16699999999999998</v>
      </c>
      <c r="BM608" s="1">
        <f t="shared" si="249"/>
        <v>0.16699999999999998</v>
      </c>
      <c r="BN608" s="1">
        <f t="shared" si="251"/>
        <v>2.493240999999991E-4</v>
      </c>
      <c r="BO608" s="1">
        <f t="shared" si="255"/>
        <v>6.5756819257076604E-2</v>
      </c>
    </row>
    <row r="609" spans="1:67" x14ac:dyDescent="0.25">
      <c r="A609" s="3"/>
      <c r="B609" s="3"/>
      <c r="C609" t="s">
        <v>621</v>
      </c>
      <c r="D609" s="5">
        <v>1</v>
      </c>
      <c r="E609" s="9">
        <f t="shared" si="256"/>
        <v>25.03748125937031</v>
      </c>
      <c r="F609" s="9">
        <f t="shared" si="257"/>
        <v>0</v>
      </c>
      <c r="G609">
        <v>0</v>
      </c>
      <c r="H609">
        <v>74.962518740629676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25.03748125937031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27.754999999999999</v>
      </c>
      <c r="AK609" t="s">
        <v>1</v>
      </c>
      <c r="AL609" t="s">
        <v>374</v>
      </c>
      <c r="AQ609" s="1">
        <f t="shared" si="250"/>
        <v>99.999999999999986</v>
      </c>
      <c r="AR609" s="1">
        <f t="shared" si="231"/>
        <v>0</v>
      </c>
      <c r="AS609" s="1">
        <f t="shared" si="232"/>
        <v>0</v>
      </c>
      <c r="AT609" s="1">
        <f t="shared" si="233"/>
        <v>0.7496251874062968</v>
      </c>
      <c r="AU609" s="1">
        <f t="shared" si="234"/>
        <v>0</v>
      </c>
      <c r="AV609" s="1">
        <f t="shared" si="235"/>
        <v>0.27754999999999996</v>
      </c>
      <c r="AX609" s="1">
        <f t="shared" si="236"/>
        <v>0</v>
      </c>
      <c r="AY609" s="1">
        <f t="shared" si="237"/>
        <v>0</v>
      </c>
      <c r="AZ609" s="1">
        <f t="shared" si="238"/>
        <v>0.5</v>
      </c>
      <c r="BA609" s="1">
        <f t="shared" si="239"/>
        <v>0.5</v>
      </c>
      <c r="BB609" s="1">
        <f t="shared" si="240"/>
        <v>0</v>
      </c>
      <c r="BC609" s="1">
        <f t="shared" si="241"/>
        <v>0</v>
      </c>
      <c r="BD609" s="1">
        <f t="shared" si="242"/>
        <v>0.27754999999999996</v>
      </c>
      <c r="BF609">
        <f t="shared" si="243"/>
        <v>74.962518740629676</v>
      </c>
      <c r="BG609">
        <f t="shared" si="254"/>
        <v>25.03748125937031</v>
      </c>
      <c r="BH609" s="1">
        <f t="shared" si="244"/>
        <v>0</v>
      </c>
      <c r="BI609" s="1">
        <f t="shared" si="245"/>
        <v>0.33399999999999996</v>
      </c>
      <c r="BJ609" s="1">
        <f t="shared" si="246"/>
        <v>0.59</v>
      </c>
      <c r="BK609" s="1">
        <f t="shared" si="247"/>
        <v>9.6000000000000002E-2</v>
      </c>
      <c r="BL609" s="1">
        <f t="shared" si="248"/>
        <v>0.33399999999999996</v>
      </c>
      <c r="BM609" s="1">
        <f t="shared" si="249"/>
        <v>0.33399999999999996</v>
      </c>
      <c r="BN609" s="1">
        <f t="shared" si="251"/>
        <v>3.1866024999999999E-3</v>
      </c>
      <c r="BO609" s="1">
        <f t="shared" si="255"/>
        <v>1.6923648747428847E-2</v>
      </c>
    </row>
    <row r="610" spans="1:67" x14ac:dyDescent="0.25">
      <c r="A610" s="3"/>
      <c r="B610" s="3"/>
      <c r="C610" t="s">
        <v>622</v>
      </c>
      <c r="D610" s="6">
        <v>1</v>
      </c>
      <c r="E610" s="1"/>
      <c r="F610" s="1"/>
      <c r="G610">
        <v>0</v>
      </c>
      <c r="H610">
        <v>66.666666666666657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33.333333333333329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31.992000000000001</v>
      </c>
      <c r="AK610" t="s">
        <v>1</v>
      </c>
      <c r="AL610" t="s">
        <v>374</v>
      </c>
      <c r="AQ610" s="1">
        <f t="shared" si="250"/>
        <v>99.999999999999986</v>
      </c>
      <c r="AR610" s="1">
        <f t="shared" si="231"/>
        <v>0</v>
      </c>
      <c r="AS610" s="1">
        <f t="shared" si="232"/>
        <v>0</v>
      </c>
      <c r="AT610" s="1">
        <f t="shared" si="233"/>
        <v>0.66666666666666652</v>
      </c>
      <c r="AU610" s="1">
        <f t="shared" si="234"/>
        <v>0</v>
      </c>
      <c r="AV610" s="1">
        <f t="shared" si="235"/>
        <v>0.31991999999999998</v>
      </c>
      <c r="AX610" s="1">
        <f t="shared" si="236"/>
        <v>0</v>
      </c>
      <c r="AY610" s="1">
        <f t="shared" si="237"/>
        <v>0</v>
      </c>
      <c r="AZ610" s="1">
        <f t="shared" si="238"/>
        <v>0.5</v>
      </c>
      <c r="BA610" s="1">
        <f t="shared" si="239"/>
        <v>0.5</v>
      </c>
      <c r="BB610" s="1">
        <f t="shared" si="240"/>
        <v>0</v>
      </c>
      <c r="BC610" s="1">
        <f t="shared" si="241"/>
        <v>0</v>
      </c>
      <c r="BD610" s="1">
        <f t="shared" si="242"/>
        <v>0.31991999999999998</v>
      </c>
      <c r="BF610">
        <f t="shared" si="243"/>
        <v>66.666666666666657</v>
      </c>
      <c r="BG610">
        <f t="shared" si="254"/>
        <v>33.333333333333329</v>
      </c>
      <c r="BH610" s="1">
        <f t="shared" si="244"/>
        <v>0</v>
      </c>
      <c r="BI610" s="1">
        <f t="shared" si="245"/>
        <v>0.5</v>
      </c>
      <c r="BJ610" s="1">
        <f t="shared" si="246"/>
        <v>0.59</v>
      </c>
      <c r="BK610" s="1">
        <f t="shared" si="247"/>
        <v>9.6000000000000002E-2</v>
      </c>
      <c r="BL610" s="1">
        <f t="shared" si="248"/>
        <v>0.5</v>
      </c>
      <c r="BM610" s="1">
        <f t="shared" si="249"/>
        <v>0.5</v>
      </c>
      <c r="BN610" s="1">
        <f t="shared" si="251"/>
        <v>3.242880640000001E-2</v>
      </c>
      <c r="BO610" s="1">
        <f t="shared" si="255"/>
        <v>7.6949606694189029E-3</v>
      </c>
    </row>
    <row r="611" spans="1:67" x14ac:dyDescent="0.25">
      <c r="A611" s="3"/>
      <c r="B611" s="3"/>
      <c r="C611" t="s">
        <v>623</v>
      </c>
      <c r="D611" s="5">
        <v>1</v>
      </c>
      <c r="E611" s="9">
        <f>I611+L611+M611+N611+O611+V611+X611+AB611+AD611</f>
        <v>40.011997600479901</v>
      </c>
      <c r="F611" s="9">
        <f>Q611/(H611+P611+Q611+AC611)</f>
        <v>0</v>
      </c>
      <c r="G611">
        <v>0</v>
      </c>
      <c r="H611">
        <v>59.988002399520092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40.011997600479901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28.893000000000001</v>
      </c>
      <c r="AK611" t="s">
        <v>1</v>
      </c>
      <c r="AL611" t="s">
        <v>374</v>
      </c>
      <c r="AQ611" s="1">
        <f t="shared" si="250"/>
        <v>100</v>
      </c>
      <c r="AR611" s="1">
        <f t="shared" si="231"/>
        <v>0</v>
      </c>
      <c r="AS611" s="1">
        <f t="shared" si="232"/>
        <v>0</v>
      </c>
      <c r="AT611" s="1">
        <f t="shared" si="233"/>
        <v>0.59988002399520091</v>
      </c>
      <c r="AU611" s="1">
        <f t="shared" si="234"/>
        <v>0</v>
      </c>
      <c r="AV611" s="1">
        <f t="shared" si="235"/>
        <v>0.28893000000000002</v>
      </c>
      <c r="AX611" s="1">
        <f t="shared" si="236"/>
        <v>0</v>
      </c>
      <c r="AY611" s="1">
        <f t="shared" si="237"/>
        <v>0</v>
      </c>
      <c r="AZ611" s="1">
        <f t="shared" si="238"/>
        <v>0.5</v>
      </c>
      <c r="BA611" s="1">
        <f t="shared" si="239"/>
        <v>0.5</v>
      </c>
      <c r="BB611" s="1">
        <f t="shared" si="240"/>
        <v>0</v>
      </c>
      <c r="BC611" s="1">
        <f t="shared" si="241"/>
        <v>0</v>
      </c>
      <c r="BD611" s="1">
        <f t="shared" si="242"/>
        <v>0.28893000000000002</v>
      </c>
      <c r="BF611">
        <f t="shared" si="243"/>
        <v>59.988002399520092</v>
      </c>
      <c r="BG611">
        <f t="shared" si="254"/>
        <v>40.011997600479901</v>
      </c>
      <c r="BH611" s="1">
        <f t="shared" si="244"/>
        <v>0</v>
      </c>
      <c r="BI611" s="1">
        <f t="shared" si="245"/>
        <v>0.66700000000000004</v>
      </c>
      <c r="BJ611" s="1">
        <f t="shared" si="246"/>
        <v>0.59</v>
      </c>
      <c r="BK611" s="1">
        <f t="shared" si="247"/>
        <v>9.6000000000000002E-2</v>
      </c>
      <c r="BL611" s="1">
        <f t="shared" si="248"/>
        <v>0.39966666666666661</v>
      </c>
      <c r="BM611" s="1">
        <f t="shared" si="249"/>
        <v>0.39966666666666661</v>
      </c>
      <c r="BN611" s="1">
        <f t="shared" si="251"/>
        <v>1.2262609344444429E-2</v>
      </c>
      <c r="BO611" s="1">
        <f t="shared" si="255"/>
        <v>1.4092283696171975E-2</v>
      </c>
    </row>
    <row r="612" spans="1:67" x14ac:dyDescent="0.25">
      <c r="A612" s="3"/>
      <c r="B612" s="3"/>
      <c r="C612" t="s">
        <v>624</v>
      </c>
      <c r="D612" s="5">
        <v>1</v>
      </c>
      <c r="E612" s="9">
        <f>I612+L612+M612+N612+O612+V612+X612+AB612+AD612</f>
        <v>44.994499449944989</v>
      </c>
      <c r="F612" s="9">
        <f>Q612/(H612+P612+Q612+AC612)</f>
        <v>0</v>
      </c>
      <c r="G612">
        <v>0</v>
      </c>
      <c r="H612">
        <v>55.005500550055011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44.994499449944989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27.96</v>
      </c>
      <c r="AK612" t="s">
        <v>1</v>
      </c>
      <c r="AL612" t="s">
        <v>374</v>
      </c>
      <c r="AQ612" s="1">
        <f t="shared" si="250"/>
        <v>100</v>
      </c>
      <c r="AR612" s="1">
        <f t="shared" si="231"/>
        <v>0</v>
      </c>
      <c r="AS612" s="1">
        <f t="shared" si="232"/>
        <v>0</v>
      </c>
      <c r="AT612" s="1">
        <f t="shared" si="233"/>
        <v>0.55005500550055009</v>
      </c>
      <c r="AU612" s="1">
        <f t="shared" si="234"/>
        <v>0</v>
      </c>
      <c r="AV612" s="1">
        <f t="shared" si="235"/>
        <v>0.27960000000000002</v>
      </c>
      <c r="AX612" s="1">
        <f t="shared" si="236"/>
        <v>0</v>
      </c>
      <c r="AY612" s="1">
        <f t="shared" si="237"/>
        <v>0</v>
      </c>
      <c r="AZ612" s="1">
        <f t="shared" si="238"/>
        <v>0.5</v>
      </c>
      <c r="BA612" s="1">
        <f t="shared" si="239"/>
        <v>0.5</v>
      </c>
      <c r="BB612" s="1">
        <f t="shared" si="240"/>
        <v>0</v>
      </c>
      <c r="BC612" s="1">
        <f t="shared" si="241"/>
        <v>0</v>
      </c>
      <c r="BD612" s="1">
        <f t="shared" si="242"/>
        <v>0.27960000000000002</v>
      </c>
      <c r="BF612">
        <f t="shared" si="243"/>
        <v>55.005500550055011</v>
      </c>
      <c r="BG612">
        <f t="shared" si="254"/>
        <v>44.994499449944989</v>
      </c>
      <c r="BH612" s="1">
        <f t="shared" si="244"/>
        <v>0</v>
      </c>
      <c r="BI612" s="1">
        <f t="shared" si="245"/>
        <v>0.81799999999999984</v>
      </c>
      <c r="BJ612" s="1">
        <f t="shared" si="246"/>
        <v>0.59</v>
      </c>
      <c r="BK612" s="1">
        <f t="shared" si="247"/>
        <v>9.6000000000000002E-2</v>
      </c>
      <c r="BL612" s="1">
        <f t="shared" si="248"/>
        <v>0.34933333333333338</v>
      </c>
      <c r="BM612" s="1">
        <f t="shared" si="249"/>
        <v>0.34933333333333338</v>
      </c>
      <c r="BN612" s="1">
        <f t="shared" si="251"/>
        <v>4.8627377777777829E-3</v>
      </c>
      <c r="BO612" s="1">
        <f t="shared" si="255"/>
        <v>1.6394478455242847E-2</v>
      </c>
    </row>
    <row r="613" spans="1:67" x14ac:dyDescent="0.25">
      <c r="A613" s="3"/>
      <c r="B613" s="3"/>
      <c r="C613" t="s">
        <v>625</v>
      </c>
      <c r="D613" s="6">
        <v>1</v>
      </c>
      <c r="E613" s="1"/>
      <c r="F613" s="1"/>
      <c r="G613">
        <v>0</v>
      </c>
      <c r="H613">
        <v>85.689802913453292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14.310197086546699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14.41</v>
      </c>
      <c r="AK613" t="s">
        <v>1</v>
      </c>
      <c r="AL613" t="s">
        <v>374</v>
      </c>
      <c r="AQ613" s="1">
        <f t="shared" si="250"/>
        <v>99.999999999999986</v>
      </c>
      <c r="AR613" s="1">
        <f t="shared" si="231"/>
        <v>0.143101970865467</v>
      </c>
      <c r="AS613" s="1">
        <f t="shared" si="232"/>
        <v>0</v>
      </c>
      <c r="AT613" s="1">
        <f t="shared" si="233"/>
        <v>0.85689802913453295</v>
      </c>
      <c r="AU613" s="1">
        <f t="shared" si="234"/>
        <v>0</v>
      </c>
      <c r="AV613" s="1">
        <f t="shared" si="235"/>
        <v>0.14410000000000001</v>
      </c>
      <c r="AX613" s="1">
        <f t="shared" si="236"/>
        <v>0</v>
      </c>
      <c r="AY613" s="1">
        <f t="shared" si="237"/>
        <v>0.16700000000000001</v>
      </c>
      <c r="AZ613" s="1">
        <f t="shared" si="238"/>
        <v>0.5</v>
      </c>
      <c r="BA613" s="1">
        <f t="shared" si="239"/>
        <v>0.5</v>
      </c>
      <c r="BB613" s="1">
        <f t="shared" si="240"/>
        <v>0.16700000000000001</v>
      </c>
      <c r="BC613" s="1">
        <f t="shared" si="241"/>
        <v>0.16700000000000001</v>
      </c>
      <c r="BD613" s="1">
        <f t="shared" si="242"/>
        <v>2.2900000000000004E-2</v>
      </c>
      <c r="BF613">
        <f t="shared" si="243"/>
        <v>85.689802913453292</v>
      </c>
      <c r="BG613">
        <f t="shared" si="254"/>
        <v>14.310197086546699</v>
      </c>
      <c r="BH613" s="1">
        <f t="shared" si="244"/>
        <v>0</v>
      </c>
      <c r="BI613" s="1">
        <f t="shared" si="245"/>
        <v>0.16699999999999998</v>
      </c>
      <c r="BJ613" s="1">
        <f t="shared" si="246"/>
        <v>0.59</v>
      </c>
      <c r="BK613" s="1">
        <f t="shared" si="247"/>
        <v>9.6000000000000002E-2</v>
      </c>
      <c r="BL613" s="1">
        <f t="shared" si="248"/>
        <v>0.16699999999999998</v>
      </c>
      <c r="BM613" s="1">
        <f t="shared" si="249"/>
        <v>0.16699999999999998</v>
      </c>
      <c r="BN613" s="1">
        <f t="shared" si="251"/>
        <v>5.2440999999999892E-4</v>
      </c>
      <c r="BO613" s="1">
        <f t="shared" si="255"/>
        <v>6.9453819109487516E-2</v>
      </c>
    </row>
    <row r="614" spans="1:67" x14ac:dyDescent="0.25">
      <c r="A614" s="3"/>
      <c r="B614" s="3"/>
      <c r="C614" t="s">
        <v>626</v>
      </c>
      <c r="D614" s="5">
        <v>1</v>
      </c>
      <c r="E614" s="9">
        <f t="shared" ref="E614:E632" si="258">I614+L614+M614+N614+O614+V614+X614+AB614+AD614</f>
        <v>25.03748125937031</v>
      </c>
      <c r="F614" s="9">
        <f t="shared" ref="F614:F632" si="259">Q614/(H614+P614+Q614+AC614)</f>
        <v>0</v>
      </c>
      <c r="G614">
        <v>0</v>
      </c>
      <c r="H614">
        <v>74.962518740629676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25.03748125937031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25.588999999999999</v>
      </c>
      <c r="AK614" t="s">
        <v>1</v>
      </c>
      <c r="AL614" t="s">
        <v>374</v>
      </c>
      <c r="AQ614" s="1">
        <f t="shared" si="250"/>
        <v>99.999999999999986</v>
      </c>
      <c r="AR614" s="1">
        <f t="shared" si="231"/>
        <v>0.25037481259370309</v>
      </c>
      <c r="AS614" s="1">
        <f t="shared" si="232"/>
        <v>0</v>
      </c>
      <c r="AT614" s="1">
        <f t="shared" si="233"/>
        <v>0.7496251874062968</v>
      </c>
      <c r="AU614" s="1">
        <f t="shared" si="234"/>
        <v>0</v>
      </c>
      <c r="AV614" s="1">
        <f t="shared" si="235"/>
        <v>0.25589000000000001</v>
      </c>
      <c r="AX614" s="1">
        <f t="shared" si="236"/>
        <v>0</v>
      </c>
      <c r="AY614" s="1">
        <f t="shared" si="237"/>
        <v>0.33399999999999996</v>
      </c>
      <c r="AZ614" s="1">
        <f t="shared" si="238"/>
        <v>0.5</v>
      </c>
      <c r="BA614" s="1">
        <f t="shared" si="239"/>
        <v>0.5</v>
      </c>
      <c r="BB614" s="1">
        <f t="shared" si="240"/>
        <v>0.33399999999999996</v>
      </c>
      <c r="BC614" s="1">
        <f t="shared" si="241"/>
        <v>0.33399999999999996</v>
      </c>
      <c r="BD614" s="1">
        <f t="shared" si="242"/>
        <v>7.8109999999999957E-2</v>
      </c>
      <c r="BF614">
        <f t="shared" si="243"/>
        <v>74.962518740629676</v>
      </c>
      <c r="BG614">
        <f t="shared" si="254"/>
        <v>25.03748125937031</v>
      </c>
      <c r="BH614" s="1">
        <f t="shared" si="244"/>
        <v>0</v>
      </c>
      <c r="BI614" s="1">
        <f t="shared" si="245"/>
        <v>0.33399999999999996</v>
      </c>
      <c r="BJ614" s="1">
        <f t="shared" si="246"/>
        <v>0.59</v>
      </c>
      <c r="BK614" s="1">
        <f t="shared" si="247"/>
        <v>9.6000000000000002E-2</v>
      </c>
      <c r="BL614" s="1">
        <f t="shared" si="248"/>
        <v>0.33399999999999996</v>
      </c>
      <c r="BM614" s="1">
        <f t="shared" si="249"/>
        <v>0.33399999999999996</v>
      </c>
      <c r="BN614" s="1">
        <f t="shared" si="251"/>
        <v>6.1011720999999937E-3</v>
      </c>
      <c r="BO614" s="1">
        <f t="shared" si="255"/>
        <v>2.302834321511105E-2</v>
      </c>
    </row>
    <row r="615" spans="1:67" x14ac:dyDescent="0.25">
      <c r="A615" s="3"/>
      <c r="B615" s="3"/>
      <c r="C615" t="s">
        <v>627</v>
      </c>
      <c r="D615" s="5">
        <v>1</v>
      </c>
      <c r="E615" s="9">
        <f t="shared" si="258"/>
        <v>33.333333333333329</v>
      </c>
      <c r="F615" s="9">
        <f t="shared" si="259"/>
        <v>0</v>
      </c>
      <c r="G615">
        <v>0</v>
      </c>
      <c r="H615">
        <v>66.666666666666657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33.333333333333329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27.96</v>
      </c>
      <c r="AK615" t="s">
        <v>1</v>
      </c>
      <c r="AL615" t="s">
        <v>374</v>
      </c>
      <c r="AQ615" s="1">
        <f t="shared" si="250"/>
        <v>99.999999999999986</v>
      </c>
      <c r="AR615" s="1">
        <f t="shared" si="231"/>
        <v>0.33333333333333326</v>
      </c>
      <c r="AS615" s="1">
        <f t="shared" si="232"/>
        <v>0</v>
      </c>
      <c r="AT615" s="1">
        <f t="shared" si="233"/>
        <v>0.66666666666666652</v>
      </c>
      <c r="AU615" s="1">
        <f t="shared" si="234"/>
        <v>0</v>
      </c>
      <c r="AV615" s="1">
        <f t="shared" si="235"/>
        <v>0.27960000000000002</v>
      </c>
      <c r="AX615" s="1">
        <f t="shared" si="236"/>
        <v>0</v>
      </c>
      <c r="AY615" s="1">
        <f t="shared" si="237"/>
        <v>0.5</v>
      </c>
      <c r="AZ615" s="1">
        <f t="shared" si="238"/>
        <v>0.5</v>
      </c>
      <c r="BA615" s="1">
        <f t="shared" si="239"/>
        <v>0.5</v>
      </c>
      <c r="BB615" s="1">
        <f t="shared" si="240"/>
        <v>0.5</v>
      </c>
      <c r="BC615" s="1">
        <f t="shared" si="241"/>
        <v>0.5</v>
      </c>
      <c r="BD615" s="1">
        <f t="shared" si="242"/>
        <v>0.22039999999999998</v>
      </c>
      <c r="BF615">
        <f t="shared" si="243"/>
        <v>66.666666666666657</v>
      </c>
      <c r="BG615">
        <f t="shared" si="254"/>
        <v>33.333333333333329</v>
      </c>
      <c r="BH615" s="1">
        <f t="shared" si="244"/>
        <v>0</v>
      </c>
      <c r="BI615" s="1">
        <f t="shared" si="245"/>
        <v>0.5</v>
      </c>
      <c r="BJ615" s="1">
        <f t="shared" si="246"/>
        <v>0.59</v>
      </c>
      <c r="BK615" s="1">
        <f t="shared" si="247"/>
        <v>9.6000000000000002E-2</v>
      </c>
      <c r="BL615" s="1">
        <f t="shared" si="248"/>
        <v>0.5</v>
      </c>
      <c r="BM615" s="1">
        <f t="shared" si="249"/>
        <v>0.5</v>
      </c>
      <c r="BN615" s="1">
        <f t="shared" si="251"/>
        <v>4.8576159999999993E-2</v>
      </c>
      <c r="BO615" s="1">
        <f t="shared" si="255"/>
        <v>1.6394478455242847E-2</v>
      </c>
    </row>
    <row r="616" spans="1:67" x14ac:dyDescent="0.25">
      <c r="A616" s="3"/>
      <c r="B616" s="3"/>
      <c r="C616" t="s">
        <v>628</v>
      </c>
      <c r="D616" s="5">
        <v>1</v>
      </c>
      <c r="E616" s="9">
        <f t="shared" si="258"/>
        <v>40.011997600479901</v>
      </c>
      <c r="F616" s="9">
        <f t="shared" si="259"/>
        <v>0</v>
      </c>
      <c r="G616">
        <v>0</v>
      </c>
      <c r="H616">
        <v>59.988002399520092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40.011997600479901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27.66</v>
      </c>
      <c r="AK616" t="s">
        <v>1</v>
      </c>
      <c r="AL616" t="s">
        <v>374</v>
      </c>
      <c r="AQ616" s="1">
        <f t="shared" si="250"/>
        <v>100</v>
      </c>
      <c r="AR616" s="1">
        <f t="shared" si="231"/>
        <v>0.40011997600479904</v>
      </c>
      <c r="AS616" s="1">
        <f t="shared" si="232"/>
        <v>0</v>
      </c>
      <c r="AT616" s="1">
        <f t="shared" si="233"/>
        <v>0.59988002399520091</v>
      </c>
      <c r="AU616" s="1">
        <f t="shared" si="234"/>
        <v>0</v>
      </c>
      <c r="AV616" s="1">
        <f t="shared" si="235"/>
        <v>0.27660000000000001</v>
      </c>
      <c r="AX616" s="1">
        <f t="shared" si="236"/>
        <v>0</v>
      </c>
      <c r="AY616" s="1">
        <f t="shared" si="237"/>
        <v>0.66700000000000004</v>
      </c>
      <c r="AZ616" s="1">
        <f t="shared" si="238"/>
        <v>0.5</v>
      </c>
      <c r="BA616" s="1">
        <f t="shared" si="239"/>
        <v>0.5</v>
      </c>
      <c r="BB616" s="1">
        <f t="shared" si="240"/>
        <v>0.4443333333333333</v>
      </c>
      <c r="BC616" s="1">
        <f t="shared" si="241"/>
        <v>0.4443333333333333</v>
      </c>
      <c r="BD616" s="1">
        <f t="shared" si="242"/>
        <v>0.16773333333333329</v>
      </c>
      <c r="BF616">
        <f t="shared" si="243"/>
        <v>59.988002399520092</v>
      </c>
      <c r="BG616">
        <f t="shared" si="254"/>
        <v>40.011997600479901</v>
      </c>
      <c r="BH616" s="1">
        <f t="shared" si="244"/>
        <v>0</v>
      </c>
      <c r="BI616" s="1">
        <f t="shared" si="245"/>
        <v>0.66700000000000004</v>
      </c>
      <c r="BJ616" s="1">
        <f t="shared" si="246"/>
        <v>0.59</v>
      </c>
      <c r="BK616" s="1">
        <f t="shared" si="247"/>
        <v>9.6000000000000002E-2</v>
      </c>
      <c r="BL616" s="1">
        <f t="shared" si="248"/>
        <v>0.39966666666666661</v>
      </c>
      <c r="BM616" s="1">
        <f t="shared" si="249"/>
        <v>0.39966666666666661</v>
      </c>
      <c r="BN616" s="1">
        <f t="shared" si="251"/>
        <v>1.5145404444444429E-2</v>
      </c>
      <c r="BO616" s="1">
        <f t="shared" si="255"/>
        <v>1.7171724004783319E-2</v>
      </c>
    </row>
    <row r="617" spans="1:67" x14ac:dyDescent="0.25">
      <c r="A617" s="3"/>
      <c r="B617" s="3"/>
      <c r="C617" t="s">
        <v>629</v>
      </c>
      <c r="D617" s="5">
        <v>1</v>
      </c>
      <c r="E617" s="9">
        <f t="shared" si="258"/>
        <v>44.994499449944989</v>
      </c>
      <c r="F617" s="9">
        <f t="shared" si="259"/>
        <v>0</v>
      </c>
      <c r="G617">
        <v>0</v>
      </c>
      <c r="H617">
        <v>55.005500550055011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44.994499449944989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23.722999999999999</v>
      </c>
      <c r="AK617" t="s">
        <v>1</v>
      </c>
      <c r="AL617" t="s">
        <v>374</v>
      </c>
      <c r="AQ617" s="1">
        <f t="shared" si="250"/>
        <v>100</v>
      </c>
      <c r="AR617" s="1">
        <f t="shared" si="231"/>
        <v>0.44994499449944991</v>
      </c>
      <c r="AS617" s="1">
        <f t="shared" si="232"/>
        <v>0</v>
      </c>
      <c r="AT617" s="1">
        <f t="shared" si="233"/>
        <v>0.55005500550055009</v>
      </c>
      <c r="AU617" s="1">
        <f t="shared" si="234"/>
        <v>0</v>
      </c>
      <c r="AV617" s="1">
        <f t="shared" si="235"/>
        <v>0.23723</v>
      </c>
      <c r="AX617" s="1">
        <f t="shared" si="236"/>
        <v>0</v>
      </c>
      <c r="AY617" s="1">
        <f t="shared" si="237"/>
        <v>0.81799999999999984</v>
      </c>
      <c r="AZ617" s="1">
        <f t="shared" si="238"/>
        <v>0.5</v>
      </c>
      <c r="BA617" s="1">
        <f t="shared" si="239"/>
        <v>0.5</v>
      </c>
      <c r="BB617" s="1">
        <f t="shared" si="240"/>
        <v>0.39400000000000007</v>
      </c>
      <c r="BC617" s="1">
        <f t="shared" si="241"/>
        <v>0.39400000000000007</v>
      </c>
      <c r="BD617" s="1">
        <f t="shared" si="242"/>
        <v>0.15677000000000008</v>
      </c>
      <c r="BF617">
        <f t="shared" si="243"/>
        <v>55.005500550055011</v>
      </c>
      <c r="BG617">
        <f t="shared" si="254"/>
        <v>44.994499449944989</v>
      </c>
      <c r="BH617" s="1">
        <f t="shared" si="244"/>
        <v>0</v>
      </c>
      <c r="BI617" s="1">
        <f t="shared" si="245"/>
        <v>0.81799999999999984</v>
      </c>
      <c r="BJ617" s="1">
        <f t="shared" si="246"/>
        <v>0.59</v>
      </c>
      <c r="BK617" s="1">
        <f t="shared" si="247"/>
        <v>9.6000000000000002E-2</v>
      </c>
      <c r="BL617" s="1">
        <f t="shared" si="248"/>
        <v>0.34933333333333338</v>
      </c>
      <c r="BM617" s="1">
        <f t="shared" si="249"/>
        <v>0.34933333333333338</v>
      </c>
      <c r="BN617" s="1">
        <f t="shared" si="251"/>
        <v>1.2567157344444456E-2</v>
      </c>
      <c r="BO617" s="1">
        <f t="shared" si="255"/>
        <v>2.9039883333252792E-2</v>
      </c>
    </row>
    <row r="618" spans="1:67" x14ac:dyDescent="0.25">
      <c r="A618" s="3"/>
      <c r="B618" s="3"/>
      <c r="C618" t="s">
        <v>630</v>
      </c>
      <c r="D618" s="5">
        <v>1</v>
      </c>
      <c r="E618" s="9">
        <f t="shared" si="258"/>
        <v>0.76758000000000004</v>
      </c>
      <c r="F618" s="9">
        <f t="shared" si="259"/>
        <v>0</v>
      </c>
      <c r="G618">
        <v>0</v>
      </c>
      <c r="H618">
        <v>99.232420000000005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0.76758000000000004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0.69100000000000006</v>
      </c>
      <c r="AK618" t="s">
        <v>1</v>
      </c>
      <c r="AL618" t="s">
        <v>374</v>
      </c>
      <c r="AO618" t="s">
        <v>378</v>
      </c>
      <c r="AQ618" s="1">
        <f t="shared" si="250"/>
        <v>100</v>
      </c>
      <c r="AR618" s="1">
        <f t="shared" si="231"/>
        <v>7.6758E-3</v>
      </c>
      <c r="AS618" s="1">
        <f t="shared" si="232"/>
        <v>0</v>
      </c>
      <c r="AT618" s="1">
        <f t="shared" si="233"/>
        <v>0.9923242000000001</v>
      </c>
      <c r="AU618" s="1">
        <f t="shared" si="234"/>
        <v>0</v>
      </c>
      <c r="AV618" s="1">
        <f t="shared" si="235"/>
        <v>6.9100000000000003E-3</v>
      </c>
      <c r="AX618" s="1">
        <f t="shared" si="236"/>
        <v>0</v>
      </c>
      <c r="AY618" s="1">
        <f t="shared" si="237"/>
        <v>7.7351736458709753E-3</v>
      </c>
      <c r="AZ618" s="1">
        <f t="shared" si="238"/>
        <v>0.5</v>
      </c>
      <c r="BA618" s="1">
        <f t="shared" si="239"/>
        <v>0.5</v>
      </c>
      <c r="BB618" s="1">
        <f t="shared" si="240"/>
        <v>7.7351736458709753E-3</v>
      </c>
      <c r="BC618" s="1">
        <f t="shared" si="241"/>
        <v>7.7351736458709753E-3</v>
      </c>
      <c r="BD618" s="1">
        <f t="shared" si="242"/>
        <v>8.2517364587097498E-4</v>
      </c>
      <c r="BF618">
        <f t="shared" si="243"/>
        <v>99.232420000000005</v>
      </c>
      <c r="BG618">
        <f t="shared" si="254"/>
        <v>0.76758000000000004</v>
      </c>
      <c r="BH618" s="1">
        <f t="shared" si="244"/>
        <v>0</v>
      </c>
      <c r="BI618" s="1">
        <f t="shared" si="245"/>
        <v>7.7351736458709762E-3</v>
      </c>
      <c r="BJ618" s="1">
        <f t="shared" si="246"/>
        <v>0.59</v>
      </c>
      <c r="BK618" s="1">
        <f t="shared" si="247"/>
        <v>9.6000000000000002E-2</v>
      </c>
      <c r="BL618" s="1">
        <f t="shared" si="248"/>
        <v>7.7351736458709762E-3</v>
      </c>
      <c r="BM618" s="1">
        <f t="shared" si="249"/>
        <v>7.7351736458709762E-3</v>
      </c>
      <c r="BN618" s="1">
        <f t="shared" si="251"/>
        <v>6.8091154583999862E-7</v>
      </c>
      <c r="BO618" s="1">
        <f t="shared" si="255"/>
        <v>0.16058527418997331</v>
      </c>
    </row>
    <row r="619" spans="1:67" x14ac:dyDescent="0.25">
      <c r="A619" s="3"/>
      <c r="B619" s="3"/>
      <c r="C619" t="s">
        <v>631</v>
      </c>
      <c r="D619" s="5">
        <v>1</v>
      </c>
      <c r="E619" s="9">
        <f t="shared" si="258"/>
        <v>2.1751900000000002</v>
      </c>
      <c r="F619" s="9">
        <f t="shared" si="259"/>
        <v>0</v>
      </c>
      <c r="G619">
        <v>0</v>
      </c>
      <c r="H619">
        <v>97.824809999999999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2.1751900000000002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3.4319999999999999</v>
      </c>
      <c r="AK619" t="s">
        <v>1</v>
      </c>
      <c r="AL619" t="s">
        <v>374</v>
      </c>
      <c r="AQ619" s="1">
        <f t="shared" si="250"/>
        <v>100</v>
      </c>
      <c r="AR619" s="1">
        <f t="shared" si="231"/>
        <v>2.1751900000000001E-2</v>
      </c>
      <c r="AS619" s="1">
        <f t="shared" si="232"/>
        <v>0</v>
      </c>
      <c r="AT619" s="1">
        <f t="shared" si="233"/>
        <v>0.97824809999999995</v>
      </c>
      <c r="AU619" s="1">
        <f t="shared" si="234"/>
        <v>0</v>
      </c>
      <c r="AV619" s="1">
        <f t="shared" si="235"/>
        <v>3.4319999999999996E-2</v>
      </c>
      <c r="AX619" s="1">
        <f t="shared" si="236"/>
        <v>0</v>
      </c>
      <c r="AY619" s="1">
        <f t="shared" si="237"/>
        <v>2.2235565803807849E-2</v>
      </c>
      <c r="AZ619" s="1">
        <f t="shared" si="238"/>
        <v>0.5</v>
      </c>
      <c r="BA619" s="1">
        <f t="shared" si="239"/>
        <v>0.5</v>
      </c>
      <c r="BB619" s="1">
        <f t="shared" si="240"/>
        <v>2.2235565803807849E-2</v>
      </c>
      <c r="BC619" s="1">
        <f t="shared" si="241"/>
        <v>2.2235565803807849E-2</v>
      </c>
      <c r="BD619" s="1">
        <f t="shared" si="242"/>
        <v>1.2084434196192147E-2</v>
      </c>
      <c r="BF619">
        <f t="shared" si="243"/>
        <v>97.824809999999999</v>
      </c>
      <c r="BG619">
        <f t="shared" si="254"/>
        <v>2.1751900000000002</v>
      </c>
      <c r="BH619" s="1">
        <f t="shared" si="244"/>
        <v>0</v>
      </c>
      <c r="BI619" s="1">
        <f t="shared" si="245"/>
        <v>2.2235565803807849E-2</v>
      </c>
      <c r="BJ619" s="1">
        <f t="shared" si="246"/>
        <v>0.59</v>
      </c>
      <c r="BK619" s="1">
        <f t="shared" si="247"/>
        <v>9.6000000000000002E-2</v>
      </c>
      <c r="BL619" s="1">
        <f t="shared" si="248"/>
        <v>2.2235565803807849E-2</v>
      </c>
      <c r="BM619" s="1">
        <f t="shared" si="249"/>
        <v>2.2235565803807849E-2</v>
      </c>
      <c r="BN619" s="1">
        <f t="shared" si="251"/>
        <v>1.4603354984209815E-4</v>
      </c>
      <c r="BO619" s="1">
        <f t="shared" si="255"/>
        <v>0.13936851298567188</v>
      </c>
    </row>
    <row r="620" spans="1:67" x14ac:dyDescent="0.25">
      <c r="A620" s="3"/>
      <c r="B620" s="3"/>
      <c r="C620" t="s">
        <v>632</v>
      </c>
      <c r="D620" s="5">
        <v>1</v>
      </c>
      <c r="E620" s="9">
        <f t="shared" si="258"/>
        <v>4.8157300000000003</v>
      </c>
      <c r="F620" s="9">
        <f t="shared" si="259"/>
        <v>0</v>
      </c>
      <c r="G620">
        <v>0</v>
      </c>
      <c r="H620">
        <v>95.184269999999998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4.8157300000000003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7.1609999999999996</v>
      </c>
      <c r="AK620" t="s">
        <v>1</v>
      </c>
      <c r="AL620" t="s">
        <v>374</v>
      </c>
      <c r="AQ620" s="1">
        <f t="shared" si="250"/>
        <v>100</v>
      </c>
      <c r="AR620" s="1">
        <f t="shared" si="231"/>
        <v>4.81573E-2</v>
      </c>
      <c r="AS620" s="1">
        <f t="shared" si="232"/>
        <v>0</v>
      </c>
      <c r="AT620" s="1">
        <f t="shared" si="233"/>
        <v>0.95184269999999993</v>
      </c>
      <c r="AU620" s="1">
        <f t="shared" si="234"/>
        <v>0</v>
      </c>
      <c r="AV620" s="1">
        <f t="shared" si="235"/>
        <v>7.1609999999999993E-2</v>
      </c>
      <c r="AX620" s="1">
        <f t="shared" si="236"/>
        <v>0</v>
      </c>
      <c r="AY620" s="1">
        <f t="shared" si="237"/>
        <v>5.0593758821704471E-2</v>
      </c>
      <c r="AZ620" s="1">
        <f t="shared" si="238"/>
        <v>0.5</v>
      </c>
      <c r="BA620" s="1">
        <f t="shared" si="239"/>
        <v>0.5</v>
      </c>
      <c r="BB620" s="1">
        <f t="shared" si="240"/>
        <v>5.0593758821704471E-2</v>
      </c>
      <c r="BC620" s="1">
        <f t="shared" si="241"/>
        <v>5.0593758821704471E-2</v>
      </c>
      <c r="BD620" s="1">
        <f t="shared" si="242"/>
        <v>2.1016241178295522E-2</v>
      </c>
      <c r="BF620">
        <f t="shared" si="243"/>
        <v>95.184269999999998</v>
      </c>
      <c r="BG620">
        <f t="shared" si="254"/>
        <v>4.8157300000000003</v>
      </c>
      <c r="BH620" s="1">
        <f t="shared" si="244"/>
        <v>0</v>
      </c>
      <c r="BI620" s="1">
        <f t="shared" si="245"/>
        <v>5.0593758821704471E-2</v>
      </c>
      <c r="BJ620" s="1">
        <f t="shared" si="246"/>
        <v>0.59</v>
      </c>
      <c r="BK620" s="1">
        <f t="shared" si="247"/>
        <v>9.6000000000000002E-2</v>
      </c>
      <c r="BL620" s="1">
        <f t="shared" si="248"/>
        <v>5.0593758821704471E-2</v>
      </c>
      <c r="BM620" s="1">
        <f t="shared" si="249"/>
        <v>5.0593758821704471E-2</v>
      </c>
      <c r="BN620" s="1">
        <f t="shared" si="251"/>
        <v>4.4168239326428435E-4</v>
      </c>
      <c r="BO620" s="1">
        <f t="shared" si="255"/>
        <v>0.11291678250488381</v>
      </c>
    </row>
    <row r="621" spans="1:67" x14ac:dyDescent="0.25">
      <c r="A621" s="3"/>
      <c r="B621" s="3"/>
      <c r="C621" t="s">
        <v>633</v>
      </c>
      <c r="D621" s="5">
        <v>1</v>
      </c>
      <c r="E621" s="9">
        <f t="shared" si="258"/>
        <v>10.024889999999999</v>
      </c>
      <c r="F621" s="9">
        <f t="shared" si="259"/>
        <v>0</v>
      </c>
      <c r="G621">
        <v>0</v>
      </c>
      <c r="H621">
        <v>89.975110000000001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10.024889999999999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19.497</v>
      </c>
      <c r="AK621" t="s">
        <v>1</v>
      </c>
      <c r="AL621" t="s">
        <v>374</v>
      </c>
      <c r="AQ621" s="1">
        <f t="shared" si="250"/>
        <v>100</v>
      </c>
      <c r="AR621" s="1">
        <f t="shared" si="231"/>
        <v>0.10024889999999999</v>
      </c>
      <c r="AS621" s="1">
        <f t="shared" si="232"/>
        <v>0</v>
      </c>
      <c r="AT621" s="1">
        <f t="shared" si="233"/>
        <v>0.89975110000000003</v>
      </c>
      <c r="AU621" s="1">
        <f t="shared" si="234"/>
        <v>0</v>
      </c>
      <c r="AV621" s="1">
        <f t="shared" si="235"/>
        <v>0.19497</v>
      </c>
      <c r="AX621" s="1">
        <f t="shared" si="236"/>
        <v>0</v>
      </c>
      <c r="AY621" s="1">
        <f t="shared" si="237"/>
        <v>0.11141848006632055</v>
      </c>
      <c r="AZ621" s="1">
        <f t="shared" si="238"/>
        <v>0.5</v>
      </c>
      <c r="BA621" s="1">
        <f t="shared" si="239"/>
        <v>0.5</v>
      </c>
      <c r="BB621" s="1">
        <f t="shared" si="240"/>
        <v>0.11141848006632055</v>
      </c>
      <c r="BC621" s="1">
        <f t="shared" si="241"/>
        <v>0.11141848006632055</v>
      </c>
      <c r="BD621" s="1">
        <f t="shared" si="242"/>
        <v>8.3551519933679458E-2</v>
      </c>
      <c r="BF621">
        <f t="shared" si="243"/>
        <v>89.975110000000001</v>
      </c>
      <c r="BG621">
        <f t="shared" si="254"/>
        <v>10.024889999999999</v>
      </c>
      <c r="BH621" s="1">
        <f t="shared" si="244"/>
        <v>0</v>
      </c>
      <c r="BI621" s="1">
        <f t="shared" si="245"/>
        <v>0.11141848006632056</v>
      </c>
      <c r="BJ621" s="1">
        <f t="shared" si="246"/>
        <v>0.59</v>
      </c>
      <c r="BK621" s="1">
        <f t="shared" si="247"/>
        <v>9.6000000000000002E-2</v>
      </c>
      <c r="BL621" s="1">
        <f t="shared" si="248"/>
        <v>0.11141848006632056</v>
      </c>
      <c r="BM621" s="1">
        <f t="shared" si="249"/>
        <v>0.11141848006632056</v>
      </c>
      <c r="BN621" s="1">
        <f t="shared" si="251"/>
        <v>6.9808564832280337E-3</v>
      </c>
      <c r="BO621" s="1">
        <f t="shared" si="255"/>
        <v>4.5228922307779577E-2</v>
      </c>
    </row>
    <row r="622" spans="1:67" x14ac:dyDescent="0.25">
      <c r="A622" s="3"/>
      <c r="B622" s="3"/>
      <c r="C622" t="s">
        <v>634</v>
      </c>
      <c r="D622" s="5">
        <v>1</v>
      </c>
      <c r="E622" s="9">
        <f t="shared" si="258"/>
        <v>13.66206</v>
      </c>
      <c r="F622" s="9">
        <f t="shared" si="259"/>
        <v>0</v>
      </c>
      <c r="G622">
        <v>0</v>
      </c>
      <c r="H622">
        <v>86.337940000000003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13.66206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27.6</v>
      </c>
      <c r="AK622" t="s">
        <v>1</v>
      </c>
      <c r="AL622" t="s">
        <v>374</v>
      </c>
      <c r="AQ622" s="1">
        <f t="shared" si="250"/>
        <v>100</v>
      </c>
      <c r="AR622" s="1">
        <f t="shared" si="231"/>
        <v>0.13662060000000001</v>
      </c>
      <c r="AS622" s="1">
        <f t="shared" si="232"/>
        <v>0</v>
      </c>
      <c r="AT622" s="1">
        <f t="shared" si="233"/>
        <v>0.86337940000000002</v>
      </c>
      <c r="AU622" s="1">
        <f t="shared" si="234"/>
        <v>0</v>
      </c>
      <c r="AV622" s="1">
        <f t="shared" si="235"/>
        <v>0.27600000000000002</v>
      </c>
      <c r="AX622" s="1">
        <f t="shared" si="236"/>
        <v>0</v>
      </c>
      <c r="AY622" s="1">
        <f t="shared" si="237"/>
        <v>0.15823935572240894</v>
      </c>
      <c r="AZ622" s="1">
        <f t="shared" si="238"/>
        <v>0.5</v>
      </c>
      <c r="BA622" s="1">
        <f t="shared" si="239"/>
        <v>0.5</v>
      </c>
      <c r="BB622" s="1">
        <f t="shared" si="240"/>
        <v>0.15823935572240894</v>
      </c>
      <c r="BC622" s="1">
        <f t="shared" si="241"/>
        <v>0.15823935572240894</v>
      </c>
      <c r="BD622" s="1">
        <f t="shared" si="242"/>
        <v>0.11776064427759109</v>
      </c>
      <c r="BF622">
        <f t="shared" si="243"/>
        <v>86.337940000000003</v>
      </c>
      <c r="BG622">
        <f t="shared" si="254"/>
        <v>13.66206</v>
      </c>
      <c r="BH622" s="1">
        <f t="shared" si="244"/>
        <v>0</v>
      </c>
      <c r="BI622" s="1">
        <f t="shared" si="245"/>
        <v>0.15823935572240894</v>
      </c>
      <c r="BJ622" s="1">
        <f t="shared" si="246"/>
        <v>0.59</v>
      </c>
      <c r="BK622" s="1">
        <f t="shared" si="247"/>
        <v>9.6000000000000002E-2</v>
      </c>
      <c r="BL622" s="1">
        <f t="shared" si="248"/>
        <v>0.15823935572240894</v>
      </c>
      <c r="BM622" s="1">
        <f t="shared" si="249"/>
        <v>0.15823935572240894</v>
      </c>
      <c r="BN622" s="1">
        <f t="shared" si="251"/>
        <v>1.3867569340673347E-2</v>
      </c>
      <c r="BO622" s="1">
        <f t="shared" si="255"/>
        <v>1.7329333114691411E-2</v>
      </c>
    </row>
    <row r="623" spans="1:67" x14ac:dyDescent="0.25">
      <c r="A623" s="3"/>
      <c r="B623" s="3"/>
      <c r="C623" t="s">
        <v>635</v>
      </c>
      <c r="D623" s="5">
        <v>1</v>
      </c>
      <c r="E623" s="9">
        <f t="shared" si="258"/>
        <v>16.148489999999999</v>
      </c>
      <c r="F623" s="9">
        <f t="shared" si="259"/>
        <v>0</v>
      </c>
      <c r="G623">
        <v>0</v>
      </c>
      <c r="H623">
        <v>83.851510000000005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16.148489999999999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34.734999999999999</v>
      </c>
      <c r="AK623" t="s">
        <v>1</v>
      </c>
      <c r="AL623" t="s">
        <v>374</v>
      </c>
      <c r="AQ623" s="1">
        <f t="shared" si="250"/>
        <v>100</v>
      </c>
      <c r="AR623" s="1">
        <f t="shared" si="231"/>
        <v>0.16148489999999999</v>
      </c>
      <c r="AS623" s="1">
        <f t="shared" si="232"/>
        <v>0</v>
      </c>
      <c r="AT623" s="1">
        <f t="shared" si="233"/>
        <v>0.83851510000000007</v>
      </c>
      <c r="AU623" s="1">
        <f t="shared" si="234"/>
        <v>0</v>
      </c>
      <c r="AV623" s="1">
        <f t="shared" si="235"/>
        <v>0.34734999999999999</v>
      </c>
      <c r="AX623" s="1">
        <f t="shared" si="236"/>
        <v>0</v>
      </c>
      <c r="AY623" s="1">
        <f t="shared" si="237"/>
        <v>0.19258436729404155</v>
      </c>
      <c r="AZ623" s="1">
        <f t="shared" si="238"/>
        <v>0.5</v>
      </c>
      <c r="BA623" s="1">
        <f t="shared" si="239"/>
        <v>0.5</v>
      </c>
      <c r="BB623" s="1">
        <f t="shared" si="240"/>
        <v>0.19258436729404155</v>
      </c>
      <c r="BC623" s="1">
        <f t="shared" si="241"/>
        <v>0.19258436729404155</v>
      </c>
      <c r="BD623" s="1">
        <f t="shared" si="242"/>
        <v>0.15476563270595844</v>
      </c>
      <c r="BF623">
        <f t="shared" si="243"/>
        <v>83.851510000000005</v>
      </c>
      <c r="BG623">
        <f t="shared" si="254"/>
        <v>16.148489999999999</v>
      </c>
      <c r="BH623" s="1">
        <f t="shared" si="244"/>
        <v>0</v>
      </c>
      <c r="BI623" s="1">
        <f t="shared" si="245"/>
        <v>0.19258436729404155</v>
      </c>
      <c r="BJ623" s="1">
        <f t="shared" si="246"/>
        <v>0.59</v>
      </c>
      <c r="BK623" s="1">
        <f t="shared" si="247"/>
        <v>9.6000000000000002E-2</v>
      </c>
      <c r="BL623" s="1">
        <f t="shared" si="248"/>
        <v>0.19258436729404155</v>
      </c>
      <c r="BM623" s="1">
        <f t="shared" si="249"/>
        <v>0.19258436729404155</v>
      </c>
      <c r="BN623" s="1">
        <f t="shared" si="251"/>
        <v>2.3952401066875635E-2</v>
      </c>
      <c r="BO623" s="1">
        <f t="shared" si="255"/>
        <v>3.6349956281205133E-3</v>
      </c>
    </row>
    <row r="624" spans="1:67" x14ac:dyDescent="0.25">
      <c r="A624" s="3"/>
      <c r="B624" s="3"/>
      <c r="C624" t="s">
        <v>636</v>
      </c>
      <c r="D624" s="5">
        <v>1</v>
      </c>
      <c r="E624" s="9">
        <f t="shared" si="258"/>
        <v>19.950050000000001</v>
      </c>
      <c r="F624" s="9">
        <f t="shared" si="259"/>
        <v>0</v>
      </c>
      <c r="G624">
        <v>0</v>
      </c>
      <c r="H624">
        <v>80.049949999999995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19.950050000000001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43.16</v>
      </c>
      <c r="AK624" t="s">
        <v>1</v>
      </c>
      <c r="AL624" t="s">
        <v>374</v>
      </c>
      <c r="AQ624" s="1">
        <f t="shared" si="250"/>
        <v>100</v>
      </c>
      <c r="AR624" s="1">
        <f t="shared" si="231"/>
        <v>0.1995005</v>
      </c>
      <c r="AS624" s="1">
        <f t="shared" si="232"/>
        <v>0</v>
      </c>
      <c r="AT624" s="1">
        <f t="shared" si="233"/>
        <v>0.80049949999999992</v>
      </c>
      <c r="AU624" s="1">
        <f t="shared" si="234"/>
        <v>0</v>
      </c>
      <c r="AV624" s="1">
        <f t="shared" si="235"/>
        <v>0.43159999999999998</v>
      </c>
      <c r="AX624" s="1">
        <f t="shared" si="236"/>
        <v>0</v>
      </c>
      <c r="AY624" s="1">
        <f t="shared" si="237"/>
        <v>0.24922001825110449</v>
      </c>
      <c r="AZ624" s="1">
        <f t="shared" si="238"/>
        <v>0.5</v>
      </c>
      <c r="BA624" s="1">
        <f t="shared" si="239"/>
        <v>0.5</v>
      </c>
      <c r="BB624" s="1">
        <f t="shared" si="240"/>
        <v>0.24922001825110449</v>
      </c>
      <c r="BC624" s="1">
        <f t="shared" si="241"/>
        <v>0.24922001825110449</v>
      </c>
      <c r="BD624" s="1">
        <f t="shared" si="242"/>
        <v>0.1823799817488955</v>
      </c>
      <c r="BF624">
        <f t="shared" si="243"/>
        <v>80.049949999999995</v>
      </c>
      <c r="BG624">
        <f t="shared" si="254"/>
        <v>19.950050000000001</v>
      </c>
      <c r="BH624" s="1">
        <f t="shared" si="244"/>
        <v>0</v>
      </c>
      <c r="BI624" s="1">
        <f t="shared" si="245"/>
        <v>0.24922001825110449</v>
      </c>
      <c r="BJ624" s="1">
        <f t="shared" si="246"/>
        <v>0.59</v>
      </c>
      <c r="BK624" s="1">
        <f t="shared" si="247"/>
        <v>9.6000000000000002E-2</v>
      </c>
      <c r="BL624" s="1">
        <f t="shared" si="248"/>
        <v>0.24922001825110449</v>
      </c>
      <c r="BM624" s="1">
        <f t="shared" si="249"/>
        <v>0.24922001825110449</v>
      </c>
      <c r="BN624" s="1">
        <f t="shared" si="251"/>
        <v>3.3262457742727458E-2</v>
      </c>
      <c r="BO624" s="1">
        <f t="shared" si="255"/>
        <v>5.7403727852557544E-4</v>
      </c>
    </row>
    <row r="625" spans="1:67" x14ac:dyDescent="0.25">
      <c r="A625" s="3"/>
      <c r="B625" s="3"/>
      <c r="C625" t="s">
        <v>637</v>
      </c>
      <c r="D625" s="5">
        <v>1</v>
      </c>
      <c r="E625" s="9">
        <f t="shared" si="258"/>
        <v>26.30996</v>
      </c>
      <c r="F625" s="9">
        <f t="shared" si="259"/>
        <v>0</v>
      </c>
      <c r="G625">
        <v>0</v>
      </c>
      <c r="H625">
        <v>73.690039999999996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26.30996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49.972999999999999</v>
      </c>
      <c r="AK625" t="s">
        <v>1</v>
      </c>
      <c r="AL625" t="s">
        <v>374</v>
      </c>
      <c r="AQ625" s="1">
        <f t="shared" si="250"/>
        <v>100</v>
      </c>
      <c r="AR625" s="1">
        <f t="shared" si="231"/>
        <v>0.26309959999999999</v>
      </c>
      <c r="AS625" s="1">
        <f t="shared" si="232"/>
        <v>0</v>
      </c>
      <c r="AT625" s="1">
        <f t="shared" si="233"/>
        <v>0.73690040000000001</v>
      </c>
      <c r="AU625" s="1">
        <f t="shared" si="234"/>
        <v>0</v>
      </c>
      <c r="AV625" s="1">
        <f t="shared" si="235"/>
        <v>0.49973000000000001</v>
      </c>
      <c r="AX625" s="1">
        <f t="shared" si="236"/>
        <v>0</v>
      </c>
      <c r="AY625" s="1">
        <f t="shared" si="237"/>
        <v>0.35703549624888248</v>
      </c>
      <c r="AZ625" s="1">
        <f t="shared" si="238"/>
        <v>0.5</v>
      </c>
      <c r="BA625" s="1">
        <f t="shared" si="239"/>
        <v>0.5</v>
      </c>
      <c r="BB625" s="1">
        <f t="shared" si="240"/>
        <v>0.35703549624888248</v>
      </c>
      <c r="BC625" s="1">
        <f t="shared" si="241"/>
        <v>0.35703549624888248</v>
      </c>
      <c r="BD625" s="1">
        <f t="shared" si="242"/>
        <v>0.14269450375111753</v>
      </c>
      <c r="BF625">
        <f t="shared" si="243"/>
        <v>73.690039999999996</v>
      </c>
      <c r="BG625">
        <f t="shared" si="254"/>
        <v>26.30996</v>
      </c>
      <c r="BH625" s="1">
        <f t="shared" si="244"/>
        <v>0</v>
      </c>
      <c r="BI625" s="1">
        <f t="shared" si="245"/>
        <v>0.35703549624888248</v>
      </c>
      <c r="BJ625" s="1">
        <f t="shared" si="246"/>
        <v>0.59</v>
      </c>
      <c r="BK625" s="1">
        <f t="shared" si="247"/>
        <v>9.6000000000000002E-2</v>
      </c>
      <c r="BL625" s="1">
        <f t="shared" si="248"/>
        <v>0.35703549624888248</v>
      </c>
      <c r="BM625" s="1">
        <f t="shared" si="249"/>
        <v>0.35703549624888248</v>
      </c>
      <c r="BN625" s="1">
        <f t="shared" si="251"/>
        <v>2.0361721400777695E-2</v>
      </c>
      <c r="BO625" s="1">
        <f t="shared" si="255"/>
        <v>8.4803977484614462E-3</v>
      </c>
    </row>
    <row r="626" spans="1:67" x14ac:dyDescent="0.25">
      <c r="A626" s="3"/>
      <c r="B626" s="3"/>
      <c r="C626" t="s">
        <v>638</v>
      </c>
      <c r="D626" s="5">
        <v>1</v>
      </c>
      <c r="E626" s="9">
        <f t="shared" si="258"/>
        <v>33.748690000000003</v>
      </c>
      <c r="F626" s="9">
        <f t="shared" si="259"/>
        <v>0</v>
      </c>
      <c r="G626">
        <v>0</v>
      </c>
      <c r="H626">
        <v>66.251309999999989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33.748690000000003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55.798000000000002</v>
      </c>
      <c r="AK626" t="s">
        <v>1</v>
      </c>
      <c r="AL626" t="s">
        <v>374</v>
      </c>
      <c r="AQ626" s="1">
        <f t="shared" si="250"/>
        <v>100</v>
      </c>
      <c r="AR626" s="1">
        <f t="shared" si="231"/>
        <v>0.33748690000000003</v>
      </c>
      <c r="AS626" s="1">
        <f t="shared" si="232"/>
        <v>0</v>
      </c>
      <c r="AT626" s="1">
        <f t="shared" si="233"/>
        <v>0.66251309999999985</v>
      </c>
      <c r="AU626" s="1">
        <f t="shared" si="234"/>
        <v>0</v>
      </c>
      <c r="AV626" s="1">
        <f t="shared" si="235"/>
        <v>0.55798000000000003</v>
      </c>
      <c r="AX626" s="1">
        <f t="shared" si="236"/>
        <v>0</v>
      </c>
      <c r="AY626" s="1">
        <f t="shared" si="237"/>
        <v>0.50940411593370771</v>
      </c>
      <c r="AZ626" s="1">
        <f t="shared" si="238"/>
        <v>0.5</v>
      </c>
      <c r="BA626" s="1">
        <f t="shared" si="239"/>
        <v>0.5</v>
      </c>
      <c r="BB626" s="1">
        <f t="shared" si="240"/>
        <v>0.49686529468876411</v>
      </c>
      <c r="BC626" s="1">
        <f t="shared" si="241"/>
        <v>0.49686529468876411</v>
      </c>
      <c r="BD626" s="1">
        <f t="shared" si="242"/>
        <v>6.1114705311235917E-2</v>
      </c>
      <c r="BF626">
        <f t="shared" si="243"/>
        <v>66.251309999999989</v>
      </c>
      <c r="BG626">
        <f t="shared" si="254"/>
        <v>33.748690000000003</v>
      </c>
      <c r="BH626" s="1">
        <f t="shared" si="244"/>
        <v>0</v>
      </c>
      <c r="BI626" s="1">
        <f t="shared" si="245"/>
        <v>0.50940411593370771</v>
      </c>
      <c r="BJ626" s="1">
        <f t="shared" si="246"/>
        <v>0.59</v>
      </c>
      <c r="BK626" s="1">
        <f t="shared" si="247"/>
        <v>9.6000000000000002E-2</v>
      </c>
      <c r="BL626" s="1">
        <f t="shared" si="248"/>
        <v>0.50940411593370771</v>
      </c>
      <c r="BM626" s="1">
        <f t="shared" si="249"/>
        <v>0.50940411593370771</v>
      </c>
      <c r="BN626" s="1">
        <f t="shared" si="251"/>
        <v>2.3596165128218719E-3</v>
      </c>
      <c r="BO626" s="1">
        <f t="shared" si="255"/>
        <v>2.2601837494883946E-2</v>
      </c>
    </row>
    <row r="627" spans="1:67" x14ac:dyDescent="0.25">
      <c r="A627" s="3"/>
      <c r="B627" s="3"/>
      <c r="C627" t="s">
        <v>639</v>
      </c>
      <c r="D627" s="5">
        <v>1</v>
      </c>
      <c r="E627" s="9">
        <f t="shared" si="258"/>
        <v>7.6707900000000002</v>
      </c>
      <c r="F627" s="9">
        <f t="shared" si="259"/>
        <v>0</v>
      </c>
      <c r="G627">
        <v>0</v>
      </c>
      <c r="H627">
        <v>92.329210000000003</v>
      </c>
      <c r="I627">
        <v>0</v>
      </c>
      <c r="J627">
        <v>0</v>
      </c>
      <c r="K627">
        <v>0</v>
      </c>
      <c r="L627">
        <v>7.6707900000000002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9.6518700000000006</v>
      </c>
      <c r="AK627" t="s">
        <v>1</v>
      </c>
      <c r="AL627" t="s">
        <v>374</v>
      </c>
      <c r="AQ627" s="1">
        <f t="shared" si="250"/>
        <v>100</v>
      </c>
      <c r="AR627" s="1">
        <f t="shared" si="231"/>
        <v>7.6707899999999996E-2</v>
      </c>
      <c r="AS627" s="1">
        <f t="shared" si="232"/>
        <v>0</v>
      </c>
      <c r="AT627" s="1">
        <f t="shared" si="233"/>
        <v>0.92329210000000006</v>
      </c>
      <c r="AU627" s="1">
        <f t="shared" si="234"/>
        <v>0</v>
      </c>
      <c r="AV627" s="1">
        <f t="shared" si="235"/>
        <v>9.6518700000000013E-2</v>
      </c>
      <c r="AX627" s="1">
        <f t="shared" si="236"/>
        <v>0</v>
      </c>
      <c r="AY627" s="1">
        <f t="shared" si="237"/>
        <v>8.3080858159622503E-2</v>
      </c>
      <c r="AZ627" s="1">
        <f t="shared" si="238"/>
        <v>0.5</v>
      </c>
      <c r="BA627" s="1">
        <f t="shared" si="239"/>
        <v>0.5</v>
      </c>
      <c r="BB627" s="1">
        <f t="shared" si="240"/>
        <v>8.3080858159622503E-2</v>
      </c>
      <c r="BC627" s="1">
        <f t="shared" si="241"/>
        <v>8.3080858159622503E-2</v>
      </c>
      <c r="BD627" s="1">
        <f t="shared" si="242"/>
        <v>1.343784184037751E-2</v>
      </c>
      <c r="BF627">
        <f t="shared" si="243"/>
        <v>92.329210000000003</v>
      </c>
      <c r="BG627">
        <f t="shared" si="254"/>
        <v>7.6707900000000002</v>
      </c>
      <c r="BH627" s="1">
        <f t="shared" si="244"/>
        <v>0</v>
      </c>
      <c r="BI627" s="1">
        <f t="shared" si="245"/>
        <v>8.3080858159622503E-2</v>
      </c>
      <c r="BJ627" s="1">
        <f t="shared" si="246"/>
        <v>0.59</v>
      </c>
      <c r="BK627" s="1">
        <f t="shared" si="247"/>
        <v>9.6000000000000002E-2</v>
      </c>
      <c r="BL627" s="1">
        <f t="shared" si="248"/>
        <v>8.3080858159622503E-2</v>
      </c>
      <c r="BM627" s="1">
        <f t="shared" si="249"/>
        <v>8.3080858159622503E-2</v>
      </c>
      <c r="BN627" s="1">
        <f t="shared" si="251"/>
        <v>1.8057559332700042E-4</v>
      </c>
      <c r="BO627" s="1">
        <f t="shared" si="255"/>
        <v>9.6797038841294217E-2</v>
      </c>
    </row>
    <row r="628" spans="1:67" x14ac:dyDescent="0.25">
      <c r="A628" s="3"/>
      <c r="B628" s="3"/>
      <c r="C628" t="s">
        <v>640</v>
      </c>
      <c r="D628" s="5">
        <v>1</v>
      </c>
      <c r="E628" s="9">
        <f t="shared" si="258"/>
        <v>12.23922</v>
      </c>
      <c r="F628" s="9">
        <f t="shared" si="259"/>
        <v>0</v>
      </c>
      <c r="G628">
        <v>0</v>
      </c>
      <c r="H628">
        <v>87.760779999999997</v>
      </c>
      <c r="I628">
        <v>0</v>
      </c>
      <c r="J628">
        <v>0</v>
      </c>
      <c r="K628">
        <v>0</v>
      </c>
      <c r="L628">
        <v>12.23922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14.503869999999999</v>
      </c>
      <c r="AK628" t="s">
        <v>1</v>
      </c>
      <c r="AL628" t="s">
        <v>374</v>
      </c>
      <c r="AQ628" s="1">
        <f t="shared" si="250"/>
        <v>100</v>
      </c>
      <c r="AR628" s="1">
        <f t="shared" si="231"/>
        <v>0.12239219999999999</v>
      </c>
      <c r="AS628" s="1">
        <f t="shared" si="232"/>
        <v>0</v>
      </c>
      <c r="AT628" s="1">
        <f t="shared" si="233"/>
        <v>0.87760779999999994</v>
      </c>
      <c r="AU628" s="1">
        <f t="shared" si="234"/>
        <v>0</v>
      </c>
      <c r="AV628" s="1">
        <f t="shared" si="235"/>
        <v>0.14503869999999999</v>
      </c>
      <c r="AX628" s="1">
        <f t="shared" si="236"/>
        <v>0</v>
      </c>
      <c r="AY628" s="1">
        <f t="shared" si="237"/>
        <v>0.13946115793410221</v>
      </c>
      <c r="AZ628" s="1">
        <f t="shared" si="238"/>
        <v>0.5</v>
      </c>
      <c r="BA628" s="1">
        <f t="shared" si="239"/>
        <v>0.5</v>
      </c>
      <c r="BB628" s="1">
        <f t="shared" si="240"/>
        <v>0.13946115793410221</v>
      </c>
      <c r="BC628" s="1">
        <f t="shared" si="241"/>
        <v>0.13946115793410221</v>
      </c>
      <c r="BD628" s="1">
        <f t="shared" si="242"/>
        <v>5.5775420658977781E-3</v>
      </c>
      <c r="BF628">
        <f t="shared" si="243"/>
        <v>87.760779999999997</v>
      </c>
      <c r="BG628">
        <f t="shared" si="254"/>
        <v>12.23922</v>
      </c>
      <c r="BH628" s="1">
        <f t="shared" si="244"/>
        <v>0</v>
      </c>
      <c r="BI628" s="1">
        <f t="shared" si="245"/>
        <v>0.13946115793410221</v>
      </c>
      <c r="BJ628" s="1">
        <f t="shared" si="246"/>
        <v>0.59</v>
      </c>
      <c r="BK628" s="1">
        <f t="shared" si="247"/>
        <v>9.6000000000000002E-2</v>
      </c>
      <c r="BL628" s="1">
        <f t="shared" si="248"/>
        <v>0.13946115793410221</v>
      </c>
      <c r="BM628" s="1">
        <f t="shared" si="249"/>
        <v>0.13946115793410221</v>
      </c>
      <c r="BN628" s="1">
        <f t="shared" si="251"/>
        <v>3.1108975496859255E-5</v>
      </c>
      <c r="BO628" s="1">
        <f t="shared" si="255"/>
        <v>6.8959928534726336E-2</v>
      </c>
    </row>
    <row r="629" spans="1:67" x14ac:dyDescent="0.25">
      <c r="A629" s="3"/>
      <c r="B629" s="3"/>
      <c r="C629" t="s">
        <v>641</v>
      </c>
      <c r="D629" s="5">
        <v>1</v>
      </c>
      <c r="E629" s="9">
        <f t="shared" si="258"/>
        <v>15.447509999999999</v>
      </c>
      <c r="F629" s="9">
        <f t="shared" si="259"/>
        <v>0</v>
      </c>
      <c r="G629">
        <v>0</v>
      </c>
      <c r="H629">
        <v>84.552490000000006</v>
      </c>
      <c r="I629">
        <v>0</v>
      </c>
      <c r="J629">
        <v>0</v>
      </c>
      <c r="K629">
        <v>0</v>
      </c>
      <c r="L629">
        <v>15.447509999999999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16.763000000000002</v>
      </c>
      <c r="AK629" t="s">
        <v>1</v>
      </c>
      <c r="AL629" t="s">
        <v>374</v>
      </c>
      <c r="AQ629" s="1">
        <f t="shared" si="250"/>
        <v>100</v>
      </c>
      <c r="AR629" s="1">
        <f t="shared" si="231"/>
        <v>0.1544751</v>
      </c>
      <c r="AS629" s="1">
        <f t="shared" si="232"/>
        <v>0</v>
      </c>
      <c r="AT629" s="1">
        <f t="shared" si="233"/>
        <v>0.84552490000000002</v>
      </c>
      <c r="AU629" s="1">
        <f t="shared" si="234"/>
        <v>0</v>
      </c>
      <c r="AV629" s="1">
        <f t="shared" si="235"/>
        <v>0.16763000000000003</v>
      </c>
      <c r="AX629" s="1">
        <f t="shared" si="236"/>
        <v>0</v>
      </c>
      <c r="AY629" s="1">
        <f t="shared" si="237"/>
        <v>0.18269728070693128</v>
      </c>
      <c r="AZ629" s="1">
        <f t="shared" si="238"/>
        <v>0.5</v>
      </c>
      <c r="BA629" s="1">
        <f t="shared" si="239"/>
        <v>0.5</v>
      </c>
      <c r="BB629" s="1">
        <f t="shared" si="240"/>
        <v>0.18269728070693128</v>
      </c>
      <c r="BC629" s="1">
        <f t="shared" si="241"/>
        <v>0.18269728070693128</v>
      </c>
      <c r="BD629" s="1">
        <f t="shared" si="242"/>
        <v>1.5067280706931252E-2</v>
      </c>
      <c r="BF629">
        <f t="shared" si="243"/>
        <v>84.552490000000006</v>
      </c>
      <c r="BG629">
        <f t="shared" si="254"/>
        <v>15.447509999999999</v>
      </c>
      <c r="BH629" s="1">
        <f t="shared" si="244"/>
        <v>0</v>
      </c>
      <c r="BI629" s="1">
        <f t="shared" si="245"/>
        <v>0.18269728070693125</v>
      </c>
      <c r="BJ629" s="1">
        <f t="shared" si="246"/>
        <v>0.59</v>
      </c>
      <c r="BK629" s="1">
        <f t="shared" si="247"/>
        <v>9.6000000000000002E-2</v>
      </c>
      <c r="BL629" s="1">
        <f t="shared" si="248"/>
        <v>0.18269728070693125</v>
      </c>
      <c r="BM629" s="1">
        <f t="shared" si="249"/>
        <v>0.18269728070693125</v>
      </c>
      <c r="BN629" s="1">
        <f t="shared" si="251"/>
        <v>2.270229479014619E-4</v>
      </c>
      <c r="BO629" s="1">
        <f t="shared" si="255"/>
        <v>5.7605244082591739E-2</v>
      </c>
    </row>
    <row r="630" spans="1:67" x14ac:dyDescent="0.25">
      <c r="A630" s="3"/>
      <c r="B630" s="3"/>
      <c r="C630" t="s">
        <v>642</v>
      </c>
      <c r="D630" s="5">
        <v>1</v>
      </c>
      <c r="E630" s="9">
        <f t="shared" si="258"/>
        <v>22.497420000000002</v>
      </c>
      <c r="F630" s="9">
        <f t="shared" si="259"/>
        <v>0</v>
      </c>
      <c r="G630">
        <v>0</v>
      </c>
      <c r="H630">
        <v>77.502579999999995</v>
      </c>
      <c r="I630">
        <v>0</v>
      </c>
      <c r="J630">
        <v>0</v>
      </c>
      <c r="K630">
        <v>0</v>
      </c>
      <c r="L630">
        <v>22.497420000000002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26.77506</v>
      </c>
      <c r="AK630" t="s">
        <v>1</v>
      </c>
      <c r="AL630" t="s">
        <v>374</v>
      </c>
      <c r="AQ630" s="1">
        <f t="shared" si="250"/>
        <v>100</v>
      </c>
      <c r="AR630" s="1">
        <f t="shared" si="231"/>
        <v>0.22497420000000001</v>
      </c>
      <c r="AS630" s="1">
        <f t="shared" si="232"/>
        <v>0</v>
      </c>
      <c r="AT630" s="1">
        <f t="shared" si="233"/>
        <v>0.77502579999999999</v>
      </c>
      <c r="AU630" s="1">
        <f t="shared" si="234"/>
        <v>0</v>
      </c>
      <c r="AV630" s="1">
        <f t="shared" si="235"/>
        <v>0.26775060000000001</v>
      </c>
      <c r="AX630" s="1">
        <f t="shared" si="236"/>
        <v>0</v>
      </c>
      <c r="AY630" s="1">
        <f t="shared" si="237"/>
        <v>0.29027962682016523</v>
      </c>
      <c r="AZ630" s="1">
        <f t="shared" si="238"/>
        <v>0.5</v>
      </c>
      <c r="BA630" s="1">
        <f t="shared" si="239"/>
        <v>0.5</v>
      </c>
      <c r="BB630" s="1">
        <f t="shared" si="240"/>
        <v>0.29027962682016523</v>
      </c>
      <c r="BC630" s="1">
        <f t="shared" si="241"/>
        <v>0.29027962682016523</v>
      </c>
      <c r="BD630" s="1">
        <f t="shared" si="242"/>
        <v>2.2529026820165221E-2</v>
      </c>
      <c r="BF630">
        <f t="shared" si="243"/>
        <v>77.502579999999995</v>
      </c>
      <c r="BG630">
        <f t="shared" si="254"/>
        <v>22.497420000000002</v>
      </c>
      <c r="BH630" s="1">
        <f t="shared" si="244"/>
        <v>0</v>
      </c>
      <c r="BI630" s="1">
        <f t="shared" si="245"/>
        <v>0.29027962682016528</v>
      </c>
      <c r="BJ630" s="1">
        <f t="shared" si="246"/>
        <v>0.59</v>
      </c>
      <c r="BK630" s="1">
        <f t="shared" si="247"/>
        <v>9.6000000000000002E-2</v>
      </c>
      <c r="BL630" s="1">
        <f t="shared" si="248"/>
        <v>0.29027962682016528</v>
      </c>
      <c r="BM630" s="1">
        <f t="shared" si="249"/>
        <v>0.29027962682016528</v>
      </c>
      <c r="BN630" s="1">
        <f t="shared" si="251"/>
        <v>5.0755704946372636E-4</v>
      </c>
      <c r="BO630" s="1">
        <f t="shared" si="255"/>
        <v>1.9569303007177807E-2</v>
      </c>
    </row>
    <row r="631" spans="1:67" x14ac:dyDescent="0.25">
      <c r="A631" s="3"/>
      <c r="B631" s="3"/>
      <c r="C631" t="s">
        <v>643</v>
      </c>
      <c r="D631" s="5">
        <v>1</v>
      </c>
      <c r="E631" s="9">
        <f t="shared" si="258"/>
        <v>30.5337</v>
      </c>
      <c r="F631" s="9">
        <f t="shared" si="259"/>
        <v>0</v>
      </c>
      <c r="G631">
        <v>0</v>
      </c>
      <c r="H631">
        <v>69.466300000000004</v>
      </c>
      <c r="I631">
        <v>0</v>
      </c>
      <c r="J631">
        <v>0</v>
      </c>
      <c r="K631">
        <v>0</v>
      </c>
      <c r="L631">
        <v>30.5337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45.695279999999997</v>
      </c>
      <c r="AK631" t="s">
        <v>1</v>
      </c>
      <c r="AL631" t="s">
        <v>374</v>
      </c>
      <c r="AQ631" s="1">
        <f t="shared" si="250"/>
        <v>100</v>
      </c>
      <c r="AR631" s="1">
        <f t="shared" si="231"/>
        <v>0.30533699999999997</v>
      </c>
      <c r="AS631" s="1">
        <f t="shared" si="232"/>
        <v>0</v>
      </c>
      <c r="AT631" s="1">
        <f t="shared" si="233"/>
        <v>0.69466300000000003</v>
      </c>
      <c r="AU631" s="1">
        <f t="shared" si="234"/>
        <v>0</v>
      </c>
      <c r="AV631" s="1">
        <f t="shared" si="235"/>
        <v>0.45695279999999999</v>
      </c>
      <c r="AX631" s="1">
        <f t="shared" si="236"/>
        <v>0</v>
      </c>
      <c r="AY631" s="1">
        <f t="shared" si="237"/>
        <v>0.43954694578522241</v>
      </c>
      <c r="AZ631" s="1">
        <f t="shared" si="238"/>
        <v>0.5</v>
      </c>
      <c r="BA631" s="1">
        <f t="shared" si="239"/>
        <v>0.5</v>
      </c>
      <c r="BB631" s="1">
        <f t="shared" si="240"/>
        <v>0.43954694578522241</v>
      </c>
      <c r="BC631" s="1">
        <f t="shared" si="241"/>
        <v>0.43954694578522241</v>
      </c>
      <c r="BD631" s="1">
        <f t="shared" si="242"/>
        <v>1.7405854214777583E-2</v>
      </c>
      <c r="BF631">
        <f t="shared" si="243"/>
        <v>69.466300000000004</v>
      </c>
      <c r="BG631">
        <f t="shared" si="254"/>
        <v>30.5337</v>
      </c>
      <c r="BH631" s="1">
        <f t="shared" si="244"/>
        <v>0</v>
      </c>
      <c r="BI631" s="1">
        <f t="shared" si="245"/>
        <v>0.43954694578522246</v>
      </c>
      <c r="BJ631" s="1">
        <f t="shared" si="246"/>
        <v>0.59</v>
      </c>
      <c r="BK631" s="1">
        <f t="shared" si="247"/>
        <v>9.6000000000000002E-2</v>
      </c>
      <c r="BL631" s="1">
        <f t="shared" si="248"/>
        <v>0.43954694578522246</v>
      </c>
      <c r="BM631" s="1">
        <f t="shared" si="249"/>
        <v>0.43954694578522246</v>
      </c>
      <c r="BN631" s="1">
        <f t="shared" si="251"/>
        <v>3.0296376094608864E-4</v>
      </c>
      <c r="BO631" s="1">
        <f t="shared" si="255"/>
        <v>2.4316610235690117E-3</v>
      </c>
    </row>
    <row r="632" spans="1:67" x14ac:dyDescent="0.25">
      <c r="A632" s="3"/>
      <c r="B632" s="3"/>
      <c r="C632" t="s">
        <v>644</v>
      </c>
      <c r="D632" s="5">
        <v>1</v>
      </c>
      <c r="E632" s="9">
        <f t="shared" si="258"/>
        <v>3.397509587797173</v>
      </c>
      <c r="F632" s="9">
        <f t="shared" si="259"/>
        <v>0</v>
      </c>
      <c r="G632">
        <v>0</v>
      </c>
      <c r="H632">
        <v>96.60249041220284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3.397509587797173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4.867</v>
      </c>
      <c r="AK632" t="s">
        <v>1</v>
      </c>
      <c r="AL632" t="s">
        <v>374</v>
      </c>
      <c r="AQ632" s="1">
        <f t="shared" si="250"/>
        <v>100.00000000000001</v>
      </c>
      <c r="AR632" s="1">
        <f t="shared" si="231"/>
        <v>3.3975095877971734E-2</v>
      </c>
      <c r="AS632" s="1">
        <f t="shared" si="232"/>
        <v>0</v>
      </c>
      <c r="AT632" s="1">
        <f t="shared" si="233"/>
        <v>0.96602490412202835</v>
      </c>
      <c r="AU632" s="1">
        <f t="shared" si="234"/>
        <v>0</v>
      </c>
      <c r="AV632" s="1">
        <f t="shared" si="235"/>
        <v>4.8669999999999998E-2</v>
      </c>
      <c r="AX632" s="1">
        <f t="shared" si="236"/>
        <v>0</v>
      </c>
      <c r="AY632" s="1">
        <f t="shared" si="237"/>
        <v>3.517E-2</v>
      </c>
      <c r="AZ632" s="1">
        <f t="shared" si="238"/>
        <v>0.5</v>
      </c>
      <c r="BA632" s="1">
        <f t="shared" si="239"/>
        <v>0.5</v>
      </c>
      <c r="BB632" s="1">
        <f t="shared" si="240"/>
        <v>3.517E-2</v>
      </c>
      <c r="BC632" s="1">
        <f t="shared" si="241"/>
        <v>3.517E-2</v>
      </c>
      <c r="BD632" s="1">
        <f t="shared" si="242"/>
        <v>1.3499999999999998E-2</v>
      </c>
      <c r="BF632">
        <f t="shared" si="243"/>
        <v>96.60249041220284</v>
      </c>
      <c r="BG632">
        <f t="shared" si="254"/>
        <v>3.397509587797173</v>
      </c>
      <c r="BH632" s="1">
        <f t="shared" si="244"/>
        <v>0</v>
      </c>
      <c r="BI632" s="1">
        <f t="shared" si="245"/>
        <v>3.5169999999999993E-2</v>
      </c>
      <c r="BJ632" s="1">
        <f t="shared" si="246"/>
        <v>0.59</v>
      </c>
      <c r="BK632" s="1">
        <f t="shared" si="247"/>
        <v>9.6000000000000002E-2</v>
      </c>
      <c r="BL632" s="1">
        <f t="shared" si="248"/>
        <v>3.5169999999999993E-2</v>
      </c>
      <c r="BM632" s="1">
        <f t="shared" si="249"/>
        <v>3.5169999999999993E-2</v>
      </c>
      <c r="BN632" s="1">
        <f t="shared" si="251"/>
        <v>1.8225000000000015E-4</v>
      </c>
      <c r="BO632" s="1">
        <f t="shared" si="255"/>
        <v>0.12886012494036997</v>
      </c>
    </row>
    <row r="633" spans="1:67" x14ac:dyDescent="0.25">
      <c r="A633" s="3"/>
      <c r="B633" s="3"/>
      <c r="C633" t="s">
        <v>645</v>
      </c>
      <c r="D633" s="6">
        <v>1</v>
      </c>
      <c r="E633" s="1"/>
      <c r="F633" s="1"/>
      <c r="G633">
        <v>0</v>
      </c>
      <c r="H633">
        <v>90.876870927580228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9.1231290724197773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13.010999999999999</v>
      </c>
      <c r="AK633" t="s">
        <v>1</v>
      </c>
      <c r="AL633" t="s">
        <v>374</v>
      </c>
      <c r="AQ633" s="1">
        <f t="shared" si="250"/>
        <v>100</v>
      </c>
      <c r="AR633" s="1">
        <f t="shared" ref="AR633:AR638" si="260">(L633+M633+O633+X633)/100</f>
        <v>9.1231290724197778E-2</v>
      </c>
      <c r="AS633" s="1">
        <f t="shared" ref="AS633:AS639" si="261">G633/100</f>
        <v>0</v>
      </c>
      <c r="AT633" s="1">
        <f t="shared" ref="AT633:AT639" si="262">H633/100</f>
        <v>0.90876870927580233</v>
      </c>
      <c r="AU633" s="1">
        <f t="shared" ref="AU633:AU638" si="263">Q633/100</f>
        <v>0</v>
      </c>
      <c r="AV633" s="1">
        <f t="shared" ref="AV633:AV638" si="264">AJ633/100</f>
        <v>0.13011</v>
      </c>
      <c r="AX633" s="1">
        <f t="shared" ref="AX633:AX638" si="265">AU633/(AT633+AS633)</f>
        <v>0</v>
      </c>
      <c r="AY633" s="1">
        <f t="shared" ref="AY633:AY638" si="266">AR633/(AS633+AT633)</f>
        <v>0.10038999999999998</v>
      </c>
      <c r="AZ633" s="1">
        <f t="shared" ref="AZ633:AZ638" si="267">0.5+AX633/16</f>
        <v>0.5</v>
      </c>
      <c r="BA633" s="1">
        <f t="shared" ref="BA633:BA638" si="268">0.5+AX633/4</f>
        <v>0.5</v>
      </c>
      <c r="BB633" s="1">
        <f t="shared" ref="BB633:BB638" si="269">IF(AY633&lt;=AZ633,AY633,IF(AY633&lt;=BA633,AZ633,AZ633-(AY633-BA633)*(8+AX633)/(12*(2+AX633))))</f>
        <v>0.10038999999999998</v>
      </c>
      <c r="BC633" s="1">
        <f t="shared" ref="BC633:BC638" si="270">IF(BB633&lt;1,BB633,1)</f>
        <v>0.10038999999999998</v>
      </c>
      <c r="BD633" s="1">
        <f t="shared" ref="BD633:BD638" si="271">ABS(BC633-AV633)</f>
        <v>2.9720000000000024E-2</v>
      </c>
      <c r="BF633">
        <f t="shared" ref="BF633:BF673" si="272">$BR$3*H633+$BR$4*G633+$BR$5*P633+$BR$6*K633+$BR$7*S633+$BR$8*U633+$BR$9*Y633+$BR$10*J633+$BR$11*AC633+$BR$12*AG633+$BR$13*AH633+$BR$14*R633+$BR$15*AE633</f>
        <v>90.876870927580228</v>
      </c>
      <c r="BG633">
        <f t="shared" si="254"/>
        <v>9.1231290724197773</v>
      </c>
      <c r="BH633" s="1">
        <f t="shared" ref="BH633:BH673" si="273">(Q633)/BF633</f>
        <v>0</v>
      </c>
      <c r="BI633" s="1">
        <f t="shared" ref="BI633:BI673" si="274">BG633/BF633</f>
        <v>0.10038999999999998</v>
      </c>
      <c r="BJ633" s="1">
        <f t="shared" ref="BJ633:BJ673" si="275">$BR$32+BH633*$BR$33</f>
        <v>0.59</v>
      </c>
      <c r="BK633" s="1">
        <f t="shared" ref="BK633:BK673" si="276">$BR$34+BH633*$BR$35</f>
        <v>9.6000000000000002E-2</v>
      </c>
      <c r="BL633" s="1">
        <f t="shared" ref="BL633:BL638" si="277">IF(BI633&lt;=BJ633,BI633,IF(BI633&lt;=BK633,BJ633,BJ633-(BI633-BK633)*(8+BH633)/(12*(2+BH633))))</f>
        <v>0.10038999999999998</v>
      </c>
      <c r="BM633" s="1">
        <f t="shared" ref="BM633:BM638" si="278">IF(BL633&lt;1,IF(BL633&gt;0,BL633,0),1)</f>
        <v>0.10038999999999998</v>
      </c>
      <c r="BN633" s="1">
        <f t="shared" si="251"/>
        <v>8.8327840000000147E-4</v>
      </c>
      <c r="BO633" s="1">
        <f t="shared" si="255"/>
        <v>7.7023414288844599E-2</v>
      </c>
    </row>
    <row r="634" spans="1:67" x14ac:dyDescent="0.25">
      <c r="A634" s="3"/>
      <c r="B634" s="3"/>
      <c r="C634" t="s">
        <v>646</v>
      </c>
      <c r="D634" s="5">
        <v>1</v>
      </c>
      <c r="E634" s="9">
        <f>I634+L634+M634+N634+O634+V634+X634+AB634+AD634</f>
        <v>16.535906253129902</v>
      </c>
      <c r="F634" s="9">
        <f>Q634/(H634+P634+Q634+AC634)</f>
        <v>0</v>
      </c>
      <c r="G634">
        <v>0</v>
      </c>
      <c r="H634">
        <v>83.464093746870091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16.535906253129902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22.158999999999999</v>
      </c>
      <c r="AK634" t="s">
        <v>1</v>
      </c>
      <c r="AL634" t="s">
        <v>374</v>
      </c>
      <c r="AQ634" s="1">
        <f t="shared" ref="AQ634:AQ638" si="279">SUM(G634:AI634)</f>
        <v>100</v>
      </c>
      <c r="AR634" s="1">
        <f t="shared" si="260"/>
        <v>0.16535906253129901</v>
      </c>
      <c r="AS634" s="1">
        <f t="shared" si="261"/>
        <v>0</v>
      </c>
      <c r="AT634" s="1">
        <f t="shared" si="262"/>
        <v>0.83464093746870094</v>
      </c>
      <c r="AU634" s="1">
        <f t="shared" si="263"/>
        <v>0</v>
      </c>
      <c r="AV634" s="1">
        <f t="shared" si="264"/>
        <v>0.22158999999999998</v>
      </c>
      <c r="AX634" s="1">
        <f t="shared" si="265"/>
        <v>0</v>
      </c>
      <c r="AY634" s="1">
        <f t="shared" si="266"/>
        <v>0.19811999999999996</v>
      </c>
      <c r="AZ634" s="1">
        <f t="shared" si="267"/>
        <v>0.5</v>
      </c>
      <c r="BA634" s="1">
        <f t="shared" si="268"/>
        <v>0.5</v>
      </c>
      <c r="BB634" s="1">
        <f t="shared" si="269"/>
        <v>0.19811999999999996</v>
      </c>
      <c r="BC634" s="1">
        <f t="shared" si="270"/>
        <v>0.19811999999999996</v>
      </c>
      <c r="BD634" s="1">
        <f t="shared" si="271"/>
        <v>2.3470000000000019E-2</v>
      </c>
      <c r="BF634">
        <f t="shared" si="272"/>
        <v>83.464093746870091</v>
      </c>
      <c r="BG634">
        <f t="shared" si="254"/>
        <v>16.535906253129902</v>
      </c>
      <c r="BH634" s="1">
        <f t="shared" si="273"/>
        <v>0</v>
      </c>
      <c r="BI634" s="1">
        <f t="shared" si="274"/>
        <v>0.19811999999999999</v>
      </c>
      <c r="BJ634" s="1">
        <f t="shared" si="275"/>
        <v>0.59</v>
      </c>
      <c r="BK634" s="1">
        <f t="shared" si="276"/>
        <v>9.6000000000000002E-2</v>
      </c>
      <c r="BL634" s="1">
        <f t="shared" si="277"/>
        <v>0.19811999999999999</v>
      </c>
      <c r="BM634" s="1">
        <f t="shared" si="278"/>
        <v>0.19811999999999999</v>
      </c>
      <c r="BN634" s="1">
        <f t="shared" ref="BN634:BN638" si="280">(BM634-AV634)^2</f>
        <v>5.5084089999999958E-4</v>
      </c>
      <c r="BO634" s="1">
        <f t="shared" si="255"/>
        <v>3.4614946664857128E-2</v>
      </c>
    </row>
    <row r="635" spans="1:67" x14ac:dyDescent="0.25">
      <c r="A635" s="3"/>
      <c r="B635" s="3"/>
      <c r="C635" t="s">
        <v>647</v>
      </c>
      <c r="D635" s="5">
        <v>1</v>
      </c>
      <c r="E635" s="9">
        <f>I635+L635+M635+N635+O635+V635+X635+AB635+AD635</f>
        <v>23.07396438324551</v>
      </c>
      <c r="F635" s="9">
        <f>Q635/(H635+P635+Q635+AC635)</f>
        <v>0</v>
      </c>
      <c r="G635">
        <v>0</v>
      </c>
      <c r="H635">
        <v>76.92603561675449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23.07396438324551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31.974</v>
      </c>
      <c r="AK635" t="s">
        <v>1</v>
      </c>
      <c r="AL635" t="s">
        <v>374</v>
      </c>
      <c r="AQ635" s="1">
        <f t="shared" si="279"/>
        <v>100</v>
      </c>
      <c r="AR635" s="1">
        <f t="shared" si="260"/>
        <v>0.2307396438324551</v>
      </c>
      <c r="AS635" s="1">
        <f t="shared" si="261"/>
        <v>0</v>
      </c>
      <c r="AT635" s="1">
        <f t="shared" si="262"/>
        <v>0.76926035616754485</v>
      </c>
      <c r="AU635" s="1">
        <f t="shared" si="263"/>
        <v>0</v>
      </c>
      <c r="AV635" s="1">
        <f t="shared" si="264"/>
        <v>0.31974000000000002</v>
      </c>
      <c r="AX635" s="1">
        <f t="shared" si="265"/>
        <v>0</v>
      </c>
      <c r="AY635" s="1">
        <f t="shared" si="266"/>
        <v>0.29995000000000005</v>
      </c>
      <c r="AZ635" s="1">
        <f t="shared" si="267"/>
        <v>0.5</v>
      </c>
      <c r="BA635" s="1">
        <f t="shared" si="268"/>
        <v>0.5</v>
      </c>
      <c r="BB635" s="1">
        <f t="shared" si="269"/>
        <v>0.29995000000000005</v>
      </c>
      <c r="BC635" s="1">
        <f t="shared" si="270"/>
        <v>0.29995000000000005</v>
      </c>
      <c r="BD635" s="1">
        <f t="shared" si="271"/>
        <v>1.9789999999999974E-2</v>
      </c>
      <c r="BF635">
        <f t="shared" si="272"/>
        <v>76.92603561675449</v>
      </c>
      <c r="BG635">
        <f t="shared" si="254"/>
        <v>23.07396438324551</v>
      </c>
      <c r="BH635" s="1">
        <f t="shared" si="273"/>
        <v>0</v>
      </c>
      <c r="BI635" s="1">
        <f t="shared" si="274"/>
        <v>0.29994999999999999</v>
      </c>
      <c r="BJ635" s="1">
        <f t="shared" si="275"/>
        <v>0.59</v>
      </c>
      <c r="BK635" s="1">
        <f t="shared" si="276"/>
        <v>9.6000000000000002E-2</v>
      </c>
      <c r="BL635" s="1">
        <f t="shared" si="277"/>
        <v>0.29994999999999999</v>
      </c>
      <c r="BM635" s="1">
        <f t="shared" si="278"/>
        <v>0.29994999999999999</v>
      </c>
      <c r="BN635" s="1">
        <f t="shared" si="280"/>
        <v>3.9164410000000119E-4</v>
      </c>
      <c r="BO635" s="1">
        <f t="shared" si="255"/>
        <v>7.7265726023913236E-3</v>
      </c>
    </row>
    <row r="636" spans="1:67" x14ac:dyDescent="0.25">
      <c r="A636" s="3"/>
      <c r="B636" s="3"/>
      <c r="C636" t="s">
        <v>648</v>
      </c>
      <c r="D636" s="6">
        <v>1</v>
      </c>
      <c r="E636" s="1"/>
      <c r="F636" s="1"/>
      <c r="G636">
        <v>0</v>
      </c>
      <c r="H636">
        <v>75.715129397156133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24.28487060284386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33.012</v>
      </c>
      <c r="AK636" t="s">
        <v>1</v>
      </c>
      <c r="AL636" t="s">
        <v>374</v>
      </c>
      <c r="AQ636" s="1">
        <f t="shared" si="279"/>
        <v>100</v>
      </c>
      <c r="AR636" s="1">
        <f t="shared" si="260"/>
        <v>0.24284870602843861</v>
      </c>
      <c r="AS636" s="1">
        <f t="shared" si="261"/>
        <v>0</v>
      </c>
      <c r="AT636" s="1">
        <f t="shared" si="262"/>
        <v>0.75715129397156133</v>
      </c>
      <c r="AU636" s="1">
        <f t="shared" si="263"/>
        <v>0</v>
      </c>
      <c r="AV636" s="1">
        <f t="shared" si="264"/>
        <v>0.33012000000000002</v>
      </c>
      <c r="AX636" s="1">
        <f t="shared" si="265"/>
        <v>0</v>
      </c>
      <c r="AY636" s="1">
        <f t="shared" si="266"/>
        <v>0.32074000000000003</v>
      </c>
      <c r="AZ636" s="1">
        <f t="shared" si="267"/>
        <v>0.5</v>
      </c>
      <c r="BA636" s="1">
        <f t="shared" si="268"/>
        <v>0.5</v>
      </c>
      <c r="BB636" s="1">
        <f t="shared" si="269"/>
        <v>0.32074000000000003</v>
      </c>
      <c r="BC636" s="1">
        <f t="shared" si="270"/>
        <v>0.32074000000000003</v>
      </c>
      <c r="BD636" s="1">
        <f t="shared" si="271"/>
        <v>9.3799999999999994E-3</v>
      </c>
      <c r="BF636">
        <f t="shared" si="272"/>
        <v>75.715129397156133</v>
      </c>
      <c r="BG636">
        <f t="shared" ref="BG636:BG676" si="281">O636+$BR$17*M636+$BR$18*L636+$BR$19*X636+$BR$20*AD636+$BR$21*I636+$BR$22*N636+$BR$23*AB636+$BR$24*V636+$BR$25*T636+$BR$26*AA636+$BR$28*Z636+$BR$29*AF636+$BR$30*W636+$BR$27*AI636</f>
        <v>24.28487060284386</v>
      </c>
      <c r="BH636" s="1">
        <f t="shared" si="273"/>
        <v>0</v>
      </c>
      <c r="BI636" s="1">
        <f t="shared" si="274"/>
        <v>0.32074000000000003</v>
      </c>
      <c r="BJ636" s="1">
        <f t="shared" si="275"/>
        <v>0.59</v>
      </c>
      <c r="BK636" s="1">
        <f t="shared" si="276"/>
        <v>9.6000000000000002E-2</v>
      </c>
      <c r="BL636" s="1">
        <f t="shared" si="277"/>
        <v>0.32074000000000003</v>
      </c>
      <c r="BM636" s="1">
        <f t="shared" si="278"/>
        <v>0.32074000000000003</v>
      </c>
      <c r="BN636" s="1">
        <f t="shared" si="280"/>
        <v>8.7984399999999991E-5</v>
      </c>
      <c r="BO636" s="1">
        <f t="shared" si="255"/>
        <v>6.0094938009812894E-3</v>
      </c>
    </row>
    <row r="637" spans="1:67" x14ac:dyDescent="0.25">
      <c r="A637" s="3"/>
      <c r="B637" s="3"/>
      <c r="C637" t="s">
        <v>649</v>
      </c>
      <c r="D637" s="5">
        <v>1</v>
      </c>
      <c r="E637" s="9">
        <f>I637+L637+M637+N637+O637+V637+X637+AB637+AD637</f>
        <v>32.308941988763287</v>
      </c>
      <c r="F637" s="9">
        <f>Q637/(H637+P637+Q637+AC637)</f>
        <v>0</v>
      </c>
      <c r="G637">
        <v>0</v>
      </c>
      <c r="H637">
        <v>67.69105801123672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32.308941988763287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40.100999999999999</v>
      </c>
      <c r="AK637" t="s">
        <v>1</v>
      </c>
      <c r="AL637" t="s">
        <v>374</v>
      </c>
      <c r="AQ637" s="1">
        <f t="shared" si="279"/>
        <v>100</v>
      </c>
      <c r="AR637" s="1">
        <f t="shared" si="260"/>
        <v>0.32308941988763284</v>
      </c>
      <c r="AS637" s="1">
        <f t="shared" si="261"/>
        <v>0</v>
      </c>
      <c r="AT637" s="1">
        <f t="shared" si="262"/>
        <v>0.67691058011236716</v>
      </c>
      <c r="AU637" s="1">
        <f t="shared" si="263"/>
        <v>0</v>
      </c>
      <c r="AV637" s="1">
        <f t="shared" si="264"/>
        <v>0.40100999999999998</v>
      </c>
      <c r="AX637" s="1">
        <f t="shared" si="265"/>
        <v>0</v>
      </c>
      <c r="AY637" s="1">
        <f t="shared" si="266"/>
        <v>0.4773</v>
      </c>
      <c r="AZ637" s="1">
        <f t="shared" si="267"/>
        <v>0.5</v>
      </c>
      <c r="BA637" s="1">
        <f t="shared" si="268"/>
        <v>0.5</v>
      </c>
      <c r="BB637" s="1">
        <f t="shared" si="269"/>
        <v>0.4773</v>
      </c>
      <c r="BC637" s="1">
        <f t="shared" si="270"/>
        <v>0.4773</v>
      </c>
      <c r="BD637" s="1">
        <f t="shared" si="271"/>
        <v>7.6290000000000024E-2</v>
      </c>
      <c r="BF637">
        <f t="shared" si="272"/>
        <v>67.69105801123672</v>
      </c>
      <c r="BG637">
        <f t="shared" si="281"/>
        <v>32.308941988763287</v>
      </c>
      <c r="BH637" s="1">
        <f t="shared" si="273"/>
        <v>0</v>
      </c>
      <c r="BI637" s="1">
        <f t="shared" si="274"/>
        <v>0.4773</v>
      </c>
      <c r="BJ637" s="1">
        <f t="shared" si="275"/>
        <v>0.59</v>
      </c>
      <c r="BK637" s="1">
        <f t="shared" si="276"/>
        <v>9.6000000000000002E-2</v>
      </c>
      <c r="BL637" s="1">
        <f t="shared" si="277"/>
        <v>0.4773</v>
      </c>
      <c r="BM637" s="1">
        <f t="shared" si="278"/>
        <v>0.4773</v>
      </c>
      <c r="BN637" s="1">
        <f t="shared" si="280"/>
        <v>5.820164100000004E-3</v>
      </c>
      <c r="BO637" s="1">
        <f t="shared" si="255"/>
        <v>4.3969165339927857E-5</v>
      </c>
    </row>
    <row r="638" spans="1:67" x14ac:dyDescent="0.25">
      <c r="A638" s="3"/>
      <c r="B638" s="3"/>
      <c r="C638" t="s">
        <v>650</v>
      </c>
      <c r="D638" s="5">
        <v>1</v>
      </c>
      <c r="E638" s="9">
        <f>I638+L638+M638+N638+O638+V638+X638+AB638+AD638</f>
        <v>33.367094005703777</v>
      </c>
      <c r="F638" s="9">
        <f>Q638/(H638+P638+Q638+AC638)</f>
        <v>0</v>
      </c>
      <c r="G638">
        <v>0</v>
      </c>
      <c r="H638">
        <v>66.632905994296223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33.367094005703777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39.204000000000001</v>
      </c>
      <c r="AK638" t="s">
        <v>1</v>
      </c>
      <c r="AL638" t="s">
        <v>374</v>
      </c>
      <c r="AQ638" s="1">
        <f t="shared" si="279"/>
        <v>100</v>
      </c>
      <c r="AR638" s="1">
        <f t="shared" si="260"/>
        <v>0.33367094005703779</v>
      </c>
      <c r="AS638" s="1">
        <f t="shared" si="261"/>
        <v>0</v>
      </c>
      <c r="AT638" s="1">
        <f t="shared" si="262"/>
        <v>0.66632905994296221</v>
      </c>
      <c r="AU638" s="1">
        <f t="shared" si="263"/>
        <v>0</v>
      </c>
      <c r="AV638" s="1">
        <f t="shared" si="264"/>
        <v>0.39204</v>
      </c>
      <c r="AX638" s="1">
        <f t="shared" si="265"/>
        <v>0</v>
      </c>
      <c r="AY638" s="1">
        <f t="shared" si="266"/>
        <v>0.50076000000000009</v>
      </c>
      <c r="AZ638" s="1">
        <f t="shared" si="267"/>
        <v>0.5</v>
      </c>
      <c r="BA638" s="1">
        <f t="shared" si="268"/>
        <v>0.5</v>
      </c>
      <c r="BB638" s="1">
        <f t="shared" si="269"/>
        <v>0.49974666666666662</v>
      </c>
      <c r="BC638" s="1">
        <f t="shared" si="270"/>
        <v>0.49974666666666662</v>
      </c>
      <c r="BD638" s="1">
        <f t="shared" si="271"/>
        <v>0.10770666666666662</v>
      </c>
      <c r="BF638">
        <f t="shared" si="272"/>
        <v>66.632905994296223</v>
      </c>
      <c r="BG638">
        <f t="shared" si="281"/>
        <v>33.367094005703777</v>
      </c>
      <c r="BH638" s="1">
        <f t="shared" si="273"/>
        <v>0</v>
      </c>
      <c r="BI638" s="1">
        <f t="shared" si="274"/>
        <v>0.50075999999999998</v>
      </c>
      <c r="BJ638" s="1">
        <f t="shared" si="275"/>
        <v>0.59</v>
      </c>
      <c r="BK638" s="1">
        <f t="shared" si="276"/>
        <v>9.6000000000000002E-2</v>
      </c>
      <c r="BL638" s="1">
        <f t="shared" si="277"/>
        <v>0.50075999999999998</v>
      </c>
      <c r="BM638" s="1">
        <f t="shared" si="278"/>
        <v>0.50075999999999998</v>
      </c>
      <c r="BN638" s="1">
        <f t="shared" si="280"/>
        <v>1.1820038399999996E-2</v>
      </c>
      <c r="BO638" s="1">
        <f t="shared" si="255"/>
        <v>2.4338885846594038E-4</v>
      </c>
    </row>
    <row r="639" spans="1:67" x14ac:dyDescent="0.25">
      <c r="C639" t="s">
        <v>651</v>
      </c>
      <c r="G639">
        <v>0</v>
      </c>
      <c r="H639">
        <v>64.993728105237849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35.006271894762158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38.165999999999997</v>
      </c>
      <c r="AK639" t="s">
        <v>1</v>
      </c>
      <c r="AL639" t="s">
        <v>374</v>
      </c>
      <c r="AQ639" s="1">
        <f t="shared" ref="AQ639" si="282">SUM(G639:AI639)</f>
        <v>100</v>
      </c>
      <c r="AR639" s="1">
        <f t="shared" ref="AR639" si="283">(L639+M639+O639+X639)/100</f>
        <v>0.35006271894762159</v>
      </c>
      <c r="AS639" s="1">
        <f t="shared" si="261"/>
        <v>0</v>
      </c>
      <c r="AT639" s="1">
        <f t="shared" si="262"/>
        <v>0.64993728105237847</v>
      </c>
      <c r="AU639" s="1">
        <f t="shared" ref="AU639" si="284">Q639/100</f>
        <v>0</v>
      </c>
      <c r="AV639" s="1">
        <f t="shared" ref="AV639" si="285">AJ639/100</f>
        <v>0.38165999999999994</v>
      </c>
      <c r="AX639" s="1">
        <f t="shared" ref="AX639" si="286">AU639/(AT639+AS639)</f>
        <v>0</v>
      </c>
      <c r="AY639" s="1">
        <f t="shared" ref="AY639" si="287">AR639/(AS639+AT639)</f>
        <v>0.53861000000000003</v>
      </c>
      <c r="AZ639" s="1">
        <f t="shared" ref="AZ639" si="288">0.5+AX639/16</f>
        <v>0.5</v>
      </c>
      <c r="BA639" s="1">
        <f t="shared" ref="BA639" si="289">0.5+AX639/4</f>
        <v>0.5</v>
      </c>
      <c r="BB639" s="1">
        <f t="shared" ref="BB639" si="290">IF(AY639&lt;=AZ639,AY639,IF(AY639&lt;=BA639,AZ639,AZ639-(AY639-BA639)*(8+AX639)/(12*(2+AX639))))</f>
        <v>0.48713000000000001</v>
      </c>
      <c r="BC639" s="1">
        <f t="shared" ref="BC639" si="291">IF(BB639&lt;1,BB639,1)</f>
        <v>0.48713000000000001</v>
      </c>
      <c r="BD639" s="1">
        <f t="shared" ref="BD639" si="292">ABS(BC639-AV639)</f>
        <v>0.10547000000000006</v>
      </c>
      <c r="BF639">
        <f t="shared" si="272"/>
        <v>64.993728105237849</v>
      </c>
      <c r="BG639">
        <f t="shared" si="281"/>
        <v>35.006271894762158</v>
      </c>
      <c r="BH639" s="1">
        <f t="shared" si="273"/>
        <v>0</v>
      </c>
      <c r="BI639" s="1">
        <f t="shared" si="274"/>
        <v>0.53861000000000003</v>
      </c>
      <c r="BJ639" s="1">
        <f t="shared" si="275"/>
        <v>0.59</v>
      </c>
      <c r="BK639" s="1">
        <f t="shared" si="276"/>
        <v>9.6000000000000002E-2</v>
      </c>
      <c r="BL639" s="1">
        <f t="shared" ref="BL639" si="293">IF(BI639&lt;=BJ639,BI639,IF(BI639&lt;=BK639,BJ639,BJ639-(BI639-BK639)*(8+BH639)/(12*(2+BH639))))</f>
        <v>0.53861000000000003</v>
      </c>
      <c r="BM639" s="1">
        <f t="shared" ref="BM639" si="294">IF(BL639&lt;1,IF(BL639&gt;0,BL639,0),1)</f>
        <v>0.53861000000000003</v>
      </c>
      <c r="BN639" s="1">
        <f t="shared" ref="BN639" si="295">(BM639-AV639)^2</f>
        <v>2.4633302500000027E-2</v>
      </c>
      <c r="BO639" s="1">
        <f t="shared" si="255"/>
        <v>6.7500845987597817E-4</v>
      </c>
    </row>
    <row r="640" spans="1:67" x14ac:dyDescent="0.25">
      <c r="C640" t="s">
        <v>665</v>
      </c>
      <c r="G640">
        <v>0</v>
      </c>
      <c r="H640">
        <v>12.534863172053781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12.49316678486027</v>
      </c>
      <c r="P640">
        <v>0</v>
      </c>
      <c r="Q640">
        <v>74.97197004308596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65</v>
      </c>
      <c r="AK640" t="s">
        <v>1</v>
      </c>
      <c r="AL640" t="s">
        <v>372</v>
      </c>
      <c r="AQ640" s="1">
        <f t="shared" ref="AQ640:AQ700" si="296">SUM(G640:AF640)</f>
        <v>100.00000000000001</v>
      </c>
      <c r="AR640" s="1">
        <f t="shared" ref="AR640:AR694" si="297">(L640+M640+O640+X640)/100</f>
        <v>0.1249316678486027</v>
      </c>
      <c r="AS640" s="1">
        <f t="shared" ref="AS640:AS694" si="298">G640/100</f>
        <v>0</v>
      </c>
      <c r="AT640" s="1">
        <f t="shared" ref="AT640:AT694" si="299">H640/100</f>
        <v>0.12534863172053781</v>
      </c>
      <c r="AU640" s="1">
        <f t="shared" ref="AU640:AU694" si="300">Q640/100</f>
        <v>0.74971970043085956</v>
      </c>
      <c r="AV640" s="1">
        <f t="shared" ref="AV640:AV694" si="301">AJ640/100</f>
        <v>0.65</v>
      </c>
      <c r="AX640" s="1">
        <f t="shared" ref="AX640:AX694" si="302">AU640/(AT640+AS640)</f>
        <v>5.9810760607450755</v>
      </c>
      <c r="AY640" s="1">
        <f t="shared" ref="AY640:AY694" si="303">AR640/(AS640+AT640)</f>
        <v>0.99667356662604245</v>
      </c>
      <c r="AZ640" s="1">
        <f t="shared" ref="AZ640:AZ694" si="304">0.5+AX640/16</f>
        <v>0.87381725379656716</v>
      </c>
      <c r="BA640" s="1">
        <f t="shared" ref="BA640:BA694" si="305">0.5+AX640/4</f>
        <v>1.9952690151862689</v>
      </c>
      <c r="BB640" s="1">
        <f t="shared" ref="BB640:BB694" si="306">IF(AY640&lt;=AZ640,AY640,IF(AY640&lt;=BA640,AZ640,AZ640-(AY640-BA640)*(8+AX640)/(12*(2+AX640))))</f>
        <v>0.87381725379656716</v>
      </c>
      <c r="BC640" s="1">
        <f t="shared" ref="BC640:BC694" si="307">IF(BB640&lt;1,BB640,1)</f>
        <v>0.87381725379656716</v>
      </c>
      <c r="BD640" s="1">
        <f t="shared" ref="BD640:BD694" si="308">ABS(BC640-AV640)</f>
        <v>0.22381725379656714</v>
      </c>
      <c r="BF640">
        <f t="shared" si="272"/>
        <v>12.534863172053781</v>
      </c>
      <c r="BG640">
        <f t="shared" si="281"/>
        <v>12.49316678486027</v>
      </c>
      <c r="BH640" s="1">
        <f t="shared" si="273"/>
        <v>5.9810760607450764</v>
      </c>
      <c r="BI640" s="1">
        <f t="shared" si="274"/>
        <v>0.99667356662604245</v>
      </c>
      <c r="BJ640" s="1">
        <f t="shared" si="275"/>
        <v>0.70364044515415647</v>
      </c>
      <c r="BK640" s="1">
        <f t="shared" si="276"/>
        <v>3.0985001824940284</v>
      </c>
      <c r="BL640" s="1">
        <f t="shared" ref="BL640:BL694" si="309">IF(BI640&lt;=BJ640,BI640,IF(BI640&lt;=BK640,BJ640,BJ640-(BI640-BK640)*(8+BH640)/(12*(2+BH640))))</f>
        <v>0.70364044515415647</v>
      </c>
      <c r="BM640" s="1">
        <f t="shared" ref="BM640:BM694" si="310">IF(BL640&lt;1,IF(BL640&gt;0,BL640,0),1)</f>
        <v>0.70364044515415647</v>
      </c>
      <c r="BN640" s="1">
        <f t="shared" ref="BN640:BN694" si="311">(BM640-AV640)^2</f>
        <v>2.8772973563360657E-3</v>
      </c>
      <c r="BO640" s="1">
        <f t="shared" si="255"/>
        <v>5.8737921271979188E-2</v>
      </c>
    </row>
    <row r="641" spans="3:67" x14ac:dyDescent="0.25">
      <c r="C641" t="s">
        <v>666</v>
      </c>
      <c r="G641">
        <v>14.99</v>
      </c>
      <c r="H641">
        <v>4.79</v>
      </c>
      <c r="I641">
        <v>15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65.22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2.7</v>
      </c>
      <c r="AK641" t="s">
        <v>1</v>
      </c>
      <c r="AL641" t="s">
        <v>372</v>
      </c>
      <c r="AM641" t="s">
        <v>821</v>
      </c>
      <c r="AO641" t="s">
        <v>822</v>
      </c>
      <c r="AP641" t="s">
        <v>823</v>
      </c>
      <c r="AQ641" s="1">
        <f t="shared" si="296"/>
        <v>100</v>
      </c>
      <c r="AR641" s="1">
        <f t="shared" si="297"/>
        <v>0</v>
      </c>
      <c r="AS641" s="1">
        <f t="shared" si="298"/>
        <v>0.14990000000000001</v>
      </c>
      <c r="AT641" s="1">
        <f t="shared" si="299"/>
        <v>4.7899999999999998E-2</v>
      </c>
      <c r="AU641" s="1">
        <f t="shared" si="300"/>
        <v>0.6522</v>
      </c>
      <c r="AV641" s="1">
        <f t="shared" si="301"/>
        <v>2.7000000000000003E-2</v>
      </c>
      <c r="AX641" s="1">
        <f t="shared" si="302"/>
        <v>3.2972699696663295</v>
      </c>
      <c r="AY641" s="1">
        <f t="shared" si="303"/>
        <v>0</v>
      </c>
      <c r="AZ641" s="1">
        <f t="shared" si="304"/>
        <v>0.70607937310414559</v>
      </c>
      <c r="BA641" s="1">
        <f t="shared" si="305"/>
        <v>1.3243174924165824</v>
      </c>
      <c r="BB641" s="1">
        <f t="shared" si="306"/>
        <v>0</v>
      </c>
      <c r="BC641" s="1">
        <f t="shared" si="307"/>
        <v>0</v>
      </c>
      <c r="BD641" s="1">
        <f t="shared" si="308"/>
        <v>2.7000000000000003E-2</v>
      </c>
      <c r="BF641">
        <f t="shared" si="272"/>
        <v>64.75</v>
      </c>
      <c r="BG641">
        <f t="shared" si="281"/>
        <v>7.5</v>
      </c>
      <c r="BH641" s="1">
        <f t="shared" si="273"/>
        <v>1.0072586872586873</v>
      </c>
      <c r="BI641" s="1">
        <f t="shared" si="274"/>
        <v>0.11583011583011583</v>
      </c>
      <c r="BJ641" s="1">
        <f t="shared" si="275"/>
        <v>0.60913791505791504</v>
      </c>
      <c r="BK641" s="1">
        <f t="shared" si="276"/>
        <v>0.60164386100386102</v>
      </c>
      <c r="BL641" s="1">
        <f t="shared" si="309"/>
        <v>0.11583011583011583</v>
      </c>
      <c r="BM641" s="1">
        <f t="shared" si="310"/>
        <v>0.11583011583011583</v>
      </c>
      <c r="BN641" s="1">
        <f t="shared" si="311"/>
        <v>7.8907894783917937E-3</v>
      </c>
      <c r="BO641" s="1">
        <f t="shared" si="255"/>
        <v>0.14488751372655062</v>
      </c>
    </row>
    <row r="642" spans="3:67" x14ac:dyDescent="0.25">
      <c r="C642" t="s">
        <v>667</v>
      </c>
      <c r="G642">
        <v>14.99</v>
      </c>
      <c r="H642">
        <v>4.79</v>
      </c>
      <c r="I642">
        <v>15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65.22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7</v>
      </c>
      <c r="AK642" t="s">
        <v>1</v>
      </c>
      <c r="AL642" t="s">
        <v>372</v>
      </c>
      <c r="AM642" t="s">
        <v>824</v>
      </c>
      <c r="AO642" t="s">
        <v>825</v>
      </c>
      <c r="AQ642" s="1">
        <f t="shared" si="296"/>
        <v>100</v>
      </c>
      <c r="AR642" s="1">
        <f t="shared" si="297"/>
        <v>0</v>
      </c>
      <c r="AS642" s="1">
        <f t="shared" si="298"/>
        <v>0.14990000000000001</v>
      </c>
      <c r="AT642" s="1">
        <f t="shared" si="299"/>
        <v>4.7899999999999998E-2</v>
      </c>
      <c r="AU642" s="1">
        <f t="shared" si="300"/>
        <v>0.6522</v>
      </c>
      <c r="AV642" s="1">
        <f t="shared" si="301"/>
        <v>7.0000000000000007E-2</v>
      </c>
      <c r="AX642" s="1">
        <f t="shared" si="302"/>
        <v>3.2972699696663295</v>
      </c>
      <c r="AY642" s="1">
        <f t="shared" si="303"/>
        <v>0</v>
      </c>
      <c r="AZ642" s="1">
        <f t="shared" si="304"/>
        <v>0.70607937310414559</v>
      </c>
      <c r="BA642" s="1">
        <f t="shared" si="305"/>
        <v>1.3243174924165824</v>
      </c>
      <c r="BB642" s="1">
        <f t="shared" si="306"/>
        <v>0</v>
      </c>
      <c r="BC642" s="1">
        <f t="shared" si="307"/>
        <v>0</v>
      </c>
      <c r="BD642" s="1">
        <f t="shared" si="308"/>
        <v>7.0000000000000007E-2</v>
      </c>
      <c r="BF642">
        <f t="shared" si="272"/>
        <v>64.75</v>
      </c>
      <c r="BG642">
        <f t="shared" si="281"/>
        <v>7.5</v>
      </c>
      <c r="BH642" s="1">
        <f t="shared" si="273"/>
        <v>1.0072586872586873</v>
      </c>
      <c r="BI642" s="1">
        <f t="shared" si="274"/>
        <v>0.11583011583011583</v>
      </c>
      <c r="BJ642" s="1">
        <f t="shared" si="275"/>
        <v>0.60913791505791504</v>
      </c>
      <c r="BK642" s="1">
        <f t="shared" si="276"/>
        <v>0.60164386100386102</v>
      </c>
      <c r="BL642" s="1">
        <f t="shared" si="309"/>
        <v>0.11583011583011583</v>
      </c>
      <c r="BM642" s="1">
        <f t="shared" si="310"/>
        <v>0.11583011583011583</v>
      </c>
      <c r="BN642" s="1">
        <f t="shared" si="311"/>
        <v>2.1003995170018335E-3</v>
      </c>
      <c r="BO642" s="1">
        <f t="shared" ref="BO642:BO705" si="312">(AV642-AVERAGE($AV$2:$AV$638))^2</f>
        <v>0.11400139418313719</v>
      </c>
    </row>
    <row r="643" spans="3:67" x14ac:dyDescent="0.25">
      <c r="C643" t="s">
        <v>668</v>
      </c>
      <c r="G643">
        <v>14.99</v>
      </c>
      <c r="H643">
        <v>4.79</v>
      </c>
      <c r="I643">
        <v>15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65.22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11.7</v>
      </c>
      <c r="AK643" t="s">
        <v>1</v>
      </c>
      <c r="AL643" t="s">
        <v>372</v>
      </c>
      <c r="AM643" t="s">
        <v>826</v>
      </c>
      <c r="AO643" t="s">
        <v>827</v>
      </c>
      <c r="AQ643" s="1">
        <f t="shared" si="296"/>
        <v>100</v>
      </c>
      <c r="AR643" s="1">
        <f t="shared" si="297"/>
        <v>0</v>
      </c>
      <c r="AS643" s="1">
        <f t="shared" si="298"/>
        <v>0.14990000000000001</v>
      </c>
      <c r="AT643" s="1">
        <f t="shared" si="299"/>
        <v>4.7899999999999998E-2</v>
      </c>
      <c r="AU643" s="1">
        <f t="shared" si="300"/>
        <v>0.6522</v>
      </c>
      <c r="AV643" s="1">
        <f t="shared" si="301"/>
        <v>0.11699999999999999</v>
      </c>
      <c r="AX643" s="1">
        <f t="shared" si="302"/>
        <v>3.2972699696663295</v>
      </c>
      <c r="AY643" s="1">
        <f t="shared" si="303"/>
        <v>0</v>
      </c>
      <c r="AZ643" s="1">
        <f t="shared" si="304"/>
        <v>0.70607937310414559</v>
      </c>
      <c r="BA643" s="1">
        <f t="shared" si="305"/>
        <v>1.3243174924165824</v>
      </c>
      <c r="BB643" s="1">
        <f t="shared" si="306"/>
        <v>0</v>
      </c>
      <c r="BC643" s="1">
        <f t="shared" si="307"/>
        <v>0</v>
      </c>
      <c r="BD643" s="1">
        <f t="shared" si="308"/>
        <v>0.11699999999999999</v>
      </c>
      <c r="BF643">
        <f t="shared" si="272"/>
        <v>64.75</v>
      </c>
      <c r="BG643">
        <f t="shared" si="281"/>
        <v>7.5</v>
      </c>
      <c r="BH643" s="1">
        <f t="shared" si="273"/>
        <v>1.0072586872586873</v>
      </c>
      <c r="BI643" s="1">
        <f t="shared" si="274"/>
        <v>0.11583011583011583</v>
      </c>
      <c r="BJ643" s="1">
        <f t="shared" si="275"/>
        <v>0.60913791505791504</v>
      </c>
      <c r="BK643" s="1">
        <f t="shared" si="276"/>
        <v>0.60164386100386102</v>
      </c>
      <c r="BL643" s="1">
        <f t="shared" si="309"/>
        <v>0.11583011583011583</v>
      </c>
      <c r="BM643" s="1">
        <f t="shared" si="310"/>
        <v>0.11583011583011583</v>
      </c>
      <c r="BN643" s="1">
        <f t="shared" si="311"/>
        <v>1.3686289709455462E-6</v>
      </c>
      <c r="BO643" s="1">
        <f t="shared" si="312"/>
        <v>8.447214724033647E-2</v>
      </c>
    </row>
    <row r="644" spans="3:67" x14ac:dyDescent="0.25">
      <c r="C644" t="s">
        <v>669</v>
      </c>
      <c r="G644">
        <v>15.06</v>
      </c>
      <c r="H644">
        <v>9.59</v>
      </c>
      <c r="I644">
        <v>15.21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60.14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3.6</v>
      </c>
      <c r="AK644" t="s">
        <v>1</v>
      </c>
      <c r="AL644" t="s">
        <v>372</v>
      </c>
      <c r="AM644" t="s">
        <v>828</v>
      </c>
      <c r="AO644" t="s">
        <v>822</v>
      </c>
      <c r="AQ644" s="1">
        <f t="shared" si="296"/>
        <v>100</v>
      </c>
      <c r="AR644" s="1">
        <f t="shared" si="297"/>
        <v>0</v>
      </c>
      <c r="AS644" s="1">
        <f t="shared" si="298"/>
        <v>0.15060000000000001</v>
      </c>
      <c r="AT644" s="1">
        <f t="shared" si="299"/>
        <v>9.5899999999999999E-2</v>
      </c>
      <c r="AU644" s="1">
        <f t="shared" si="300"/>
        <v>0.60140000000000005</v>
      </c>
      <c r="AV644" s="1">
        <f t="shared" si="301"/>
        <v>3.6000000000000004E-2</v>
      </c>
      <c r="AX644" s="1">
        <f t="shared" si="302"/>
        <v>2.4397565922920896</v>
      </c>
      <c r="AY644" s="1">
        <f t="shared" si="303"/>
        <v>0</v>
      </c>
      <c r="AZ644" s="1">
        <f t="shared" si="304"/>
        <v>0.65248478701825563</v>
      </c>
      <c r="BA644" s="1">
        <f t="shared" si="305"/>
        <v>1.1099391480730225</v>
      </c>
      <c r="BB644" s="1">
        <f t="shared" si="306"/>
        <v>0</v>
      </c>
      <c r="BC644" s="1">
        <f t="shared" si="307"/>
        <v>0</v>
      </c>
      <c r="BD644" s="1">
        <f t="shared" si="308"/>
        <v>3.6000000000000004E-2</v>
      </c>
      <c r="BF644">
        <f t="shared" si="272"/>
        <v>69.83</v>
      </c>
      <c r="BG644">
        <f t="shared" si="281"/>
        <v>7.6050000000000004</v>
      </c>
      <c r="BH644" s="1">
        <f t="shared" si="273"/>
        <v>0.8612344264642704</v>
      </c>
      <c r="BI644" s="1">
        <f t="shared" si="274"/>
        <v>0.10890734641271661</v>
      </c>
      <c r="BJ644" s="1">
        <f t="shared" si="275"/>
        <v>0.60636345410282111</v>
      </c>
      <c r="BK644" s="1">
        <f t="shared" si="276"/>
        <v>0.52833968208506377</v>
      </c>
      <c r="BL644" s="1">
        <f t="shared" si="309"/>
        <v>0.10890734641271661</v>
      </c>
      <c r="BM644" s="1">
        <f t="shared" si="310"/>
        <v>0.10890734641271661</v>
      </c>
      <c r="BN644" s="1">
        <f t="shared" si="311"/>
        <v>5.315481160943861E-3</v>
      </c>
      <c r="BO644" s="1">
        <f t="shared" si="312"/>
        <v>0.13811697707792919</v>
      </c>
    </row>
    <row r="645" spans="3:67" x14ac:dyDescent="0.25">
      <c r="C645" t="s">
        <v>670</v>
      </c>
      <c r="G645">
        <v>15.06</v>
      </c>
      <c r="H645">
        <v>9.59</v>
      </c>
      <c r="I645">
        <v>15.21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60.14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8</v>
      </c>
      <c r="AK645" t="s">
        <v>1</v>
      </c>
      <c r="AL645" t="s">
        <v>372</v>
      </c>
      <c r="AM645" t="s">
        <v>829</v>
      </c>
      <c r="AO645" t="s">
        <v>825</v>
      </c>
      <c r="AQ645" s="1">
        <f t="shared" si="296"/>
        <v>100</v>
      </c>
      <c r="AR645" s="1">
        <f t="shared" si="297"/>
        <v>0</v>
      </c>
      <c r="AS645" s="1">
        <f t="shared" si="298"/>
        <v>0.15060000000000001</v>
      </c>
      <c r="AT645" s="1">
        <f t="shared" si="299"/>
        <v>9.5899999999999999E-2</v>
      </c>
      <c r="AU645" s="1">
        <f t="shared" si="300"/>
        <v>0.60140000000000005</v>
      </c>
      <c r="AV645" s="1">
        <f t="shared" si="301"/>
        <v>0.08</v>
      </c>
      <c r="AX645" s="1">
        <f t="shared" si="302"/>
        <v>2.4397565922920896</v>
      </c>
      <c r="AY645" s="1">
        <f t="shared" si="303"/>
        <v>0</v>
      </c>
      <c r="AZ645" s="1">
        <f t="shared" si="304"/>
        <v>0.65248478701825563</v>
      </c>
      <c r="BA645" s="1">
        <f t="shared" si="305"/>
        <v>1.1099391480730225</v>
      </c>
      <c r="BB645" s="1">
        <f t="shared" si="306"/>
        <v>0</v>
      </c>
      <c r="BC645" s="1">
        <f t="shared" si="307"/>
        <v>0</v>
      </c>
      <c r="BD645" s="1">
        <f t="shared" si="308"/>
        <v>0.08</v>
      </c>
      <c r="BF645">
        <f t="shared" si="272"/>
        <v>69.83</v>
      </c>
      <c r="BG645">
        <f t="shared" si="281"/>
        <v>7.6050000000000004</v>
      </c>
      <c r="BH645" s="1">
        <f t="shared" si="273"/>
        <v>0.8612344264642704</v>
      </c>
      <c r="BI645" s="1">
        <f t="shared" si="274"/>
        <v>0.10890734641271661</v>
      </c>
      <c r="BJ645" s="1">
        <f t="shared" si="275"/>
        <v>0.60636345410282111</v>
      </c>
      <c r="BK645" s="1">
        <f t="shared" si="276"/>
        <v>0.52833968208506377</v>
      </c>
      <c r="BL645" s="1">
        <f t="shared" si="309"/>
        <v>0.10890734641271661</v>
      </c>
      <c r="BM645" s="1">
        <f t="shared" si="310"/>
        <v>0.10890734641271661</v>
      </c>
      <c r="BN645" s="1">
        <f t="shared" si="311"/>
        <v>8.3563467662479995E-4</v>
      </c>
      <c r="BO645" s="1">
        <f t="shared" si="312"/>
        <v>0.10734857568466895</v>
      </c>
    </row>
    <row r="646" spans="3:67" x14ac:dyDescent="0.25">
      <c r="C646" t="s">
        <v>671</v>
      </c>
      <c r="G646">
        <v>15.06</v>
      </c>
      <c r="H646">
        <v>9.59</v>
      </c>
      <c r="I646">
        <v>15.21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60.14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16.3</v>
      </c>
      <c r="AK646" t="s">
        <v>1</v>
      </c>
      <c r="AL646" t="s">
        <v>372</v>
      </c>
      <c r="AM646" t="s">
        <v>830</v>
      </c>
      <c r="AO646" t="s">
        <v>827</v>
      </c>
      <c r="AQ646" s="1">
        <f t="shared" si="296"/>
        <v>100</v>
      </c>
      <c r="AR646" s="1">
        <f t="shared" si="297"/>
        <v>0</v>
      </c>
      <c r="AS646" s="1">
        <f t="shared" si="298"/>
        <v>0.15060000000000001</v>
      </c>
      <c r="AT646" s="1">
        <f t="shared" si="299"/>
        <v>9.5899999999999999E-2</v>
      </c>
      <c r="AU646" s="1">
        <f t="shared" si="300"/>
        <v>0.60140000000000005</v>
      </c>
      <c r="AV646" s="1">
        <f t="shared" si="301"/>
        <v>0.16300000000000001</v>
      </c>
      <c r="AX646" s="1">
        <f t="shared" si="302"/>
        <v>2.4397565922920896</v>
      </c>
      <c r="AY646" s="1">
        <f t="shared" si="303"/>
        <v>0</v>
      </c>
      <c r="AZ646" s="1">
        <f t="shared" si="304"/>
        <v>0.65248478701825563</v>
      </c>
      <c r="BA646" s="1">
        <f t="shared" si="305"/>
        <v>1.1099391480730225</v>
      </c>
      <c r="BB646" s="1">
        <f t="shared" si="306"/>
        <v>0</v>
      </c>
      <c r="BC646" s="1">
        <f t="shared" si="307"/>
        <v>0</v>
      </c>
      <c r="BD646" s="1">
        <f t="shared" si="308"/>
        <v>0.16300000000000001</v>
      </c>
      <c r="BF646">
        <f t="shared" si="272"/>
        <v>69.83</v>
      </c>
      <c r="BG646">
        <f t="shared" si="281"/>
        <v>7.6050000000000004</v>
      </c>
      <c r="BH646" s="1">
        <f t="shared" si="273"/>
        <v>0.8612344264642704</v>
      </c>
      <c r="BI646" s="1">
        <f t="shared" si="274"/>
        <v>0.10890734641271661</v>
      </c>
      <c r="BJ646" s="1">
        <f t="shared" si="275"/>
        <v>0.60636345410282111</v>
      </c>
      <c r="BK646" s="1">
        <f t="shared" si="276"/>
        <v>0.52833968208506377</v>
      </c>
      <c r="BL646" s="1">
        <f t="shared" si="309"/>
        <v>0.10890734641271661</v>
      </c>
      <c r="BM646" s="1">
        <f t="shared" si="310"/>
        <v>0.10890734641271661</v>
      </c>
      <c r="BN646" s="1">
        <f t="shared" si="311"/>
        <v>2.9260151721138428E-3</v>
      </c>
      <c r="BO646" s="1">
        <f t="shared" si="312"/>
        <v>5.9849182147382544E-2</v>
      </c>
    </row>
    <row r="647" spans="3:67" x14ac:dyDescent="0.25">
      <c r="C647" t="s">
        <v>672</v>
      </c>
      <c r="G647">
        <v>15.06</v>
      </c>
      <c r="H647">
        <v>14.28</v>
      </c>
      <c r="I647">
        <v>15.21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55.45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4.4000000000000004</v>
      </c>
      <c r="AK647" t="s">
        <v>1</v>
      </c>
      <c r="AL647" t="s">
        <v>372</v>
      </c>
      <c r="AM647" t="s">
        <v>831</v>
      </c>
      <c r="AO647" t="s">
        <v>822</v>
      </c>
      <c r="AQ647" s="1">
        <f t="shared" si="296"/>
        <v>100</v>
      </c>
      <c r="AR647" s="1">
        <f t="shared" si="297"/>
        <v>0</v>
      </c>
      <c r="AS647" s="1">
        <f t="shared" si="298"/>
        <v>0.15060000000000001</v>
      </c>
      <c r="AT647" s="1">
        <f t="shared" si="299"/>
        <v>0.14279999999999998</v>
      </c>
      <c r="AU647" s="1">
        <f t="shared" si="300"/>
        <v>0.55449999999999999</v>
      </c>
      <c r="AV647" s="1">
        <f t="shared" si="301"/>
        <v>4.4000000000000004E-2</v>
      </c>
      <c r="AX647" s="1">
        <f t="shared" si="302"/>
        <v>1.8899113837764145</v>
      </c>
      <c r="AY647" s="1">
        <f t="shared" si="303"/>
        <v>0</v>
      </c>
      <c r="AZ647" s="1">
        <f t="shared" si="304"/>
        <v>0.61811946148602592</v>
      </c>
      <c r="BA647" s="1">
        <f t="shared" si="305"/>
        <v>0.97247784594410369</v>
      </c>
      <c r="BB647" s="1">
        <f t="shared" si="306"/>
        <v>0</v>
      </c>
      <c r="BC647" s="1">
        <f t="shared" si="307"/>
        <v>0</v>
      </c>
      <c r="BD647" s="1">
        <f t="shared" si="308"/>
        <v>4.4000000000000004E-2</v>
      </c>
      <c r="BF647">
        <f t="shared" si="272"/>
        <v>74.52</v>
      </c>
      <c r="BG647">
        <f t="shared" si="281"/>
        <v>7.6050000000000004</v>
      </c>
      <c r="BH647" s="1">
        <f t="shared" si="273"/>
        <v>0.74409554482018259</v>
      </c>
      <c r="BI647" s="1">
        <f t="shared" si="274"/>
        <v>0.10205314009661837</v>
      </c>
      <c r="BJ647" s="1">
        <f t="shared" si="275"/>
        <v>0.6041378153515834</v>
      </c>
      <c r="BK647" s="1">
        <f t="shared" si="276"/>
        <v>0.4695359634997317</v>
      </c>
      <c r="BL647" s="1">
        <f t="shared" si="309"/>
        <v>0.10205314009661837</v>
      </c>
      <c r="BM647" s="1">
        <f t="shared" si="310"/>
        <v>0.10205314009661837</v>
      </c>
      <c r="BN647" s="1">
        <f t="shared" si="311"/>
        <v>3.3701670750775985E-3</v>
      </c>
      <c r="BO647" s="1">
        <f t="shared" si="312"/>
        <v>0.13223472227915464</v>
      </c>
    </row>
    <row r="648" spans="3:67" x14ac:dyDescent="0.25">
      <c r="C648" t="s">
        <v>673</v>
      </c>
      <c r="G648">
        <v>15.06</v>
      </c>
      <c r="H648">
        <v>14.28</v>
      </c>
      <c r="I648">
        <v>15.21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55.45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9.1</v>
      </c>
      <c r="AK648" t="s">
        <v>1</v>
      </c>
      <c r="AL648" t="s">
        <v>372</v>
      </c>
      <c r="AM648" t="s">
        <v>832</v>
      </c>
      <c r="AO648" t="s">
        <v>825</v>
      </c>
      <c r="AQ648" s="1">
        <f t="shared" si="296"/>
        <v>100</v>
      </c>
      <c r="AR648" s="1">
        <f t="shared" si="297"/>
        <v>0</v>
      </c>
      <c r="AS648" s="1">
        <f t="shared" si="298"/>
        <v>0.15060000000000001</v>
      </c>
      <c r="AT648" s="1">
        <f t="shared" si="299"/>
        <v>0.14279999999999998</v>
      </c>
      <c r="AU648" s="1">
        <f t="shared" si="300"/>
        <v>0.55449999999999999</v>
      </c>
      <c r="AV648" s="1">
        <f t="shared" si="301"/>
        <v>9.0999999999999998E-2</v>
      </c>
      <c r="AX648" s="1">
        <f t="shared" si="302"/>
        <v>1.8899113837764145</v>
      </c>
      <c r="AY648" s="1">
        <f t="shared" si="303"/>
        <v>0</v>
      </c>
      <c r="AZ648" s="1">
        <f t="shared" si="304"/>
        <v>0.61811946148602592</v>
      </c>
      <c r="BA648" s="1">
        <f t="shared" si="305"/>
        <v>0.97247784594410369</v>
      </c>
      <c r="BB648" s="1">
        <f t="shared" si="306"/>
        <v>0</v>
      </c>
      <c r="BC648" s="1">
        <f t="shared" si="307"/>
        <v>0</v>
      </c>
      <c r="BD648" s="1">
        <f t="shared" si="308"/>
        <v>9.0999999999999998E-2</v>
      </c>
      <c r="BF648">
        <f t="shared" si="272"/>
        <v>74.52</v>
      </c>
      <c r="BG648">
        <f t="shared" si="281"/>
        <v>7.6050000000000004</v>
      </c>
      <c r="BH648" s="1">
        <f t="shared" si="273"/>
        <v>0.74409554482018259</v>
      </c>
      <c r="BI648" s="1">
        <f t="shared" si="274"/>
        <v>0.10205314009661837</v>
      </c>
      <c r="BJ648" s="1">
        <f t="shared" si="275"/>
        <v>0.6041378153515834</v>
      </c>
      <c r="BK648" s="1">
        <f t="shared" si="276"/>
        <v>0.4695359634997317</v>
      </c>
      <c r="BL648" s="1">
        <f t="shared" si="309"/>
        <v>0.10205314009661837</v>
      </c>
      <c r="BM648" s="1">
        <f t="shared" si="310"/>
        <v>0.10205314009661837</v>
      </c>
      <c r="BN648" s="1">
        <f t="shared" si="311"/>
        <v>1.2217190599547273E-4</v>
      </c>
      <c r="BO648" s="1">
        <f t="shared" si="312"/>
        <v>0.10026147533635391</v>
      </c>
    </row>
    <row r="649" spans="3:67" x14ac:dyDescent="0.25">
      <c r="C649" t="s">
        <v>674</v>
      </c>
      <c r="G649">
        <v>15.06</v>
      </c>
      <c r="H649">
        <v>14.28</v>
      </c>
      <c r="I649">
        <v>15.21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55.45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17</v>
      </c>
      <c r="AK649" t="s">
        <v>1</v>
      </c>
      <c r="AL649" t="s">
        <v>372</v>
      </c>
      <c r="AM649" t="s">
        <v>828</v>
      </c>
      <c r="AO649" t="s">
        <v>827</v>
      </c>
      <c r="AQ649" s="1">
        <f t="shared" si="296"/>
        <v>100</v>
      </c>
      <c r="AR649" s="1">
        <f t="shared" si="297"/>
        <v>0</v>
      </c>
      <c r="AS649" s="1">
        <f t="shared" si="298"/>
        <v>0.15060000000000001</v>
      </c>
      <c r="AT649" s="1">
        <f t="shared" si="299"/>
        <v>0.14279999999999998</v>
      </c>
      <c r="AU649" s="1">
        <f t="shared" si="300"/>
        <v>0.55449999999999999</v>
      </c>
      <c r="AV649" s="1">
        <f t="shared" si="301"/>
        <v>0.17</v>
      </c>
      <c r="AX649" s="1">
        <f t="shared" si="302"/>
        <v>1.8899113837764145</v>
      </c>
      <c r="AY649" s="1">
        <f t="shared" si="303"/>
        <v>0</v>
      </c>
      <c r="AZ649" s="1">
        <f t="shared" si="304"/>
        <v>0.61811946148602592</v>
      </c>
      <c r="BA649" s="1">
        <f t="shared" si="305"/>
        <v>0.97247784594410369</v>
      </c>
      <c r="BB649" s="1">
        <f t="shared" si="306"/>
        <v>0</v>
      </c>
      <c r="BC649" s="1">
        <f t="shared" si="307"/>
        <v>0</v>
      </c>
      <c r="BD649" s="1">
        <f t="shared" si="308"/>
        <v>0.17</v>
      </c>
      <c r="BF649">
        <f t="shared" si="272"/>
        <v>74.52</v>
      </c>
      <c r="BG649">
        <f t="shared" si="281"/>
        <v>7.6050000000000004</v>
      </c>
      <c r="BH649" s="1">
        <f t="shared" si="273"/>
        <v>0.74409554482018259</v>
      </c>
      <c r="BI649" s="1">
        <f t="shared" si="274"/>
        <v>0.10205314009661837</v>
      </c>
      <c r="BJ649" s="1">
        <f t="shared" si="275"/>
        <v>0.6041378153515834</v>
      </c>
      <c r="BK649" s="1">
        <f t="shared" si="276"/>
        <v>0.4695359634997317</v>
      </c>
      <c r="BL649" s="1">
        <f t="shared" si="309"/>
        <v>0.10205314009661837</v>
      </c>
      <c r="BM649" s="1">
        <f t="shared" si="310"/>
        <v>0.10205314009661837</v>
      </c>
      <c r="BN649" s="1">
        <f t="shared" si="311"/>
        <v>4.6167757707297726E-3</v>
      </c>
      <c r="BO649" s="1">
        <f t="shared" si="312"/>
        <v>5.647320919845477E-2</v>
      </c>
    </row>
    <row r="650" spans="3:67" x14ac:dyDescent="0.25">
      <c r="C650" t="s">
        <v>675</v>
      </c>
      <c r="G650">
        <v>15.05</v>
      </c>
      <c r="H650">
        <v>18.989999999999998</v>
      </c>
      <c r="I650">
        <v>15.14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50.82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5.7</v>
      </c>
      <c r="AK650" t="s">
        <v>1</v>
      </c>
      <c r="AL650" t="s">
        <v>372</v>
      </c>
      <c r="AM650" t="s">
        <v>833</v>
      </c>
      <c r="AO650" t="s">
        <v>822</v>
      </c>
      <c r="AQ650" s="1">
        <f t="shared" si="296"/>
        <v>100</v>
      </c>
      <c r="AR650" s="1">
        <f t="shared" si="297"/>
        <v>0</v>
      </c>
      <c r="AS650" s="1">
        <f t="shared" si="298"/>
        <v>0.15049999999999999</v>
      </c>
      <c r="AT650" s="1">
        <f t="shared" si="299"/>
        <v>0.18989999999999999</v>
      </c>
      <c r="AU650" s="1">
        <f t="shared" si="300"/>
        <v>0.50819999999999999</v>
      </c>
      <c r="AV650" s="1">
        <f t="shared" si="301"/>
        <v>5.7000000000000002E-2</v>
      </c>
      <c r="AX650" s="1">
        <f t="shared" si="302"/>
        <v>1.4929494712103408</v>
      </c>
      <c r="AY650" s="1">
        <f t="shared" si="303"/>
        <v>0</v>
      </c>
      <c r="AZ650" s="1">
        <f t="shared" si="304"/>
        <v>0.59330934195064633</v>
      </c>
      <c r="BA650" s="1">
        <f t="shared" si="305"/>
        <v>0.87323736780258521</v>
      </c>
      <c r="BB650" s="1">
        <f t="shared" si="306"/>
        <v>0</v>
      </c>
      <c r="BC650" s="1">
        <f t="shared" si="307"/>
        <v>0</v>
      </c>
      <c r="BD650" s="1">
        <f t="shared" si="308"/>
        <v>5.7000000000000002E-2</v>
      </c>
      <c r="BF650">
        <f t="shared" si="272"/>
        <v>79.19</v>
      </c>
      <c r="BG650">
        <f t="shared" si="281"/>
        <v>7.57</v>
      </c>
      <c r="BH650" s="1">
        <f t="shared" si="273"/>
        <v>0.64174769541608789</v>
      </c>
      <c r="BI650" s="1">
        <f t="shared" si="274"/>
        <v>9.5592877888622307E-2</v>
      </c>
      <c r="BJ650" s="1">
        <f t="shared" si="275"/>
        <v>0.60219320621290562</v>
      </c>
      <c r="BK650" s="1">
        <f t="shared" si="276"/>
        <v>0.41815734309887609</v>
      </c>
      <c r="BL650" s="1">
        <f t="shared" si="309"/>
        <v>9.5592877888622307E-2</v>
      </c>
      <c r="BM650" s="1">
        <f t="shared" si="310"/>
        <v>9.5592877888622307E-2</v>
      </c>
      <c r="BN650" s="1">
        <f t="shared" si="311"/>
        <v>1.4894102237261125E-3</v>
      </c>
      <c r="BO650" s="1">
        <f t="shared" si="312"/>
        <v>0.12294905823114591</v>
      </c>
    </row>
    <row r="651" spans="3:67" x14ac:dyDescent="0.25">
      <c r="C651" t="s">
        <v>676</v>
      </c>
      <c r="G651">
        <v>15.05</v>
      </c>
      <c r="H651">
        <v>18.989999999999998</v>
      </c>
      <c r="I651">
        <v>15.14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50.82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11.2</v>
      </c>
      <c r="AK651" t="s">
        <v>1</v>
      </c>
      <c r="AL651" t="s">
        <v>372</v>
      </c>
      <c r="AM651" t="s">
        <v>834</v>
      </c>
      <c r="AO651" t="s">
        <v>825</v>
      </c>
      <c r="AQ651" s="1">
        <f t="shared" si="296"/>
        <v>100</v>
      </c>
      <c r="AR651" s="1">
        <f t="shared" si="297"/>
        <v>0</v>
      </c>
      <c r="AS651" s="1">
        <f t="shared" si="298"/>
        <v>0.15049999999999999</v>
      </c>
      <c r="AT651" s="1">
        <f t="shared" si="299"/>
        <v>0.18989999999999999</v>
      </c>
      <c r="AU651" s="1">
        <f t="shared" si="300"/>
        <v>0.50819999999999999</v>
      </c>
      <c r="AV651" s="1">
        <f t="shared" si="301"/>
        <v>0.11199999999999999</v>
      </c>
      <c r="AX651" s="1">
        <f t="shared" si="302"/>
        <v>1.4929494712103408</v>
      </c>
      <c r="AY651" s="1">
        <f t="shared" si="303"/>
        <v>0</v>
      </c>
      <c r="AZ651" s="1">
        <f t="shared" si="304"/>
        <v>0.59330934195064633</v>
      </c>
      <c r="BA651" s="1">
        <f t="shared" si="305"/>
        <v>0.87323736780258521</v>
      </c>
      <c r="BB651" s="1">
        <f t="shared" si="306"/>
        <v>0</v>
      </c>
      <c r="BC651" s="1">
        <f t="shared" si="307"/>
        <v>0</v>
      </c>
      <c r="BD651" s="1">
        <f t="shared" si="308"/>
        <v>0.11199999999999999</v>
      </c>
      <c r="BF651">
        <f t="shared" si="272"/>
        <v>79.19</v>
      </c>
      <c r="BG651">
        <f t="shared" si="281"/>
        <v>7.57</v>
      </c>
      <c r="BH651" s="1">
        <f t="shared" si="273"/>
        <v>0.64174769541608789</v>
      </c>
      <c r="BI651" s="1">
        <f t="shared" si="274"/>
        <v>9.5592877888622307E-2</v>
      </c>
      <c r="BJ651" s="1">
        <f t="shared" si="275"/>
        <v>0.60219320621290562</v>
      </c>
      <c r="BK651" s="1">
        <f t="shared" si="276"/>
        <v>0.41815734309887609</v>
      </c>
      <c r="BL651" s="1">
        <f t="shared" si="309"/>
        <v>9.5592877888622307E-2</v>
      </c>
      <c r="BM651" s="1">
        <f t="shared" si="310"/>
        <v>9.5592877888622307E-2</v>
      </c>
      <c r="BN651" s="1">
        <f t="shared" si="311"/>
        <v>2.6919365597765841E-4</v>
      </c>
      <c r="BO651" s="1">
        <f t="shared" si="312"/>
        <v>8.7403556489570586E-2</v>
      </c>
    </row>
    <row r="652" spans="3:67" x14ac:dyDescent="0.25">
      <c r="C652" t="s">
        <v>677</v>
      </c>
      <c r="G652">
        <v>15.05</v>
      </c>
      <c r="H652">
        <v>18.989999999999998</v>
      </c>
      <c r="I652">
        <v>15.14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50.82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18.2</v>
      </c>
      <c r="AK652" t="s">
        <v>1</v>
      </c>
      <c r="AL652" t="s">
        <v>372</v>
      </c>
      <c r="AM652" t="s">
        <v>832</v>
      </c>
      <c r="AO652" t="s">
        <v>827</v>
      </c>
      <c r="AQ652" s="1">
        <f t="shared" si="296"/>
        <v>100</v>
      </c>
      <c r="AR652" s="1">
        <f t="shared" si="297"/>
        <v>0</v>
      </c>
      <c r="AS652" s="1">
        <f t="shared" si="298"/>
        <v>0.15049999999999999</v>
      </c>
      <c r="AT652" s="1">
        <f t="shared" si="299"/>
        <v>0.18989999999999999</v>
      </c>
      <c r="AU652" s="1">
        <f t="shared" si="300"/>
        <v>0.50819999999999999</v>
      </c>
      <c r="AV652" s="1">
        <f t="shared" si="301"/>
        <v>0.182</v>
      </c>
      <c r="AX652" s="1">
        <f t="shared" si="302"/>
        <v>1.4929494712103408</v>
      </c>
      <c r="AY652" s="1">
        <f t="shared" si="303"/>
        <v>0</v>
      </c>
      <c r="AZ652" s="1">
        <f t="shared" si="304"/>
        <v>0.59330934195064633</v>
      </c>
      <c r="BA652" s="1">
        <f t="shared" si="305"/>
        <v>0.87323736780258521</v>
      </c>
      <c r="BB652" s="1">
        <f t="shared" si="306"/>
        <v>0</v>
      </c>
      <c r="BC652" s="1">
        <f t="shared" si="307"/>
        <v>0</v>
      </c>
      <c r="BD652" s="1">
        <f t="shared" si="308"/>
        <v>0.182</v>
      </c>
      <c r="BF652">
        <f t="shared" si="272"/>
        <v>79.19</v>
      </c>
      <c r="BG652">
        <f t="shared" si="281"/>
        <v>7.57</v>
      </c>
      <c r="BH652" s="1">
        <f t="shared" si="273"/>
        <v>0.64174769541608789</v>
      </c>
      <c r="BI652" s="1">
        <f t="shared" si="274"/>
        <v>9.5592877888622307E-2</v>
      </c>
      <c r="BJ652" s="1">
        <f t="shared" si="275"/>
        <v>0.60219320621290562</v>
      </c>
      <c r="BK652" s="1">
        <f t="shared" si="276"/>
        <v>0.41815734309887609</v>
      </c>
      <c r="BL652" s="1">
        <f t="shared" si="309"/>
        <v>9.5592877888622307E-2</v>
      </c>
      <c r="BM652" s="1">
        <f t="shared" si="310"/>
        <v>9.5592877888622307E-2</v>
      </c>
      <c r="BN652" s="1">
        <f t="shared" si="311"/>
        <v>7.4661907515705351E-3</v>
      </c>
      <c r="BO652" s="1">
        <f t="shared" si="312"/>
        <v>5.0913827000292892E-2</v>
      </c>
    </row>
    <row r="653" spans="3:67" x14ac:dyDescent="0.25">
      <c r="C653" t="s">
        <v>678</v>
      </c>
      <c r="G653">
        <v>15.05</v>
      </c>
      <c r="H653">
        <v>23.5</v>
      </c>
      <c r="I653">
        <v>15.11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46.34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6.4</v>
      </c>
      <c r="AK653" t="s">
        <v>1</v>
      </c>
      <c r="AL653" t="s">
        <v>372</v>
      </c>
      <c r="AM653" t="s">
        <v>835</v>
      </c>
      <c r="AO653" t="s">
        <v>822</v>
      </c>
      <c r="AQ653" s="1">
        <f t="shared" si="296"/>
        <v>100</v>
      </c>
      <c r="AR653" s="1">
        <f t="shared" si="297"/>
        <v>0</v>
      </c>
      <c r="AS653" s="1">
        <f t="shared" si="298"/>
        <v>0.15049999999999999</v>
      </c>
      <c r="AT653" s="1">
        <f t="shared" si="299"/>
        <v>0.23499999999999999</v>
      </c>
      <c r="AU653" s="1">
        <f t="shared" si="300"/>
        <v>0.46340000000000003</v>
      </c>
      <c r="AV653" s="1">
        <f t="shared" si="301"/>
        <v>6.4000000000000001E-2</v>
      </c>
      <c r="AX653" s="1">
        <f t="shared" si="302"/>
        <v>1.2020752269779509</v>
      </c>
      <c r="AY653" s="1">
        <f t="shared" si="303"/>
        <v>0</v>
      </c>
      <c r="AZ653" s="1">
        <f t="shared" si="304"/>
        <v>0.57512970168612187</v>
      </c>
      <c r="BA653" s="1">
        <f t="shared" si="305"/>
        <v>0.80051880674448772</v>
      </c>
      <c r="BB653" s="1">
        <f t="shared" si="306"/>
        <v>0</v>
      </c>
      <c r="BC653" s="1">
        <f t="shared" si="307"/>
        <v>0</v>
      </c>
      <c r="BD653" s="1">
        <f t="shared" si="308"/>
        <v>6.4000000000000001E-2</v>
      </c>
      <c r="BF653">
        <f t="shared" si="272"/>
        <v>83.7</v>
      </c>
      <c r="BG653">
        <f t="shared" si="281"/>
        <v>7.5549999999999997</v>
      </c>
      <c r="BH653" s="1">
        <f t="shared" si="273"/>
        <v>0.55364396654719239</v>
      </c>
      <c r="BI653" s="1">
        <f t="shared" si="274"/>
        <v>9.0262843488649935E-2</v>
      </c>
      <c r="BJ653" s="1">
        <f t="shared" si="275"/>
        <v>0.60051923536439666</v>
      </c>
      <c r="BK653" s="1">
        <f t="shared" si="276"/>
        <v>0.37392927120669062</v>
      </c>
      <c r="BL653" s="1">
        <f t="shared" si="309"/>
        <v>9.0262843488649935E-2</v>
      </c>
      <c r="BM653" s="1">
        <f t="shared" si="310"/>
        <v>9.0262843488649935E-2</v>
      </c>
      <c r="BN653" s="1">
        <f t="shared" si="311"/>
        <v>6.8973694810932221E-4</v>
      </c>
      <c r="BO653" s="1">
        <f t="shared" si="312"/>
        <v>0.11808908528221813</v>
      </c>
    </row>
    <row r="654" spans="3:67" x14ac:dyDescent="0.25">
      <c r="C654" t="s">
        <v>679</v>
      </c>
      <c r="G654">
        <v>15.05</v>
      </c>
      <c r="H654">
        <v>23.5</v>
      </c>
      <c r="I654">
        <v>15.11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46.34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12.7</v>
      </c>
      <c r="AK654" t="s">
        <v>1</v>
      </c>
      <c r="AL654" t="s">
        <v>372</v>
      </c>
      <c r="AM654" t="s">
        <v>836</v>
      </c>
      <c r="AO654" t="s">
        <v>825</v>
      </c>
      <c r="AQ654" s="1">
        <f t="shared" si="296"/>
        <v>100</v>
      </c>
      <c r="AR654" s="1">
        <f t="shared" si="297"/>
        <v>0</v>
      </c>
      <c r="AS654" s="1">
        <f t="shared" si="298"/>
        <v>0.15049999999999999</v>
      </c>
      <c r="AT654" s="1">
        <f t="shared" si="299"/>
        <v>0.23499999999999999</v>
      </c>
      <c r="AU654" s="1">
        <f t="shared" si="300"/>
        <v>0.46340000000000003</v>
      </c>
      <c r="AV654" s="1">
        <f t="shared" si="301"/>
        <v>0.127</v>
      </c>
      <c r="AX654" s="1">
        <f t="shared" si="302"/>
        <v>1.2020752269779509</v>
      </c>
      <c r="AY654" s="1">
        <f t="shared" si="303"/>
        <v>0</v>
      </c>
      <c r="AZ654" s="1">
        <f t="shared" si="304"/>
        <v>0.57512970168612187</v>
      </c>
      <c r="BA654" s="1">
        <f t="shared" si="305"/>
        <v>0.80051880674448772</v>
      </c>
      <c r="BB654" s="1">
        <f t="shared" si="306"/>
        <v>0</v>
      </c>
      <c r="BC654" s="1">
        <f t="shared" si="307"/>
        <v>0</v>
      </c>
      <c r="BD654" s="1">
        <f t="shared" si="308"/>
        <v>0.127</v>
      </c>
      <c r="BF654">
        <f t="shared" si="272"/>
        <v>83.7</v>
      </c>
      <c r="BG654">
        <f t="shared" si="281"/>
        <v>7.5549999999999997</v>
      </c>
      <c r="BH654" s="1">
        <f t="shared" si="273"/>
        <v>0.55364396654719239</v>
      </c>
      <c r="BI654" s="1">
        <f t="shared" si="274"/>
        <v>9.0262843488649935E-2</v>
      </c>
      <c r="BJ654" s="1">
        <f t="shared" si="275"/>
        <v>0.60051923536439666</v>
      </c>
      <c r="BK654" s="1">
        <f t="shared" si="276"/>
        <v>0.37392927120669062</v>
      </c>
      <c r="BL654" s="1">
        <f t="shared" si="309"/>
        <v>9.0262843488649935E-2</v>
      </c>
      <c r="BM654" s="1">
        <f t="shared" si="310"/>
        <v>9.0262843488649935E-2</v>
      </c>
      <c r="BN654" s="1">
        <f t="shared" si="311"/>
        <v>1.3496186685394305E-3</v>
      </c>
      <c r="BO654" s="1">
        <f t="shared" si="312"/>
        <v>7.8759328741868223E-2</v>
      </c>
    </row>
    <row r="655" spans="3:67" x14ac:dyDescent="0.25">
      <c r="C655" t="s">
        <v>680</v>
      </c>
      <c r="G655">
        <v>15.05</v>
      </c>
      <c r="H655">
        <v>23.5</v>
      </c>
      <c r="I655">
        <v>15.11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46.34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22.1</v>
      </c>
      <c r="AK655" t="s">
        <v>1</v>
      </c>
      <c r="AL655" t="s">
        <v>372</v>
      </c>
      <c r="AM655" t="s">
        <v>832</v>
      </c>
      <c r="AO655" t="s">
        <v>827</v>
      </c>
      <c r="AQ655" s="1">
        <f t="shared" si="296"/>
        <v>100</v>
      </c>
      <c r="AR655" s="1">
        <f t="shared" si="297"/>
        <v>0</v>
      </c>
      <c r="AS655" s="1">
        <f t="shared" si="298"/>
        <v>0.15049999999999999</v>
      </c>
      <c r="AT655" s="1">
        <f t="shared" si="299"/>
        <v>0.23499999999999999</v>
      </c>
      <c r="AU655" s="1">
        <f t="shared" si="300"/>
        <v>0.46340000000000003</v>
      </c>
      <c r="AV655" s="1">
        <f t="shared" si="301"/>
        <v>0.221</v>
      </c>
      <c r="AX655" s="1">
        <f t="shared" si="302"/>
        <v>1.2020752269779509</v>
      </c>
      <c r="AY655" s="1">
        <f t="shared" si="303"/>
        <v>0</v>
      </c>
      <c r="AZ655" s="1">
        <f t="shared" si="304"/>
        <v>0.57512970168612187</v>
      </c>
      <c r="BA655" s="1">
        <f t="shared" si="305"/>
        <v>0.80051880674448772</v>
      </c>
      <c r="BB655" s="1">
        <f t="shared" si="306"/>
        <v>0</v>
      </c>
      <c r="BC655" s="1">
        <f t="shared" si="307"/>
        <v>0</v>
      </c>
      <c r="BD655" s="1">
        <f t="shared" si="308"/>
        <v>0.221</v>
      </c>
      <c r="BF655">
        <f t="shared" si="272"/>
        <v>83.7</v>
      </c>
      <c r="BG655">
        <f t="shared" si="281"/>
        <v>7.5549999999999997</v>
      </c>
      <c r="BH655" s="1">
        <f t="shared" si="273"/>
        <v>0.55364396654719239</v>
      </c>
      <c r="BI655" s="1">
        <f t="shared" si="274"/>
        <v>9.0262843488649935E-2</v>
      </c>
      <c r="BJ655" s="1">
        <f t="shared" si="275"/>
        <v>0.60051923536439666</v>
      </c>
      <c r="BK655" s="1">
        <f t="shared" si="276"/>
        <v>0.37392927120669062</v>
      </c>
      <c r="BL655" s="1">
        <f t="shared" si="309"/>
        <v>9.0262843488649935E-2</v>
      </c>
      <c r="BM655" s="1">
        <f t="shared" si="310"/>
        <v>9.0262843488649935E-2</v>
      </c>
      <c r="BN655" s="1">
        <f t="shared" si="311"/>
        <v>1.7092204092673244E-2</v>
      </c>
      <c r="BO655" s="1">
        <f t="shared" si="312"/>
        <v>3.4834834856266747E-2</v>
      </c>
    </row>
    <row r="656" spans="3:67" x14ac:dyDescent="0.25">
      <c r="C656" t="s">
        <v>681</v>
      </c>
      <c r="G656">
        <v>0.08</v>
      </c>
      <c r="H656">
        <v>10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9.6999999999999993</v>
      </c>
      <c r="P656">
        <v>0</v>
      </c>
      <c r="Q656">
        <v>80.2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75.5</v>
      </c>
      <c r="AK656" t="s">
        <v>1</v>
      </c>
      <c r="AL656" t="s">
        <v>372</v>
      </c>
      <c r="AM656" t="s">
        <v>837</v>
      </c>
      <c r="AO656" t="s">
        <v>378</v>
      </c>
      <c r="AP656" t="s">
        <v>838</v>
      </c>
      <c r="AQ656" s="1">
        <f t="shared" si="296"/>
        <v>99.98</v>
      </c>
      <c r="AR656" s="1">
        <f t="shared" si="297"/>
        <v>9.6999999999999989E-2</v>
      </c>
      <c r="AS656" s="1">
        <f t="shared" si="298"/>
        <v>8.0000000000000004E-4</v>
      </c>
      <c r="AT656" s="1">
        <f t="shared" si="299"/>
        <v>0.1</v>
      </c>
      <c r="AU656" s="1">
        <f t="shared" si="300"/>
        <v>0.80200000000000005</v>
      </c>
      <c r="AV656" s="1">
        <f t="shared" si="301"/>
        <v>0.755</v>
      </c>
      <c r="AX656" s="1">
        <f t="shared" si="302"/>
        <v>7.9563492063492065</v>
      </c>
      <c r="AY656" s="1">
        <f t="shared" si="303"/>
        <v>0.96230158730158721</v>
      </c>
      <c r="AZ656" s="1">
        <f t="shared" si="304"/>
        <v>0.99727182539682535</v>
      </c>
      <c r="BA656" s="1">
        <f t="shared" si="305"/>
        <v>2.4890873015873014</v>
      </c>
      <c r="BB656" s="1">
        <f t="shared" si="306"/>
        <v>0.96230158730158721</v>
      </c>
      <c r="BC656" s="1">
        <f t="shared" si="307"/>
        <v>0.96230158730158721</v>
      </c>
      <c r="BD656" s="1">
        <f t="shared" si="308"/>
        <v>0.20730158730158721</v>
      </c>
      <c r="BF656">
        <f t="shared" si="272"/>
        <v>10.32</v>
      </c>
      <c r="BG656">
        <f t="shared" si="281"/>
        <v>9.6999999999999993</v>
      </c>
      <c r="BH656" s="1">
        <f t="shared" si="273"/>
        <v>7.7713178294573648</v>
      </c>
      <c r="BI656" s="1">
        <f t="shared" si="274"/>
        <v>0.93992248062015493</v>
      </c>
      <c r="BJ656" s="1">
        <f t="shared" si="275"/>
        <v>0.73765503875968985</v>
      </c>
      <c r="BK656" s="1">
        <f t="shared" si="276"/>
        <v>3.9972015503875973</v>
      </c>
      <c r="BL656" s="1">
        <f t="shared" si="309"/>
        <v>0.73765503875968985</v>
      </c>
      <c r="BM656" s="1">
        <f t="shared" si="310"/>
        <v>0.73765503875968985</v>
      </c>
      <c r="BN656" s="1">
        <f t="shared" si="311"/>
        <v>3.0084768042786149E-4</v>
      </c>
      <c r="BO656" s="1">
        <f t="shared" si="312"/>
        <v>0.12065832703806265</v>
      </c>
    </row>
    <row r="657" spans="3:67" x14ac:dyDescent="0.25">
      <c r="C657" t="s">
        <v>682</v>
      </c>
      <c r="G657">
        <v>0.09</v>
      </c>
      <c r="H657">
        <v>19.899999999999999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9.8000000000000007</v>
      </c>
      <c r="P657">
        <v>0</v>
      </c>
      <c r="Q657">
        <v>70.2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48.4</v>
      </c>
      <c r="AK657" t="s">
        <v>1</v>
      </c>
      <c r="AL657" t="s">
        <v>372</v>
      </c>
      <c r="AQ657" s="1">
        <f t="shared" si="296"/>
        <v>99.990000000000009</v>
      </c>
      <c r="AR657" s="1">
        <f t="shared" si="297"/>
        <v>9.8000000000000004E-2</v>
      </c>
      <c r="AS657" s="1">
        <f t="shared" si="298"/>
        <v>8.9999999999999998E-4</v>
      </c>
      <c r="AT657" s="1">
        <f t="shared" si="299"/>
        <v>0.19899999999999998</v>
      </c>
      <c r="AU657" s="1">
        <f t="shared" si="300"/>
        <v>0.70200000000000007</v>
      </c>
      <c r="AV657" s="1">
        <f t="shared" si="301"/>
        <v>0.48399999999999999</v>
      </c>
      <c r="AX657" s="1">
        <f t="shared" si="302"/>
        <v>3.5117558779389699</v>
      </c>
      <c r="AY657" s="1">
        <f t="shared" si="303"/>
        <v>0.49024512256128067</v>
      </c>
      <c r="AZ657" s="1">
        <f t="shared" si="304"/>
        <v>0.71948474237118565</v>
      </c>
      <c r="BA657" s="1">
        <f t="shared" si="305"/>
        <v>1.3779389694847426</v>
      </c>
      <c r="BB657" s="1">
        <f t="shared" si="306"/>
        <v>0.49024512256128067</v>
      </c>
      <c r="BC657" s="1">
        <f t="shared" si="307"/>
        <v>0.49024512256128067</v>
      </c>
      <c r="BD657" s="1">
        <f t="shared" si="308"/>
        <v>6.2451225612806804E-3</v>
      </c>
      <c r="BF657">
        <f t="shared" si="272"/>
        <v>20.259999999999998</v>
      </c>
      <c r="BG657">
        <f t="shared" si="281"/>
        <v>9.8000000000000007</v>
      </c>
      <c r="BH657" s="1">
        <f t="shared" si="273"/>
        <v>3.4649555774925966</v>
      </c>
      <c r="BI657" s="1">
        <f t="shared" si="274"/>
        <v>0.48371174728529132</v>
      </c>
      <c r="BJ657" s="1">
        <f t="shared" si="275"/>
        <v>0.65583415597235928</v>
      </c>
      <c r="BK657" s="1">
        <f t="shared" si="276"/>
        <v>1.8354076999012836</v>
      </c>
      <c r="BL657" s="1">
        <f t="shared" si="309"/>
        <v>0.48371174728529132</v>
      </c>
      <c r="BM657" s="1">
        <f t="shared" si="310"/>
        <v>0.48371174728529132</v>
      </c>
      <c r="BN657" s="1">
        <f t="shared" si="311"/>
        <v>8.3089627536917888E-8</v>
      </c>
      <c r="BO657" s="1">
        <f t="shared" si="312"/>
        <v>5.8307083465519872E-3</v>
      </c>
    </row>
    <row r="658" spans="3:67" x14ac:dyDescent="0.25">
      <c r="C658" t="s">
        <v>683</v>
      </c>
      <c r="G658">
        <v>0</v>
      </c>
      <c r="H658">
        <v>29.9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9.8000000000000007</v>
      </c>
      <c r="P658">
        <v>0</v>
      </c>
      <c r="Q658">
        <v>60.2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34.799999999999997</v>
      </c>
      <c r="AK658" t="s">
        <v>1</v>
      </c>
      <c r="AL658" t="s">
        <v>372</v>
      </c>
      <c r="AQ658" s="1">
        <f t="shared" si="296"/>
        <v>99.9</v>
      </c>
      <c r="AR658" s="1">
        <f t="shared" si="297"/>
        <v>9.8000000000000004E-2</v>
      </c>
      <c r="AS658" s="1">
        <f t="shared" si="298"/>
        <v>0</v>
      </c>
      <c r="AT658" s="1">
        <f t="shared" si="299"/>
        <v>0.29899999999999999</v>
      </c>
      <c r="AU658" s="1">
        <f t="shared" si="300"/>
        <v>0.60199999999999998</v>
      </c>
      <c r="AV658" s="1">
        <f t="shared" si="301"/>
        <v>0.34799999999999998</v>
      </c>
      <c r="AX658" s="1">
        <f t="shared" si="302"/>
        <v>2.0133779264214047</v>
      </c>
      <c r="AY658" s="1">
        <f t="shared" si="303"/>
        <v>0.32775919732441472</v>
      </c>
      <c r="AZ658" s="1">
        <f t="shared" si="304"/>
        <v>0.62583612040133785</v>
      </c>
      <c r="BA658" s="1">
        <f t="shared" si="305"/>
        <v>1.0033444816053512</v>
      </c>
      <c r="BB658" s="1">
        <f t="shared" si="306"/>
        <v>0.32775919732441472</v>
      </c>
      <c r="BC658" s="1">
        <f t="shared" si="307"/>
        <v>0.32775919732441472</v>
      </c>
      <c r="BD658" s="1">
        <f t="shared" si="308"/>
        <v>2.0240802675585257E-2</v>
      </c>
      <c r="BF658">
        <f t="shared" si="272"/>
        <v>29.9</v>
      </c>
      <c r="BG658">
        <f t="shared" si="281"/>
        <v>9.8000000000000007</v>
      </c>
      <c r="BH658" s="1">
        <f t="shared" si="273"/>
        <v>2.0133779264214047</v>
      </c>
      <c r="BI658" s="1">
        <f t="shared" si="274"/>
        <v>0.32775919732441477</v>
      </c>
      <c r="BJ658" s="1">
        <f t="shared" si="275"/>
        <v>0.62825418060200666</v>
      </c>
      <c r="BK658" s="1">
        <f t="shared" si="276"/>
        <v>1.1067157190635453</v>
      </c>
      <c r="BL658" s="1">
        <f t="shared" si="309"/>
        <v>0.32775919732441477</v>
      </c>
      <c r="BM658" s="1">
        <f t="shared" si="310"/>
        <v>0.32775919732441477</v>
      </c>
      <c r="BN658" s="1">
        <f t="shared" si="311"/>
        <v>4.0969009295197705E-4</v>
      </c>
      <c r="BO658" s="1">
        <f t="shared" si="312"/>
        <v>3.5570399257200797E-3</v>
      </c>
    </row>
    <row r="659" spans="3:67" x14ac:dyDescent="0.25">
      <c r="C659" t="s">
        <v>684</v>
      </c>
      <c r="G659">
        <v>0.05</v>
      </c>
      <c r="H659">
        <v>59.5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</v>
      </c>
      <c r="P659">
        <v>0</v>
      </c>
      <c r="Q659">
        <v>30.4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18.899999999999999</v>
      </c>
      <c r="AK659" t="s">
        <v>1</v>
      </c>
      <c r="AL659" t="s">
        <v>372</v>
      </c>
      <c r="AQ659" s="1">
        <f t="shared" si="296"/>
        <v>99.949999999999989</v>
      </c>
      <c r="AR659" s="1">
        <f t="shared" si="297"/>
        <v>0.1</v>
      </c>
      <c r="AS659" s="1">
        <f t="shared" si="298"/>
        <v>5.0000000000000001E-4</v>
      </c>
      <c r="AT659" s="1">
        <f t="shared" si="299"/>
        <v>0.59499999999999997</v>
      </c>
      <c r="AU659" s="1">
        <f t="shared" si="300"/>
        <v>0.30399999999999999</v>
      </c>
      <c r="AV659" s="1">
        <f t="shared" si="301"/>
        <v>0.18899999999999997</v>
      </c>
      <c r="AX659" s="1">
        <f t="shared" si="302"/>
        <v>0.51049538203190603</v>
      </c>
      <c r="AY659" s="1">
        <f t="shared" si="303"/>
        <v>0.16792611251049541</v>
      </c>
      <c r="AZ659" s="1">
        <f t="shared" si="304"/>
        <v>0.53190596137699409</v>
      </c>
      <c r="BA659" s="1">
        <f t="shared" si="305"/>
        <v>0.62762384550797656</v>
      </c>
      <c r="BB659" s="1">
        <f t="shared" si="306"/>
        <v>0.16792611251049541</v>
      </c>
      <c r="BC659" s="1">
        <f t="shared" si="307"/>
        <v>0.16792611251049541</v>
      </c>
      <c r="BD659" s="1">
        <f t="shared" si="308"/>
        <v>2.1073887489504561E-2</v>
      </c>
      <c r="BF659">
        <f t="shared" si="272"/>
        <v>59.7</v>
      </c>
      <c r="BG659">
        <f t="shared" si="281"/>
        <v>10</v>
      </c>
      <c r="BH659" s="1">
        <f t="shared" si="273"/>
        <v>0.50921273031825787</v>
      </c>
      <c r="BI659" s="1">
        <f t="shared" si="274"/>
        <v>0.1675041876046901</v>
      </c>
      <c r="BJ659" s="1">
        <f t="shared" si="275"/>
        <v>0.59967504187604692</v>
      </c>
      <c r="BK659" s="1">
        <f t="shared" si="276"/>
        <v>0.35162479061976548</v>
      </c>
      <c r="BL659" s="1">
        <f t="shared" si="309"/>
        <v>0.1675041876046901</v>
      </c>
      <c r="BM659" s="1">
        <f t="shared" si="310"/>
        <v>0.1675041876046901</v>
      </c>
      <c r="BN659" s="1">
        <f t="shared" si="311"/>
        <v>4.6206995053435751E-4</v>
      </c>
      <c r="BO659" s="1">
        <f t="shared" si="312"/>
        <v>4.7803854051365134E-2</v>
      </c>
    </row>
    <row r="660" spans="3:67" x14ac:dyDescent="0.25">
      <c r="C660" t="s">
        <v>685</v>
      </c>
      <c r="G660">
        <v>0.04</v>
      </c>
      <c r="H660">
        <v>69.099999999999994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10.1</v>
      </c>
      <c r="P660">
        <v>0</v>
      </c>
      <c r="Q660">
        <v>20.7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16.600000000000001</v>
      </c>
      <c r="AK660" t="s">
        <v>1</v>
      </c>
      <c r="AL660" t="s">
        <v>372</v>
      </c>
      <c r="AQ660" s="1">
        <f t="shared" si="296"/>
        <v>99.94</v>
      </c>
      <c r="AR660" s="1">
        <f t="shared" si="297"/>
        <v>0.10099999999999999</v>
      </c>
      <c r="AS660" s="1">
        <f t="shared" si="298"/>
        <v>4.0000000000000002E-4</v>
      </c>
      <c r="AT660" s="1">
        <f t="shared" si="299"/>
        <v>0.69099999999999995</v>
      </c>
      <c r="AU660" s="1">
        <f t="shared" si="300"/>
        <v>0.20699999999999999</v>
      </c>
      <c r="AV660" s="1">
        <f t="shared" si="301"/>
        <v>0.16600000000000001</v>
      </c>
      <c r="AX660" s="1">
        <f t="shared" si="302"/>
        <v>0.29939253688168938</v>
      </c>
      <c r="AY660" s="1">
        <f t="shared" si="303"/>
        <v>0.14608041654613829</v>
      </c>
      <c r="AZ660" s="1">
        <f t="shared" si="304"/>
        <v>0.51871203355510553</v>
      </c>
      <c r="BA660" s="1">
        <f t="shared" si="305"/>
        <v>0.57484813422042236</v>
      </c>
      <c r="BB660" s="1">
        <f t="shared" si="306"/>
        <v>0.14608041654613829</v>
      </c>
      <c r="BC660" s="1">
        <f t="shared" si="307"/>
        <v>0.14608041654613829</v>
      </c>
      <c r="BD660" s="1">
        <f t="shared" si="308"/>
        <v>1.9919583453861717E-2</v>
      </c>
      <c r="BF660">
        <f t="shared" si="272"/>
        <v>69.259999999999991</v>
      </c>
      <c r="BG660">
        <f t="shared" si="281"/>
        <v>10.1</v>
      </c>
      <c r="BH660" s="1">
        <f t="shared" si="273"/>
        <v>0.29887380883626918</v>
      </c>
      <c r="BI660" s="1">
        <f t="shared" si="274"/>
        <v>0.14582731735489463</v>
      </c>
      <c r="BJ660" s="1">
        <f t="shared" si="275"/>
        <v>0.59567860236788905</v>
      </c>
      <c r="BK660" s="1">
        <f t="shared" si="276"/>
        <v>0.24603465203580713</v>
      </c>
      <c r="BL660" s="1">
        <f t="shared" si="309"/>
        <v>0.14582731735489463</v>
      </c>
      <c r="BM660" s="1">
        <f t="shared" si="310"/>
        <v>0.14582731735489463</v>
      </c>
      <c r="BN660" s="1">
        <f t="shared" si="311"/>
        <v>4.0693712510013594E-4</v>
      </c>
      <c r="BO660" s="1">
        <f t="shared" si="312"/>
        <v>5.8390336597842069E-2</v>
      </c>
    </row>
    <row r="661" spans="3:67" x14ac:dyDescent="0.25">
      <c r="C661" t="s">
        <v>686</v>
      </c>
      <c r="G661">
        <v>0.04</v>
      </c>
      <c r="H661">
        <v>79.3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10.1</v>
      </c>
      <c r="P661">
        <v>0</v>
      </c>
      <c r="Q661">
        <v>10.5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15.1</v>
      </c>
      <c r="AK661" t="s">
        <v>1</v>
      </c>
      <c r="AL661" t="s">
        <v>372</v>
      </c>
      <c r="AQ661" s="1">
        <f t="shared" si="296"/>
        <v>99.94</v>
      </c>
      <c r="AR661" s="1">
        <f t="shared" si="297"/>
        <v>0.10099999999999999</v>
      </c>
      <c r="AS661" s="1">
        <f t="shared" si="298"/>
        <v>4.0000000000000002E-4</v>
      </c>
      <c r="AT661" s="1">
        <f t="shared" si="299"/>
        <v>0.79299999999999993</v>
      </c>
      <c r="AU661" s="1">
        <f t="shared" si="300"/>
        <v>0.105</v>
      </c>
      <c r="AV661" s="1">
        <f t="shared" si="301"/>
        <v>0.151</v>
      </c>
      <c r="AX661" s="1">
        <f t="shared" si="302"/>
        <v>0.13234182001512479</v>
      </c>
      <c r="AY661" s="1">
        <f t="shared" si="303"/>
        <v>0.12730022687169146</v>
      </c>
      <c r="AZ661" s="1">
        <f t="shared" si="304"/>
        <v>0.50827136375094528</v>
      </c>
      <c r="BA661" s="1">
        <f t="shared" si="305"/>
        <v>0.53308545500378124</v>
      </c>
      <c r="BB661" s="1">
        <f t="shared" si="306"/>
        <v>0.12730022687169146</v>
      </c>
      <c r="BC661" s="1">
        <f t="shared" si="307"/>
        <v>0.12730022687169146</v>
      </c>
      <c r="BD661" s="1">
        <f t="shared" si="308"/>
        <v>2.3699773128308538E-2</v>
      </c>
      <c r="BF661">
        <f t="shared" si="272"/>
        <v>79.459999999999994</v>
      </c>
      <c r="BG661">
        <f t="shared" si="281"/>
        <v>10.1</v>
      </c>
      <c r="BH661" s="1">
        <f t="shared" si="273"/>
        <v>0.13214195821797131</v>
      </c>
      <c r="BI661" s="1">
        <f t="shared" si="274"/>
        <v>0.1271079788572867</v>
      </c>
      <c r="BJ661" s="1">
        <f t="shared" si="275"/>
        <v>0.59251069720614147</v>
      </c>
      <c r="BK661" s="1">
        <f t="shared" si="276"/>
        <v>0.16233526302542162</v>
      </c>
      <c r="BL661" s="1">
        <f t="shared" si="309"/>
        <v>0.1271079788572867</v>
      </c>
      <c r="BM661" s="1">
        <f t="shared" si="310"/>
        <v>0.1271079788572867</v>
      </c>
      <c r="BN661" s="1">
        <f t="shared" si="311"/>
        <v>5.7082867428385933E-4</v>
      </c>
      <c r="BO661" s="1">
        <f t="shared" si="312"/>
        <v>6.5864564345544427E-2</v>
      </c>
    </row>
    <row r="662" spans="3:67" x14ac:dyDescent="0.25">
      <c r="C662" t="s">
        <v>687</v>
      </c>
      <c r="G662">
        <v>0.1</v>
      </c>
      <c r="H662">
        <v>10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19.600000000000001</v>
      </c>
      <c r="P662">
        <v>0</v>
      </c>
      <c r="Q662">
        <v>70.2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87.2</v>
      </c>
      <c r="AK662" t="s">
        <v>1</v>
      </c>
      <c r="AL662" t="s">
        <v>372</v>
      </c>
      <c r="AQ662" s="1">
        <f t="shared" si="296"/>
        <v>99.9</v>
      </c>
      <c r="AR662" s="1">
        <f t="shared" si="297"/>
        <v>0.19600000000000001</v>
      </c>
      <c r="AS662" s="1">
        <f t="shared" si="298"/>
        <v>1E-3</v>
      </c>
      <c r="AT662" s="1">
        <f t="shared" si="299"/>
        <v>0.1</v>
      </c>
      <c r="AU662" s="1">
        <f t="shared" si="300"/>
        <v>0.70200000000000007</v>
      </c>
      <c r="AV662" s="1">
        <f t="shared" si="301"/>
        <v>0.872</v>
      </c>
      <c r="AX662" s="1">
        <f t="shared" si="302"/>
        <v>6.9504950495049505</v>
      </c>
      <c r="AY662" s="1">
        <f t="shared" si="303"/>
        <v>1.9405940594059405</v>
      </c>
      <c r="AZ662" s="1">
        <f t="shared" si="304"/>
        <v>0.93440594059405946</v>
      </c>
      <c r="BA662" s="1">
        <f t="shared" si="305"/>
        <v>2.2376237623762378</v>
      </c>
      <c r="BB662" s="1">
        <f t="shared" si="306"/>
        <v>0.93440594059405946</v>
      </c>
      <c r="BC662" s="1">
        <f t="shared" si="307"/>
        <v>0.93440594059405946</v>
      </c>
      <c r="BD662" s="1">
        <f t="shared" si="308"/>
        <v>6.2405940594059461E-2</v>
      </c>
      <c r="BF662">
        <f t="shared" si="272"/>
        <v>10.4</v>
      </c>
      <c r="BG662">
        <f t="shared" si="281"/>
        <v>19.600000000000001</v>
      </c>
      <c r="BH662" s="1">
        <f t="shared" si="273"/>
        <v>6.75</v>
      </c>
      <c r="BI662" s="1">
        <f t="shared" si="274"/>
        <v>1.8846153846153846</v>
      </c>
      <c r="BJ662" s="1">
        <f t="shared" si="275"/>
        <v>0.71824999999999994</v>
      </c>
      <c r="BK662" s="1">
        <f t="shared" si="276"/>
        <v>3.4845000000000002</v>
      </c>
      <c r="BL662" s="1">
        <f t="shared" si="309"/>
        <v>0.71824999999999994</v>
      </c>
      <c r="BM662" s="1">
        <f t="shared" si="310"/>
        <v>0.71824999999999994</v>
      </c>
      <c r="BN662" s="1">
        <f t="shared" si="311"/>
        <v>2.3639062500000016E-2</v>
      </c>
      <c r="BO662" s="1">
        <f t="shared" si="312"/>
        <v>0.2156293506059842</v>
      </c>
    </row>
    <row r="663" spans="3:67" x14ac:dyDescent="0.25">
      <c r="C663" t="s">
        <v>688</v>
      </c>
      <c r="G663">
        <v>0.08</v>
      </c>
      <c r="H663">
        <v>20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19.600000000000001</v>
      </c>
      <c r="P663">
        <v>0</v>
      </c>
      <c r="Q663">
        <v>60.3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72.7</v>
      </c>
      <c r="AK663" t="s">
        <v>1</v>
      </c>
      <c r="AL663" t="s">
        <v>372</v>
      </c>
      <c r="AQ663" s="1">
        <f t="shared" si="296"/>
        <v>99.97999999999999</v>
      </c>
      <c r="AR663" s="1">
        <f t="shared" si="297"/>
        <v>0.19600000000000001</v>
      </c>
      <c r="AS663" s="1">
        <f t="shared" si="298"/>
        <v>8.0000000000000004E-4</v>
      </c>
      <c r="AT663" s="1">
        <f t="shared" si="299"/>
        <v>0.2</v>
      </c>
      <c r="AU663" s="1">
        <f t="shared" si="300"/>
        <v>0.60299999999999998</v>
      </c>
      <c r="AV663" s="1">
        <f t="shared" si="301"/>
        <v>0.72699999999999998</v>
      </c>
      <c r="AX663" s="1">
        <f t="shared" si="302"/>
        <v>3.0029880478087647</v>
      </c>
      <c r="AY663" s="1">
        <f t="shared" si="303"/>
        <v>0.9760956175298805</v>
      </c>
      <c r="AZ663" s="1">
        <f t="shared" si="304"/>
        <v>0.68768675298804782</v>
      </c>
      <c r="BA663" s="1">
        <f t="shared" si="305"/>
        <v>1.2507470119521913</v>
      </c>
      <c r="BB663" s="1">
        <f t="shared" si="306"/>
        <v>0.68768675298804782</v>
      </c>
      <c r="BC663" s="1">
        <f t="shared" si="307"/>
        <v>0.68768675298804782</v>
      </c>
      <c r="BD663" s="1">
        <f t="shared" si="308"/>
        <v>3.9313247011952157E-2</v>
      </c>
      <c r="BF663">
        <f t="shared" si="272"/>
        <v>20.32</v>
      </c>
      <c r="BG663">
        <f t="shared" si="281"/>
        <v>19.600000000000001</v>
      </c>
      <c r="BH663" s="1">
        <f t="shared" si="273"/>
        <v>2.9675196850393699</v>
      </c>
      <c r="BI663" s="1">
        <f t="shared" si="274"/>
        <v>0.96456692913385833</v>
      </c>
      <c r="BJ663" s="1">
        <f t="shared" si="275"/>
        <v>0.64638287401574801</v>
      </c>
      <c r="BK663" s="1">
        <f t="shared" si="276"/>
        <v>1.5856948818897638</v>
      </c>
      <c r="BL663" s="1">
        <f t="shared" si="309"/>
        <v>0.64638287401574801</v>
      </c>
      <c r="BM663" s="1">
        <f t="shared" si="310"/>
        <v>0.64638287401574801</v>
      </c>
      <c r="BN663" s="1">
        <f t="shared" si="311"/>
        <v>6.4991210019607537E-3</v>
      </c>
      <c r="BO663" s="1">
        <f t="shared" si="312"/>
        <v>0.10199021883377371</v>
      </c>
    </row>
    <row r="664" spans="3:67" x14ac:dyDescent="0.25">
      <c r="C664" t="s">
        <v>689</v>
      </c>
      <c r="G664">
        <v>0.08</v>
      </c>
      <c r="H664">
        <v>29.9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19.5</v>
      </c>
      <c r="P664">
        <v>0</v>
      </c>
      <c r="Q664">
        <v>50.5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59.9</v>
      </c>
      <c r="AK664" t="s">
        <v>1</v>
      </c>
      <c r="AL664" t="s">
        <v>372</v>
      </c>
      <c r="AQ664" s="1">
        <f t="shared" si="296"/>
        <v>99.97999999999999</v>
      </c>
      <c r="AR664" s="1">
        <f t="shared" si="297"/>
        <v>0.19500000000000001</v>
      </c>
      <c r="AS664" s="1">
        <f t="shared" si="298"/>
        <v>8.0000000000000004E-4</v>
      </c>
      <c r="AT664" s="1">
        <f t="shared" si="299"/>
        <v>0.29899999999999999</v>
      </c>
      <c r="AU664" s="1">
        <f t="shared" si="300"/>
        <v>0.505</v>
      </c>
      <c r="AV664" s="1">
        <f t="shared" si="301"/>
        <v>0.59899999999999998</v>
      </c>
      <c r="AX664" s="1">
        <f t="shared" si="302"/>
        <v>1.6844563042028018</v>
      </c>
      <c r="AY664" s="1">
        <f t="shared" si="303"/>
        <v>0.65043362241494329</v>
      </c>
      <c r="AZ664" s="1">
        <f t="shared" si="304"/>
        <v>0.60527851901267515</v>
      </c>
      <c r="BA664" s="1">
        <f t="shared" si="305"/>
        <v>0.92111407605070039</v>
      </c>
      <c r="BB664" s="1">
        <f t="shared" si="306"/>
        <v>0.60527851901267515</v>
      </c>
      <c r="BC664" s="1">
        <f t="shared" si="307"/>
        <v>0.60527851901267515</v>
      </c>
      <c r="BD664" s="1">
        <f t="shared" si="308"/>
        <v>6.2785190126751766E-3</v>
      </c>
      <c r="BF664">
        <f t="shared" si="272"/>
        <v>30.22</v>
      </c>
      <c r="BG664">
        <f t="shared" si="281"/>
        <v>19.5</v>
      </c>
      <c r="BH664" s="1">
        <f t="shared" si="273"/>
        <v>1.6710787557908671</v>
      </c>
      <c r="BI664" s="1">
        <f t="shared" si="274"/>
        <v>0.64526803441429514</v>
      </c>
      <c r="BJ664" s="1">
        <f t="shared" si="275"/>
        <v>0.62175049636002644</v>
      </c>
      <c r="BK664" s="1">
        <f t="shared" si="276"/>
        <v>0.93488153540701524</v>
      </c>
      <c r="BL664" s="1">
        <f t="shared" si="309"/>
        <v>0.62175049636002644</v>
      </c>
      <c r="BM664" s="1">
        <f t="shared" si="310"/>
        <v>0.62175049636002644</v>
      </c>
      <c r="BN664" s="1">
        <f t="shared" si="311"/>
        <v>5.1758508462757728E-4</v>
      </c>
      <c r="BO664" s="1">
        <f t="shared" si="312"/>
        <v>3.6618295614167198E-2</v>
      </c>
    </row>
    <row r="665" spans="3:67" x14ac:dyDescent="0.25">
      <c r="C665" t="s">
        <v>690</v>
      </c>
      <c r="G665">
        <v>0.08</v>
      </c>
      <c r="H665">
        <v>39.299999999999997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19.600000000000001</v>
      </c>
      <c r="P665">
        <v>0</v>
      </c>
      <c r="Q665">
        <v>41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48.7</v>
      </c>
      <c r="AK665" t="s">
        <v>1</v>
      </c>
      <c r="AL665" t="s">
        <v>372</v>
      </c>
      <c r="AQ665" s="1">
        <f t="shared" si="296"/>
        <v>99.97999999999999</v>
      </c>
      <c r="AR665" s="1">
        <f t="shared" si="297"/>
        <v>0.19600000000000001</v>
      </c>
      <c r="AS665" s="1">
        <f t="shared" si="298"/>
        <v>8.0000000000000004E-4</v>
      </c>
      <c r="AT665" s="1">
        <f t="shared" si="299"/>
        <v>0.39299999999999996</v>
      </c>
      <c r="AU665" s="1">
        <f t="shared" si="300"/>
        <v>0.41</v>
      </c>
      <c r="AV665" s="1">
        <f t="shared" si="301"/>
        <v>0.48700000000000004</v>
      </c>
      <c r="AX665" s="1">
        <f t="shared" si="302"/>
        <v>1.0411376333164042</v>
      </c>
      <c r="AY665" s="1">
        <f t="shared" si="303"/>
        <v>0.49771457592686646</v>
      </c>
      <c r="AZ665" s="1">
        <f t="shared" si="304"/>
        <v>0.56507110208227529</v>
      </c>
      <c r="BA665" s="1">
        <f t="shared" si="305"/>
        <v>0.76028440832910105</v>
      </c>
      <c r="BB665" s="1">
        <f t="shared" si="306"/>
        <v>0.49771457592686646</v>
      </c>
      <c r="BC665" s="1">
        <f t="shared" si="307"/>
        <v>0.49771457592686646</v>
      </c>
      <c r="BD665" s="1">
        <f t="shared" si="308"/>
        <v>1.0714575926866421E-2</v>
      </c>
      <c r="BF665">
        <f t="shared" si="272"/>
        <v>39.619999999999997</v>
      </c>
      <c r="BG665">
        <f t="shared" si="281"/>
        <v>19.600000000000001</v>
      </c>
      <c r="BH665" s="1">
        <f t="shared" si="273"/>
        <v>1.0348308934881374</v>
      </c>
      <c r="BI665" s="1">
        <f t="shared" si="274"/>
        <v>0.49469964664310961</v>
      </c>
      <c r="BJ665" s="1">
        <f t="shared" si="275"/>
        <v>0.6096617869762746</v>
      </c>
      <c r="BK665" s="1">
        <f t="shared" si="276"/>
        <v>0.61548510853104499</v>
      </c>
      <c r="BL665" s="1">
        <f t="shared" si="309"/>
        <v>0.49469964664310961</v>
      </c>
      <c r="BM665" s="1">
        <f t="shared" si="310"/>
        <v>0.49469964664310961</v>
      </c>
      <c r="BN665" s="1">
        <f t="shared" si="311"/>
        <v>5.9284558428748471E-5</v>
      </c>
      <c r="BO665" s="1">
        <f t="shared" si="312"/>
        <v>6.297862797011524E-3</v>
      </c>
    </row>
    <row r="666" spans="3:67" x14ac:dyDescent="0.25">
      <c r="C666" t="s">
        <v>691</v>
      </c>
      <c r="G666">
        <v>0.06</v>
      </c>
      <c r="H666">
        <v>49.7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19.7</v>
      </c>
      <c r="P666">
        <v>0</v>
      </c>
      <c r="Q666">
        <v>30.5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40.700000000000003</v>
      </c>
      <c r="AK666" t="s">
        <v>1</v>
      </c>
      <c r="AL666" t="s">
        <v>372</v>
      </c>
      <c r="AQ666" s="1">
        <f t="shared" si="296"/>
        <v>99.960000000000008</v>
      </c>
      <c r="AR666" s="1">
        <f t="shared" si="297"/>
        <v>0.19699999999999998</v>
      </c>
      <c r="AS666" s="1">
        <f t="shared" si="298"/>
        <v>5.9999999999999995E-4</v>
      </c>
      <c r="AT666" s="1">
        <f t="shared" si="299"/>
        <v>0.49700000000000005</v>
      </c>
      <c r="AU666" s="1">
        <f t="shared" si="300"/>
        <v>0.30499999999999999</v>
      </c>
      <c r="AV666" s="1">
        <f t="shared" si="301"/>
        <v>0.40700000000000003</v>
      </c>
      <c r="AX666" s="1">
        <f t="shared" si="302"/>
        <v>0.61294212218649513</v>
      </c>
      <c r="AY666" s="1">
        <f t="shared" si="303"/>
        <v>0.39590032154340826</v>
      </c>
      <c r="AZ666" s="1">
        <f t="shared" si="304"/>
        <v>0.53830888263665599</v>
      </c>
      <c r="BA666" s="1">
        <f t="shared" si="305"/>
        <v>0.65323553054662375</v>
      </c>
      <c r="BB666" s="1">
        <f t="shared" si="306"/>
        <v>0.39590032154340826</v>
      </c>
      <c r="BC666" s="1">
        <f t="shared" si="307"/>
        <v>0.39590032154340826</v>
      </c>
      <c r="BD666" s="1">
        <f t="shared" si="308"/>
        <v>1.1099678456591766E-2</v>
      </c>
      <c r="BF666">
        <f t="shared" si="272"/>
        <v>49.940000000000005</v>
      </c>
      <c r="BG666">
        <f t="shared" si="281"/>
        <v>19.7</v>
      </c>
      <c r="BH666" s="1">
        <f t="shared" si="273"/>
        <v>0.61073287945534638</v>
      </c>
      <c r="BI666" s="1">
        <f t="shared" si="274"/>
        <v>0.39447336804164995</v>
      </c>
      <c r="BJ666" s="1">
        <f t="shared" si="275"/>
        <v>0.60160392470965152</v>
      </c>
      <c r="BK666" s="1">
        <f t="shared" si="276"/>
        <v>0.40258790548658385</v>
      </c>
      <c r="BL666" s="1">
        <f t="shared" si="309"/>
        <v>0.39447336804164995</v>
      </c>
      <c r="BM666" s="1">
        <f t="shared" si="310"/>
        <v>0.39447336804164995</v>
      </c>
      <c r="BN666" s="1">
        <f t="shared" si="311"/>
        <v>1.5691650821995746E-4</v>
      </c>
      <c r="BO666" s="1">
        <f t="shared" si="312"/>
        <v>4.1078475745075009E-7</v>
      </c>
    </row>
    <row r="667" spans="3:67" x14ac:dyDescent="0.25">
      <c r="C667" t="s">
        <v>692</v>
      </c>
      <c r="G667">
        <v>0.05</v>
      </c>
      <c r="H667">
        <v>59.8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19.8</v>
      </c>
      <c r="P667">
        <v>0</v>
      </c>
      <c r="Q667">
        <v>20.399999999999999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35.1</v>
      </c>
      <c r="AK667" t="s">
        <v>1</v>
      </c>
      <c r="AL667" t="s">
        <v>372</v>
      </c>
      <c r="AQ667" s="1">
        <f t="shared" si="296"/>
        <v>100.04999999999998</v>
      </c>
      <c r="AR667" s="1">
        <f t="shared" si="297"/>
        <v>0.19800000000000001</v>
      </c>
      <c r="AS667" s="1">
        <f t="shared" si="298"/>
        <v>5.0000000000000001E-4</v>
      </c>
      <c r="AT667" s="1">
        <f t="shared" si="299"/>
        <v>0.59799999999999998</v>
      </c>
      <c r="AU667" s="1">
        <f t="shared" si="300"/>
        <v>0.20399999999999999</v>
      </c>
      <c r="AV667" s="1">
        <f t="shared" si="301"/>
        <v>0.35100000000000003</v>
      </c>
      <c r="AX667" s="1">
        <f t="shared" si="302"/>
        <v>0.34085213032581457</v>
      </c>
      <c r="AY667" s="1">
        <f t="shared" si="303"/>
        <v>0.33082706766917297</v>
      </c>
      <c r="AZ667" s="1">
        <f t="shared" si="304"/>
        <v>0.52130325814536338</v>
      </c>
      <c r="BA667" s="1">
        <f t="shared" si="305"/>
        <v>0.58521303258145363</v>
      </c>
      <c r="BB667" s="1">
        <f t="shared" si="306"/>
        <v>0.33082706766917297</v>
      </c>
      <c r="BC667" s="1">
        <f t="shared" si="307"/>
        <v>0.33082706766917297</v>
      </c>
      <c r="BD667" s="1">
        <f t="shared" si="308"/>
        <v>2.0172932330827065E-2</v>
      </c>
      <c r="BF667">
        <f t="shared" si="272"/>
        <v>60</v>
      </c>
      <c r="BG667">
        <f t="shared" si="281"/>
        <v>19.8</v>
      </c>
      <c r="BH667" s="1">
        <f t="shared" si="273"/>
        <v>0.33999999999999997</v>
      </c>
      <c r="BI667" s="1">
        <f t="shared" si="274"/>
        <v>0.33</v>
      </c>
      <c r="BJ667" s="1">
        <f t="shared" si="275"/>
        <v>0.59645999999999999</v>
      </c>
      <c r="BK667" s="1">
        <f t="shared" si="276"/>
        <v>0.26668000000000003</v>
      </c>
      <c r="BL667" s="1">
        <f t="shared" si="309"/>
        <v>0.33</v>
      </c>
      <c r="BM667" s="1">
        <f t="shared" si="310"/>
        <v>0.33</v>
      </c>
      <c r="BN667" s="1">
        <f t="shared" si="311"/>
        <v>4.410000000000008E-4</v>
      </c>
      <c r="BO667" s="1">
        <f t="shared" si="312"/>
        <v>3.2081943761796002E-3</v>
      </c>
    </row>
    <row r="668" spans="3:67" x14ac:dyDescent="0.25">
      <c r="C668" t="s">
        <v>693</v>
      </c>
      <c r="G668">
        <v>7.0000000000000007E-2</v>
      </c>
      <c r="H668">
        <v>10.1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29.4</v>
      </c>
      <c r="P668">
        <v>0</v>
      </c>
      <c r="Q668">
        <v>60.4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79</v>
      </c>
      <c r="AK668" t="s">
        <v>1</v>
      </c>
      <c r="AL668" t="s">
        <v>372</v>
      </c>
      <c r="AQ668" s="1">
        <f t="shared" si="296"/>
        <v>99.97</v>
      </c>
      <c r="AR668" s="1">
        <f t="shared" si="297"/>
        <v>0.29399999999999998</v>
      </c>
      <c r="AS668" s="1">
        <f t="shared" si="298"/>
        <v>7.000000000000001E-4</v>
      </c>
      <c r="AT668" s="1">
        <f t="shared" si="299"/>
        <v>0.10099999999999999</v>
      </c>
      <c r="AU668" s="1">
        <f t="shared" si="300"/>
        <v>0.60399999999999998</v>
      </c>
      <c r="AV668" s="1">
        <f t="shared" si="301"/>
        <v>0.79</v>
      </c>
      <c r="AX668" s="1">
        <f t="shared" si="302"/>
        <v>5.9390363815142573</v>
      </c>
      <c r="AY668" s="1">
        <f t="shared" si="303"/>
        <v>2.8908554572271385</v>
      </c>
      <c r="AZ668" s="1">
        <f t="shared" si="304"/>
        <v>0.87118977384464102</v>
      </c>
      <c r="BA668" s="1">
        <f t="shared" si="305"/>
        <v>1.9847590953785643</v>
      </c>
      <c r="BB668" s="1">
        <f t="shared" si="306"/>
        <v>0.73861585317783618</v>
      </c>
      <c r="BC668" s="1">
        <f t="shared" si="307"/>
        <v>0.73861585317783618</v>
      </c>
      <c r="BD668" s="1">
        <f t="shared" si="308"/>
        <v>5.1384146822163856E-2</v>
      </c>
      <c r="BF668">
        <f t="shared" si="272"/>
        <v>10.379999999999999</v>
      </c>
      <c r="BG668">
        <f t="shared" si="281"/>
        <v>29.4</v>
      </c>
      <c r="BH668" s="1">
        <f t="shared" si="273"/>
        <v>5.8188824662813108</v>
      </c>
      <c r="BI668" s="1">
        <f t="shared" si="274"/>
        <v>2.8323699421965318</v>
      </c>
      <c r="BJ668" s="1">
        <f t="shared" si="275"/>
        <v>0.70055876685934493</v>
      </c>
      <c r="BK668" s="1">
        <f t="shared" si="276"/>
        <v>3.017078998073218</v>
      </c>
      <c r="BL668" s="1">
        <f t="shared" si="309"/>
        <v>0.70055876685934493</v>
      </c>
      <c r="BM668" s="1">
        <f t="shared" si="310"/>
        <v>0.70055876685934493</v>
      </c>
      <c r="BN668" s="1">
        <f t="shared" si="311"/>
        <v>7.9997341857210216E-3</v>
      </c>
      <c r="BO668" s="1">
        <f t="shared" si="312"/>
        <v>0.14619846229342381</v>
      </c>
    </row>
    <row r="669" spans="3:67" x14ac:dyDescent="0.25">
      <c r="C669" t="s">
        <v>694</v>
      </c>
      <c r="G669">
        <v>7.0000000000000007E-2</v>
      </c>
      <c r="H669">
        <v>20.100000000000001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29.2</v>
      </c>
      <c r="P669">
        <v>0</v>
      </c>
      <c r="Q669">
        <v>50.6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70.099999999999994</v>
      </c>
      <c r="AK669" t="s">
        <v>1</v>
      </c>
      <c r="AL669" t="s">
        <v>372</v>
      </c>
      <c r="AQ669" s="1">
        <f t="shared" si="296"/>
        <v>99.97</v>
      </c>
      <c r="AR669" s="1">
        <f t="shared" si="297"/>
        <v>0.29199999999999998</v>
      </c>
      <c r="AS669" s="1">
        <f t="shared" si="298"/>
        <v>7.000000000000001E-4</v>
      </c>
      <c r="AT669" s="1">
        <f t="shared" si="299"/>
        <v>0.20100000000000001</v>
      </c>
      <c r="AU669" s="1">
        <f t="shared" si="300"/>
        <v>0.50600000000000001</v>
      </c>
      <c r="AV669" s="1">
        <f t="shared" si="301"/>
        <v>0.70099999999999996</v>
      </c>
      <c r="AX669" s="1">
        <f t="shared" si="302"/>
        <v>2.5086762518591965</v>
      </c>
      <c r="AY669" s="1">
        <f t="shared" si="303"/>
        <v>1.447694595934556</v>
      </c>
      <c r="AZ669" s="1">
        <f t="shared" si="304"/>
        <v>0.65679226574119975</v>
      </c>
      <c r="BA669" s="1">
        <f t="shared" si="305"/>
        <v>1.127169062964799</v>
      </c>
      <c r="BB669" s="1">
        <f t="shared" si="306"/>
        <v>0.59453639010133674</v>
      </c>
      <c r="BC669" s="1">
        <f t="shared" si="307"/>
        <v>0.59453639010133674</v>
      </c>
      <c r="BD669" s="1">
        <f t="shared" si="308"/>
        <v>0.10646360989866321</v>
      </c>
      <c r="BF669">
        <f t="shared" si="272"/>
        <v>20.380000000000003</v>
      </c>
      <c r="BG669">
        <f t="shared" si="281"/>
        <v>29.2</v>
      </c>
      <c r="BH669" s="1">
        <f t="shared" si="273"/>
        <v>2.482826300294406</v>
      </c>
      <c r="BI669" s="1">
        <f t="shared" si="274"/>
        <v>1.4327772325809616</v>
      </c>
      <c r="BJ669" s="1">
        <f t="shared" si="275"/>
        <v>0.63717369970559368</v>
      </c>
      <c r="BK669" s="1">
        <f t="shared" si="276"/>
        <v>1.3423788027477919</v>
      </c>
      <c r="BL669" s="1">
        <f t="shared" si="309"/>
        <v>0.61955774765732463</v>
      </c>
      <c r="BM669" s="1">
        <f t="shared" si="310"/>
        <v>0.61955774765732463</v>
      </c>
      <c r="BN669" s="1">
        <f t="shared" si="311"/>
        <v>6.6328404666480042E-3</v>
      </c>
      <c r="BO669" s="1">
        <f t="shared" si="312"/>
        <v>8.605954692979112E-2</v>
      </c>
    </row>
    <row r="670" spans="3:67" x14ac:dyDescent="0.25">
      <c r="C670" t="s">
        <v>695</v>
      </c>
      <c r="G670">
        <v>0.08</v>
      </c>
      <c r="H670">
        <v>30.1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29.3</v>
      </c>
      <c r="P670">
        <v>0</v>
      </c>
      <c r="Q670">
        <v>40.5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62.8</v>
      </c>
      <c r="AK670" t="s">
        <v>1</v>
      </c>
      <c r="AL670" t="s">
        <v>372</v>
      </c>
      <c r="AQ670" s="1">
        <f t="shared" si="296"/>
        <v>99.98</v>
      </c>
      <c r="AR670" s="1">
        <f t="shared" si="297"/>
        <v>0.29299999999999998</v>
      </c>
      <c r="AS670" s="1">
        <f t="shared" si="298"/>
        <v>8.0000000000000004E-4</v>
      </c>
      <c r="AT670" s="1">
        <f t="shared" si="299"/>
        <v>0.30099999999999999</v>
      </c>
      <c r="AU670" s="1">
        <f t="shared" si="300"/>
        <v>0.40500000000000003</v>
      </c>
      <c r="AV670" s="1">
        <f t="shared" si="301"/>
        <v>0.628</v>
      </c>
      <c r="AX670" s="1">
        <f t="shared" si="302"/>
        <v>1.3419483101391649</v>
      </c>
      <c r="AY670" s="1">
        <f t="shared" si="303"/>
        <v>0.97084161696487725</v>
      </c>
      <c r="AZ670" s="1">
        <f t="shared" si="304"/>
        <v>0.58387176938369778</v>
      </c>
      <c r="BA670" s="1">
        <f t="shared" si="305"/>
        <v>0.83548707753479123</v>
      </c>
      <c r="BB670" s="1">
        <f t="shared" si="306"/>
        <v>0.55234138167886071</v>
      </c>
      <c r="BC670" s="1">
        <f t="shared" si="307"/>
        <v>0.55234138167886071</v>
      </c>
      <c r="BD670" s="1">
        <f t="shared" si="308"/>
        <v>7.5658618321139293E-2</v>
      </c>
      <c r="BF670">
        <f t="shared" si="272"/>
        <v>30.42</v>
      </c>
      <c r="BG670">
        <f t="shared" si="281"/>
        <v>29.3</v>
      </c>
      <c r="BH670" s="1">
        <f t="shared" si="273"/>
        <v>1.331360946745562</v>
      </c>
      <c r="BI670" s="1">
        <f t="shared" si="274"/>
        <v>0.96318211702827083</v>
      </c>
      <c r="BJ670" s="1">
        <f t="shared" si="275"/>
        <v>0.61529585798816566</v>
      </c>
      <c r="BK670" s="1">
        <f t="shared" si="276"/>
        <v>0.76434319526627215</v>
      </c>
      <c r="BL670" s="1">
        <f t="shared" si="309"/>
        <v>0.56888245070298626</v>
      </c>
      <c r="BM670" s="1">
        <f t="shared" si="310"/>
        <v>0.56888245070298626</v>
      </c>
      <c r="BN670" s="1">
        <f t="shared" si="311"/>
        <v>3.4948846348848497E-3</v>
      </c>
      <c r="BO670" s="1">
        <f t="shared" si="312"/>
        <v>4.8558121968609314E-2</v>
      </c>
    </row>
    <row r="671" spans="3:67" x14ac:dyDescent="0.25">
      <c r="C671" t="s">
        <v>696</v>
      </c>
      <c r="G671">
        <v>7.0000000000000007E-2</v>
      </c>
      <c r="H671">
        <v>60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29.9</v>
      </c>
      <c r="P671">
        <v>0</v>
      </c>
      <c r="Q671">
        <v>10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45.8</v>
      </c>
      <c r="AK671" t="s">
        <v>1</v>
      </c>
      <c r="AL671" t="s">
        <v>372</v>
      </c>
      <c r="AQ671" s="1">
        <f t="shared" si="296"/>
        <v>99.97</v>
      </c>
      <c r="AR671" s="1">
        <f t="shared" si="297"/>
        <v>0.29899999999999999</v>
      </c>
      <c r="AS671" s="1">
        <f t="shared" si="298"/>
        <v>7.000000000000001E-4</v>
      </c>
      <c r="AT671" s="1">
        <f t="shared" si="299"/>
        <v>0.6</v>
      </c>
      <c r="AU671" s="1">
        <f t="shared" si="300"/>
        <v>0.1</v>
      </c>
      <c r="AV671" s="1">
        <f t="shared" si="301"/>
        <v>0.45799999999999996</v>
      </c>
      <c r="AX671" s="1">
        <f t="shared" si="302"/>
        <v>0.16647244880972201</v>
      </c>
      <c r="AY671" s="1">
        <f t="shared" si="303"/>
        <v>0.49775262194106873</v>
      </c>
      <c r="AZ671" s="1">
        <f t="shared" si="304"/>
        <v>0.51040452805060765</v>
      </c>
      <c r="BA671" s="1">
        <f t="shared" si="305"/>
        <v>0.5416181122024305</v>
      </c>
      <c r="BB671" s="1">
        <f t="shared" si="306"/>
        <v>0.49775262194106873</v>
      </c>
      <c r="BC671" s="1">
        <f t="shared" si="307"/>
        <v>0.49775262194106873</v>
      </c>
      <c r="BD671" s="1">
        <f t="shared" si="308"/>
        <v>3.9752621941068766E-2</v>
      </c>
      <c r="BF671">
        <f t="shared" si="272"/>
        <v>60.28</v>
      </c>
      <c r="BG671">
        <f t="shared" si="281"/>
        <v>29.9</v>
      </c>
      <c r="BH671" s="1">
        <f t="shared" si="273"/>
        <v>0.16589250165892502</v>
      </c>
      <c r="BI671" s="1">
        <f t="shared" si="274"/>
        <v>0.49601857996018578</v>
      </c>
      <c r="BJ671" s="1">
        <f t="shared" si="275"/>
        <v>0.5931519575315195</v>
      </c>
      <c r="BK671" s="1">
        <f t="shared" si="276"/>
        <v>0.17927803583278035</v>
      </c>
      <c r="BL671" s="1">
        <f t="shared" si="309"/>
        <v>0.49601857996018578</v>
      </c>
      <c r="BM671" s="1">
        <f t="shared" si="310"/>
        <v>0.49601857996018578</v>
      </c>
      <c r="BN671" s="1">
        <f t="shared" si="311"/>
        <v>1.4454124221890425E-3</v>
      </c>
      <c r="BO671" s="1">
        <f t="shared" si="312"/>
        <v>2.5360364425694145E-3</v>
      </c>
    </row>
    <row r="672" spans="3:67" x14ac:dyDescent="0.25">
      <c r="C672" t="s">
        <v>697</v>
      </c>
      <c r="G672">
        <v>0.06</v>
      </c>
      <c r="H672">
        <v>10.1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38.299999999999997</v>
      </c>
      <c r="P672">
        <v>0</v>
      </c>
      <c r="Q672">
        <v>51.4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59.6</v>
      </c>
      <c r="AK672" t="s">
        <v>1</v>
      </c>
      <c r="AL672" t="s">
        <v>372</v>
      </c>
      <c r="AQ672" s="1">
        <f t="shared" si="296"/>
        <v>99.859999999999985</v>
      </c>
      <c r="AR672" s="1">
        <f t="shared" si="297"/>
        <v>0.38299999999999995</v>
      </c>
      <c r="AS672" s="1">
        <f t="shared" si="298"/>
        <v>5.9999999999999995E-4</v>
      </c>
      <c r="AT672" s="1">
        <f t="shared" si="299"/>
        <v>0.10099999999999999</v>
      </c>
      <c r="AU672" s="1">
        <f t="shared" si="300"/>
        <v>0.51400000000000001</v>
      </c>
      <c r="AV672" s="1">
        <f t="shared" si="301"/>
        <v>0.59599999999999997</v>
      </c>
      <c r="AX672" s="1">
        <f t="shared" si="302"/>
        <v>5.0590551181102361</v>
      </c>
      <c r="AY672" s="1">
        <f t="shared" si="303"/>
        <v>3.7696850393700783</v>
      </c>
      <c r="AZ672" s="1">
        <f t="shared" si="304"/>
        <v>0.81619094488188981</v>
      </c>
      <c r="BA672" s="1">
        <f t="shared" si="305"/>
        <v>1.764763779527559</v>
      </c>
      <c r="BB672" s="1">
        <f t="shared" si="306"/>
        <v>0.50710357646314852</v>
      </c>
      <c r="BC672" s="1">
        <f t="shared" si="307"/>
        <v>0.50710357646314852</v>
      </c>
      <c r="BD672" s="1">
        <f t="shared" si="308"/>
        <v>8.8896423536851454E-2</v>
      </c>
      <c r="BF672">
        <f t="shared" si="272"/>
        <v>10.34</v>
      </c>
      <c r="BG672">
        <f t="shared" si="281"/>
        <v>38.299999999999997</v>
      </c>
      <c r="BH672" s="1">
        <f t="shared" si="273"/>
        <v>4.9709864603481622</v>
      </c>
      <c r="BI672" s="1">
        <f t="shared" si="274"/>
        <v>3.704061895551257</v>
      </c>
      <c r="BJ672" s="1">
        <f t="shared" si="275"/>
        <v>0.68444874274661505</v>
      </c>
      <c r="BK672" s="1">
        <f t="shared" si="276"/>
        <v>2.5914352030947776</v>
      </c>
      <c r="BL672" s="1">
        <f t="shared" si="309"/>
        <v>0.51192574516029543</v>
      </c>
      <c r="BM672" s="1">
        <f t="shared" si="310"/>
        <v>0.51192574516029543</v>
      </c>
      <c r="BN672" s="1">
        <f t="shared" si="311"/>
        <v>7.0684803268515825E-3</v>
      </c>
      <c r="BO672" s="1">
        <f t="shared" si="312"/>
        <v>3.5479141163707671E-2</v>
      </c>
    </row>
    <row r="673" spans="3:67" x14ac:dyDescent="0.25">
      <c r="C673" t="s">
        <v>698</v>
      </c>
      <c r="G673">
        <v>7.0000000000000007E-2</v>
      </c>
      <c r="H673">
        <v>30.2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39.1</v>
      </c>
      <c r="P673">
        <v>0</v>
      </c>
      <c r="Q673">
        <v>30.6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50</v>
      </c>
      <c r="AK673" t="s">
        <v>1</v>
      </c>
      <c r="AL673" t="s">
        <v>372</v>
      </c>
      <c r="AQ673" s="1">
        <f t="shared" si="296"/>
        <v>99.97</v>
      </c>
      <c r="AR673" s="1">
        <f t="shared" si="297"/>
        <v>0.39100000000000001</v>
      </c>
      <c r="AS673" s="1">
        <f t="shared" si="298"/>
        <v>7.000000000000001E-4</v>
      </c>
      <c r="AT673" s="1">
        <f t="shared" si="299"/>
        <v>0.30199999999999999</v>
      </c>
      <c r="AU673" s="1">
        <f t="shared" si="300"/>
        <v>0.30599999999999999</v>
      </c>
      <c r="AV673" s="1">
        <f t="shared" si="301"/>
        <v>0.5</v>
      </c>
      <c r="AX673" s="1">
        <f t="shared" si="302"/>
        <v>1.0109018830525274</v>
      </c>
      <c r="AY673" s="1">
        <f t="shared" si="303"/>
        <v>1.2917079616782294</v>
      </c>
      <c r="AZ673" s="1">
        <f t="shared" si="304"/>
        <v>0.56318136769078297</v>
      </c>
      <c r="BA673" s="1">
        <f t="shared" si="305"/>
        <v>0.7527254707631319</v>
      </c>
      <c r="BB673" s="1">
        <f t="shared" si="306"/>
        <v>0.42876100321305455</v>
      </c>
      <c r="BC673" s="1">
        <f t="shared" si="307"/>
        <v>0.42876100321305455</v>
      </c>
      <c r="BD673" s="1">
        <f t="shared" si="308"/>
        <v>7.1238996786945452E-2</v>
      </c>
      <c r="BF673">
        <f t="shared" si="272"/>
        <v>30.48</v>
      </c>
      <c r="BG673">
        <f t="shared" si="281"/>
        <v>39.1</v>
      </c>
      <c r="BH673" s="1">
        <f t="shared" si="273"/>
        <v>1.0039370078740157</v>
      </c>
      <c r="BI673" s="1">
        <f t="shared" si="274"/>
        <v>1.2828083989501313</v>
      </c>
      <c r="BJ673" s="1">
        <f t="shared" si="275"/>
        <v>0.60907480314960627</v>
      </c>
      <c r="BK673" s="1">
        <f t="shared" si="276"/>
        <v>0.59997637795275582</v>
      </c>
      <c r="BL673" s="1">
        <f t="shared" si="309"/>
        <v>0.43851595299440776</v>
      </c>
      <c r="BM673" s="1">
        <f t="shared" si="310"/>
        <v>0.43851595299440776</v>
      </c>
      <c r="BN673" s="1">
        <f t="shared" si="311"/>
        <v>3.7802880361858756E-3</v>
      </c>
      <c r="BO673" s="1">
        <f t="shared" si="312"/>
        <v>8.5301987490028035E-3</v>
      </c>
    </row>
    <row r="674" spans="3:67" x14ac:dyDescent="0.25">
      <c r="C674" t="s">
        <v>699</v>
      </c>
      <c r="G674">
        <v>4.8</v>
      </c>
      <c r="H674">
        <v>10.199999999999999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9.1999999999999993</v>
      </c>
      <c r="P674">
        <v>0</v>
      </c>
      <c r="Q674">
        <v>75.8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42.3</v>
      </c>
      <c r="AK674" t="s">
        <v>1</v>
      </c>
      <c r="AL674" t="s">
        <v>372</v>
      </c>
      <c r="AQ674" s="1">
        <f t="shared" si="296"/>
        <v>100</v>
      </c>
      <c r="AR674" s="1">
        <f t="shared" si="297"/>
        <v>9.1999999999999998E-2</v>
      </c>
      <c r="AS674" s="1">
        <f t="shared" si="298"/>
        <v>4.8000000000000001E-2</v>
      </c>
      <c r="AT674" s="1">
        <f t="shared" si="299"/>
        <v>0.10199999999999999</v>
      </c>
      <c r="AU674" s="1">
        <f t="shared" si="300"/>
        <v>0.75800000000000001</v>
      </c>
      <c r="AV674" s="1">
        <f t="shared" si="301"/>
        <v>0.42299999999999999</v>
      </c>
      <c r="AX674" s="1">
        <f t="shared" si="302"/>
        <v>5.0533333333333337</v>
      </c>
      <c r="AY674" s="1">
        <f t="shared" si="303"/>
        <v>0.6133333333333334</v>
      </c>
      <c r="AZ674" s="1">
        <f t="shared" si="304"/>
        <v>0.81583333333333341</v>
      </c>
      <c r="BA674" s="1">
        <f t="shared" si="305"/>
        <v>1.7633333333333334</v>
      </c>
      <c r="BB674" s="1">
        <f t="shared" si="306"/>
        <v>0.6133333333333334</v>
      </c>
      <c r="BC674" s="1">
        <f t="shared" si="307"/>
        <v>0.6133333333333334</v>
      </c>
      <c r="BD674" s="1">
        <f t="shared" si="308"/>
        <v>0.19033333333333341</v>
      </c>
      <c r="BF674">
        <f t="shared" ref="BF674:BF732" si="313">$BR$3*H674+$BR$4*G674+$BR$5*P674+$BR$6*K674+$BR$7*S674+$BR$8*U674+$BR$9*Y674+$BR$10*J674+$BR$11*AC674+$BR$12*AG674+$BR$13*AH674+$BR$14*R674+$BR$15*AE674</f>
        <v>29.4</v>
      </c>
      <c r="BG674">
        <f t="shared" si="281"/>
        <v>9.1999999999999993</v>
      </c>
      <c r="BH674" s="1">
        <f t="shared" ref="BH674:BH732" si="314">(Q674)/BF674</f>
        <v>2.5782312925170068</v>
      </c>
      <c r="BI674" s="1">
        <f t="shared" ref="BI674:BI732" si="315">BG674/BF674</f>
        <v>0.31292517006802723</v>
      </c>
      <c r="BJ674" s="1">
        <f t="shared" ref="BJ674:BJ732" si="316">$BR$32+BH674*$BR$33</f>
        <v>0.63898639455782313</v>
      </c>
      <c r="BK674" s="1">
        <f t="shared" ref="BK674:BK732" si="317">$BR$34+BH674*$BR$35</f>
        <v>1.3902721088435375</v>
      </c>
      <c r="BL674" s="1">
        <f t="shared" si="309"/>
        <v>0.31292517006802723</v>
      </c>
      <c r="BM674" s="1">
        <f t="shared" si="310"/>
        <v>0.31292517006802723</v>
      </c>
      <c r="BN674" s="1">
        <f t="shared" si="311"/>
        <v>1.2116468184552727E-2</v>
      </c>
      <c r="BO674" s="1">
        <f t="shared" si="312"/>
        <v>2.3590118720826368E-4</v>
      </c>
    </row>
    <row r="675" spans="3:67" x14ac:dyDescent="0.25">
      <c r="C675" t="s">
        <v>700</v>
      </c>
      <c r="G675">
        <v>4.7</v>
      </c>
      <c r="H675">
        <v>19.8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9.4</v>
      </c>
      <c r="P675">
        <v>0</v>
      </c>
      <c r="Q675">
        <v>66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24.5</v>
      </c>
      <c r="AK675" t="s">
        <v>1</v>
      </c>
      <c r="AL675" t="s">
        <v>372</v>
      </c>
      <c r="AQ675" s="1">
        <f t="shared" si="296"/>
        <v>99.9</v>
      </c>
      <c r="AR675" s="1">
        <f t="shared" si="297"/>
        <v>9.4E-2</v>
      </c>
      <c r="AS675" s="1">
        <f t="shared" si="298"/>
        <v>4.7E-2</v>
      </c>
      <c r="AT675" s="1">
        <f t="shared" si="299"/>
        <v>0.19800000000000001</v>
      </c>
      <c r="AU675" s="1">
        <f t="shared" si="300"/>
        <v>0.66</v>
      </c>
      <c r="AV675" s="1">
        <f t="shared" si="301"/>
        <v>0.245</v>
      </c>
      <c r="AX675" s="1">
        <f t="shared" si="302"/>
        <v>2.6938775510204085</v>
      </c>
      <c r="AY675" s="1">
        <f t="shared" si="303"/>
        <v>0.3836734693877551</v>
      </c>
      <c r="AZ675" s="1">
        <f t="shared" si="304"/>
        <v>0.66836734693877553</v>
      </c>
      <c r="BA675" s="1">
        <f t="shared" si="305"/>
        <v>1.1734693877551021</v>
      </c>
      <c r="BB675" s="1">
        <f t="shared" si="306"/>
        <v>0.3836734693877551</v>
      </c>
      <c r="BC675" s="1">
        <f t="shared" si="307"/>
        <v>0.3836734693877551</v>
      </c>
      <c r="BD675" s="1">
        <f t="shared" si="308"/>
        <v>0.1386734693877551</v>
      </c>
      <c r="BF675">
        <f t="shared" si="313"/>
        <v>38.6</v>
      </c>
      <c r="BG675">
        <f t="shared" si="281"/>
        <v>9.4</v>
      </c>
      <c r="BH675" s="1">
        <f t="shared" si="314"/>
        <v>1.7098445595854921</v>
      </c>
      <c r="BI675" s="1">
        <f t="shared" si="315"/>
        <v>0.24352331606217617</v>
      </c>
      <c r="BJ675" s="1">
        <f t="shared" si="316"/>
        <v>0.62248704663212429</v>
      </c>
      <c r="BK675" s="1">
        <f t="shared" si="317"/>
        <v>0.95434196891191703</v>
      </c>
      <c r="BL675" s="1">
        <f t="shared" si="309"/>
        <v>0.24352331606217617</v>
      </c>
      <c r="BM675" s="1">
        <f t="shared" si="310"/>
        <v>0.24352331606217617</v>
      </c>
      <c r="BN675" s="1">
        <f t="shared" si="311"/>
        <v>2.1805954522268781E-6</v>
      </c>
      <c r="BO675" s="1">
        <f t="shared" si="312"/>
        <v>2.6452070459942967E-2</v>
      </c>
    </row>
    <row r="676" spans="3:67" x14ac:dyDescent="0.25">
      <c r="C676" t="s">
        <v>701</v>
      </c>
      <c r="G676">
        <v>4.8</v>
      </c>
      <c r="H676">
        <v>28.3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9.4</v>
      </c>
      <c r="P676">
        <v>0</v>
      </c>
      <c r="Q676">
        <v>57.5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16.899999999999999</v>
      </c>
      <c r="AK676" t="s">
        <v>1</v>
      </c>
      <c r="AL676" t="s">
        <v>372</v>
      </c>
      <c r="AQ676" s="1">
        <f t="shared" si="296"/>
        <v>100</v>
      </c>
      <c r="AR676" s="1">
        <f t="shared" si="297"/>
        <v>9.4E-2</v>
      </c>
      <c r="AS676" s="1">
        <f t="shared" si="298"/>
        <v>4.8000000000000001E-2</v>
      </c>
      <c r="AT676" s="1">
        <f t="shared" si="299"/>
        <v>0.28300000000000003</v>
      </c>
      <c r="AU676" s="1">
        <f t="shared" si="300"/>
        <v>0.57499999999999996</v>
      </c>
      <c r="AV676" s="1">
        <f t="shared" si="301"/>
        <v>0.16899999999999998</v>
      </c>
      <c r="AX676" s="1">
        <f t="shared" si="302"/>
        <v>1.7371601208459213</v>
      </c>
      <c r="AY676" s="1">
        <f t="shared" si="303"/>
        <v>0.28398791540785495</v>
      </c>
      <c r="AZ676" s="1">
        <f t="shared" si="304"/>
        <v>0.60857250755287007</v>
      </c>
      <c r="BA676" s="1">
        <f t="shared" si="305"/>
        <v>0.93429003021148027</v>
      </c>
      <c r="BB676" s="1">
        <f t="shared" si="306"/>
        <v>0.28398791540785495</v>
      </c>
      <c r="BC676" s="1">
        <f t="shared" si="307"/>
        <v>0.28398791540785495</v>
      </c>
      <c r="BD676" s="1">
        <f t="shared" si="308"/>
        <v>0.11498791540785497</v>
      </c>
      <c r="BF676">
        <f t="shared" si="313"/>
        <v>47.5</v>
      </c>
      <c r="BG676">
        <f t="shared" si="281"/>
        <v>9.4</v>
      </c>
      <c r="BH676" s="1">
        <f t="shared" si="314"/>
        <v>1.2105263157894737</v>
      </c>
      <c r="BI676" s="1">
        <f t="shared" si="315"/>
        <v>0.19789473684210526</v>
      </c>
      <c r="BJ676" s="1">
        <f t="shared" si="316"/>
        <v>0.61299999999999999</v>
      </c>
      <c r="BK676" s="1">
        <f t="shared" si="317"/>
        <v>0.7036842105263158</v>
      </c>
      <c r="BL676" s="1">
        <f t="shared" si="309"/>
        <v>0.19789473684210526</v>
      </c>
      <c r="BM676" s="1">
        <f t="shared" si="310"/>
        <v>0.19789473684210526</v>
      </c>
      <c r="BN676" s="1">
        <f t="shared" si="311"/>
        <v>8.3490581717451614E-4</v>
      </c>
      <c r="BO676" s="1">
        <f t="shared" si="312"/>
        <v>5.6949491048301611E-2</v>
      </c>
    </row>
    <row r="677" spans="3:67" x14ac:dyDescent="0.25">
      <c r="C677" t="s">
        <v>702</v>
      </c>
      <c r="G677">
        <v>4.8</v>
      </c>
      <c r="H677">
        <v>38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9.4</v>
      </c>
      <c r="P677">
        <v>0</v>
      </c>
      <c r="Q677">
        <v>47.7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13.8</v>
      </c>
      <c r="AK677" t="s">
        <v>1</v>
      </c>
      <c r="AL677" t="s">
        <v>372</v>
      </c>
      <c r="AQ677" s="1">
        <f t="shared" si="296"/>
        <v>99.9</v>
      </c>
      <c r="AR677" s="1">
        <f t="shared" si="297"/>
        <v>9.4E-2</v>
      </c>
      <c r="AS677" s="1">
        <f t="shared" si="298"/>
        <v>4.8000000000000001E-2</v>
      </c>
      <c r="AT677" s="1">
        <f t="shared" si="299"/>
        <v>0.38</v>
      </c>
      <c r="AU677" s="1">
        <f t="shared" si="300"/>
        <v>0.47700000000000004</v>
      </c>
      <c r="AV677" s="1">
        <f t="shared" si="301"/>
        <v>0.13800000000000001</v>
      </c>
      <c r="AX677" s="1">
        <f t="shared" si="302"/>
        <v>1.1144859813084114</v>
      </c>
      <c r="AY677" s="1">
        <f t="shared" si="303"/>
        <v>0.21962616822429906</v>
      </c>
      <c r="AZ677" s="1">
        <f t="shared" si="304"/>
        <v>0.56965537383177567</v>
      </c>
      <c r="BA677" s="1">
        <f t="shared" si="305"/>
        <v>0.7786214953271029</v>
      </c>
      <c r="BB677" s="1">
        <f t="shared" si="306"/>
        <v>0.21962616822429906</v>
      </c>
      <c r="BC677" s="1">
        <f t="shared" si="307"/>
        <v>0.21962616822429906</v>
      </c>
      <c r="BD677" s="1">
        <f t="shared" si="308"/>
        <v>8.1626168224299051E-2</v>
      </c>
      <c r="BF677">
        <f t="shared" si="313"/>
        <v>57.2</v>
      </c>
      <c r="BG677">
        <f t="shared" ref="BG677:BG735" si="318">O677+$BR$17*M677+$BR$18*L677+$BR$19*X677+$BR$20*AD677+$BR$21*I677+$BR$22*N677+$BR$23*AB677+$BR$24*V677+$BR$25*T677+$BR$26*AA677+$BR$28*Z677+$BR$29*AF677+$BR$30*W677+$BR$27*AI677</f>
        <v>9.4</v>
      </c>
      <c r="BH677" s="1">
        <f t="shared" si="314"/>
        <v>0.83391608391608396</v>
      </c>
      <c r="BI677" s="1">
        <f t="shared" si="315"/>
        <v>0.16433566433566432</v>
      </c>
      <c r="BJ677" s="1">
        <f t="shared" si="316"/>
        <v>0.60584440559440556</v>
      </c>
      <c r="BK677" s="1">
        <f t="shared" si="317"/>
        <v>0.51462587412587413</v>
      </c>
      <c r="BL677" s="1">
        <f t="shared" si="309"/>
        <v>0.16433566433566432</v>
      </c>
      <c r="BM677" s="1">
        <f t="shared" si="310"/>
        <v>0.16433566433566432</v>
      </c>
      <c r="BN677" s="1">
        <f t="shared" si="311"/>
        <v>6.9356721600078114E-4</v>
      </c>
      <c r="BO677" s="1">
        <f t="shared" si="312"/>
        <v>7.2706228393553146E-2</v>
      </c>
    </row>
    <row r="678" spans="3:67" x14ac:dyDescent="0.25">
      <c r="C678" t="s">
        <v>703</v>
      </c>
      <c r="G678">
        <v>4.8</v>
      </c>
      <c r="H678">
        <v>47.4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9.5</v>
      </c>
      <c r="P678">
        <v>0</v>
      </c>
      <c r="Q678">
        <v>38.200000000000003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12.4</v>
      </c>
      <c r="AK678" t="s">
        <v>1</v>
      </c>
      <c r="AL678" t="s">
        <v>372</v>
      </c>
      <c r="AQ678" s="1">
        <f t="shared" si="296"/>
        <v>99.9</v>
      </c>
      <c r="AR678" s="1">
        <f t="shared" si="297"/>
        <v>9.5000000000000001E-2</v>
      </c>
      <c r="AS678" s="1">
        <f t="shared" si="298"/>
        <v>4.8000000000000001E-2</v>
      </c>
      <c r="AT678" s="1">
        <f t="shared" si="299"/>
        <v>0.47399999999999998</v>
      </c>
      <c r="AU678" s="1">
        <f t="shared" si="300"/>
        <v>0.38200000000000001</v>
      </c>
      <c r="AV678" s="1">
        <f t="shared" si="301"/>
        <v>0.124</v>
      </c>
      <c r="AX678" s="1">
        <f t="shared" si="302"/>
        <v>0.73180076628352486</v>
      </c>
      <c r="AY678" s="1">
        <f t="shared" si="303"/>
        <v>0.18199233716475097</v>
      </c>
      <c r="AZ678" s="1">
        <f t="shared" si="304"/>
        <v>0.54573754789272033</v>
      </c>
      <c r="BA678" s="1">
        <f t="shared" si="305"/>
        <v>0.68295019157088122</v>
      </c>
      <c r="BB678" s="1">
        <f t="shared" si="306"/>
        <v>0.18199233716475097</v>
      </c>
      <c r="BC678" s="1">
        <f t="shared" si="307"/>
        <v>0.18199233716475097</v>
      </c>
      <c r="BD678" s="1">
        <f t="shared" si="308"/>
        <v>5.7992337164750968E-2</v>
      </c>
      <c r="BF678">
        <f t="shared" si="313"/>
        <v>66.599999999999994</v>
      </c>
      <c r="BG678">
        <f t="shared" si="318"/>
        <v>9.5</v>
      </c>
      <c r="BH678" s="1">
        <f t="shared" si="314"/>
        <v>0.57357357357357364</v>
      </c>
      <c r="BI678" s="1">
        <f t="shared" si="315"/>
        <v>0.14264264264264265</v>
      </c>
      <c r="BJ678" s="1">
        <f t="shared" si="316"/>
        <v>0.60089789789789783</v>
      </c>
      <c r="BK678" s="1">
        <f t="shared" si="317"/>
        <v>0.38393393393393394</v>
      </c>
      <c r="BL678" s="1">
        <f t="shared" si="309"/>
        <v>0.14264264264264265</v>
      </c>
      <c r="BM678" s="1">
        <f t="shared" si="310"/>
        <v>0.14264264264264265</v>
      </c>
      <c r="BN678" s="1">
        <f t="shared" si="311"/>
        <v>3.4754812470127804E-4</v>
      </c>
      <c r="BO678" s="1">
        <f t="shared" si="312"/>
        <v>8.045217429140869E-2</v>
      </c>
    </row>
    <row r="679" spans="3:67" x14ac:dyDescent="0.25">
      <c r="C679" t="s">
        <v>704</v>
      </c>
      <c r="G679">
        <v>4.9000000000000004</v>
      </c>
      <c r="H679">
        <v>56.6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9.5</v>
      </c>
      <c r="P679">
        <v>0</v>
      </c>
      <c r="Q679">
        <v>29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10.6</v>
      </c>
      <c r="AK679" t="s">
        <v>1</v>
      </c>
      <c r="AL679" t="s">
        <v>372</v>
      </c>
      <c r="AQ679" s="1">
        <f t="shared" si="296"/>
        <v>100</v>
      </c>
      <c r="AR679" s="1">
        <f t="shared" si="297"/>
        <v>9.5000000000000001E-2</v>
      </c>
      <c r="AS679" s="1">
        <f t="shared" si="298"/>
        <v>4.9000000000000002E-2</v>
      </c>
      <c r="AT679" s="1">
        <f t="shared" si="299"/>
        <v>0.56600000000000006</v>
      </c>
      <c r="AU679" s="1">
        <f t="shared" si="300"/>
        <v>0.28999999999999998</v>
      </c>
      <c r="AV679" s="1">
        <f t="shared" si="301"/>
        <v>0.106</v>
      </c>
      <c r="AX679" s="1">
        <f t="shared" si="302"/>
        <v>0.47154471544715437</v>
      </c>
      <c r="AY679" s="1">
        <f t="shared" si="303"/>
        <v>0.15447154471544713</v>
      </c>
      <c r="AZ679" s="1">
        <f t="shared" si="304"/>
        <v>0.52947154471544711</v>
      </c>
      <c r="BA679" s="1">
        <f t="shared" si="305"/>
        <v>0.61788617886178865</v>
      </c>
      <c r="BB679" s="1">
        <f t="shared" si="306"/>
        <v>0.15447154471544713</v>
      </c>
      <c r="BC679" s="1">
        <f t="shared" si="307"/>
        <v>0.15447154471544713</v>
      </c>
      <c r="BD679" s="1">
        <f t="shared" si="308"/>
        <v>4.8471544715447137E-2</v>
      </c>
      <c r="BF679">
        <f t="shared" si="313"/>
        <v>76.2</v>
      </c>
      <c r="BG679">
        <f t="shared" si="318"/>
        <v>9.5</v>
      </c>
      <c r="BH679" s="1">
        <f t="shared" si="314"/>
        <v>0.38057742782152232</v>
      </c>
      <c r="BI679" s="1">
        <f t="shared" si="315"/>
        <v>0.12467191601049868</v>
      </c>
      <c r="BJ679" s="1">
        <f t="shared" si="316"/>
        <v>0.5972309711286089</v>
      </c>
      <c r="BK679" s="1">
        <f t="shared" si="317"/>
        <v>0.2870498687664042</v>
      </c>
      <c r="BL679" s="1">
        <f t="shared" si="309"/>
        <v>0.12467191601049868</v>
      </c>
      <c r="BM679" s="1">
        <f t="shared" si="310"/>
        <v>0.12467191601049868</v>
      </c>
      <c r="BN679" s="1">
        <f t="shared" si="311"/>
        <v>3.4864044750311702E-4</v>
      </c>
      <c r="BO679" s="1">
        <f t="shared" si="312"/>
        <v>9.0987247588651537E-2</v>
      </c>
    </row>
    <row r="680" spans="3:67" x14ac:dyDescent="0.25">
      <c r="C680" t="s">
        <v>705</v>
      </c>
      <c r="G680">
        <v>4.9000000000000004</v>
      </c>
      <c r="H680">
        <v>66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9.5</v>
      </c>
      <c r="P680">
        <v>0</v>
      </c>
      <c r="Q680">
        <v>19.399999999999999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9.8000000000000007</v>
      </c>
      <c r="AK680" t="s">
        <v>1</v>
      </c>
      <c r="AL680" t="s">
        <v>372</v>
      </c>
      <c r="AQ680" s="1">
        <f t="shared" si="296"/>
        <v>99.800000000000011</v>
      </c>
      <c r="AR680" s="1">
        <f t="shared" si="297"/>
        <v>9.5000000000000001E-2</v>
      </c>
      <c r="AS680" s="1">
        <f t="shared" si="298"/>
        <v>4.9000000000000002E-2</v>
      </c>
      <c r="AT680" s="1">
        <f t="shared" si="299"/>
        <v>0.66</v>
      </c>
      <c r="AU680" s="1">
        <f t="shared" si="300"/>
        <v>0.19399999999999998</v>
      </c>
      <c r="AV680" s="1">
        <f t="shared" si="301"/>
        <v>9.8000000000000004E-2</v>
      </c>
      <c r="AX680" s="1">
        <f t="shared" si="302"/>
        <v>0.27362482369534552</v>
      </c>
      <c r="AY680" s="1">
        <f t="shared" si="303"/>
        <v>0.13399153737658673</v>
      </c>
      <c r="AZ680" s="1">
        <f t="shared" si="304"/>
        <v>0.51710155148095904</v>
      </c>
      <c r="BA680" s="1">
        <f t="shared" si="305"/>
        <v>0.56840620592383639</v>
      </c>
      <c r="BB680" s="1">
        <f t="shared" si="306"/>
        <v>0.13399153737658673</v>
      </c>
      <c r="BC680" s="1">
        <f t="shared" si="307"/>
        <v>0.13399153737658673</v>
      </c>
      <c r="BD680" s="1">
        <f t="shared" si="308"/>
        <v>3.5991537376586724E-2</v>
      </c>
      <c r="BF680">
        <f t="shared" si="313"/>
        <v>85.6</v>
      </c>
      <c r="BG680">
        <f t="shared" si="318"/>
        <v>9.5</v>
      </c>
      <c r="BH680" s="1">
        <f t="shared" si="314"/>
        <v>0.22663551401869159</v>
      </c>
      <c r="BI680" s="1">
        <f t="shared" si="315"/>
        <v>0.11098130841121497</v>
      </c>
      <c r="BJ680" s="1">
        <f t="shared" si="316"/>
        <v>0.59430607476635511</v>
      </c>
      <c r="BK680" s="1">
        <f t="shared" si="317"/>
        <v>0.20977102803738318</v>
      </c>
      <c r="BL680" s="1">
        <f t="shared" si="309"/>
        <v>0.11098130841121497</v>
      </c>
      <c r="BM680" s="1">
        <f t="shared" si="310"/>
        <v>0.11098130841121497</v>
      </c>
      <c r="BN680" s="1">
        <f t="shared" si="311"/>
        <v>1.6851436806708032E-4</v>
      </c>
      <c r="BO680" s="1">
        <f t="shared" si="312"/>
        <v>9.5877502387426136E-2</v>
      </c>
    </row>
    <row r="681" spans="3:67" x14ac:dyDescent="0.25">
      <c r="C681" t="s">
        <v>706</v>
      </c>
      <c r="G681">
        <v>4.9000000000000004</v>
      </c>
      <c r="H681">
        <v>75.8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9.5</v>
      </c>
      <c r="P681">
        <v>0</v>
      </c>
      <c r="Q681">
        <v>9.6999999999999993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9.8000000000000007</v>
      </c>
      <c r="AK681" t="s">
        <v>1</v>
      </c>
      <c r="AL681" t="s">
        <v>372</v>
      </c>
      <c r="AQ681" s="1">
        <f t="shared" si="296"/>
        <v>99.9</v>
      </c>
      <c r="AR681" s="1">
        <f t="shared" si="297"/>
        <v>9.5000000000000001E-2</v>
      </c>
      <c r="AS681" s="1">
        <f t="shared" si="298"/>
        <v>4.9000000000000002E-2</v>
      </c>
      <c r="AT681" s="1">
        <f t="shared" si="299"/>
        <v>0.75800000000000001</v>
      </c>
      <c r="AU681" s="1">
        <f t="shared" si="300"/>
        <v>9.6999999999999989E-2</v>
      </c>
      <c r="AV681" s="1">
        <f t="shared" si="301"/>
        <v>9.8000000000000004E-2</v>
      </c>
      <c r="AX681" s="1">
        <f t="shared" si="302"/>
        <v>0.1201982651796778</v>
      </c>
      <c r="AY681" s="1">
        <f t="shared" si="303"/>
        <v>0.11771995043370508</v>
      </c>
      <c r="AZ681" s="1">
        <f t="shared" si="304"/>
        <v>0.50751239157372985</v>
      </c>
      <c r="BA681" s="1">
        <f t="shared" si="305"/>
        <v>0.53004956629491939</v>
      </c>
      <c r="BB681" s="1">
        <f t="shared" si="306"/>
        <v>0.11771995043370508</v>
      </c>
      <c r="BC681" s="1">
        <f t="shared" si="307"/>
        <v>0.11771995043370508</v>
      </c>
      <c r="BD681" s="1">
        <f t="shared" si="308"/>
        <v>1.9719950433705072E-2</v>
      </c>
      <c r="BF681">
        <f t="shared" si="313"/>
        <v>95.4</v>
      </c>
      <c r="BG681">
        <f t="shared" si="318"/>
        <v>9.5</v>
      </c>
      <c r="BH681" s="1">
        <f t="shared" si="314"/>
        <v>0.10167714884696015</v>
      </c>
      <c r="BI681" s="1">
        <f t="shared" si="315"/>
        <v>9.9580712788259945E-2</v>
      </c>
      <c r="BJ681" s="1">
        <f t="shared" si="316"/>
        <v>0.59193186582809221</v>
      </c>
      <c r="BK681" s="1">
        <f t="shared" si="317"/>
        <v>0.147041928721174</v>
      </c>
      <c r="BL681" s="1">
        <f t="shared" si="309"/>
        <v>9.9580712788259945E-2</v>
      </c>
      <c r="BM681" s="1">
        <f t="shared" si="310"/>
        <v>9.9580712788259945E-2</v>
      </c>
      <c r="BN681" s="1">
        <f t="shared" si="311"/>
        <v>2.4986529189685186E-6</v>
      </c>
      <c r="BO681" s="1">
        <f t="shared" si="312"/>
        <v>9.5877502387426136E-2</v>
      </c>
    </row>
    <row r="682" spans="3:67" x14ac:dyDescent="0.25">
      <c r="C682" t="s">
        <v>707</v>
      </c>
      <c r="G682">
        <v>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40</v>
      </c>
      <c r="N682">
        <v>0</v>
      </c>
      <c r="O682">
        <v>0</v>
      </c>
      <c r="P682">
        <v>0</v>
      </c>
      <c r="Q682">
        <v>30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57.5</v>
      </c>
      <c r="AK682" t="s">
        <v>1</v>
      </c>
      <c r="AL682" t="s">
        <v>380</v>
      </c>
      <c r="AN682" t="s">
        <v>839</v>
      </c>
      <c r="AO682" t="s">
        <v>840</v>
      </c>
      <c r="AP682" t="s">
        <v>841</v>
      </c>
      <c r="AQ682" s="1">
        <f t="shared" si="296"/>
        <v>100</v>
      </c>
      <c r="AR682" s="1">
        <f t="shared" si="297"/>
        <v>0.4</v>
      </c>
      <c r="AS682" s="1">
        <f t="shared" si="298"/>
        <v>0</v>
      </c>
      <c r="AT682" s="1">
        <f t="shared" si="299"/>
        <v>0.3</v>
      </c>
      <c r="AU682" s="1">
        <f t="shared" si="300"/>
        <v>0.3</v>
      </c>
      <c r="AV682" s="1">
        <f t="shared" si="301"/>
        <v>0.57499999999999996</v>
      </c>
      <c r="AX682" s="1">
        <f t="shared" si="302"/>
        <v>1</v>
      </c>
      <c r="AY682" s="1">
        <f t="shared" si="303"/>
        <v>1.3333333333333335</v>
      </c>
      <c r="AZ682" s="1">
        <f t="shared" si="304"/>
        <v>0.5625</v>
      </c>
      <c r="BA682" s="1">
        <f t="shared" si="305"/>
        <v>0.75</v>
      </c>
      <c r="BB682" s="1">
        <f t="shared" si="306"/>
        <v>0.41666666666666663</v>
      </c>
      <c r="BC682" s="1">
        <f t="shared" si="307"/>
        <v>0.41666666666666663</v>
      </c>
      <c r="BD682" s="1">
        <f t="shared" si="308"/>
        <v>0.15833333333333333</v>
      </c>
      <c r="BF682">
        <f t="shared" si="313"/>
        <v>30</v>
      </c>
      <c r="BG682">
        <f t="shared" si="318"/>
        <v>40</v>
      </c>
      <c r="BH682" s="1">
        <f t="shared" si="314"/>
        <v>1</v>
      </c>
      <c r="BI682" s="1">
        <f t="shared" si="315"/>
        <v>1.3333333333333333</v>
      </c>
      <c r="BJ682" s="1">
        <f t="shared" si="316"/>
        <v>0.60899999999999999</v>
      </c>
      <c r="BK682" s="1">
        <f t="shared" si="317"/>
        <v>0.59799999999999998</v>
      </c>
      <c r="BL682" s="1">
        <f t="shared" si="309"/>
        <v>0.42516666666666669</v>
      </c>
      <c r="BM682" s="1">
        <f t="shared" si="310"/>
        <v>0.42516666666666669</v>
      </c>
      <c r="BN682" s="1">
        <f t="shared" si="311"/>
        <v>2.2450027777777756E-2</v>
      </c>
      <c r="BO682" s="1">
        <f t="shared" si="312"/>
        <v>2.8009060010490975E-2</v>
      </c>
    </row>
    <row r="683" spans="3:67" x14ac:dyDescent="0.25">
      <c r="C683" t="s">
        <v>708</v>
      </c>
      <c r="G683">
        <v>0</v>
      </c>
      <c r="H683">
        <v>50</v>
      </c>
      <c r="I683">
        <v>0</v>
      </c>
      <c r="J683">
        <v>0</v>
      </c>
      <c r="K683">
        <v>0</v>
      </c>
      <c r="L683">
        <v>0</v>
      </c>
      <c r="M683">
        <v>40</v>
      </c>
      <c r="N683">
        <v>0</v>
      </c>
      <c r="O683">
        <v>0</v>
      </c>
      <c r="P683">
        <v>0</v>
      </c>
      <c r="Q683">
        <v>10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17.399999999999999</v>
      </c>
      <c r="AK683" t="s">
        <v>1</v>
      </c>
      <c r="AL683" t="s">
        <v>380</v>
      </c>
      <c r="AQ683" s="1">
        <f t="shared" si="296"/>
        <v>100</v>
      </c>
      <c r="AR683" s="1">
        <f t="shared" si="297"/>
        <v>0.4</v>
      </c>
      <c r="AS683" s="1">
        <f t="shared" si="298"/>
        <v>0</v>
      </c>
      <c r="AT683" s="1">
        <f t="shared" si="299"/>
        <v>0.5</v>
      </c>
      <c r="AU683" s="1">
        <f t="shared" si="300"/>
        <v>0.1</v>
      </c>
      <c r="AV683" s="1">
        <f t="shared" si="301"/>
        <v>0.17399999999999999</v>
      </c>
      <c r="AX683" s="1">
        <f t="shared" si="302"/>
        <v>0.2</v>
      </c>
      <c r="AY683" s="1">
        <f t="shared" si="303"/>
        <v>0.8</v>
      </c>
      <c r="AZ683" s="1">
        <f t="shared" si="304"/>
        <v>0.51249999999999996</v>
      </c>
      <c r="BA683" s="1">
        <f t="shared" si="305"/>
        <v>0.55000000000000004</v>
      </c>
      <c r="BB683" s="1">
        <f t="shared" si="306"/>
        <v>0.43484848484848482</v>
      </c>
      <c r="BC683" s="1">
        <f t="shared" si="307"/>
        <v>0.43484848484848482</v>
      </c>
      <c r="BD683" s="1">
        <f t="shared" si="308"/>
        <v>0.26084848484848483</v>
      </c>
      <c r="BF683">
        <f t="shared" si="313"/>
        <v>50</v>
      </c>
      <c r="BG683">
        <f t="shared" si="318"/>
        <v>40</v>
      </c>
      <c r="BH683" s="1">
        <f t="shared" si="314"/>
        <v>0.2</v>
      </c>
      <c r="BI683" s="1">
        <f t="shared" si="315"/>
        <v>0.8</v>
      </c>
      <c r="BJ683" s="1">
        <f t="shared" si="316"/>
        <v>0.59379999999999999</v>
      </c>
      <c r="BK683" s="1">
        <f t="shared" si="317"/>
        <v>0.19640000000000002</v>
      </c>
      <c r="BL683" s="1">
        <f t="shared" si="309"/>
        <v>0.4063181818181818</v>
      </c>
      <c r="BM683" s="1">
        <f t="shared" si="310"/>
        <v>0.4063181818181818</v>
      </c>
      <c r="BN683" s="1">
        <f t="shared" si="311"/>
        <v>5.3971737603305779E-2</v>
      </c>
      <c r="BO683" s="1">
        <f t="shared" si="312"/>
        <v>5.4588081799067489E-2</v>
      </c>
    </row>
    <row r="684" spans="3:67" x14ac:dyDescent="0.25">
      <c r="C684" t="s">
        <v>709</v>
      </c>
      <c r="G684">
        <v>0</v>
      </c>
      <c r="H684">
        <v>25</v>
      </c>
      <c r="I684">
        <v>0</v>
      </c>
      <c r="J684">
        <v>0</v>
      </c>
      <c r="K684">
        <v>0</v>
      </c>
      <c r="L684">
        <v>0</v>
      </c>
      <c r="M684">
        <v>60</v>
      </c>
      <c r="N684">
        <v>0</v>
      </c>
      <c r="O684">
        <v>0</v>
      </c>
      <c r="P684">
        <v>0</v>
      </c>
      <c r="Q684">
        <v>15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3.3</v>
      </c>
      <c r="AK684" t="s">
        <v>1</v>
      </c>
      <c r="AL684" t="s">
        <v>380</v>
      </c>
      <c r="AQ684" s="1">
        <f t="shared" si="296"/>
        <v>100</v>
      </c>
      <c r="AR684" s="1">
        <f t="shared" si="297"/>
        <v>0.6</v>
      </c>
      <c r="AS684" s="1">
        <f t="shared" si="298"/>
        <v>0</v>
      </c>
      <c r="AT684" s="1">
        <f t="shared" si="299"/>
        <v>0.25</v>
      </c>
      <c r="AU684" s="1">
        <f t="shared" si="300"/>
        <v>0.15</v>
      </c>
      <c r="AV684" s="1">
        <f t="shared" si="301"/>
        <v>3.3000000000000002E-2</v>
      </c>
      <c r="AX684" s="1">
        <f t="shared" si="302"/>
        <v>0.6</v>
      </c>
      <c r="AY684" s="1">
        <f t="shared" si="303"/>
        <v>2.4</v>
      </c>
      <c r="AZ684" s="1">
        <f t="shared" si="304"/>
        <v>0.53749999999999998</v>
      </c>
      <c r="BA684" s="1">
        <f t="shared" si="305"/>
        <v>0.65</v>
      </c>
      <c r="BB684" s="1">
        <f t="shared" si="306"/>
        <v>5.512820512820521E-2</v>
      </c>
      <c r="BC684" s="1">
        <f t="shared" si="307"/>
        <v>5.512820512820521E-2</v>
      </c>
      <c r="BD684" s="1">
        <f t="shared" si="308"/>
        <v>2.2128205128205208E-2</v>
      </c>
      <c r="BF684">
        <f t="shared" si="313"/>
        <v>25</v>
      </c>
      <c r="BG684">
        <f t="shared" si="318"/>
        <v>60</v>
      </c>
      <c r="BH684" s="1">
        <f t="shared" si="314"/>
        <v>0.6</v>
      </c>
      <c r="BI684" s="1">
        <f t="shared" si="315"/>
        <v>2.4</v>
      </c>
      <c r="BJ684" s="1">
        <f t="shared" si="316"/>
        <v>0.60139999999999993</v>
      </c>
      <c r="BK684" s="1">
        <f t="shared" si="317"/>
        <v>0.3972</v>
      </c>
      <c r="BL684" s="1">
        <f t="shared" si="309"/>
        <v>4.9346153846153928E-2</v>
      </c>
      <c r="BM684" s="1">
        <f t="shared" si="310"/>
        <v>4.9346153846153928E-2</v>
      </c>
      <c r="BN684" s="1">
        <f t="shared" si="311"/>
        <v>2.6719674556213279E-4</v>
      </c>
      <c r="BO684" s="1">
        <f t="shared" si="312"/>
        <v>0.14035582262746968</v>
      </c>
    </row>
    <row r="685" spans="3:67" x14ac:dyDescent="0.25">
      <c r="C685" t="s">
        <v>710</v>
      </c>
      <c r="G685">
        <v>0</v>
      </c>
      <c r="H685">
        <v>26.7</v>
      </c>
      <c r="I685">
        <v>0</v>
      </c>
      <c r="J685">
        <v>0</v>
      </c>
      <c r="K685">
        <v>0</v>
      </c>
      <c r="L685">
        <v>20</v>
      </c>
      <c r="M685">
        <v>0</v>
      </c>
      <c r="N685">
        <v>0</v>
      </c>
      <c r="O685">
        <v>0</v>
      </c>
      <c r="P685">
        <v>0</v>
      </c>
      <c r="Q685">
        <v>53.3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62.8</v>
      </c>
      <c r="AK685" t="s">
        <v>1</v>
      </c>
      <c r="AL685" t="s">
        <v>372</v>
      </c>
      <c r="AQ685" s="1">
        <f t="shared" si="296"/>
        <v>100</v>
      </c>
      <c r="AR685" s="1">
        <f t="shared" si="297"/>
        <v>0.2</v>
      </c>
      <c r="AS685" s="1">
        <f t="shared" si="298"/>
        <v>0</v>
      </c>
      <c r="AT685" s="1">
        <f t="shared" si="299"/>
        <v>0.26700000000000002</v>
      </c>
      <c r="AU685" s="1">
        <f t="shared" si="300"/>
        <v>0.53299999999999992</v>
      </c>
      <c r="AV685" s="1">
        <f t="shared" si="301"/>
        <v>0.628</v>
      </c>
      <c r="AX685" s="1">
        <f t="shared" si="302"/>
        <v>1.9962546816479396</v>
      </c>
      <c r="AY685" s="1">
        <f t="shared" si="303"/>
        <v>0.74906367041198507</v>
      </c>
      <c r="AZ685" s="1">
        <f t="shared" si="304"/>
        <v>0.62476591760299627</v>
      </c>
      <c r="BA685" s="1">
        <f t="shared" si="305"/>
        <v>0.99906367041198485</v>
      </c>
      <c r="BB685" s="1">
        <f t="shared" si="306"/>
        <v>0.62476591760299627</v>
      </c>
      <c r="BC685" s="1">
        <f t="shared" si="307"/>
        <v>0.62476591760299627</v>
      </c>
      <c r="BD685" s="1">
        <f t="shared" si="308"/>
        <v>3.2340823970037347E-3</v>
      </c>
      <c r="BF685">
        <f t="shared" si="313"/>
        <v>26.7</v>
      </c>
      <c r="BG685">
        <f t="shared" si="318"/>
        <v>20</v>
      </c>
      <c r="BH685" s="1">
        <f t="shared" si="314"/>
        <v>1.9962546816479401</v>
      </c>
      <c r="BI685" s="1">
        <f t="shared" si="315"/>
        <v>0.74906367041198507</v>
      </c>
      <c r="BJ685" s="1">
        <f t="shared" si="316"/>
        <v>0.6279288389513108</v>
      </c>
      <c r="BK685" s="1">
        <f t="shared" si="317"/>
        <v>1.098119850187266</v>
      </c>
      <c r="BL685" s="1">
        <f t="shared" si="309"/>
        <v>0.6279288389513108</v>
      </c>
      <c r="BM685" s="1">
        <f t="shared" si="310"/>
        <v>0.6279288389513108</v>
      </c>
      <c r="BN685" s="1">
        <f t="shared" si="311"/>
        <v>5.063894850547488E-9</v>
      </c>
      <c r="BO685" s="1">
        <f t="shared" si="312"/>
        <v>4.8558121968609314E-2</v>
      </c>
    </row>
    <row r="686" spans="3:67" x14ac:dyDescent="0.25">
      <c r="C686" t="s">
        <v>711</v>
      </c>
      <c r="G686">
        <v>0</v>
      </c>
      <c r="H686">
        <v>26.7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20</v>
      </c>
      <c r="P686">
        <v>0</v>
      </c>
      <c r="Q686">
        <v>53.3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60.4</v>
      </c>
      <c r="AK686" t="s">
        <v>1</v>
      </c>
      <c r="AL686" t="s">
        <v>372</v>
      </c>
      <c r="AQ686" s="1">
        <f t="shared" si="296"/>
        <v>100</v>
      </c>
      <c r="AR686" s="1">
        <f t="shared" si="297"/>
        <v>0.2</v>
      </c>
      <c r="AS686" s="1">
        <f t="shared" si="298"/>
        <v>0</v>
      </c>
      <c r="AT686" s="1">
        <f t="shared" si="299"/>
        <v>0.26700000000000002</v>
      </c>
      <c r="AU686" s="1">
        <f t="shared" si="300"/>
        <v>0.53299999999999992</v>
      </c>
      <c r="AV686" s="1">
        <f t="shared" si="301"/>
        <v>0.60399999999999998</v>
      </c>
      <c r="AX686" s="1">
        <f t="shared" si="302"/>
        <v>1.9962546816479396</v>
      </c>
      <c r="AY686" s="1">
        <f t="shared" si="303"/>
        <v>0.74906367041198507</v>
      </c>
      <c r="AZ686" s="1">
        <f t="shared" si="304"/>
        <v>0.62476591760299627</v>
      </c>
      <c r="BA686" s="1">
        <f t="shared" si="305"/>
        <v>0.99906367041198485</v>
      </c>
      <c r="BB686" s="1">
        <f t="shared" si="306"/>
        <v>0.62476591760299627</v>
      </c>
      <c r="BC686" s="1">
        <f t="shared" si="307"/>
        <v>0.62476591760299627</v>
      </c>
      <c r="BD686" s="1">
        <f t="shared" si="308"/>
        <v>2.0765917602996287E-2</v>
      </c>
      <c r="BF686">
        <f t="shared" si="313"/>
        <v>26.7</v>
      </c>
      <c r="BG686">
        <f t="shared" si="318"/>
        <v>20</v>
      </c>
      <c r="BH686" s="1">
        <f t="shared" si="314"/>
        <v>1.9962546816479401</v>
      </c>
      <c r="BI686" s="1">
        <f t="shared" si="315"/>
        <v>0.74906367041198507</v>
      </c>
      <c r="BJ686" s="1">
        <f t="shared" si="316"/>
        <v>0.6279288389513108</v>
      </c>
      <c r="BK686" s="1">
        <f t="shared" si="317"/>
        <v>1.098119850187266</v>
      </c>
      <c r="BL686" s="1">
        <f t="shared" si="309"/>
        <v>0.6279288389513108</v>
      </c>
      <c r="BM686" s="1">
        <f t="shared" si="310"/>
        <v>0.6279288389513108</v>
      </c>
      <c r="BN686" s="1">
        <f t="shared" si="311"/>
        <v>5.7258933355776971E-4</v>
      </c>
      <c r="BO686" s="1">
        <f t="shared" si="312"/>
        <v>3.8556886364933082E-2</v>
      </c>
    </row>
    <row r="687" spans="3:67" x14ac:dyDescent="0.25">
      <c r="C687" t="s">
        <v>712</v>
      </c>
      <c r="G687">
        <v>0</v>
      </c>
      <c r="H687">
        <v>17.399999999999999</v>
      </c>
      <c r="I687">
        <v>0</v>
      </c>
      <c r="J687">
        <v>0</v>
      </c>
      <c r="K687">
        <v>0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69.599999999999994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68.099999999999994</v>
      </c>
      <c r="AK687" t="s">
        <v>1</v>
      </c>
      <c r="AL687" t="s">
        <v>372</v>
      </c>
      <c r="AQ687" s="1">
        <f t="shared" si="296"/>
        <v>100</v>
      </c>
      <c r="AR687" s="1">
        <f t="shared" si="297"/>
        <v>0.13</v>
      </c>
      <c r="AS687" s="1">
        <f t="shared" si="298"/>
        <v>0</v>
      </c>
      <c r="AT687" s="1">
        <f t="shared" si="299"/>
        <v>0.17399999999999999</v>
      </c>
      <c r="AU687" s="1">
        <f t="shared" si="300"/>
        <v>0.69599999999999995</v>
      </c>
      <c r="AV687" s="1">
        <f t="shared" si="301"/>
        <v>0.68099999999999994</v>
      </c>
      <c r="AX687" s="1">
        <f t="shared" si="302"/>
        <v>4</v>
      </c>
      <c r="AY687" s="1">
        <f t="shared" si="303"/>
        <v>0.74712643678160928</v>
      </c>
      <c r="AZ687" s="1">
        <f t="shared" si="304"/>
        <v>0.75</v>
      </c>
      <c r="BA687" s="1">
        <f t="shared" si="305"/>
        <v>1.5</v>
      </c>
      <c r="BB687" s="1">
        <f t="shared" si="306"/>
        <v>0.74712643678160928</v>
      </c>
      <c r="BC687" s="1">
        <f t="shared" si="307"/>
        <v>0.74712643678160928</v>
      </c>
      <c r="BD687" s="1">
        <f t="shared" si="308"/>
        <v>6.6126436781609343E-2</v>
      </c>
      <c r="BF687">
        <f t="shared" si="313"/>
        <v>17.399999999999999</v>
      </c>
      <c r="BG687">
        <f t="shared" si="318"/>
        <v>13</v>
      </c>
      <c r="BH687" s="1">
        <f t="shared" si="314"/>
        <v>4</v>
      </c>
      <c r="BI687" s="1">
        <f t="shared" si="315"/>
        <v>0.74712643678160928</v>
      </c>
      <c r="BJ687" s="1">
        <f t="shared" si="316"/>
        <v>0.66599999999999993</v>
      </c>
      <c r="BK687" s="1">
        <f t="shared" si="317"/>
        <v>2.1040000000000001</v>
      </c>
      <c r="BL687" s="1">
        <f t="shared" si="309"/>
        <v>0.66599999999999993</v>
      </c>
      <c r="BM687" s="1">
        <f t="shared" si="310"/>
        <v>0.66599999999999993</v>
      </c>
      <c r="BN687" s="1">
        <f t="shared" si="311"/>
        <v>2.250000000000004E-4</v>
      </c>
      <c r="BO687" s="1">
        <f t="shared" si="312"/>
        <v>7.4725183926727598E-2</v>
      </c>
    </row>
    <row r="688" spans="3:67" x14ac:dyDescent="0.25">
      <c r="C688" t="s">
        <v>713</v>
      </c>
      <c r="G688">
        <v>0</v>
      </c>
      <c r="H688">
        <v>17.399999999999999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6.5</v>
      </c>
      <c r="P688">
        <v>0</v>
      </c>
      <c r="Q688">
        <v>69.599999999999994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6.5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65.099999999999994</v>
      </c>
      <c r="AK688" t="s">
        <v>1</v>
      </c>
      <c r="AL688" t="s">
        <v>372</v>
      </c>
      <c r="AQ688" s="1">
        <f t="shared" si="296"/>
        <v>100</v>
      </c>
      <c r="AR688" s="1">
        <f t="shared" si="297"/>
        <v>6.5000000000000002E-2</v>
      </c>
      <c r="AS688" s="1">
        <f t="shared" si="298"/>
        <v>0</v>
      </c>
      <c r="AT688" s="1">
        <f t="shared" si="299"/>
        <v>0.17399999999999999</v>
      </c>
      <c r="AU688" s="1">
        <f t="shared" si="300"/>
        <v>0.69599999999999995</v>
      </c>
      <c r="AV688" s="1">
        <f t="shared" si="301"/>
        <v>0.65099999999999991</v>
      </c>
      <c r="AX688" s="1">
        <f t="shared" si="302"/>
        <v>4</v>
      </c>
      <c r="AY688" s="1">
        <f t="shared" si="303"/>
        <v>0.37356321839080464</v>
      </c>
      <c r="AZ688" s="1">
        <f t="shared" si="304"/>
        <v>0.75</v>
      </c>
      <c r="BA688" s="1">
        <f t="shared" si="305"/>
        <v>1.5</v>
      </c>
      <c r="BB688" s="1">
        <f t="shared" si="306"/>
        <v>0.37356321839080464</v>
      </c>
      <c r="BC688" s="1">
        <f t="shared" si="307"/>
        <v>0.37356321839080464</v>
      </c>
      <c r="BD688" s="1">
        <f t="shared" si="308"/>
        <v>0.27743678160919527</v>
      </c>
      <c r="BF688">
        <f t="shared" si="313"/>
        <v>17.399999999999999</v>
      </c>
      <c r="BG688">
        <f t="shared" si="318"/>
        <v>13</v>
      </c>
      <c r="BH688" s="1">
        <f t="shared" si="314"/>
        <v>4</v>
      </c>
      <c r="BI688" s="1">
        <f t="shared" si="315"/>
        <v>0.74712643678160928</v>
      </c>
      <c r="BJ688" s="1">
        <f t="shared" si="316"/>
        <v>0.66599999999999993</v>
      </c>
      <c r="BK688" s="1">
        <f t="shared" si="317"/>
        <v>2.1040000000000001</v>
      </c>
      <c r="BL688" s="1">
        <f t="shared" si="309"/>
        <v>0.66599999999999993</v>
      </c>
      <c r="BM688" s="1">
        <f t="shared" si="310"/>
        <v>0.66599999999999993</v>
      </c>
      <c r="BN688" s="1">
        <f t="shared" si="311"/>
        <v>2.250000000000004E-4</v>
      </c>
      <c r="BO688" s="1">
        <f t="shared" si="312"/>
        <v>5.922363942213231E-2</v>
      </c>
    </row>
    <row r="689" spans="3:67" x14ac:dyDescent="0.25">
      <c r="C689" t="s">
        <v>714</v>
      </c>
      <c r="G689">
        <v>0</v>
      </c>
      <c r="H689">
        <v>17.399999999999999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13</v>
      </c>
      <c r="P689">
        <v>0</v>
      </c>
      <c r="Q689">
        <v>69.599999999999994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61.8</v>
      </c>
      <c r="AK689" t="s">
        <v>1</v>
      </c>
      <c r="AL689" t="s">
        <v>372</v>
      </c>
      <c r="AQ689" s="1">
        <f t="shared" si="296"/>
        <v>100</v>
      </c>
      <c r="AR689" s="1">
        <f t="shared" si="297"/>
        <v>0.13</v>
      </c>
      <c r="AS689" s="1">
        <f t="shared" si="298"/>
        <v>0</v>
      </c>
      <c r="AT689" s="1">
        <f t="shared" si="299"/>
        <v>0.17399999999999999</v>
      </c>
      <c r="AU689" s="1">
        <f t="shared" si="300"/>
        <v>0.69599999999999995</v>
      </c>
      <c r="AV689" s="1">
        <f t="shared" si="301"/>
        <v>0.61799999999999999</v>
      </c>
      <c r="AX689" s="1">
        <f t="shared" si="302"/>
        <v>4</v>
      </c>
      <c r="AY689" s="1">
        <f t="shared" si="303"/>
        <v>0.74712643678160928</v>
      </c>
      <c r="AZ689" s="1">
        <f t="shared" si="304"/>
        <v>0.75</v>
      </c>
      <c r="BA689" s="1">
        <f t="shared" si="305"/>
        <v>1.5</v>
      </c>
      <c r="BB689" s="1">
        <f t="shared" si="306"/>
        <v>0.74712643678160928</v>
      </c>
      <c r="BC689" s="1">
        <f t="shared" si="307"/>
        <v>0.74712643678160928</v>
      </c>
      <c r="BD689" s="1">
        <f t="shared" si="308"/>
        <v>0.12912643678160929</v>
      </c>
      <c r="BF689">
        <f t="shared" si="313"/>
        <v>17.399999999999999</v>
      </c>
      <c r="BG689">
        <f t="shared" si="318"/>
        <v>13</v>
      </c>
      <c r="BH689" s="1">
        <f t="shared" si="314"/>
        <v>4</v>
      </c>
      <c r="BI689" s="1">
        <f t="shared" si="315"/>
        <v>0.74712643678160928</v>
      </c>
      <c r="BJ689" s="1">
        <f t="shared" si="316"/>
        <v>0.66599999999999993</v>
      </c>
      <c r="BK689" s="1">
        <f t="shared" si="317"/>
        <v>2.1040000000000001</v>
      </c>
      <c r="BL689" s="1">
        <f t="shared" si="309"/>
        <v>0.66599999999999993</v>
      </c>
      <c r="BM689" s="1">
        <f t="shared" si="310"/>
        <v>0.66599999999999993</v>
      </c>
      <c r="BN689" s="1">
        <f t="shared" si="311"/>
        <v>2.3039999999999936E-3</v>
      </c>
      <c r="BO689" s="1">
        <f t="shared" si="312"/>
        <v>4.4250940467077546E-2</v>
      </c>
    </row>
    <row r="690" spans="3:67" x14ac:dyDescent="0.25">
      <c r="C690" t="s">
        <v>715</v>
      </c>
      <c r="G690">
        <v>0</v>
      </c>
      <c r="H690">
        <v>17.399999999999999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6.5</v>
      </c>
      <c r="O690">
        <v>6.5</v>
      </c>
      <c r="P690">
        <v>0</v>
      </c>
      <c r="Q690">
        <v>69.599999999999994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31.3</v>
      </c>
      <c r="AK690" t="s">
        <v>1</v>
      </c>
      <c r="AL690" t="s">
        <v>372</v>
      </c>
      <c r="AQ690" s="1">
        <f t="shared" si="296"/>
        <v>100</v>
      </c>
      <c r="AR690" s="1">
        <f t="shared" si="297"/>
        <v>6.5000000000000002E-2</v>
      </c>
      <c r="AS690" s="1">
        <f t="shared" si="298"/>
        <v>0</v>
      </c>
      <c r="AT690" s="1">
        <f t="shared" si="299"/>
        <v>0.17399999999999999</v>
      </c>
      <c r="AU690" s="1">
        <f t="shared" si="300"/>
        <v>0.69599999999999995</v>
      </c>
      <c r="AV690" s="1">
        <f t="shared" si="301"/>
        <v>0.313</v>
      </c>
      <c r="AX690" s="1">
        <f t="shared" si="302"/>
        <v>4</v>
      </c>
      <c r="AY690" s="1">
        <f t="shared" si="303"/>
        <v>0.37356321839080464</v>
      </c>
      <c r="AZ690" s="1">
        <f t="shared" si="304"/>
        <v>0.75</v>
      </c>
      <c r="BA690" s="1">
        <f t="shared" si="305"/>
        <v>1.5</v>
      </c>
      <c r="BB690" s="1">
        <f t="shared" si="306"/>
        <v>0.37356321839080464</v>
      </c>
      <c r="BC690" s="1">
        <f t="shared" si="307"/>
        <v>0.37356321839080464</v>
      </c>
      <c r="BD690" s="1">
        <f t="shared" si="308"/>
        <v>6.0563218390804641E-2</v>
      </c>
      <c r="BF690">
        <f t="shared" si="313"/>
        <v>17.399999999999999</v>
      </c>
      <c r="BG690">
        <f t="shared" si="318"/>
        <v>9.75</v>
      </c>
      <c r="BH690" s="1">
        <f t="shared" si="314"/>
        <v>4</v>
      </c>
      <c r="BI690" s="1">
        <f t="shared" si="315"/>
        <v>0.56034482758620696</v>
      </c>
      <c r="BJ690" s="1">
        <f t="shared" si="316"/>
        <v>0.66599999999999993</v>
      </c>
      <c r="BK690" s="1">
        <f t="shared" si="317"/>
        <v>2.1040000000000001</v>
      </c>
      <c r="BL690" s="1">
        <f t="shared" si="309"/>
        <v>0.56034482758620696</v>
      </c>
      <c r="BM690" s="1">
        <f t="shared" si="310"/>
        <v>0.56034482758620696</v>
      </c>
      <c r="BN690" s="1">
        <f t="shared" si="311"/>
        <v>6.1179463733650449E-2</v>
      </c>
      <c r="BO690" s="1">
        <f t="shared" si="312"/>
        <v>8.9569046703589228E-3</v>
      </c>
    </row>
    <row r="691" spans="3:67" x14ac:dyDescent="0.25">
      <c r="C691" t="s">
        <v>716</v>
      </c>
      <c r="G691">
        <v>0</v>
      </c>
      <c r="H691">
        <v>19.600000000000001</v>
      </c>
      <c r="I691">
        <v>0</v>
      </c>
      <c r="J691">
        <v>0</v>
      </c>
      <c r="K691">
        <v>0</v>
      </c>
      <c r="L691">
        <v>20.6</v>
      </c>
      <c r="M691">
        <v>0</v>
      </c>
      <c r="N691">
        <v>0</v>
      </c>
      <c r="O691">
        <v>20.6</v>
      </c>
      <c r="P691">
        <v>0</v>
      </c>
      <c r="Q691">
        <v>39.200000000000003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54.7</v>
      </c>
      <c r="AK691" t="s">
        <v>1</v>
      </c>
      <c r="AL691" t="s">
        <v>372</v>
      </c>
      <c r="AQ691" s="1">
        <f t="shared" si="296"/>
        <v>100</v>
      </c>
      <c r="AR691" s="1">
        <f t="shared" si="297"/>
        <v>0.41200000000000003</v>
      </c>
      <c r="AS691" s="1">
        <f t="shared" si="298"/>
        <v>0</v>
      </c>
      <c r="AT691" s="1">
        <f t="shared" si="299"/>
        <v>0.19600000000000001</v>
      </c>
      <c r="AU691" s="1">
        <f t="shared" si="300"/>
        <v>0.39200000000000002</v>
      </c>
      <c r="AV691" s="1">
        <f t="shared" si="301"/>
        <v>0.54700000000000004</v>
      </c>
      <c r="AX691" s="1">
        <f t="shared" si="302"/>
        <v>2</v>
      </c>
      <c r="AY691" s="1">
        <f t="shared" si="303"/>
        <v>2.1020408163265305</v>
      </c>
      <c r="AZ691" s="1">
        <f t="shared" si="304"/>
        <v>0.625</v>
      </c>
      <c r="BA691" s="1">
        <f t="shared" si="305"/>
        <v>1</v>
      </c>
      <c r="BB691" s="1">
        <f t="shared" si="306"/>
        <v>0.39540816326530615</v>
      </c>
      <c r="BC691" s="1">
        <f t="shared" si="307"/>
        <v>0.39540816326530615</v>
      </c>
      <c r="BD691" s="1">
        <f t="shared" si="308"/>
        <v>0.1515918367346939</v>
      </c>
      <c r="BF691">
        <f t="shared" si="313"/>
        <v>19.600000000000001</v>
      </c>
      <c r="BG691">
        <f t="shared" si="318"/>
        <v>41.2</v>
      </c>
      <c r="BH691" s="1">
        <f t="shared" si="314"/>
        <v>2</v>
      </c>
      <c r="BI691" s="1">
        <f t="shared" si="315"/>
        <v>2.1020408163265305</v>
      </c>
      <c r="BJ691" s="1">
        <f t="shared" si="316"/>
        <v>0.628</v>
      </c>
      <c r="BK691" s="1">
        <f t="shared" si="317"/>
        <v>1.1000000000000001</v>
      </c>
      <c r="BL691" s="1">
        <f t="shared" si="309"/>
        <v>0.41924149659863952</v>
      </c>
      <c r="BM691" s="1">
        <f t="shared" si="310"/>
        <v>0.41924149659863952</v>
      </c>
      <c r="BN691" s="1">
        <f t="shared" si="311"/>
        <v>1.632223519135545E-2</v>
      </c>
      <c r="BO691" s="1">
        <f t="shared" si="312"/>
        <v>1.942095180620208E-2</v>
      </c>
    </row>
    <row r="692" spans="3:67" x14ac:dyDescent="0.25">
      <c r="C692" t="s">
        <v>717</v>
      </c>
      <c r="G692">
        <v>0</v>
      </c>
      <c r="H692">
        <v>30.7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8</v>
      </c>
      <c r="P692">
        <v>0</v>
      </c>
      <c r="Q692">
        <v>61.3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27</v>
      </c>
      <c r="AK692" t="s">
        <v>1</v>
      </c>
      <c r="AL692" t="s">
        <v>372</v>
      </c>
      <c r="AQ692" s="1">
        <f t="shared" si="296"/>
        <v>100</v>
      </c>
      <c r="AR692" s="1">
        <f t="shared" si="297"/>
        <v>0.08</v>
      </c>
      <c r="AS692" s="1">
        <f t="shared" si="298"/>
        <v>0</v>
      </c>
      <c r="AT692" s="1">
        <f t="shared" si="299"/>
        <v>0.307</v>
      </c>
      <c r="AU692" s="1">
        <f t="shared" si="300"/>
        <v>0.61299999999999999</v>
      </c>
      <c r="AV692" s="1">
        <f t="shared" si="301"/>
        <v>0.27</v>
      </c>
      <c r="AX692" s="1">
        <f t="shared" si="302"/>
        <v>1.996742671009772</v>
      </c>
      <c r="AY692" s="1">
        <f t="shared" si="303"/>
        <v>0.26058631921824105</v>
      </c>
      <c r="AZ692" s="1">
        <f t="shared" si="304"/>
        <v>0.62479641693811072</v>
      </c>
      <c r="BA692" s="1">
        <f t="shared" si="305"/>
        <v>0.999185667752443</v>
      </c>
      <c r="BB692" s="1">
        <f t="shared" si="306"/>
        <v>0.26058631921824105</v>
      </c>
      <c r="BC692" s="1">
        <f t="shared" si="307"/>
        <v>0.26058631921824105</v>
      </c>
      <c r="BD692" s="1">
        <f t="shared" si="308"/>
        <v>9.4136807817589707E-3</v>
      </c>
      <c r="BF692">
        <f t="shared" si="313"/>
        <v>30.7</v>
      </c>
      <c r="BG692">
        <f t="shared" si="318"/>
        <v>8</v>
      </c>
      <c r="BH692" s="1">
        <f t="shared" si="314"/>
        <v>1.996742671009772</v>
      </c>
      <c r="BI692" s="1">
        <f t="shared" si="315"/>
        <v>0.26058631921824105</v>
      </c>
      <c r="BJ692" s="1">
        <f t="shared" si="316"/>
        <v>0.6279381107491856</v>
      </c>
      <c r="BK692" s="1">
        <f t="shared" si="317"/>
        <v>1.0983648208469057</v>
      </c>
      <c r="BL692" s="1">
        <f t="shared" si="309"/>
        <v>0.26058631921824105</v>
      </c>
      <c r="BM692" s="1">
        <f t="shared" si="310"/>
        <v>0.26058631921824105</v>
      </c>
      <c r="BN692" s="1">
        <f t="shared" si="311"/>
        <v>8.861738586085818E-5</v>
      </c>
      <c r="BO692" s="1">
        <f t="shared" si="312"/>
        <v>1.8945024213772359E-2</v>
      </c>
    </row>
    <row r="693" spans="3:67" x14ac:dyDescent="0.25">
      <c r="C693" t="s">
        <v>718</v>
      </c>
      <c r="G693">
        <v>0</v>
      </c>
      <c r="H693">
        <v>28.6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14.3</v>
      </c>
      <c r="P693">
        <v>0</v>
      </c>
      <c r="Q693">
        <v>57.1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47.6</v>
      </c>
      <c r="AK693" t="s">
        <v>1</v>
      </c>
      <c r="AL693" t="s">
        <v>372</v>
      </c>
      <c r="AQ693" s="1">
        <f t="shared" si="296"/>
        <v>100</v>
      </c>
      <c r="AR693" s="1">
        <f t="shared" si="297"/>
        <v>0.14300000000000002</v>
      </c>
      <c r="AS693" s="1">
        <f t="shared" si="298"/>
        <v>0</v>
      </c>
      <c r="AT693" s="1">
        <f t="shared" si="299"/>
        <v>0.28600000000000003</v>
      </c>
      <c r="AU693" s="1">
        <f t="shared" si="300"/>
        <v>0.57100000000000006</v>
      </c>
      <c r="AV693" s="1">
        <f t="shared" si="301"/>
        <v>0.47600000000000003</v>
      </c>
      <c r="AX693" s="1">
        <f t="shared" si="302"/>
        <v>1.9965034965034965</v>
      </c>
      <c r="AY693" s="1">
        <f t="shared" si="303"/>
        <v>0.5</v>
      </c>
      <c r="AZ693" s="1">
        <f t="shared" si="304"/>
        <v>0.62478146853146854</v>
      </c>
      <c r="BA693" s="1">
        <f t="shared" si="305"/>
        <v>0.99912587412587417</v>
      </c>
      <c r="BB693" s="1">
        <f t="shared" si="306"/>
        <v>0.5</v>
      </c>
      <c r="BC693" s="1">
        <f t="shared" si="307"/>
        <v>0.5</v>
      </c>
      <c r="BD693" s="1">
        <f t="shared" si="308"/>
        <v>2.3999999999999966E-2</v>
      </c>
      <c r="BF693">
        <f t="shared" si="313"/>
        <v>28.6</v>
      </c>
      <c r="BG693">
        <f t="shared" si="318"/>
        <v>14.3</v>
      </c>
      <c r="BH693" s="1">
        <f t="shared" si="314"/>
        <v>1.9965034965034965</v>
      </c>
      <c r="BI693" s="1">
        <f t="shared" si="315"/>
        <v>0.5</v>
      </c>
      <c r="BJ693" s="1">
        <f t="shared" si="316"/>
        <v>0.62793356643356635</v>
      </c>
      <c r="BK693" s="1">
        <f t="shared" si="317"/>
        <v>1.0982447552447554</v>
      </c>
      <c r="BL693" s="1">
        <f t="shared" si="309"/>
        <v>0.5</v>
      </c>
      <c r="BM693" s="1">
        <f t="shared" si="310"/>
        <v>0.5</v>
      </c>
      <c r="BN693" s="1">
        <f t="shared" si="311"/>
        <v>5.7599999999999839E-4</v>
      </c>
      <c r="BO693" s="1">
        <f t="shared" si="312"/>
        <v>4.672963145326588E-3</v>
      </c>
    </row>
    <row r="694" spans="3:67" x14ac:dyDescent="0.25">
      <c r="C694" t="s">
        <v>719</v>
      </c>
      <c r="G694">
        <v>0</v>
      </c>
      <c r="H694">
        <v>18.2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45.5</v>
      </c>
      <c r="P694">
        <v>0</v>
      </c>
      <c r="Q694">
        <v>36.299999999999997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41.1</v>
      </c>
      <c r="AK694" t="s">
        <v>1</v>
      </c>
      <c r="AL694" t="s">
        <v>372</v>
      </c>
      <c r="AQ694" s="1">
        <f t="shared" si="296"/>
        <v>100</v>
      </c>
      <c r="AR694" s="1">
        <f t="shared" si="297"/>
        <v>0.45500000000000002</v>
      </c>
      <c r="AS694" s="1">
        <f t="shared" si="298"/>
        <v>0</v>
      </c>
      <c r="AT694" s="1">
        <f t="shared" si="299"/>
        <v>0.182</v>
      </c>
      <c r="AU694" s="1">
        <f t="shared" si="300"/>
        <v>0.36299999999999999</v>
      </c>
      <c r="AV694" s="1">
        <f t="shared" si="301"/>
        <v>0.41100000000000003</v>
      </c>
      <c r="AX694" s="1">
        <f t="shared" si="302"/>
        <v>1.9945054945054945</v>
      </c>
      <c r="AY694" s="1">
        <f t="shared" si="303"/>
        <v>2.5</v>
      </c>
      <c r="AZ694" s="1">
        <f t="shared" si="304"/>
        <v>0.62465659340659341</v>
      </c>
      <c r="BA694" s="1">
        <f t="shared" si="305"/>
        <v>0.99862637362637363</v>
      </c>
      <c r="BB694" s="1">
        <f t="shared" si="306"/>
        <v>0.31161227584886458</v>
      </c>
      <c r="BC694" s="1">
        <f t="shared" si="307"/>
        <v>0.31161227584886458</v>
      </c>
      <c r="BD694" s="1">
        <f t="shared" si="308"/>
        <v>9.9387724151135448E-2</v>
      </c>
      <c r="BF694">
        <f t="shared" si="313"/>
        <v>18.2</v>
      </c>
      <c r="BG694">
        <f t="shared" si="318"/>
        <v>45.5</v>
      </c>
      <c r="BH694" s="1">
        <f t="shared" si="314"/>
        <v>1.9945054945054945</v>
      </c>
      <c r="BI694" s="1">
        <f t="shared" si="315"/>
        <v>2.5</v>
      </c>
      <c r="BJ694" s="1">
        <f t="shared" si="316"/>
        <v>0.62789560439560432</v>
      </c>
      <c r="BK694" s="1">
        <f t="shared" si="317"/>
        <v>1.0972417582417584</v>
      </c>
      <c r="BL694" s="1">
        <f t="shared" si="309"/>
        <v>0.33541311451043221</v>
      </c>
      <c r="BM694" s="1">
        <f t="shared" si="310"/>
        <v>0.33541311451043221</v>
      </c>
      <c r="BN694" s="1">
        <f t="shared" si="311"/>
        <v>5.7133772580130384E-3</v>
      </c>
      <c r="BO694" s="1">
        <f t="shared" si="312"/>
        <v>1.1283385370154325E-5</v>
      </c>
    </row>
    <row r="695" spans="3:67" x14ac:dyDescent="0.25">
      <c r="C695" t="s">
        <v>720</v>
      </c>
      <c r="G695">
        <v>0</v>
      </c>
      <c r="H695">
        <v>16.100000000000001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19.399999999999999</v>
      </c>
      <c r="P695">
        <v>0</v>
      </c>
      <c r="Q695">
        <v>64.5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73.3</v>
      </c>
      <c r="AK695" t="s">
        <v>1</v>
      </c>
      <c r="AL695" t="s">
        <v>372</v>
      </c>
      <c r="AQ695" s="1">
        <f t="shared" si="296"/>
        <v>100</v>
      </c>
      <c r="AR695" s="1">
        <f t="shared" ref="AR695:AR753" si="319">(L695+M695+O695+X695)/100</f>
        <v>0.19399999999999998</v>
      </c>
      <c r="AS695" s="1">
        <f t="shared" ref="AS695:AS753" si="320">G695/100</f>
        <v>0</v>
      </c>
      <c r="AT695" s="1">
        <f t="shared" ref="AT695:AT753" si="321">H695/100</f>
        <v>0.161</v>
      </c>
      <c r="AU695" s="1">
        <f t="shared" ref="AU695:AU753" si="322">Q695/100</f>
        <v>0.64500000000000002</v>
      </c>
      <c r="AV695" s="1">
        <f t="shared" ref="AV695:AV753" si="323">AJ695/100</f>
        <v>0.73299999999999998</v>
      </c>
      <c r="AX695" s="1">
        <f t="shared" ref="AX695:AX753" si="324">AU695/(AT695+AS695)</f>
        <v>4.0062111801242235</v>
      </c>
      <c r="AY695" s="1">
        <f t="shared" ref="AY695:AY753" si="325">AR695/(AS695+AT695)</f>
        <v>1.2049689440993787</v>
      </c>
      <c r="AZ695" s="1">
        <f t="shared" ref="AZ695:AZ753" si="326">0.5+AX695/16</f>
        <v>0.75038819875776397</v>
      </c>
      <c r="BA695" s="1">
        <f t="shared" ref="BA695:BA753" si="327">0.5+AX695/4</f>
        <v>1.5015527950310559</v>
      </c>
      <c r="BB695" s="1">
        <f t="shared" ref="BB695:BB753" si="328">IF(AY695&lt;=AZ695,AY695,IF(AY695&lt;=BA695,AZ695,AZ695-(AY695-BA695)*(8+AX695)/(12*(2+AX695))))</f>
        <v>0.75038819875776397</v>
      </c>
      <c r="BC695" s="1">
        <f t="shared" ref="BC695:BC753" si="329">IF(BB695&lt;1,BB695,1)</f>
        <v>0.75038819875776397</v>
      </c>
      <c r="BD695" s="1">
        <f t="shared" ref="BD695:BD753" si="330">ABS(BC695-AV695)</f>
        <v>1.7388198757763984E-2</v>
      </c>
      <c r="BF695">
        <f t="shared" si="313"/>
        <v>16.100000000000001</v>
      </c>
      <c r="BG695">
        <f t="shared" si="318"/>
        <v>19.399999999999999</v>
      </c>
      <c r="BH695" s="1">
        <f t="shared" si="314"/>
        <v>4.0062111801242235</v>
      </c>
      <c r="BI695" s="1">
        <f t="shared" si="315"/>
        <v>1.2049689440993787</v>
      </c>
      <c r="BJ695" s="1">
        <f t="shared" si="316"/>
        <v>0.66611801242236024</v>
      </c>
      <c r="BK695" s="1">
        <f t="shared" si="317"/>
        <v>2.1071180124223603</v>
      </c>
      <c r="BL695" s="1">
        <f t="shared" ref="BL695:BL753" si="331">IF(BI695&lt;=BJ695,BI695,IF(BI695&lt;=BK695,BJ695,BJ695-(BI695-BK695)*(8+BH695)/(12*(2+BH695))))</f>
        <v>0.66611801242236024</v>
      </c>
      <c r="BM695" s="1">
        <f t="shared" ref="BM695:BM753" si="332">IF(BL695&lt;1,IF(BL695&gt;0,BL695,0),1)</f>
        <v>0.66611801242236024</v>
      </c>
      <c r="BN695" s="1">
        <f t="shared" ref="BN695:BN753" si="333">(BM695-AV695)^2</f>
        <v>4.473200262335557E-3</v>
      </c>
      <c r="BO695" s="1">
        <f t="shared" si="312"/>
        <v>0.10585852773469276</v>
      </c>
    </row>
    <row r="696" spans="3:67" x14ac:dyDescent="0.25">
      <c r="C696" t="s">
        <v>721</v>
      </c>
      <c r="G696">
        <v>0</v>
      </c>
      <c r="H696">
        <v>50</v>
      </c>
      <c r="I696">
        <v>12.5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12.5</v>
      </c>
      <c r="P696">
        <v>0</v>
      </c>
      <c r="Q696">
        <v>25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41.9</v>
      </c>
      <c r="AK696" t="s">
        <v>1</v>
      </c>
      <c r="AL696" t="s">
        <v>372</v>
      </c>
      <c r="AQ696" s="1">
        <f t="shared" si="296"/>
        <v>100</v>
      </c>
      <c r="AR696" s="1">
        <f t="shared" si="319"/>
        <v>0.125</v>
      </c>
      <c r="AS696" s="1">
        <f t="shared" si="320"/>
        <v>0</v>
      </c>
      <c r="AT696" s="1">
        <f t="shared" si="321"/>
        <v>0.5</v>
      </c>
      <c r="AU696" s="1">
        <f t="shared" si="322"/>
        <v>0.25</v>
      </c>
      <c r="AV696" s="1">
        <f t="shared" si="323"/>
        <v>0.41899999999999998</v>
      </c>
      <c r="AX696" s="1">
        <f t="shared" si="324"/>
        <v>0.5</v>
      </c>
      <c r="AY696" s="1">
        <f t="shared" si="325"/>
        <v>0.25</v>
      </c>
      <c r="AZ696" s="1">
        <f t="shared" si="326"/>
        <v>0.53125</v>
      </c>
      <c r="BA696" s="1">
        <f t="shared" si="327"/>
        <v>0.625</v>
      </c>
      <c r="BB696" s="1">
        <f t="shared" si="328"/>
        <v>0.25</v>
      </c>
      <c r="BC696" s="1">
        <f t="shared" si="329"/>
        <v>0.25</v>
      </c>
      <c r="BD696" s="1">
        <f t="shared" si="330"/>
        <v>0.16899999999999998</v>
      </c>
      <c r="BF696">
        <f t="shared" si="313"/>
        <v>50</v>
      </c>
      <c r="BG696">
        <f t="shared" si="318"/>
        <v>18.75</v>
      </c>
      <c r="BH696" s="1">
        <f t="shared" si="314"/>
        <v>0.5</v>
      </c>
      <c r="BI696" s="1">
        <f t="shared" si="315"/>
        <v>0.375</v>
      </c>
      <c r="BJ696" s="1">
        <f t="shared" si="316"/>
        <v>0.59949999999999992</v>
      </c>
      <c r="BK696" s="1">
        <f t="shared" si="317"/>
        <v>0.34699999999999998</v>
      </c>
      <c r="BL696" s="1">
        <f t="shared" si="331"/>
        <v>0.375</v>
      </c>
      <c r="BM696" s="1">
        <f t="shared" si="332"/>
        <v>0.375</v>
      </c>
      <c r="BN696" s="1">
        <f t="shared" si="333"/>
        <v>1.9359999999999985E-3</v>
      </c>
      <c r="BO696" s="1">
        <f t="shared" si="312"/>
        <v>1.2902858659556037E-4</v>
      </c>
    </row>
    <row r="697" spans="3:67" x14ac:dyDescent="0.25">
      <c r="C697" t="s">
        <v>722</v>
      </c>
      <c r="G697">
        <v>0</v>
      </c>
      <c r="H697">
        <v>28.6</v>
      </c>
      <c r="I697">
        <v>7.1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7.1</v>
      </c>
      <c r="P697">
        <v>0</v>
      </c>
      <c r="Q697">
        <v>57.2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40.4</v>
      </c>
      <c r="AK697" t="s">
        <v>1</v>
      </c>
      <c r="AL697" t="s">
        <v>372</v>
      </c>
      <c r="AQ697" s="1">
        <f t="shared" si="296"/>
        <v>100</v>
      </c>
      <c r="AR697" s="1">
        <f t="shared" si="319"/>
        <v>7.0999999999999994E-2</v>
      </c>
      <c r="AS697" s="1">
        <f t="shared" si="320"/>
        <v>0</v>
      </c>
      <c r="AT697" s="1">
        <f t="shared" si="321"/>
        <v>0.28600000000000003</v>
      </c>
      <c r="AU697" s="1">
        <f t="shared" si="322"/>
        <v>0.57200000000000006</v>
      </c>
      <c r="AV697" s="1">
        <f t="shared" si="323"/>
        <v>0.40399999999999997</v>
      </c>
      <c r="AX697" s="1">
        <f t="shared" si="324"/>
        <v>2</v>
      </c>
      <c r="AY697" s="1">
        <f t="shared" si="325"/>
        <v>0.2482517482517482</v>
      </c>
      <c r="AZ697" s="1">
        <f t="shared" si="326"/>
        <v>0.625</v>
      </c>
      <c r="BA697" s="1">
        <f t="shared" si="327"/>
        <v>1</v>
      </c>
      <c r="BB697" s="1">
        <f t="shared" si="328"/>
        <v>0.2482517482517482</v>
      </c>
      <c r="BC697" s="1">
        <f t="shared" si="329"/>
        <v>0.2482517482517482</v>
      </c>
      <c r="BD697" s="1">
        <f t="shared" si="330"/>
        <v>0.15574825174825177</v>
      </c>
      <c r="BF697">
        <f t="shared" si="313"/>
        <v>28.6</v>
      </c>
      <c r="BG697">
        <f t="shared" si="318"/>
        <v>10.649999999999999</v>
      </c>
      <c r="BH697" s="1">
        <f t="shared" si="314"/>
        <v>2</v>
      </c>
      <c r="BI697" s="1">
        <f t="shared" si="315"/>
        <v>0.37237762237762229</v>
      </c>
      <c r="BJ697" s="1">
        <f t="shared" si="316"/>
        <v>0.628</v>
      </c>
      <c r="BK697" s="1">
        <f t="shared" si="317"/>
        <v>1.1000000000000001</v>
      </c>
      <c r="BL697" s="1">
        <f t="shared" si="331"/>
        <v>0.37237762237762229</v>
      </c>
      <c r="BM697" s="1">
        <f t="shared" si="332"/>
        <v>0.37237762237762229</v>
      </c>
      <c r="BN697" s="1">
        <f t="shared" si="333"/>
        <v>9.9997476649225296E-4</v>
      </c>
      <c r="BO697" s="1">
        <f t="shared" si="312"/>
        <v>1.3256334297923511E-5</v>
      </c>
    </row>
    <row r="698" spans="3:67" x14ac:dyDescent="0.25">
      <c r="C698" t="s">
        <v>723</v>
      </c>
      <c r="G698">
        <v>0</v>
      </c>
      <c r="H698">
        <v>16.100000000000001</v>
      </c>
      <c r="I698">
        <v>9.6999999999999993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9.6999999999999993</v>
      </c>
      <c r="P698">
        <v>0</v>
      </c>
      <c r="Q698">
        <v>64.5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55.2</v>
      </c>
      <c r="AK698" t="s">
        <v>1</v>
      </c>
      <c r="AL698" t="s">
        <v>372</v>
      </c>
      <c r="AQ698" s="1">
        <f t="shared" si="296"/>
        <v>100</v>
      </c>
      <c r="AR698" s="1">
        <f t="shared" si="319"/>
        <v>9.6999999999999989E-2</v>
      </c>
      <c r="AS698" s="1">
        <f t="shared" si="320"/>
        <v>0</v>
      </c>
      <c r="AT698" s="1">
        <f t="shared" si="321"/>
        <v>0.161</v>
      </c>
      <c r="AU698" s="1">
        <f t="shared" si="322"/>
        <v>0.64500000000000002</v>
      </c>
      <c r="AV698" s="1">
        <f t="shared" si="323"/>
        <v>0.55200000000000005</v>
      </c>
      <c r="AX698" s="1">
        <f t="shared" si="324"/>
        <v>4.0062111801242235</v>
      </c>
      <c r="AY698" s="1">
        <f t="shared" si="325"/>
        <v>0.60248447204968936</v>
      </c>
      <c r="AZ698" s="1">
        <f t="shared" si="326"/>
        <v>0.75038819875776397</v>
      </c>
      <c r="BA698" s="1">
        <f t="shared" si="327"/>
        <v>1.5015527950310559</v>
      </c>
      <c r="BB698" s="1">
        <f t="shared" si="328"/>
        <v>0.60248447204968936</v>
      </c>
      <c r="BC698" s="1">
        <f t="shared" si="329"/>
        <v>0.60248447204968936</v>
      </c>
      <c r="BD698" s="1">
        <f t="shared" si="330"/>
        <v>5.0484472049689311E-2</v>
      </c>
      <c r="BF698">
        <f t="shared" si="313"/>
        <v>16.100000000000001</v>
      </c>
      <c r="BG698">
        <f t="shared" si="318"/>
        <v>14.549999999999999</v>
      </c>
      <c r="BH698" s="1">
        <f t="shared" si="314"/>
        <v>4.0062111801242235</v>
      </c>
      <c r="BI698" s="1">
        <f t="shared" si="315"/>
        <v>0.90372670807453404</v>
      </c>
      <c r="BJ698" s="1">
        <f t="shared" si="316"/>
        <v>0.66611801242236024</v>
      </c>
      <c r="BK698" s="1">
        <f t="shared" si="317"/>
        <v>2.1071180124223603</v>
      </c>
      <c r="BL698" s="1">
        <f t="shared" si="331"/>
        <v>0.66611801242236024</v>
      </c>
      <c r="BM698" s="1">
        <f t="shared" si="332"/>
        <v>0.66611801242236024</v>
      </c>
      <c r="BN698" s="1">
        <f t="shared" si="333"/>
        <v>1.3022920759229955E-2</v>
      </c>
      <c r="BO698" s="1">
        <f t="shared" si="312"/>
        <v>2.083954255696796E-2</v>
      </c>
    </row>
    <row r="699" spans="3:67" x14ac:dyDescent="0.25">
      <c r="C699" t="s">
        <v>724</v>
      </c>
      <c r="G699">
        <v>0</v>
      </c>
      <c r="H699">
        <v>14.3</v>
      </c>
      <c r="I699">
        <v>14.3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14.3</v>
      </c>
      <c r="P699">
        <v>0</v>
      </c>
      <c r="Q699">
        <v>57.1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59.1</v>
      </c>
      <c r="AK699" t="s">
        <v>1</v>
      </c>
      <c r="AL699" t="s">
        <v>372</v>
      </c>
      <c r="AQ699" s="1">
        <f t="shared" si="296"/>
        <v>100</v>
      </c>
      <c r="AR699" s="1">
        <f t="shared" si="319"/>
        <v>0.14300000000000002</v>
      </c>
      <c r="AS699" s="1">
        <f t="shared" si="320"/>
        <v>0</v>
      </c>
      <c r="AT699" s="1">
        <f t="shared" si="321"/>
        <v>0.14300000000000002</v>
      </c>
      <c r="AU699" s="1">
        <f t="shared" si="322"/>
        <v>0.57100000000000006</v>
      </c>
      <c r="AV699" s="1">
        <f t="shared" si="323"/>
        <v>0.59099999999999997</v>
      </c>
      <c r="AX699" s="1">
        <f t="shared" si="324"/>
        <v>3.9930069930069929</v>
      </c>
      <c r="AY699" s="1">
        <f t="shared" si="325"/>
        <v>1</v>
      </c>
      <c r="AZ699" s="1">
        <f t="shared" si="326"/>
        <v>0.74956293706293708</v>
      </c>
      <c r="BA699" s="1">
        <f t="shared" si="327"/>
        <v>1.4982517482517483</v>
      </c>
      <c r="BB699" s="1">
        <f t="shared" si="328"/>
        <v>0.74956293706293708</v>
      </c>
      <c r="BC699" s="1">
        <f t="shared" si="329"/>
        <v>0.74956293706293708</v>
      </c>
      <c r="BD699" s="1">
        <f t="shared" si="330"/>
        <v>0.15856293706293711</v>
      </c>
      <c r="BF699">
        <f t="shared" si="313"/>
        <v>14.3</v>
      </c>
      <c r="BG699">
        <f t="shared" si="318"/>
        <v>21.450000000000003</v>
      </c>
      <c r="BH699" s="1">
        <f t="shared" si="314"/>
        <v>3.9930069930069929</v>
      </c>
      <c r="BI699" s="1">
        <f t="shared" si="315"/>
        <v>1.5000000000000002</v>
      </c>
      <c r="BJ699" s="1">
        <f t="shared" si="316"/>
        <v>0.66586713286713284</v>
      </c>
      <c r="BK699" s="1">
        <f t="shared" si="317"/>
        <v>2.1004895104895107</v>
      </c>
      <c r="BL699" s="1">
        <f t="shared" si="331"/>
        <v>0.66586713286713284</v>
      </c>
      <c r="BM699" s="1">
        <f t="shared" si="332"/>
        <v>0.66586713286713284</v>
      </c>
      <c r="BN699" s="1">
        <f t="shared" si="333"/>
        <v>5.6050875837449264E-3</v>
      </c>
      <c r="BO699" s="1">
        <f t="shared" si="312"/>
        <v>3.3620550412941791E-2</v>
      </c>
    </row>
    <row r="700" spans="3:67" x14ac:dyDescent="0.25">
      <c r="C700" t="s">
        <v>725</v>
      </c>
      <c r="G700">
        <v>0</v>
      </c>
      <c r="H700">
        <v>12</v>
      </c>
      <c r="I700">
        <v>19.899999999999999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19.899999999999999</v>
      </c>
      <c r="P700">
        <v>0</v>
      </c>
      <c r="Q700">
        <v>48.2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47.2</v>
      </c>
      <c r="AK700" t="s">
        <v>1</v>
      </c>
      <c r="AL700" t="s">
        <v>372</v>
      </c>
      <c r="AQ700" s="1">
        <f t="shared" si="296"/>
        <v>100</v>
      </c>
      <c r="AR700" s="1">
        <f t="shared" si="319"/>
        <v>0.19899999999999998</v>
      </c>
      <c r="AS700" s="1">
        <f t="shared" si="320"/>
        <v>0</v>
      </c>
      <c r="AT700" s="1">
        <f t="shared" si="321"/>
        <v>0.12</v>
      </c>
      <c r="AU700" s="1">
        <f t="shared" si="322"/>
        <v>0.48200000000000004</v>
      </c>
      <c r="AV700" s="1">
        <f t="shared" si="323"/>
        <v>0.47200000000000003</v>
      </c>
      <c r="AX700" s="1">
        <f t="shared" si="324"/>
        <v>4.0166666666666675</v>
      </c>
      <c r="AY700" s="1">
        <f t="shared" si="325"/>
        <v>1.6583333333333332</v>
      </c>
      <c r="AZ700" s="1">
        <f t="shared" si="326"/>
        <v>0.75104166666666672</v>
      </c>
      <c r="BA700" s="1">
        <f t="shared" si="327"/>
        <v>1.5041666666666669</v>
      </c>
      <c r="BB700" s="1">
        <f t="shared" si="328"/>
        <v>0.72538281009541405</v>
      </c>
      <c r="BC700" s="1">
        <f t="shared" si="329"/>
        <v>0.72538281009541405</v>
      </c>
      <c r="BD700" s="1">
        <f t="shared" si="330"/>
        <v>0.25338281009541402</v>
      </c>
      <c r="BF700">
        <f t="shared" si="313"/>
        <v>12</v>
      </c>
      <c r="BG700">
        <f t="shared" si="318"/>
        <v>29.849999999999998</v>
      </c>
      <c r="BH700" s="1">
        <f t="shared" si="314"/>
        <v>4.0166666666666666</v>
      </c>
      <c r="BI700" s="1">
        <f t="shared" si="315"/>
        <v>2.4874999999999998</v>
      </c>
      <c r="BJ700" s="1">
        <f t="shared" si="316"/>
        <v>0.66631666666666667</v>
      </c>
      <c r="BK700" s="1">
        <f t="shared" si="317"/>
        <v>2.1123666666666669</v>
      </c>
      <c r="BL700" s="1">
        <f t="shared" si="331"/>
        <v>0.60388104032009859</v>
      </c>
      <c r="BM700" s="1">
        <f t="shared" si="332"/>
        <v>0.60388104032009859</v>
      </c>
      <c r="BN700" s="1">
        <f t="shared" si="333"/>
        <v>1.7392608795911462E-2</v>
      </c>
      <c r="BO700" s="1">
        <f t="shared" si="312"/>
        <v>4.1420905447138836E-3</v>
      </c>
    </row>
    <row r="701" spans="3:67" x14ac:dyDescent="0.25">
      <c r="C701" t="s">
        <v>731</v>
      </c>
      <c r="G701">
        <v>0</v>
      </c>
      <c r="H701">
        <v>26.67</v>
      </c>
      <c r="I701">
        <v>0</v>
      </c>
      <c r="J701">
        <v>0</v>
      </c>
      <c r="K701">
        <v>0</v>
      </c>
      <c r="L701">
        <v>0</v>
      </c>
      <c r="M701">
        <v>10</v>
      </c>
      <c r="N701">
        <v>0</v>
      </c>
      <c r="O701">
        <v>10</v>
      </c>
      <c r="P701">
        <v>0</v>
      </c>
      <c r="Q701">
        <v>53.33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56.3</v>
      </c>
      <c r="AK701" t="s">
        <v>1</v>
      </c>
      <c r="AL701" t="s">
        <v>372</v>
      </c>
      <c r="AO701" t="s">
        <v>378</v>
      </c>
      <c r="AP701" t="s">
        <v>843</v>
      </c>
      <c r="AQ701" s="1">
        <f t="shared" ref="AQ701:AQ762" si="334">SUM(G701:AF701)</f>
        <v>100</v>
      </c>
      <c r="AR701" s="1">
        <f t="shared" si="319"/>
        <v>0.2</v>
      </c>
      <c r="AS701" s="1">
        <f t="shared" si="320"/>
        <v>0</v>
      </c>
      <c r="AT701" s="1">
        <f t="shared" si="321"/>
        <v>0.26669999999999999</v>
      </c>
      <c r="AU701" s="1">
        <f t="shared" si="322"/>
        <v>0.5333</v>
      </c>
      <c r="AV701" s="1">
        <f t="shared" si="323"/>
        <v>0.56299999999999994</v>
      </c>
      <c r="AX701" s="1">
        <f t="shared" si="324"/>
        <v>1.9996250468691414</v>
      </c>
      <c r="AY701" s="1">
        <f t="shared" si="325"/>
        <v>0.74990626171728536</v>
      </c>
      <c r="AZ701" s="1">
        <f t="shared" si="326"/>
        <v>0.62497656542932134</v>
      </c>
      <c r="BA701" s="1">
        <f t="shared" si="327"/>
        <v>0.99990626171728536</v>
      </c>
      <c r="BB701" s="1">
        <f t="shared" si="328"/>
        <v>0.62497656542932134</v>
      </c>
      <c r="BC701" s="1">
        <f t="shared" si="329"/>
        <v>0.62497656542932134</v>
      </c>
      <c r="BD701" s="1">
        <f t="shared" si="330"/>
        <v>6.1976565429321395E-2</v>
      </c>
      <c r="BF701">
        <f t="shared" si="313"/>
        <v>26.67</v>
      </c>
      <c r="BG701">
        <f t="shared" si="318"/>
        <v>20</v>
      </c>
      <c r="BH701" s="1">
        <f t="shared" si="314"/>
        <v>1.9996250468691412</v>
      </c>
      <c r="BI701" s="1">
        <f t="shared" si="315"/>
        <v>0.74990626171728525</v>
      </c>
      <c r="BJ701" s="1">
        <f t="shared" si="316"/>
        <v>0.62799287589051367</v>
      </c>
      <c r="BK701" s="1">
        <f t="shared" si="317"/>
        <v>1.0998117735283091</v>
      </c>
      <c r="BL701" s="1">
        <f t="shared" si="331"/>
        <v>0.62799287589051367</v>
      </c>
      <c r="BM701" s="1">
        <f t="shared" si="332"/>
        <v>0.62799287589051367</v>
      </c>
      <c r="BN701" s="1">
        <f t="shared" si="333"/>
        <v>4.2240739165197204E-3</v>
      </c>
      <c r="BO701" s="1">
        <f t="shared" si="312"/>
        <v>2.4136442208652863E-2</v>
      </c>
    </row>
    <row r="702" spans="3:67" x14ac:dyDescent="0.25">
      <c r="C702" t="s">
        <v>732</v>
      </c>
      <c r="G702">
        <v>0</v>
      </c>
      <c r="H702">
        <v>26.67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20</v>
      </c>
      <c r="P702">
        <v>0</v>
      </c>
      <c r="Q702">
        <v>53.33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60.4</v>
      </c>
      <c r="AK702" t="s">
        <v>1</v>
      </c>
      <c r="AL702" t="s">
        <v>372</v>
      </c>
      <c r="AQ702" s="1">
        <f t="shared" si="334"/>
        <v>100</v>
      </c>
      <c r="AR702" s="1">
        <f t="shared" si="319"/>
        <v>0.2</v>
      </c>
      <c r="AS702" s="1">
        <f t="shared" si="320"/>
        <v>0</v>
      </c>
      <c r="AT702" s="1">
        <f t="shared" si="321"/>
        <v>0.26669999999999999</v>
      </c>
      <c r="AU702" s="1">
        <f t="shared" si="322"/>
        <v>0.5333</v>
      </c>
      <c r="AV702" s="1">
        <f t="shared" si="323"/>
        <v>0.60399999999999998</v>
      </c>
      <c r="AX702" s="1">
        <f t="shared" si="324"/>
        <v>1.9996250468691414</v>
      </c>
      <c r="AY702" s="1">
        <f t="shared" si="325"/>
        <v>0.74990626171728536</v>
      </c>
      <c r="AZ702" s="1">
        <f t="shared" si="326"/>
        <v>0.62497656542932134</v>
      </c>
      <c r="BA702" s="1">
        <f t="shared" si="327"/>
        <v>0.99990626171728536</v>
      </c>
      <c r="BB702" s="1">
        <f t="shared" si="328"/>
        <v>0.62497656542932134</v>
      </c>
      <c r="BC702" s="1">
        <f t="shared" si="329"/>
        <v>0.62497656542932134</v>
      </c>
      <c r="BD702" s="1">
        <f t="shared" si="330"/>
        <v>2.0976565429321359E-2</v>
      </c>
      <c r="BF702">
        <f t="shared" si="313"/>
        <v>26.67</v>
      </c>
      <c r="BG702">
        <f t="shared" si="318"/>
        <v>20</v>
      </c>
      <c r="BH702" s="1">
        <f t="shared" si="314"/>
        <v>1.9996250468691412</v>
      </c>
      <c r="BI702" s="1">
        <f t="shared" si="315"/>
        <v>0.74990626171728525</v>
      </c>
      <c r="BJ702" s="1">
        <f t="shared" si="316"/>
        <v>0.62799287589051367</v>
      </c>
      <c r="BK702" s="1">
        <f t="shared" si="317"/>
        <v>1.0998117735283091</v>
      </c>
      <c r="BL702" s="1">
        <f t="shared" si="331"/>
        <v>0.62799287589051367</v>
      </c>
      <c r="BM702" s="1">
        <f t="shared" si="332"/>
        <v>0.62799287589051367</v>
      </c>
      <c r="BN702" s="1">
        <f t="shared" si="333"/>
        <v>5.7565809349759297E-4</v>
      </c>
      <c r="BO702" s="1">
        <f t="shared" si="312"/>
        <v>3.8556886364933082E-2</v>
      </c>
    </row>
    <row r="703" spans="3:67" x14ac:dyDescent="0.25">
      <c r="C703" t="s">
        <v>733</v>
      </c>
      <c r="G703">
        <v>0</v>
      </c>
      <c r="H703">
        <v>26.67</v>
      </c>
      <c r="I703">
        <v>0</v>
      </c>
      <c r="J703">
        <v>0</v>
      </c>
      <c r="K703">
        <v>0</v>
      </c>
      <c r="L703">
        <v>10</v>
      </c>
      <c r="M703">
        <v>0</v>
      </c>
      <c r="N703">
        <v>0</v>
      </c>
      <c r="O703">
        <v>10</v>
      </c>
      <c r="P703">
        <v>0</v>
      </c>
      <c r="Q703">
        <v>53.33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62.4</v>
      </c>
      <c r="AK703" t="s">
        <v>1</v>
      </c>
      <c r="AL703" t="s">
        <v>372</v>
      </c>
      <c r="AQ703" s="1">
        <f t="shared" si="334"/>
        <v>100</v>
      </c>
      <c r="AR703" s="1">
        <f t="shared" si="319"/>
        <v>0.2</v>
      </c>
      <c r="AS703" s="1">
        <f t="shared" si="320"/>
        <v>0</v>
      </c>
      <c r="AT703" s="1">
        <f t="shared" si="321"/>
        <v>0.26669999999999999</v>
      </c>
      <c r="AU703" s="1">
        <f t="shared" si="322"/>
        <v>0.5333</v>
      </c>
      <c r="AV703" s="1">
        <f t="shared" si="323"/>
        <v>0.624</v>
      </c>
      <c r="AX703" s="1">
        <f t="shared" si="324"/>
        <v>1.9996250468691414</v>
      </c>
      <c r="AY703" s="1">
        <f t="shared" si="325"/>
        <v>0.74990626171728536</v>
      </c>
      <c r="AZ703" s="1">
        <f t="shared" si="326"/>
        <v>0.62497656542932134</v>
      </c>
      <c r="BA703" s="1">
        <f t="shared" si="327"/>
        <v>0.99990626171728536</v>
      </c>
      <c r="BB703" s="1">
        <f t="shared" si="328"/>
        <v>0.62497656542932134</v>
      </c>
      <c r="BC703" s="1">
        <f t="shared" si="329"/>
        <v>0.62497656542932134</v>
      </c>
      <c r="BD703" s="1">
        <f t="shared" si="330"/>
        <v>9.7656542932134105E-4</v>
      </c>
      <c r="BF703">
        <f t="shared" si="313"/>
        <v>26.67</v>
      </c>
      <c r="BG703">
        <f t="shared" si="318"/>
        <v>20</v>
      </c>
      <c r="BH703" s="1">
        <f t="shared" si="314"/>
        <v>1.9996250468691412</v>
      </c>
      <c r="BI703" s="1">
        <f t="shared" si="315"/>
        <v>0.74990626171728525</v>
      </c>
      <c r="BJ703" s="1">
        <f t="shared" si="316"/>
        <v>0.62799287589051367</v>
      </c>
      <c r="BK703" s="1">
        <f t="shared" si="317"/>
        <v>1.0998117735283091</v>
      </c>
      <c r="BL703" s="1">
        <f t="shared" si="331"/>
        <v>0.62799287589051367</v>
      </c>
      <c r="BM703" s="1">
        <f t="shared" si="332"/>
        <v>0.62799287589051367</v>
      </c>
      <c r="BN703" s="1">
        <f t="shared" si="333"/>
        <v>1.5943057877045329E-5</v>
      </c>
      <c r="BO703" s="1">
        <f t="shared" si="312"/>
        <v>4.6811249367996605E-2</v>
      </c>
    </row>
    <row r="704" spans="3:67" x14ac:dyDescent="0.25">
      <c r="C704" t="s">
        <v>734</v>
      </c>
      <c r="G704">
        <v>0</v>
      </c>
      <c r="H704">
        <v>26.67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</v>
      </c>
      <c r="P704">
        <v>0</v>
      </c>
      <c r="Q704">
        <v>53.33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60.3</v>
      </c>
      <c r="AK704" t="s">
        <v>1</v>
      </c>
      <c r="AL704" t="s">
        <v>372</v>
      </c>
      <c r="AQ704" s="1">
        <f t="shared" si="334"/>
        <v>100</v>
      </c>
      <c r="AR704" s="1">
        <f t="shared" si="319"/>
        <v>0.1</v>
      </c>
      <c r="AS704" s="1">
        <f t="shared" si="320"/>
        <v>0</v>
      </c>
      <c r="AT704" s="1">
        <f t="shared" si="321"/>
        <v>0.26669999999999999</v>
      </c>
      <c r="AU704" s="1">
        <f t="shared" si="322"/>
        <v>0.5333</v>
      </c>
      <c r="AV704" s="1">
        <f t="shared" si="323"/>
        <v>0.60299999999999998</v>
      </c>
      <c r="AX704" s="1">
        <f t="shared" si="324"/>
        <v>1.9996250468691414</v>
      </c>
      <c r="AY704" s="1">
        <f t="shared" si="325"/>
        <v>0.37495313085864268</v>
      </c>
      <c r="AZ704" s="1">
        <f t="shared" si="326"/>
        <v>0.62497656542932134</v>
      </c>
      <c r="BA704" s="1">
        <f t="shared" si="327"/>
        <v>0.99990626171728536</v>
      </c>
      <c r="BB704" s="1">
        <f t="shared" si="328"/>
        <v>0.37495313085864268</v>
      </c>
      <c r="BC704" s="1">
        <f t="shared" si="329"/>
        <v>0.37495313085864268</v>
      </c>
      <c r="BD704" s="1">
        <f t="shared" si="330"/>
        <v>0.2280468691413573</v>
      </c>
      <c r="BF704">
        <f t="shared" si="313"/>
        <v>26.67</v>
      </c>
      <c r="BG704">
        <f t="shared" si="318"/>
        <v>20</v>
      </c>
      <c r="BH704" s="1">
        <f t="shared" si="314"/>
        <v>1.9996250468691412</v>
      </c>
      <c r="BI704" s="1">
        <f t="shared" si="315"/>
        <v>0.74990626171728525</v>
      </c>
      <c r="BJ704" s="1">
        <f t="shared" si="316"/>
        <v>0.62799287589051367</v>
      </c>
      <c r="BK704" s="1">
        <f t="shared" si="317"/>
        <v>1.0998117735283091</v>
      </c>
      <c r="BL704" s="1">
        <f t="shared" si="331"/>
        <v>0.62799287589051367</v>
      </c>
      <c r="BM704" s="1">
        <f t="shared" si="332"/>
        <v>0.62799287589051367</v>
      </c>
      <c r="BN704" s="1">
        <f t="shared" si="333"/>
        <v>6.2464384527862035E-4</v>
      </c>
      <c r="BO704" s="1">
        <f t="shared" si="312"/>
        <v>3.8165168214779908E-2</v>
      </c>
    </row>
    <row r="705" spans="3:67" x14ac:dyDescent="0.25">
      <c r="C705" t="s">
        <v>735</v>
      </c>
      <c r="G705">
        <v>0</v>
      </c>
      <c r="H705">
        <v>26.67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10</v>
      </c>
      <c r="O705">
        <v>10</v>
      </c>
      <c r="P705">
        <v>0</v>
      </c>
      <c r="Q705">
        <v>53.33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36.1</v>
      </c>
      <c r="AK705" t="s">
        <v>1</v>
      </c>
      <c r="AL705" t="s">
        <v>372</v>
      </c>
      <c r="AQ705" s="1">
        <f t="shared" si="334"/>
        <v>100</v>
      </c>
      <c r="AR705" s="1">
        <f t="shared" si="319"/>
        <v>0.1</v>
      </c>
      <c r="AS705" s="1">
        <f t="shared" si="320"/>
        <v>0</v>
      </c>
      <c r="AT705" s="1">
        <f t="shared" si="321"/>
        <v>0.26669999999999999</v>
      </c>
      <c r="AU705" s="1">
        <f t="shared" si="322"/>
        <v>0.5333</v>
      </c>
      <c r="AV705" s="1">
        <f t="shared" si="323"/>
        <v>0.36099999999999999</v>
      </c>
      <c r="AX705" s="1">
        <f t="shared" si="324"/>
        <v>1.9996250468691414</v>
      </c>
      <c r="AY705" s="1">
        <f t="shared" si="325"/>
        <v>0.37495313085864268</v>
      </c>
      <c r="AZ705" s="1">
        <f t="shared" si="326"/>
        <v>0.62497656542932134</v>
      </c>
      <c r="BA705" s="1">
        <f t="shared" si="327"/>
        <v>0.99990626171728536</v>
      </c>
      <c r="BB705" s="1">
        <f t="shared" si="328"/>
        <v>0.37495313085864268</v>
      </c>
      <c r="BC705" s="1">
        <f t="shared" si="329"/>
        <v>0.37495313085864268</v>
      </c>
      <c r="BD705" s="1">
        <f t="shared" si="330"/>
        <v>1.3953130858642693E-2</v>
      </c>
      <c r="BF705">
        <f t="shared" si="313"/>
        <v>26.67</v>
      </c>
      <c r="BG705">
        <f t="shared" si="318"/>
        <v>15</v>
      </c>
      <c r="BH705" s="1">
        <f t="shared" si="314"/>
        <v>1.9996250468691412</v>
      </c>
      <c r="BI705" s="1">
        <f t="shared" si="315"/>
        <v>0.56242969628796402</v>
      </c>
      <c r="BJ705" s="1">
        <f t="shared" si="316"/>
        <v>0.62799287589051367</v>
      </c>
      <c r="BK705" s="1">
        <f t="shared" si="317"/>
        <v>1.0998117735283091</v>
      </c>
      <c r="BL705" s="1">
        <f t="shared" si="331"/>
        <v>0.56242969628796402</v>
      </c>
      <c r="BM705" s="1">
        <f t="shared" si="332"/>
        <v>0.56242969628796402</v>
      </c>
      <c r="BN705" s="1">
        <f t="shared" si="333"/>
        <v>4.057392254666143E-2</v>
      </c>
      <c r="BO705" s="1">
        <f t="shared" si="312"/>
        <v>2.1753758777113639E-3</v>
      </c>
    </row>
    <row r="706" spans="3:67" x14ac:dyDescent="0.25">
      <c r="C706" t="s">
        <v>736</v>
      </c>
      <c r="G706">
        <v>0</v>
      </c>
      <c r="H706">
        <v>26.67</v>
      </c>
      <c r="I706">
        <v>10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10</v>
      </c>
      <c r="P706">
        <v>0</v>
      </c>
      <c r="Q706">
        <v>53.33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48.3</v>
      </c>
      <c r="AK706" t="s">
        <v>1</v>
      </c>
      <c r="AL706" t="s">
        <v>372</v>
      </c>
      <c r="AQ706" s="1">
        <f t="shared" si="334"/>
        <v>100</v>
      </c>
      <c r="AR706" s="1">
        <f t="shared" si="319"/>
        <v>0.1</v>
      </c>
      <c r="AS706" s="1">
        <f t="shared" si="320"/>
        <v>0</v>
      </c>
      <c r="AT706" s="1">
        <f t="shared" si="321"/>
        <v>0.26669999999999999</v>
      </c>
      <c r="AU706" s="1">
        <f t="shared" si="322"/>
        <v>0.5333</v>
      </c>
      <c r="AV706" s="1">
        <f t="shared" si="323"/>
        <v>0.48299999999999998</v>
      </c>
      <c r="AX706" s="1">
        <f t="shared" si="324"/>
        <v>1.9996250468691414</v>
      </c>
      <c r="AY706" s="1">
        <f t="shared" si="325"/>
        <v>0.37495313085864268</v>
      </c>
      <c r="AZ706" s="1">
        <f t="shared" si="326"/>
        <v>0.62497656542932134</v>
      </c>
      <c r="BA706" s="1">
        <f t="shared" si="327"/>
        <v>0.99990626171728536</v>
      </c>
      <c r="BB706" s="1">
        <f t="shared" si="328"/>
        <v>0.37495313085864268</v>
      </c>
      <c r="BC706" s="1">
        <f t="shared" si="329"/>
        <v>0.37495313085864268</v>
      </c>
      <c r="BD706" s="1">
        <f t="shared" si="330"/>
        <v>0.1080468691413573</v>
      </c>
      <c r="BF706">
        <f t="shared" si="313"/>
        <v>26.67</v>
      </c>
      <c r="BG706">
        <f t="shared" si="318"/>
        <v>15</v>
      </c>
      <c r="BH706" s="1">
        <f t="shared" si="314"/>
        <v>1.9996250468691412</v>
      </c>
      <c r="BI706" s="1">
        <f t="shared" si="315"/>
        <v>0.56242969628796402</v>
      </c>
      <c r="BJ706" s="1">
        <f t="shared" si="316"/>
        <v>0.62799287589051367</v>
      </c>
      <c r="BK706" s="1">
        <f t="shared" si="317"/>
        <v>1.0998117735283091</v>
      </c>
      <c r="BL706" s="1">
        <f t="shared" si="331"/>
        <v>0.56242969628796402</v>
      </c>
      <c r="BM706" s="1">
        <f t="shared" si="332"/>
        <v>0.56242969628796402</v>
      </c>
      <c r="BN706" s="1">
        <f t="shared" si="333"/>
        <v>6.3090766523982078E-3</v>
      </c>
      <c r="BO706" s="1">
        <f t="shared" ref="BO706:BO769" si="335">(AV706-AVERAGE($AV$2:$AV$638))^2</f>
        <v>5.6789901963988114E-3</v>
      </c>
    </row>
    <row r="707" spans="3:67" x14ac:dyDescent="0.25">
      <c r="C707" t="s">
        <v>737</v>
      </c>
      <c r="G707">
        <v>0</v>
      </c>
      <c r="H707">
        <v>26.67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10</v>
      </c>
      <c r="P707">
        <v>0</v>
      </c>
      <c r="Q707">
        <v>53.33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53.8</v>
      </c>
      <c r="AK707" t="s">
        <v>1</v>
      </c>
      <c r="AL707" t="s">
        <v>372</v>
      </c>
      <c r="AQ707" s="1">
        <f t="shared" si="334"/>
        <v>100</v>
      </c>
      <c r="AR707" s="1">
        <f t="shared" si="319"/>
        <v>0.1</v>
      </c>
      <c r="AS707" s="1">
        <f t="shared" si="320"/>
        <v>0</v>
      </c>
      <c r="AT707" s="1">
        <f t="shared" si="321"/>
        <v>0.26669999999999999</v>
      </c>
      <c r="AU707" s="1">
        <f t="shared" si="322"/>
        <v>0.5333</v>
      </c>
      <c r="AV707" s="1">
        <f t="shared" si="323"/>
        <v>0.53799999999999992</v>
      </c>
      <c r="AX707" s="1">
        <f t="shared" si="324"/>
        <v>1.9996250468691414</v>
      </c>
      <c r="AY707" s="1">
        <f t="shared" si="325"/>
        <v>0.37495313085864268</v>
      </c>
      <c r="AZ707" s="1">
        <f t="shared" si="326"/>
        <v>0.62497656542932134</v>
      </c>
      <c r="BA707" s="1">
        <f t="shared" si="327"/>
        <v>0.99990626171728536</v>
      </c>
      <c r="BB707" s="1">
        <f t="shared" si="328"/>
        <v>0.37495313085864268</v>
      </c>
      <c r="BC707" s="1">
        <f t="shared" si="329"/>
        <v>0.37495313085864268</v>
      </c>
      <c r="BD707" s="1">
        <f t="shared" si="330"/>
        <v>0.16304686914135724</v>
      </c>
      <c r="BF707">
        <f t="shared" si="313"/>
        <v>26.67</v>
      </c>
      <c r="BG707">
        <f t="shared" si="318"/>
        <v>15</v>
      </c>
      <c r="BH707" s="1">
        <f t="shared" si="314"/>
        <v>1.9996250468691412</v>
      </c>
      <c r="BI707" s="1">
        <f t="shared" si="315"/>
        <v>0.56242969628796402</v>
      </c>
      <c r="BJ707" s="1">
        <f t="shared" si="316"/>
        <v>0.62799287589051367</v>
      </c>
      <c r="BK707" s="1">
        <f t="shared" si="317"/>
        <v>1.0998117735283091</v>
      </c>
      <c r="BL707" s="1">
        <f t="shared" si="331"/>
        <v>0.56242969628796402</v>
      </c>
      <c r="BM707" s="1">
        <f t="shared" si="332"/>
        <v>0.56242969628796402</v>
      </c>
      <c r="BN707" s="1">
        <f t="shared" si="333"/>
        <v>5.968100607221668E-4</v>
      </c>
      <c r="BO707" s="1">
        <f t="shared" si="335"/>
        <v>1.6993488454823465E-2</v>
      </c>
    </row>
    <row r="708" spans="3:67" x14ac:dyDescent="0.25">
      <c r="C708" t="s">
        <v>738</v>
      </c>
      <c r="G708">
        <v>0</v>
      </c>
      <c r="H708">
        <v>26.67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10</v>
      </c>
      <c r="P708">
        <v>0</v>
      </c>
      <c r="Q708">
        <v>53.33</v>
      </c>
      <c r="R708">
        <v>0</v>
      </c>
      <c r="S708">
        <v>0</v>
      </c>
      <c r="T708">
        <v>0</v>
      </c>
      <c r="U708">
        <v>0</v>
      </c>
      <c r="V708">
        <v>10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57.4</v>
      </c>
      <c r="AK708" t="s">
        <v>1</v>
      </c>
      <c r="AL708" t="s">
        <v>372</v>
      </c>
      <c r="AQ708" s="1">
        <f t="shared" si="334"/>
        <v>100</v>
      </c>
      <c r="AR708" s="1">
        <f t="shared" si="319"/>
        <v>0.1</v>
      </c>
      <c r="AS708" s="1">
        <f t="shared" si="320"/>
        <v>0</v>
      </c>
      <c r="AT708" s="1">
        <f t="shared" si="321"/>
        <v>0.26669999999999999</v>
      </c>
      <c r="AU708" s="1">
        <f t="shared" si="322"/>
        <v>0.5333</v>
      </c>
      <c r="AV708" s="1">
        <f t="shared" si="323"/>
        <v>0.57399999999999995</v>
      </c>
      <c r="AX708" s="1">
        <f t="shared" si="324"/>
        <v>1.9996250468691414</v>
      </c>
      <c r="AY708" s="1">
        <f t="shared" si="325"/>
        <v>0.37495313085864268</v>
      </c>
      <c r="AZ708" s="1">
        <f t="shared" si="326"/>
        <v>0.62497656542932134</v>
      </c>
      <c r="BA708" s="1">
        <f t="shared" si="327"/>
        <v>0.99990626171728536</v>
      </c>
      <c r="BB708" s="1">
        <f t="shared" si="328"/>
        <v>0.37495313085864268</v>
      </c>
      <c r="BC708" s="1">
        <f t="shared" si="329"/>
        <v>0.37495313085864268</v>
      </c>
      <c r="BD708" s="1">
        <f t="shared" si="330"/>
        <v>0.19904686914135727</v>
      </c>
      <c r="BF708">
        <f t="shared" si="313"/>
        <v>26.67</v>
      </c>
      <c r="BG708">
        <f t="shared" si="318"/>
        <v>15</v>
      </c>
      <c r="BH708" s="1">
        <f t="shared" si="314"/>
        <v>1.9996250468691412</v>
      </c>
      <c r="BI708" s="1">
        <f t="shared" si="315"/>
        <v>0.56242969628796402</v>
      </c>
      <c r="BJ708" s="1">
        <f t="shared" si="316"/>
        <v>0.62799287589051367</v>
      </c>
      <c r="BK708" s="1">
        <f t="shared" si="317"/>
        <v>1.0998117735283091</v>
      </c>
      <c r="BL708" s="1">
        <f t="shared" si="331"/>
        <v>0.56242969628796402</v>
      </c>
      <c r="BM708" s="1">
        <f t="shared" si="332"/>
        <v>0.56242969628796402</v>
      </c>
      <c r="BN708" s="1">
        <f t="shared" si="333"/>
        <v>1.3387192798875253E-4</v>
      </c>
      <c r="BO708" s="1">
        <f t="shared" si="335"/>
        <v>2.76753418603378E-2</v>
      </c>
    </row>
    <row r="709" spans="3:67" x14ac:dyDescent="0.25">
      <c r="C709" t="s">
        <v>739</v>
      </c>
      <c r="G709">
        <v>0</v>
      </c>
      <c r="H709">
        <v>17.27</v>
      </c>
      <c r="I709">
        <v>0</v>
      </c>
      <c r="J709">
        <v>0</v>
      </c>
      <c r="K709">
        <v>0</v>
      </c>
      <c r="L709">
        <v>0</v>
      </c>
      <c r="M709">
        <v>6.48</v>
      </c>
      <c r="N709">
        <v>0</v>
      </c>
      <c r="O709">
        <v>6.48</v>
      </c>
      <c r="P709">
        <v>0</v>
      </c>
      <c r="Q709">
        <v>69.77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53.9</v>
      </c>
      <c r="AK709" t="s">
        <v>1</v>
      </c>
      <c r="AL709" t="s">
        <v>372</v>
      </c>
      <c r="AQ709" s="1">
        <f t="shared" si="334"/>
        <v>100</v>
      </c>
      <c r="AR709" s="1">
        <f t="shared" si="319"/>
        <v>0.12960000000000002</v>
      </c>
      <c r="AS709" s="1">
        <f t="shared" si="320"/>
        <v>0</v>
      </c>
      <c r="AT709" s="1">
        <f t="shared" si="321"/>
        <v>0.17269999999999999</v>
      </c>
      <c r="AU709" s="1">
        <f t="shared" si="322"/>
        <v>0.69769999999999999</v>
      </c>
      <c r="AV709" s="1">
        <f t="shared" si="323"/>
        <v>0.53900000000000003</v>
      </c>
      <c r="AX709" s="1">
        <f t="shared" si="324"/>
        <v>4.039953676896352</v>
      </c>
      <c r="AY709" s="1">
        <f t="shared" si="325"/>
        <v>0.75043427909669969</v>
      </c>
      <c r="AZ709" s="1">
        <f t="shared" si="326"/>
        <v>0.75249710480602205</v>
      </c>
      <c r="BA709" s="1">
        <f t="shared" si="327"/>
        <v>1.509988419224088</v>
      </c>
      <c r="BB709" s="1">
        <f t="shared" si="328"/>
        <v>0.75043427909669969</v>
      </c>
      <c r="BC709" s="1">
        <f t="shared" si="329"/>
        <v>0.75043427909669969</v>
      </c>
      <c r="BD709" s="1">
        <f t="shared" si="330"/>
        <v>0.21143427909669965</v>
      </c>
      <c r="BF709">
        <f t="shared" si="313"/>
        <v>17.27</v>
      </c>
      <c r="BG709">
        <f t="shared" si="318"/>
        <v>12.96</v>
      </c>
      <c r="BH709" s="1">
        <f t="shared" si="314"/>
        <v>4.039953676896352</v>
      </c>
      <c r="BI709" s="1">
        <f t="shared" si="315"/>
        <v>0.75043427909669957</v>
      </c>
      <c r="BJ709" s="1">
        <f t="shared" si="316"/>
        <v>0.66675911986103065</v>
      </c>
      <c r="BK709" s="1">
        <f t="shared" si="317"/>
        <v>2.1240567458019686</v>
      </c>
      <c r="BL709" s="1">
        <f t="shared" si="331"/>
        <v>0.66675911986103065</v>
      </c>
      <c r="BM709" s="1">
        <f t="shared" si="332"/>
        <v>0.66675911986103065</v>
      </c>
      <c r="BN709" s="1">
        <f t="shared" si="333"/>
        <v>1.6322392707665185E-2</v>
      </c>
      <c r="BO709" s="1">
        <f t="shared" si="335"/>
        <v>1.7255206604976668E-2</v>
      </c>
    </row>
    <row r="710" spans="3:67" x14ac:dyDescent="0.25">
      <c r="C710" t="s">
        <v>740</v>
      </c>
      <c r="G710">
        <v>0</v>
      </c>
      <c r="H710">
        <v>17.27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12.96</v>
      </c>
      <c r="P710">
        <v>0</v>
      </c>
      <c r="Q710">
        <v>69.77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62.3</v>
      </c>
      <c r="AK710" t="s">
        <v>1</v>
      </c>
      <c r="AL710" t="s">
        <v>372</v>
      </c>
      <c r="AQ710" s="1">
        <f t="shared" si="334"/>
        <v>100</v>
      </c>
      <c r="AR710" s="1">
        <f t="shared" si="319"/>
        <v>0.12960000000000002</v>
      </c>
      <c r="AS710" s="1">
        <f t="shared" si="320"/>
        <v>0</v>
      </c>
      <c r="AT710" s="1">
        <f t="shared" si="321"/>
        <v>0.17269999999999999</v>
      </c>
      <c r="AU710" s="1">
        <f t="shared" si="322"/>
        <v>0.69769999999999999</v>
      </c>
      <c r="AV710" s="1">
        <f t="shared" si="323"/>
        <v>0.623</v>
      </c>
      <c r="AX710" s="1">
        <f t="shared" si="324"/>
        <v>4.039953676896352</v>
      </c>
      <c r="AY710" s="1">
        <f t="shared" si="325"/>
        <v>0.75043427909669969</v>
      </c>
      <c r="AZ710" s="1">
        <f t="shared" si="326"/>
        <v>0.75249710480602205</v>
      </c>
      <c r="BA710" s="1">
        <f t="shared" si="327"/>
        <v>1.509988419224088</v>
      </c>
      <c r="BB710" s="1">
        <f t="shared" si="328"/>
        <v>0.75043427909669969</v>
      </c>
      <c r="BC710" s="1">
        <f t="shared" si="329"/>
        <v>0.75043427909669969</v>
      </c>
      <c r="BD710" s="1">
        <f t="shared" si="330"/>
        <v>0.12743427909669969</v>
      </c>
      <c r="BF710">
        <f t="shared" si="313"/>
        <v>17.27</v>
      </c>
      <c r="BG710">
        <f t="shared" si="318"/>
        <v>12.96</v>
      </c>
      <c r="BH710" s="1">
        <f t="shared" si="314"/>
        <v>4.039953676896352</v>
      </c>
      <c r="BI710" s="1">
        <f t="shared" si="315"/>
        <v>0.75043427909669957</v>
      </c>
      <c r="BJ710" s="1">
        <f t="shared" si="316"/>
        <v>0.66675911986103065</v>
      </c>
      <c r="BK710" s="1">
        <f t="shared" si="317"/>
        <v>2.1240567458019686</v>
      </c>
      <c r="BL710" s="1">
        <f t="shared" si="331"/>
        <v>0.66675911986103065</v>
      </c>
      <c r="BM710" s="1">
        <f t="shared" si="332"/>
        <v>0.66675911986103065</v>
      </c>
      <c r="BN710" s="1">
        <f t="shared" si="333"/>
        <v>1.9148605710120469E-3</v>
      </c>
      <c r="BO710" s="1">
        <f t="shared" si="335"/>
        <v>4.6379531217843432E-2</v>
      </c>
    </row>
    <row r="711" spans="3:67" x14ac:dyDescent="0.25">
      <c r="C711" t="s">
        <v>741</v>
      </c>
      <c r="G711">
        <v>0</v>
      </c>
      <c r="H711">
        <v>17.27</v>
      </c>
      <c r="I711">
        <v>0</v>
      </c>
      <c r="J711">
        <v>0</v>
      </c>
      <c r="K711">
        <v>0</v>
      </c>
      <c r="L711">
        <v>6.48</v>
      </c>
      <c r="M711">
        <v>0</v>
      </c>
      <c r="N711">
        <v>0</v>
      </c>
      <c r="O711">
        <v>6.48</v>
      </c>
      <c r="P711">
        <v>0</v>
      </c>
      <c r="Q711">
        <v>69.77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66.7</v>
      </c>
      <c r="AK711" t="s">
        <v>1</v>
      </c>
      <c r="AL711" t="s">
        <v>372</v>
      </c>
      <c r="AQ711" s="1">
        <f t="shared" si="334"/>
        <v>100</v>
      </c>
      <c r="AR711" s="1">
        <f t="shared" si="319"/>
        <v>0.12960000000000002</v>
      </c>
      <c r="AS711" s="1">
        <f t="shared" si="320"/>
        <v>0</v>
      </c>
      <c r="AT711" s="1">
        <f t="shared" si="321"/>
        <v>0.17269999999999999</v>
      </c>
      <c r="AU711" s="1">
        <f t="shared" si="322"/>
        <v>0.69769999999999999</v>
      </c>
      <c r="AV711" s="1">
        <f t="shared" si="323"/>
        <v>0.66700000000000004</v>
      </c>
      <c r="AX711" s="1">
        <f t="shared" si="324"/>
        <v>4.039953676896352</v>
      </c>
      <c r="AY711" s="1">
        <f t="shared" si="325"/>
        <v>0.75043427909669969</v>
      </c>
      <c r="AZ711" s="1">
        <f t="shared" si="326"/>
        <v>0.75249710480602205</v>
      </c>
      <c r="BA711" s="1">
        <f t="shared" si="327"/>
        <v>1.509988419224088</v>
      </c>
      <c r="BB711" s="1">
        <f t="shared" si="328"/>
        <v>0.75043427909669969</v>
      </c>
      <c r="BC711" s="1">
        <f t="shared" si="329"/>
        <v>0.75043427909669969</v>
      </c>
      <c r="BD711" s="1">
        <f t="shared" si="330"/>
        <v>8.3434279096699648E-2</v>
      </c>
      <c r="BF711">
        <f t="shared" si="313"/>
        <v>17.27</v>
      </c>
      <c r="BG711">
        <f t="shared" si="318"/>
        <v>12.96</v>
      </c>
      <c r="BH711" s="1">
        <f t="shared" si="314"/>
        <v>4.039953676896352</v>
      </c>
      <c r="BI711" s="1">
        <f t="shared" si="315"/>
        <v>0.75043427909669957</v>
      </c>
      <c r="BJ711" s="1">
        <f t="shared" si="316"/>
        <v>0.66675911986103065</v>
      </c>
      <c r="BK711" s="1">
        <f t="shared" si="317"/>
        <v>2.1240567458019686</v>
      </c>
      <c r="BL711" s="1">
        <f t="shared" si="331"/>
        <v>0.66675911986103065</v>
      </c>
      <c r="BM711" s="1">
        <f t="shared" si="332"/>
        <v>0.66675911986103065</v>
      </c>
      <c r="BN711" s="1">
        <f t="shared" si="333"/>
        <v>5.8023241349912841E-8</v>
      </c>
      <c r="BO711" s="1">
        <f t="shared" si="335"/>
        <v>6.7267129824583188E-2</v>
      </c>
    </row>
    <row r="712" spans="3:67" x14ac:dyDescent="0.25">
      <c r="C712" t="s">
        <v>742</v>
      </c>
      <c r="G712">
        <v>0</v>
      </c>
      <c r="H712">
        <v>17.27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6.48</v>
      </c>
      <c r="P712">
        <v>0</v>
      </c>
      <c r="Q712">
        <v>69.77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6.48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65.099999999999994</v>
      </c>
      <c r="AK712" t="s">
        <v>1</v>
      </c>
      <c r="AL712" t="s">
        <v>372</v>
      </c>
      <c r="AQ712" s="1">
        <f t="shared" si="334"/>
        <v>100</v>
      </c>
      <c r="AR712" s="1">
        <f t="shared" si="319"/>
        <v>6.480000000000001E-2</v>
      </c>
      <c r="AS712" s="1">
        <f t="shared" si="320"/>
        <v>0</v>
      </c>
      <c r="AT712" s="1">
        <f t="shared" si="321"/>
        <v>0.17269999999999999</v>
      </c>
      <c r="AU712" s="1">
        <f t="shared" si="322"/>
        <v>0.69769999999999999</v>
      </c>
      <c r="AV712" s="1">
        <f t="shared" si="323"/>
        <v>0.65099999999999991</v>
      </c>
      <c r="AX712" s="1">
        <f t="shared" si="324"/>
        <v>4.039953676896352</v>
      </c>
      <c r="AY712" s="1">
        <f t="shared" si="325"/>
        <v>0.37521713954834984</v>
      </c>
      <c r="AZ712" s="1">
        <f t="shared" si="326"/>
        <v>0.75249710480602205</v>
      </c>
      <c r="BA712" s="1">
        <f t="shared" si="327"/>
        <v>1.509988419224088</v>
      </c>
      <c r="BB712" s="1">
        <f t="shared" si="328"/>
        <v>0.37521713954834984</v>
      </c>
      <c r="BC712" s="1">
        <f t="shared" si="329"/>
        <v>0.37521713954834984</v>
      </c>
      <c r="BD712" s="1">
        <f t="shared" si="330"/>
        <v>0.27578286045165007</v>
      </c>
      <c r="BF712">
        <f t="shared" si="313"/>
        <v>17.27</v>
      </c>
      <c r="BG712">
        <f t="shared" si="318"/>
        <v>12.96</v>
      </c>
      <c r="BH712" s="1">
        <f t="shared" si="314"/>
        <v>4.039953676896352</v>
      </c>
      <c r="BI712" s="1">
        <f t="shared" si="315"/>
        <v>0.75043427909669957</v>
      </c>
      <c r="BJ712" s="1">
        <f t="shared" si="316"/>
        <v>0.66675911986103065</v>
      </c>
      <c r="BK712" s="1">
        <f t="shared" si="317"/>
        <v>2.1240567458019686</v>
      </c>
      <c r="BL712" s="1">
        <f t="shared" si="331"/>
        <v>0.66675911986103065</v>
      </c>
      <c r="BM712" s="1">
        <f t="shared" si="332"/>
        <v>0.66675911986103065</v>
      </c>
      <c r="BN712" s="1">
        <f t="shared" si="333"/>
        <v>2.4834985879433337E-4</v>
      </c>
      <c r="BO712" s="1">
        <f t="shared" si="335"/>
        <v>5.922363942213231E-2</v>
      </c>
    </row>
    <row r="713" spans="3:67" x14ac:dyDescent="0.25">
      <c r="C713" t="s">
        <v>743</v>
      </c>
      <c r="G713">
        <v>0</v>
      </c>
      <c r="H713">
        <v>17.27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6.48</v>
      </c>
      <c r="O713">
        <v>6.48</v>
      </c>
      <c r="P713">
        <v>0</v>
      </c>
      <c r="Q713">
        <v>69.77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31.3</v>
      </c>
      <c r="AK713" t="s">
        <v>1</v>
      </c>
      <c r="AL713" t="s">
        <v>372</v>
      </c>
      <c r="AQ713" s="1">
        <f t="shared" si="334"/>
        <v>100</v>
      </c>
      <c r="AR713" s="1">
        <f t="shared" si="319"/>
        <v>6.480000000000001E-2</v>
      </c>
      <c r="AS713" s="1">
        <f t="shared" si="320"/>
        <v>0</v>
      </c>
      <c r="AT713" s="1">
        <f t="shared" si="321"/>
        <v>0.17269999999999999</v>
      </c>
      <c r="AU713" s="1">
        <f t="shared" si="322"/>
        <v>0.69769999999999999</v>
      </c>
      <c r="AV713" s="1">
        <f t="shared" si="323"/>
        <v>0.313</v>
      </c>
      <c r="AX713" s="1">
        <f t="shared" si="324"/>
        <v>4.039953676896352</v>
      </c>
      <c r="AY713" s="1">
        <f t="shared" si="325"/>
        <v>0.37521713954834984</v>
      </c>
      <c r="AZ713" s="1">
        <f t="shared" si="326"/>
        <v>0.75249710480602205</v>
      </c>
      <c r="BA713" s="1">
        <f t="shared" si="327"/>
        <v>1.509988419224088</v>
      </c>
      <c r="BB713" s="1">
        <f t="shared" si="328"/>
        <v>0.37521713954834984</v>
      </c>
      <c r="BC713" s="1">
        <f t="shared" si="329"/>
        <v>0.37521713954834984</v>
      </c>
      <c r="BD713" s="1">
        <f t="shared" si="330"/>
        <v>6.2217139548349842E-2</v>
      </c>
      <c r="BF713">
        <f t="shared" si="313"/>
        <v>17.27</v>
      </c>
      <c r="BG713">
        <f t="shared" si="318"/>
        <v>9.7200000000000006</v>
      </c>
      <c r="BH713" s="1">
        <f t="shared" si="314"/>
        <v>4.039953676896352</v>
      </c>
      <c r="BI713" s="1">
        <f t="shared" si="315"/>
        <v>0.56282570932252463</v>
      </c>
      <c r="BJ713" s="1">
        <f t="shared" si="316"/>
        <v>0.66675911986103065</v>
      </c>
      <c r="BK713" s="1">
        <f t="shared" si="317"/>
        <v>2.1240567458019686</v>
      </c>
      <c r="BL713" s="1">
        <f t="shared" si="331"/>
        <v>0.56282570932252463</v>
      </c>
      <c r="BM713" s="1">
        <f t="shared" si="332"/>
        <v>0.56282570932252463</v>
      </c>
      <c r="BN713" s="1">
        <f t="shared" si="333"/>
        <v>6.241288503850257E-2</v>
      </c>
      <c r="BO713" s="1">
        <f t="shared" si="335"/>
        <v>8.9569046703589228E-3</v>
      </c>
    </row>
    <row r="714" spans="3:67" x14ac:dyDescent="0.25">
      <c r="C714" t="s">
        <v>744</v>
      </c>
      <c r="G714">
        <v>0</v>
      </c>
      <c r="H714">
        <v>17.27</v>
      </c>
      <c r="I714">
        <v>6.48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6.48</v>
      </c>
      <c r="P714">
        <v>0</v>
      </c>
      <c r="Q714">
        <v>69.77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42</v>
      </c>
      <c r="AK714" t="s">
        <v>1</v>
      </c>
      <c r="AL714" t="s">
        <v>372</v>
      </c>
      <c r="AQ714" s="1">
        <f t="shared" si="334"/>
        <v>100</v>
      </c>
      <c r="AR714" s="1">
        <f t="shared" si="319"/>
        <v>6.480000000000001E-2</v>
      </c>
      <c r="AS714" s="1">
        <f t="shared" si="320"/>
        <v>0</v>
      </c>
      <c r="AT714" s="1">
        <f t="shared" si="321"/>
        <v>0.17269999999999999</v>
      </c>
      <c r="AU714" s="1">
        <f t="shared" si="322"/>
        <v>0.69769999999999999</v>
      </c>
      <c r="AV714" s="1">
        <f t="shared" si="323"/>
        <v>0.42</v>
      </c>
      <c r="AX714" s="1">
        <f t="shared" si="324"/>
        <v>4.039953676896352</v>
      </c>
      <c r="AY714" s="1">
        <f t="shared" si="325"/>
        <v>0.37521713954834984</v>
      </c>
      <c r="AZ714" s="1">
        <f t="shared" si="326"/>
        <v>0.75249710480602205</v>
      </c>
      <c r="BA714" s="1">
        <f t="shared" si="327"/>
        <v>1.509988419224088</v>
      </c>
      <c r="BB714" s="1">
        <f t="shared" si="328"/>
        <v>0.37521713954834984</v>
      </c>
      <c r="BC714" s="1">
        <f t="shared" si="329"/>
        <v>0.37521713954834984</v>
      </c>
      <c r="BD714" s="1">
        <f t="shared" si="330"/>
        <v>4.4782860451650142E-2</v>
      </c>
      <c r="BF714">
        <f t="shared" si="313"/>
        <v>17.27</v>
      </c>
      <c r="BG714">
        <f t="shared" si="318"/>
        <v>9.7200000000000006</v>
      </c>
      <c r="BH714" s="1">
        <f t="shared" si="314"/>
        <v>4.039953676896352</v>
      </c>
      <c r="BI714" s="1">
        <f t="shared" si="315"/>
        <v>0.56282570932252463</v>
      </c>
      <c r="BJ714" s="1">
        <f t="shared" si="316"/>
        <v>0.66675911986103065</v>
      </c>
      <c r="BK714" s="1">
        <f t="shared" si="317"/>
        <v>2.1240567458019686</v>
      </c>
      <c r="BL714" s="1">
        <f t="shared" si="331"/>
        <v>0.56282570932252463</v>
      </c>
      <c r="BM714" s="1">
        <f t="shared" si="332"/>
        <v>0.56282570932252463</v>
      </c>
      <c r="BN714" s="1">
        <f t="shared" si="333"/>
        <v>2.0399183243482302E-2</v>
      </c>
      <c r="BO714" s="1">
        <f t="shared" si="335"/>
        <v>1.527467367487362E-4</v>
      </c>
    </row>
    <row r="715" spans="3:67" x14ac:dyDescent="0.25">
      <c r="C715" t="s">
        <v>745</v>
      </c>
      <c r="G715">
        <v>0</v>
      </c>
      <c r="H715">
        <v>17.27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6.48</v>
      </c>
      <c r="P715">
        <v>0</v>
      </c>
      <c r="Q715">
        <v>69.77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6.48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51.7</v>
      </c>
      <c r="AK715" t="s">
        <v>1</v>
      </c>
      <c r="AL715" t="s">
        <v>372</v>
      </c>
      <c r="AQ715" s="1">
        <f t="shared" si="334"/>
        <v>100</v>
      </c>
      <c r="AR715" s="1">
        <f t="shared" si="319"/>
        <v>6.480000000000001E-2</v>
      </c>
      <c r="AS715" s="1">
        <f t="shared" si="320"/>
        <v>0</v>
      </c>
      <c r="AT715" s="1">
        <f t="shared" si="321"/>
        <v>0.17269999999999999</v>
      </c>
      <c r="AU715" s="1">
        <f t="shared" si="322"/>
        <v>0.69769999999999999</v>
      </c>
      <c r="AV715" s="1">
        <f t="shared" si="323"/>
        <v>0.51700000000000002</v>
      </c>
      <c r="AX715" s="1">
        <f t="shared" si="324"/>
        <v>4.039953676896352</v>
      </c>
      <c r="AY715" s="1">
        <f t="shared" si="325"/>
        <v>0.37521713954834984</v>
      </c>
      <c r="AZ715" s="1">
        <f t="shared" si="326"/>
        <v>0.75249710480602205</v>
      </c>
      <c r="BA715" s="1">
        <f t="shared" si="327"/>
        <v>1.509988419224088</v>
      </c>
      <c r="BB715" s="1">
        <f t="shared" si="328"/>
        <v>0.37521713954834984</v>
      </c>
      <c r="BC715" s="1">
        <f t="shared" si="329"/>
        <v>0.37521713954834984</v>
      </c>
      <c r="BD715" s="1">
        <f t="shared" si="330"/>
        <v>0.14178286045165017</v>
      </c>
      <c r="BF715">
        <f t="shared" si="313"/>
        <v>17.27</v>
      </c>
      <c r="BG715">
        <f t="shared" si="318"/>
        <v>9.7200000000000006</v>
      </c>
      <c r="BH715" s="1">
        <f t="shared" si="314"/>
        <v>4.039953676896352</v>
      </c>
      <c r="BI715" s="1">
        <f t="shared" si="315"/>
        <v>0.56282570932252463</v>
      </c>
      <c r="BJ715" s="1">
        <f t="shared" si="316"/>
        <v>0.66675911986103065</v>
      </c>
      <c r="BK715" s="1">
        <f t="shared" si="317"/>
        <v>2.1240567458019686</v>
      </c>
      <c r="BL715" s="1">
        <f t="shared" si="331"/>
        <v>0.56282570932252463</v>
      </c>
      <c r="BM715" s="1">
        <f t="shared" si="332"/>
        <v>0.56282570932252463</v>
      </c>
      <c r="BN715" s="1">
        <f t="shared" si="333"/>
        <v>2.0999956349125192E-3</v>
      </c>
      <c r="BO715" s="1">
        <f t="shared" si="335"/>
        <v>1.1959407301606795E-2</v>
      </c>
    </row>
    <row r="716" spans="3:67" x14ac:dyDescent="0.25">
      <c r="C716" t="s">
        <v>746</v>
      </c>
      <c r="G716">
        <v>0</v>
      </c>
      <c r="H716">
        <v>17.27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6.48</v>
      </c>
      <c r="P716">
        <v>0</v>
      </c>
      <c r="Q716">
        <v>69.77</v>
      </c>
      <c r="R716">
        <v>0</v>
      </c>
      <c r="S716">
        <v>0</v>
      </c>
      <c r="T716">
        <v>0</v>
      </c>
      <c r="U716">
        <v>0</v>
      </c>
      <c r="V716">
        <v>6.48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56</v>
      </c>
      <c r="AK716" t="s">
        <v>1</v>
      </c>
      <c r="AL716" t="s">
        <v>372</v>
      </c>
      <c r="AQ716" s="1">
        <f t="shared" si="334"/>
        <v>100</v>
      </c>
      <c r="AR716" s="1">
        <f t="shared" si="319"/>
        <v>6.480000000000001E-2</v>
      </c>
      <c r="AS716" s="1">
        <f t="shared" si="320"/>
        <v>0</v>
      </c>
      <c r="AT716" s="1">
        <f t="shared" si="321"/>
        <v>0.17269999999999999</v>
      </c>
      <c r="AU716" s="1">
        <f t="shared" si="322"/>
        <v>0.69769999999999999</v>
      </c>
      <c r="AV716" s="1">
        <f t="shared" si="323"/>
        <v>0.56000000000000005</v>
      </c>
      <c r="AX716" s="1">
        <f t="shared" si="324"/>
        <v>4.039953676896352</v>
      </c>
      <c r="AY716" s="1">
        <f t="shared" si="325"/>
        <v>0.37521713954834984</v>
      </c>
      <c r="AZ716" s="1">
        <f t="shared" si="326"/>
        <v>0.75249710480602205</v>
      </c>
      <c r="BA716" s="1">
        <f t="shared" si="327"/>
        <v>1.509988419224088</v>
      </c>
      <c r="BB716" s="1">
        <f t="shared" si="328"/>
        <v>0.37521713954834984</v>
      </c>
      <c r="BC716" s="1">
        <f t="shared" si="329"/>
        <v>0.37521713954834984</v>
      </c>
      <c r="BD716" s="1">
        <f t="shared" si="330"/>
        <v>0.18478286045165021</v>
      </c>
      <c r="BF716">
        <f t="shared" si="313"/>
        <v>17.27</v>
      </c>
      <c r="BG716">
        <f t="shared" si="318"/>
        <v>9.7200000000000006</v>
      </c>
      <c r="BH716" s="1">
        <f t="shared" si="314"/>
        <v>4.039953676896352</v>
      </c>
      <c r="BI716" s="1">
        <f t="shared" si="315"/>
        <v>0.56282570932252463</v>
      </c>
      <c r="BJ716" s="1">
        <f t="shared" si="316"/>
        <v>0.66675911986103065</v>
      </c>
      <c r="BK716" s="1">
        <f t="shared" si="317"/>
        <v>2.1240567458019686</v>
      </c>
      <c r="BL716" s="1">
        <f t="shared" si="331"/>
        <v>0.56282570932252463</v>
      </c>
      <c r="BM716" s="1">
        <f t="shared" si="332"/>
        <v>0.56282570932252463</v>
      </c>
      <c r="BN716" s="1">
        <f t="shared" si="333"/>
        <v>7.9846331754022766E-6</v>
      </c>
      <c r="BO716" s="1">
        <f t="shared" si="335"/>
        <v>2.3213287758193368E-2</v>
      </c>
    </row>
    <row r="717" spans="3:67" x14ac:dyDescent="0.25">
      <c r="C717" t="s">
        <v>747</v>
      </c>
      <c r="G717">
        <v>0</v>
      </c>
      <c r="H717">
        <v>19.61</v>
      </c>
      <c r="I717">
        <v>0</v>
      </c>
      <c r="J717">
        <v>0</v>
      </c>
      <c r="K717">
        <v>0</v>
      </c>
      <c r="L717">
        <v>0</v>
      </c>
      <c r="M717">
        <v>20.59</v>
      </c>
      <c r="N717">
        <v>0</v>
      </c>
      <c r="O717">
        <v>20.59</v>
      </c>
      <c r="P717">
        <v>0</v>
      </c>
      <c r="Q717">
        <v>39.21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54.7</v>
      </c>
      <c r="AK717" t="s">
        <v>1</v>
      </c>
      <c r="AL717" t="s">
        <v>372</v>
      </c>
      <c r="AQ717" s="1">
        <f t="shared" si="334"/>
        <v>100</v>
      </c>
      <c r="AR717" s="1">
        <f t="shared" si="319"/>
        <v>0.4118</v>
      </c>
      <c r="AS717" s="1">
        <f t="shared" si="320"/>
        <v>0</v>
      </c>
      <c r="AT717" s="1">
        <f t="shared" si="321"/>
        <v>0.1961</v>
      </c>
      <c r="AU717" s="1">
        <f t="shared" si="322"/>
        <v>0.3921</v>
      </c>
      <c r="AV717" s="1">
        <f t="shared" si="323"/>
        <v>0.54700000000000004</v>
      </c>
      <c r="AX717" s="1">
        <f t="shared" si="324"/>
        <v>1.9994900560938298</v>
      </c>
      <c r="AY717" s="1">
        <f t="shared" si="325"/>
        <v>2.0999490056093828</v>
      </c>
      <c r="AZ717" s="1">
        <f t="shared" si="326"/>
        <v>0.62496812850586436</v>
      </c>
      <c r="BA717" s="1">
        <f t="shared" si="327"/>
        <v>0.99987251402345745</v>
      </c>
      <c r="BB717" s="1">
        <f t="shared" si="328"/>
        <v>0.3957679933162217</v>
      </c>
      <c r="BC717" s="1">
        <f t="shared" si="329"/>
        <v>0.3957679933162217</v>
      </c>
      <c r="BD717" s="1">
        <f t="shared" si="330"/>
        <v>0.15123200668377834</v>
      </c>
      <c r="BF717">
        <f t="shared" si="313"/>
        <v>19.61</v>
      </c>
      <c r="BG717">
        <f t="shared" si="318"/>
        <v>41.18</v>
      </c>
      <c r="BH717" s="1">
        <f t="shared" si="314"/>
        <v>1.9994900560938298</v>
      </c>
      <c r="BI717" s="1">
        <f t="shared" si="315"/>
        <v>2.0999490056093828</v>
      </c>
      <c r="BJ717" s="1">
        <f t="shared" si="316"/>
        <v>0.62799031106578274</v>
      </c>
      <c r="BK717" s="1">
        <f t="shared" si="317"/>
        <v>1.0997440081591026</v>
      </c>
      <c r="BL717" s="1">
        <f t="shared" si="331"/>
        <v>0.41959832888419252</v>
      </c>
      <c r="BM717" s="1">
        <f t="shared" si="332"/>
        <v>0.41959832888419252</v>
      </c>
      <c r="BN717" s="1">
        <f t="shared" si="333"/>
        <v>1.6231185803100387E-2</v>
      </c>
      <c r="BO717" s="1">
        <f t="shared" si="335"/>
        <v>1.942095180620208E-2</v>
      </c>
    </row>
    <row r="718" spans="3:67" x14ac:dyDescent="0.25">
      <c r="C718" t="s">
        <v>748</v>
      </c>
      <c r="G718">
        <v>0</v>
      </c>
      <c r="H718">
        <v>19.61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41.18</v>
      </c>
      <c r="P718">
        <v>0</v>
      </c>
      <c r="Q718">
        <v>39.21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48.7</v>
      </c>
      <c r="AK718" t="s">
        <v>1</v>
      </c>
      <c r="AL718" t="s">
        <v>372</v>
      </c>
      <c r="AQ718" s="1">
        <f t="shared" si="334"/>
        <v>100</v>
      </c>
      <c r="AR718" s="1">
        <f t="shared" si="319"/>
        <v>0.4118</v>
      </c>
      <c r="AS718" s="1">
        <f t="shared" si="320"/>
        <v>0</v>
      </c>
      <c r="AT718" s="1">
        <f t="shared" si="321"/>
        <v>0.1961</v>
      </c>
      <c r="AU718" s="1">
        <f t="shared" si="322"/>
        <v>0.3921</v>
      </c>
      <c r="AV718" s="1">
        <f t="shared" si="323"/>
        <v>0.48700000000000004</v>
      </c>
      <c r="AX718" s="1">
        <f t="shared" si="324"/>
        <v>1.9994900560938298</v>
      </c>
      <c r="AY718" s="1">
        <f t="shared" si="325"/>
        <v>2.0999490056093828</v>
      </c>
      <c r="AZ718" s="1">
        <f t="shared" si="326"/>
        <v>0.62496812850586436</v>
      </c>
      <c r="BA718" s="1">
        <f t="shared" si="327"/>
        <v>0.99987251402345745</v>
      </c>
      <c r="BB718" s="1">
        <f t="shared" si="328"/>
        <v>0.3957679933162217</v>
      </c>
      <c r="BC718" s="1">
        <f t="shared" si="329"/>
        <v>0.3957679933162217</v>
      </c>
      <c r="BD718" s="1">
        <f t="shared" si="330"/>
        <v>9.1232006683778344E-2</v>
      </c>
      <c r="BF718">
        <f t="shared" si="313"/>
        <v>19.61</v>
      </c>
      <c r="BG718">
        <f t="shared" si="318"/>
        <v>41.18</v>
      </c>
      <c r="BH718" s="1">
        <f t="shared" si="314"/>
        <v>1.9994900560938298</v>
      </c>
      <c r="BI718" s="1">
        <f t="shared" si="315"/>
        <v>2.0999490056093828</v>
      </c>
      <c r="BJ718" s="1">
        <f t="shared" si="316"/>
        <v>0.62799031106578274</v>
      </c>
      <c r="BK718" s="1">
        <f t="shared" si="317"/>
        <v>1.0997440081591026</v>
      </c>
      <c r="BL718" s="1">
        <f t="shared" si="331"/>
        <v>0.41959832888419252</v>
      </c>
      <c r="BM718" s="1">
        <f t="shared" si="332"/>
        <v>0.41959832888419252</v>
      </c>
      <c r="BN718" s="1">
        <f t="shared" si="333"/>
        <v>4.5429852692034827E-3</v>
      </c>
      <c r="BO718" s="1">
        <f t="shared" si="335"/>
        <v>6.297862797011524E-3</v>
      </c>
    </row>
    <row r="719" spans="3:67" x14ac:dyDescent="0.25">
      <c r="C719" t="s">
        <v>749</v>
      </c>
      <c r="G719">
        <v>0</v>
      </c>
      <c r="H719">
        <v>19.61</v>
      </c>
      <c r="I719">
        <v>0</v>
      </c>
      <c r="J719">
        <v>0</v>
      </c>
      <c r="K719">
        <v>0</v>
      </c>
      <c r="L719">
        <v>20.59</v>
      </c>
      <c r="M719">
        <v>0</v>
      </c>
      <c r="N719">
        <v>0</v>
      </c>
      <c r="O719">
        <v>20.59</v>
      </c>
      <c r="P719">
        <v>0</v>
      </c>
      <c r="Q719">
        <v>39.21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43.9</v>
      </c>
      <c r="AK719" t="s">
        <v>1</v>
      </c>
      <c r="AL719" t="s">
        <v>372</v>
      </c>
      <c r="AQ719" s="1">
        <f t="shared" si="334"/>
        <v>100</v>
      </c>
      <c r="AR719" s="1">
        <f t="shared" si="319"/>
        <v>0.4118</v>
      </c>
      <c r="AS719" s="1">
        <f t="shared" si="320"/>
        <v>0</v>
      </c>
      <c r="AT719" s="1">
        <f t="shared" si="321"/>
        <v>0.1961</v>
      </c>
      <c r="AU719" s="1">
        <f t="shared" si="322"/>
        <v>0.3921</v>
      </c>
      <c r="AV719" s="1">
        <f t="shared" si="323"/>
        <v>0.439</v>
      </c>
      <c r="AX719" s="1">
        <f t="shared" si="324"/>
        <v>1.9994900560938298</v>
      </c>
      <c r="AY719" s="1">
        <f t="shared" si="325"/>
        <v>2.0999490056093828</v>
      </c>
      <c r="AZ719" s="1">
        <f t="shared" si="326"/>
        <v>0.62496812850586436</v>
      </c>
      <c r="BA719" s="1">
        <f t="shared" si="327"/>
        <v>0.99987251402345745</v>
      </c>
      <c r="BB719" s="1">
        <f t="shared" si="328"/>
        <v>0.3957679933162217</v>
      </c>
      <c r="BC719" s="1">
        <f t="shared" si="329"/>
        <v>0.3957679933162217</v>
      </c>
      <c r="BD719" s="1">
        <f t="shared" si="330"/>
        <v>4.3232006683778301E-2</v>
      </c>
      <c r="BF719">
        <f t="shared" si="313"/>
        <v>19.61</v>
      </c>
      <c r="BG719">
        <f t="shared" si="318"/>
        <v>41.18</v>
      </c>
      <c r="BH719" s="1">
        <f t="shared" si="314"/>
        <v>1.9994900560938298</v>
      </c>
      <c r="BI719" s="1">
        <f t="shared" si="315"/>
        <v>2.0999490056093828</v>
      </c>
      <c r="BJ719" s="1">
        <f t="shared" si="316"/>
        <v>0.62799031106578274</v>
      </c>
      <c r="BK719" s="1">
        <f t="shared" si="317"/>
        <v>1.0997440081591026</v>
      </c>
      <c r="BL719" s="1">
        <f t="shared" si="331"/>
        <v>0.41959832888419252</v>
      </c>
      <c r="BM719" s="1">
        <f t="shared" si="332"/>
        <v>0.41959832888419252</v>
      </c>
      <c r="BN719" s="1">
        <f t="shared" si="333"/>
        <v>3.764248420859584E-4</v>
      </c>
      <c r="BO719" s="1">
        <f t="shared" si="335"/>
        <v>9.8339158965907755E-4</v>
      </c>
    </row>
    <row r="720" spans="3:67" x14ac:dyDescent="0.25">
      <c r="C720" t="s">
        <v>750</v>
      </c>
      <c r="G720">
        <v>0</v>
      </c>
      <c r="H720">
        <v>19.61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20.59</v>
      </c>
      <c r="P720">
        <v>0</v>
      </c>
      <c r="Q720">
        <v>39.21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20.59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40.6</v>
      </c>
      <c r="AK720" t="s">
        <v>1</v>
      </c>
      <c r="AL720" t="s">
        <v>372</v>
      </c>
      <c r="AQ720" s="1">
        <f t="shared" si="334"/>
        <v>100</v>
      </c>
      <c r="AR720" s="1">
        <f t="shared" si="319"/>
        <v>0.2059</v>
      </c>
      <c r="AS720" s="1">
        <f t="shared" si="320"/>
        <v>0</v>
      </c>
      <c r="AT720" s="1">
        <f t="shared" si="321"/>
        <v>0.1961</v>
      </c>
      <c r="AU720" s="1">
        <f t="shared" si="322"/>
        <v>0.3921</v>
      </c>
      <c r="AV720" s="1">
        <f t="shared" si="323"/>
        <v>0.40600000000000003</v>
      </c>
      <c r="AX720" s="1">
        <f t="shared" si="324"/>
        <v>1.9994900560938298</v>
      </c>
      <c r="AY720" s="1">
        <f t="shared" si="325"/>
        <v>1.0499745028046914</v>
      </c>
      <c r="AZ720" s="1">
        <f t="shared" si="326"/>
        <v>0.62496812850586436</v>
      </c>
      <c r="BA720" s="1">
        <f t="shared" si="327"/>
        <v>0.99987251402345745</v>
      </c>
      <c r="BB720" s="1">
        <f t="shared" si="328"/>
        <v>0.61452941566202046</v>
      </c>
      <c r="BC720" s="1">
        <f t="shared" si="329"/>
        <v>0.61452941566202046</v>
      </c>
      <c r="BD720" s="1">
        <f t="shared" si="330"/>
        <v>0.20852941566202043</v>
      </c>
      <c r="BF720">
        <f t="shared" si="313"/>
        <v>19.61</v>
      </c>
      <c r="BG720">
        <f t="shared" si="318"/>
        <v>41.18</v>
      </c>
      <c r="BH720" s="1">
        <f t="shared" si="314"/>
        <v>1.9994900560938298</v>
      </c>
      <c r="BI720" s="1">
        <f t="shared" si="315"/>
        <v>2.0999490056093828</v>
      </c>
      <c r="BJ720" s="1">
        <f t="shared" si="316"/>
        <v>0.62799031106578274</v>
      </c>
      <c r="BK720" s="1">
        <f t="shared" si="317"/>
        <v>1.0997440081591026</v>
      </c>
      <c r="BL720" s="1">
        <f t="shared" si="331"/>
        <v>0.41959832888419252</v>
      </c>
      <c r="BM720" s="1">
        <f t="shared" si="332"/>
        <v>0.41959832888419252</v>
      </c>
      <c r="BN720" s="1">
        <f t="shared" si="333"/>
        <v>1.8491454844266376E-4</v>
      </c>
      <c r="BO720" s="1">
        <f t="shared" si="335"/>
        <v>2.6926346042748656E-6</v>
      </c>
    </row>
    <row r="721" spans="3:67" x14ac:dyDescent="0.25">
      <c r="C721" t="s">
        <v>751</v>
      </c>
      <c r="G721">
        <v>0</v>
      </c>
      <c r="H721">
        <v>19.61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20.59</v>
      </c>
      <c r="O721">
        <v>20.59</v>
      </c>
      <c r="P721">
        <v>0</v>
      </c>
      <c r="Q721">
        <v>39.21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40.200000000000003</v>
      </c>
      <c r="AK721" t="s">
        <v>1</v>
      </c>
      <c r="AL721" t="s">
        <v>372</v>
      </c>
      <c r="AQ721" s="1">
        <f t="shared" si="334"/>
        <v>100</v>
      </c>
      <c r="AR721" s="1">
        <f t="shared" si="319"/>
        <v>0.2059</v>
      </c>
      <c r="AS721" s="1">
        <f t="shared" si="320"/>
        <v>0</v>
      </c>
      <c r="AT721" s="1">
        <f t="shared" si="321"/>
        <v>0.1961</v>
      </c>
      <c r="AU721" s="1">
        <f t="shared" si="322"/>
        <v>0.3921</v>
      </c>
      <c r="AV721" s="1">
        <f t="shared" si="323"/>
        <v>0.40200000000000002</v>
      </c>
      <c r="AX721" s="1">
        <f t="shared" si="324"/>
        <v>1.9994900560938298</v>
      </c>
      <c r="AY721" s="1">
        <f t="shared" si="325"/>
        <v>1.0499745028046914</v>
      </c>
      <c r="AZ721" s="1">
        <f t="shared" si="326"/>
        <v>0.62496812850586436</v>
      </c>
      <c r="BA721" s="1">
        <f t="shared" si="327"/>
        <v>0.99987251402345745</v>
      </c>
      <c r="BB721" s="1">
        <f t="shared" si="328"/>
        <v>0.61452941566202046</v>
      </c>
      <c r="BC721" s="1">
        <f t="shared" si="329"/>
        <v>0.61452941566202046</v>
      </c>
      <c r="BD721" s="1">
        <f t="shared" si="330"/>
        <v>0.21252941566202044</v>
      </c>
      <c r="BF721">
        <f t="shared" si="313"/>
        <v>19.61</v>
      </c>
      <c r="BG721">
        <f t="shared" si="318"/>
        <v>30.884999999999998</v>
      </c>
      <c r="BH721" s="1">
        <f t="shared" si="314"/>
        <v>1.9994900560938298</v>
      </c>
      <c r="BI721" s="1">
        <f t="shared" si="315"/>
        <v>1.5749617542070371</v>
      </c>
      <c r="BJ721" s="1">
        <f t="shared" si="316"/>
        <v>0.62799031106578274</v>
      </c>
      <c r="BK721" s="1">
        <f t="shared" si="317"/>
        <v>1.0997440081591026</v>
      </c>
      <c r="BL721" s="1">
        <f t="shared" si="331"/>
        <v>0.52897904005709184</v>
      </c>
      <c r="BM721" s="1">
        <f t="shared" si="332"/>
        <v>0.52897904005709184</v>
      </c>
      <c r="BN721" s="1">
        <f t="shared" si="333"/>
        <v>1.6123676613820529E-2</v>
      </c>
      <c r="BO721" s="1">
        <f t="shared" si="335"/>
        <v>3.1820033991571361E-5</v>
      </c>
    </row>
    <row r="722" spans="3:67" x14ac:dyDescent="0.25">
      <c r="C722" t="s">
        <v>752</v>
      </c>
      <c r="G722">
        <v>0</v>
      </c>
      <c r="H722">
        <v>19.61</v>
      </c>
      <c r="I722">
        <v>20.59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20.59</v>
      </c>
      <c r="P722">
        <v>0</v>
      </c>
      <c r="Q722">
        <v>39.21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45.3</v>
      </c>
      <c r="AK722" t="s">
        <v>1</v>
      </c>
      <c r="AL722" t="s">
        <v>372</v>
      </c>
      <c r="AQ722" s="1">
        <f t="shared" si="334"/>
        <v>100</v>
      </c>
      <c r="AR722" s="1">
        <f t="shared" si="319"/>
        <v>0.2059</v>
      </c>
      <c r="AS722" s="1">
        <f t="shared" si="320"/>
        <v>0</v>
      </c>
      <c r="AT722" s="1">
        <f t="shared" si="321"/>
        <v>0.1961</v>
      </c>
      <c r="AU722" s="1">
        <f t="shared" si="322"/>
        <v>0.3921</v>
      </c>
      <c r="AV722" s="1">
        <f t="shared" si="323"/>
        <v>0.45299999999999996</v>
      </c>
      <c r="AX722" s="1">
        <f t="shared" si="324"/>
        <v>1.9994900560938298</v>
      </c>
      <c r="AY722" s="1">
        <f t="shared" si="325"/>
        <v>1.0499745028046914</v>
      </c>
      <c r="AZ722" s="1">
        <f t="shared" si="326"/>
        <v>0.62496812850586436</v>
      </c>
      <c r="BA722" s="1">
        <f t="shared" si="327"/>
        <v>0.99987251402345745</v>
      </c>
      <c r="BB722" s="1">
        <f t="shared" si="328"/>
        <v>0.61452941566202046</v>
      </c>
      <c r="BC722" s="1">
        <f t="shared" si="329"/>
        <v>0.61452941566202046</v>
      </c>
      <c r="BD722" s="1">
        <f t="shared" si="330"/>
        <v>0.1615294156620205</v>
      </c>
      <c r="BF722">
        <f t="shared" si="313"/>
        <v>19.61</v>
      </c>
      <c r="BG722">
        <f t="shared" si="318"/>
        <v>30.884999999999998</v>
      </c>
      <c r="BH722" s="1">
        <f t="shared" si="314"/>
        <v>1.9994900560938298</v>
      </c>
      <c r="BI722" s="1">
        <f t="shared" si="315"/>
        <v>1.5749617542070371</v>
      </c>
      <c r="BJ722" s="1">
        <f t="shared" si="316"/>
        <v>0.62799031106578274</v>
      </c>
      <c r="BK722" s="1">
        <f t="shared" si="317"/>
        <v>1.0997440081591026</v>
      </c>
      <c r="BL722" s="1">
        <f t="shared" si="331"/>
        <v>0.52897904005709184</v>
      </c>
      <c r="BM722" s="1">
        <f t="shared" si="332"/>
        <v>0.52897904005709184</v>
      </c>
      <c r="BN722" s="1">
        <f t="shared" si="333"/>
        <v>5.7728145279971731E-3</v>
      </c>
      <c r="BO722" s="1">
        <f t="shared" si="335"/>
        <v>2.0574456918035352E-3</v>
      </c>
    </row>
    <row r="723" spans="3:67" x14ac:dyDescent="0.25">
      <c r="C723" t="s">
        <v>753</v>
      </c>
      <c r="G723">
        <v>0</v>
      </c>
      <c r="H723">
        <v>19.61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20.59</v>
      </c>
      <c r="P723">
        <v>0</v>
      </c>
      <c r="Q723">
        <v>39.21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20.59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50.1</v>
      </c>
      <c r="AK723" t="s">
        <v>1</v>
      </c>
      <c r="AL723" t="s">
        <v>372</v>
      </c>
      <c r="AQ723" s="1">
        <f t="shared" si="334"/>
        <v>100</v>
      </c>
      <c r="AR723" s="1">
        <f t="shared" si="319"/>
        <v>0.2059</v>
      </c>
      <c r="AS723" s="1">
        <f t="shared" si="320"/>
        <v>0</v>
      </c>
      <c r="AT723" s="1">
        <f t="shared" si="321"/>
        <v>0.1961</v>
      </c>
      <c r="AU723" s="1">
        <f t="shared" si="322"/>
        <v>0.3921</v>
      </c>
      <c r="AV723" s="1">
        <f t="shared" si="323"/>
        <v>0.501</v>
      </c>
      <c r="AX723" s="1">
        <f t="shared" si="324"/>
        <v>1.9994900560938298</v>
      </c>
      <c r="AY723" s="1">
        <f t="shared" si="325"/>
        <v>1.0499745028046914</v>
      </c>
      <c r="AZ723" s="1">
        <f t="shared" si="326"/>
        <v>0.62496812850586436</v>
      </c>
      <c r="BA723" s="1">
        <f t="shared" si="327"/>
        <v>0.99987251402345745</v>
      </c>
      <c r="BB723" s="1">
        <f t="shared" si="328"/>
        <v>0.61452941566202046</v>
      </c>
      <c r="BC723" s="1">
        <f t="shared" si="329"/>
        <v>0.61452941566202046</v>
      </c>
      <c r="BD723" s="1">
        <f t="shared" si="330"/>
        <v>0.11352941566202046</v>
      </c>
      <c r="BF723">
        <f t="shared" si="313"/>
        <v>19.61</v>
      </c>
      <c r="BG723">
        <f t="shared" si="318"/>
        <v>30.884999999999998</v>
      </c>
      <c r="BH723" s="1">
        <f t="shared" si="314"/>
        <v>1.9994900560938298</v>
      </c>
      <c r="BI723" s="1">
        <f t="shared" si="315"/>
        <v>1.5749617542070371</v>
      </c>
      <c r="BJ723" s="1">
        <f t="shared" si="316"/>
        <v>0.62799031106578274</v>
      </c>
      <c r="BK723" s="1">
        <f t="shared" si="317"/>
        <v>1.0997440081591026</v>
      </c>
      <c r="BL723" s="1">
        <f t="shared" si="331"/>
        <v>0.52897904005709184</v>
      </c>
      <c r="BM723" s="1">
        <f t="shared" si="332"/>
        <v>0.52897904005709184</v>
      </c>
      <c r="BN723" s="1">
        <f t="shared" si="333"/>
        <v>7.8282668251634989E-4</v>
      </c>
      <c r="BO723" s="1">
        <f t="shared" si="335"/>
        <v>8.7159168991559795E-3</v>
      </c>
    </row>
    <row r="724" spans="3:67" x14ac:dyDescent="0.25">
      <c r="C724" t="s">
        <v>754</v>
      </c>
      <c r="G724">
        <v>0</v>
      </c>
      <c r="H724">
        <v>19.61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20.59</v>
      </c>
      <c r="P724">
        <v>0</v>
      </c>
      <c r="Q724">
        <v>39.21</v>
      </c>
      <c r="R724">
        <v>0</v>
      </c>
      <c r="S724">
        <v>0</v>
      </c>
      <c r="T724">
        <v>0</v>
      </c>
      <c r="U724">
        <v>0</v>
      </c>
      <c r="V724">
        <v>20.59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51.7</v>
      </c>
      <c r="AK724" t="s">
        <v>1</v>
      </c>
      <c r="AL724" t="s">
        <v>372</v>
      </c>
      <c r="AQ724" s="1">
        <f t="shared" si="334"/>
        <v>100</v>
      </c>
      <c r="AR724" s="1">
        <f t="shared" si="319"/>
        <v>0.2059</v>
      </c>
      <c r="AS724" s="1">
        <f t="shared" si="320"/>
        <v>0</v>
      </c>
      <c r="AT724" s="1">
        <f t="shared" si="321"/>
        <v>0.1961</v>
      </c>
      <c r="AU724" s="1">
        <f t="shared" si="322"/>
        <v>0.3921</v>
      </c>
      <c r="AV724" s="1">
        <f t="shared" si="323"/>
        <v>0.51700000000000002</v>
      </c>
      <c r="AX724" s="1">
        <f t="shared" si="324"/>
        <v>1.9994900560938298</v>
      </c>
      <c r="AY724" s="1">
        <f t="shared" si="325"/>
        <v>1.0499745028046914</v>
      </c>
      <c r="AZ724" s="1">
        <f t="shared" si="326"/>
        <v>0.62496812850586436</v>
      </c>
      <c r="BA724" s="1">
        <f t="shared" si="327"/>
        <v>0.99987251402345745</v>
      </c>
      <c r="BB724" s="1">
        <f t="shared" si="328"/>
        <v>0.61452941566202046</v>
      </c>
      <c r="BC724" s="1">
        <f t="shared" si="329"/>
        <v>0.61452941566202046</v>
      </c>
      <c r="BD724" s="1">
        <f t="shared" si="330"/>
        <v>9.7529415662020447E-2</v>
      </c>
      <c r="BF724">
        <f t="shared" si="313"/>
        <v>19.61</v>
      </c>
      <c r="BG724">
        <f t="shared" si="318"/>
        <v>30.884999999999998</v>
      </c>
      <c r="BH724" s="1">
        <f t="shared" si="314"/>
        <v>1.9994900560938298</v>
      </c>
      <c r="BI724" s="1">
        <f t="shared" si="315"/>
        <v>1.5749617542070371</v>
      </c>
      <c r="BJ724" s="1">
        <f t="shared" si="316"/>
        <v>0.62799031106578274</v>
      </c>
      <c r="BK724" s="1">
        <f t="shared" si="317"/>
        <v>1.0997440081591026</v>
      </c>
      <c r="BL724" s="1">
        <f t="shared" si="331"/>
        <v>0.52897904005709184</v>
      </c>
      <c r="BM724" s="1">
        <f t="shared" si="332"/>
        <v>0.52897904005709184</v>
      </c>
      <c r="BN724" s="1">
        <f t="shared" si="333"/>
        <v>1.4349740068941058E-4</v>
      </c>
      <c r="BO724" s="1">
        <f t="shared" si="335"/>
        <v>1.1959407301606795E-2</v>
      </c>
    </row>
    <row r="725" spans="3:67" x14ac:dyDescent="0.25">
      <c r="C725" t="s">
        <v>755</v>
      </c>
      <c r="G725">
        <v>0</v>
      </c>
      <c r="H725">
        <v>14.08</v>
      </c>
      <c r="I725">
        <v>0</v>
      </c>
      <c r="J725">
        <v>0</v>
      </c>
      <c r="K725">
        <v>0</v>
      </c>
      <c r="L725">
        <v>0</v>
      </c>
      <c r="M725">
        <v>14.79</v>
      </c>
      <c r="N725">
        <v>0</v>
      </c>
      <c r="O725">
        <v>14.79</v>
      </c>
      <c r="P725">
        <v>0</v>
      </c>
      <c r="Q725">
        <v>56.34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69</v>
      </c>
      <c r="AK725" t="s">
        <v>1</v>
      </c>
      <c r="AL725" t="s">
        <v>372</v>
      </c>
      <c r="AQ725" s="1">
        <f t="shared" si="334"/>
        <v>100</v>
      </c>
      <c r="AR725" s="1">
        <f t="shared" si="319"/>
        <v>0.29580000000000001</v>
      </c>
      <c r="AS725" s="1">
        <f t="shared" si="320"/>
        <v>0</v>
      </c>
      <c r="AT725" s="1">
        <f t="shared" si="321"/>
        <v>0.14080000000000001</v>
      </c>
      <c r="AU725" s="1">
        <f t="shared" si="322"/>
        <v>0.56340000000000001</v>
      </c>
      <c r="AV725" s="1">
        <f t="shared" si="323"/>
        <v>0.69</v>
      </c>
      <c r="AX725" s="1">
        <f t="shared" si="324"/>
        <v>4.0014204545454541</v>
      </c>
      <c r="AY725" s="1">
        <f t="shared" si="325"/>
        <v>2.1008522727272725</v>
      </c>
      <c r="AZ725" s="1">
        <f t="shared" si="326"/>
        <v>0.75008877840909083</v>
      </c>
      <c r="BA725" s="1">
        <f t="shared" si="327"/>
        <v>1.5003551136363635</v>
      </c>
      <c r="BB725" s="1">
        <f t="shared" si="328"/>
        <v>0.65001776268603184</v>
      </c>
      <c r="BC725" s="1">
        <f t="shared" si="329"/>
        <v>0.65001776268603184</v>
      </c>
      <c r="BD725" s="1">
        <f t="shared" si="330"/>
        <v>3.9982237313968105E-2</v>
      </c>
      <c r="BF725">
        <f t="shared" si="313"/>
        <v>14.08</v>
      </c>
      <c r="BG725">
        <f t="shared" si="318"/>
        <v>29.58</v>
      </c>
      <c r="BH725" s="1">
        <f t="shared" si="314"/>
        <v>4.001420454545455</v>
      </c>
      <c r="BI725" s="1">
        <f t="shared" si="315"/>
        <v>2.1008522727272725</v>
      </c>
      <c r="BJ725" s="1">
        <f t="shared" si="316"/>
        <v>0.66602698863636367</v>
      </c>
      <c r="BK725" s="1">
        <f t="shared" si="317"/>
        <v>2.1047130681818187</v>
      </c>
      <c r="BL725" s="1">
        <f t="shared" si="331"/>
        <v>0.66602698863636367</v>
      </c>
      <c r="BM725" s="1">
        <f t="shared" si="332"/>
        <v>0.66602698863636367</v>
      </c>
      <c r="BN725" s="1">
        <f t="shared" si="333"/>
        <v>5.7470527384103406E-4</v>
      </c>
      <c r="BO725" s="1">
        <f t="shared" si="335"/>
        <v>7.9726647278106175E-2</v>
      </c>
    </row>
    <row r="726" spans="3:67" x14ac:dyDescent="0.25">
      <c r="C726" t="s">
        <v>756</v>
      </c>
      <c r="G726">
        <v>0</v>
      </c>
      <c r="H726">
        <v>14.08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29.58</v>
      </c>
      <c r="P726">
        <v>0</v>
      </c>
      <c r="Q726">
        <v>56.34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69.7</v>
      </c>
      <c r="AK726" t="s">
        <v>1</v>
      </c>
      <c r="AL726" t="s">
        <v>372</v>
      </c>
      <c r="AQ726" s="1">
        <f t="shared" si="334"/>
        <v>100</v>
      </c>
      <c r="AR726" s="1">
        <f t="shared" si="319"/>
        <v>0.29580000000000001</v>
      </c>
      <c r="AS726" s="1">
        <f t="shared" si="320"/>
        <v>0</v>
      </c>
      <c r="AT726" s="1">
        <f t="shared" si="321"/>
        <v>0.14080000000000001</v>
      </c>
      <c r="AU726" s="1">
        <f t="shared" si="322"/>
        <v>0.56340000000000001</v>
      </c>
      <c r="AV726" s="1">
        <f t="shared" si="323"/>
        <v>0.69700000000000006</v>
      </c>
      <c r="AX726" s="1">
        <f t="shared" si="324"/>
        <v>4.0014204545454541</v>
      </c>
      <c r="AY726" s="1">
        <f t="shared" si="325"/>
        <v>2.1008522727272725</v>
      </c>
      <c r="AZ726" s="1">
        <f t="shared" si="326"/>
        <v>0.75008877840909083</v>
      </c>
      <c r="BA726" s="1">
        <f t="shared" si="327"/>
        <v>1.5003551136363635</v>
      </c>
      <c r="BB726" s="1">
        <f t="shared" si="328"/>
        <v>0.65001776268603184</v>
      </c>
      <c r="BC726" s="1">
        <f t="shared" si="329"/>
        <v>0.65001776268603184</v>
      </c>
      <c r="BD726" s="1">
        <f t="shared" si="330"/>
        <v>4.6982237313968223E-2</v>
      </c>
      <c r="BF726">
        <f t="shared" si="313"/>
        <v>14.08</v>
      </c>
      <c r="BG726">
        <f t="shared" si="318"/>
        <v>29.58</v>
      </c>
      <c r="BH726" s="1">
        <f t="shared" si="314"/>
        <v>4.001420454545455</v>
      </c>
      <c r="BI726" s="1">
        <f t="shared" si="315"/>
        <v>2.1008522727272725</v>
      </c>
      <c r="BJ726" s="1">
        <f t="shared" si="316"/>
        <v>0.66602698863636367</v>
      </c>
      <c r="BK726" s="1">
        <f t="shared" si="317"/>
        <v>2.1047130681818187</v>
      </c>
      <c r="BL726" s="1">
        <f t="shared" si="331"/>
        <v>0.66602698863636367</v>
      </c>
      <c r="BM726" s="1">
        <f t="shared" si="332"/>
        <v>0.66602698863636367</v>
      </c>
      <c r="BN726" s="1">
        <f t="shared" si="333"/>
        <v>9.5932743293194913E-4</v>
      </c>
      <c r="BO726" s="1">
        <f t="shared" si="335"/>
        <v>8.3728674329178479E-2</v>
      </c>
    </row>
    <row r="727" spans="3:67" x14ac:dyDescent="0.25">
      <c r="C727" t="s">
        <v>757</v>
      </c>
      <c r="G727">
        <v>0</v>
      </c>
      <c r="H727">
        <v>14.08</v>
      </c>
      <c r="I727">
        <v>0</v>
      </c>
      <c r="J727">
        <v>0</v>
      </c>
      <c r="K727">
        <v>0</v>
      </c>
      <c r="L727">
        <v>14.79</v>
      </c>
      <c r="M727">
        <v>0</v>
      </c>
      <c r="N727">
        <v>0</v>
      </c>
      <c r="O727">
        <v>14.79</v>
      </c>
      <c r="P727">
        <v>0</v>
      </c>
      <c r="Q727">
        <v>56.34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69</v>
      </c>
      <c r="AK727" t="s">
        <v>1</v>
      </c>
      <c r="AL727" t="s">
        <v>372</v>
      </c>
      <c r="AQ727" s="1">
        <f t="shared" si="334"/>
        <v>100</v>
      </c>
      <c r="AR727" s="1">
        <f t="shared" si="319"/>
        <v>0.29580000000000001</v>
      </c>
      <c r="AS727" s="1">
        <f t="shared" si="320"/>
        <v>0</v>
      </c>
      <c r="AT727" s="1">
        <f t="shared" si="321"/>
        <v>0.14080000000000001</v>
      </c>
      <c r="AU727" s="1">
        <f t="shared" si="322"/>
        <v>0.56340000000000001</v>
      </c>
      <c r="AV727" s="1">
        <f t="shared" si="323"/>
        <v>0.69</v>
      </c>
      <c r="AX727" s="1">
        <f t="shared" si="324"/>
        <v>4.0014204545454541</v>
      </c>
      <c r="AY727" s="1">
        <f t="shared" si="325"/>
        <v>2.1008522727272725</v>
      </c>
      <c r="AZ727" s="1">
        <f t="shared" si="326"/>
        <v>0.75008877840909083</v>
      </c>
      <c r="BA727" s="1">
        <f t="shared" si="327"/>
        <v>1.5003551136363635</v>
      </c>
      <c r="BB727" s="1">
        <f t="shared" si="328"/>
        <v>0.65001776268603184</v>
      </c>
      <c r="BC727" s="1">
        <f t="shared" si="329"/>
        <v>0.65001776268603184</v>
      </c>
      <c r="BD727" s="1">
        <f t="shared" si="330"/>
        <v>3.9982237313968105E-2</v>
      </c>
      <c r="BF727">
        <f t="shared" si="313"/>
        <v>14.08</v>
      </c>
      <c r="BG727">
        <f t="shared" si="318"/>
        <v>29.58</v>
      </c>
      <c r="BH727" s="1">
        <f t="shared" si="314"/>
        <v>4.001420454545455</v>
      </c>
      <c r="BI727" s="1">
        <f t="shared" si="315"/>
        <v>2.1008522727272725</v>
      </c>
      <c r="BJ727" s="1">
        <f t="shared" si="316"/>
        <v>0.66602698863636367</v>
      </c>
      <c r="BK727" s="1">
        <f t="shared" si="317"/>
        <v>2.1047130681818187</v>
      </c>
      <c r="BL727" s="1">
        <f t="shared" si="331"/>
        <v>0.66602698863636367</v>
      </c>
      <c r="BM727" s="1">
        <f t="shared" si="332"/>
        <v>0.66602698863636367</v>
      </c>
      <c r="BN727" s="1">
        <f t="shared" si="333"/>
        <v>5.7470527384103406E-4</v>
      </c>
      <c r="BO727" s="1">
        <f t="shared" si="335"/>
        <v>7.9726647278106175E-2</v>
      </c>
    </row>
    <row r="728" spans="3:67" x14ac:dyDescent="0.25">
      <c r="C728" t="s">
        <v>758</v>
      </c>
      <c r="G728">
        <v>0</v>
      </c>
      <c r="H728">
        <v>14.08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14.79</v>
      </c>
      <c r="P728">
        <v>0</v>
      </c>
      <c r="Q728">
        <v>56.34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14.79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66.2</v>
      </c>
      <c r="AK728" t="s">
        <v>1</v>
      </c>
      <c r="AL728" t="s">
        <v>372</v>
      </c>
      <c r="AQ728" s="1">
        <f t="shared" si="334"/>
        <v>100</v>
      </c>
      <c r="AR728" s="1">
        <f t="shared" si="319"/>
        <v>0.1479</v>
      </c>
      <c r="AS728" s="1">
        <f t="shared" si="320"/>
        <v>0</v>
      </c>
      <c r="AT728" s="1">
        <f t="shared" si="321"/>
        <v>0.14080000000000001</v>
      </c>
      <c r="AU728" s="1">
        <f t="shared" si="322"/>
        <v>0.56340000000000001</v>
      </c>
      <c r="AV728" s="1">
        <f t="shared" si="323"/>
        <v>0.66200000000000003</v>
      </c>
      <c r="AX728" s="1">
        <f t="shared" si="324"/>
        <v>4.0014204545454541</v>
      </c>
      <c r="AY728" s="1">
        <f t="shared" si="325"/>
        <v>1.0504261363636362</v>
      </c>
      <c r="AZ728" s="1">
        <f t="shared" si="326"/>
        <v>0.75008877840909083</v>
      </c>
      <c r="BA728" s="1">
        <f t="shared" si="327"/>
        <v>1.5003551136363635</v>
      </c>
      <c r="BB728" s="1">
        <f t="shared" si="328"/>
        <v>0.75008877840909083</v>
      </c>
      <c r="BC728" s="1">
        <f t="shared" si="329"/>
        <v>0.75008877840909083</v>
      </c>
      <c r="BD728" s="1">
        <f t="shared" si="330"/>
        <v>8.8088778409090795E-2</v>
      </c>
      <c r="BF728">
        <f t="shared" si="313"/>
        <v>14.08</v>
      </c>
      <c r="BG728">
        <f t="shared" si="318"/>
        <v>29.58</v>
      </c>
      <c r="BH728" s="1">
        <f t="shared" si="314"/>
        <v>4.001420454545455</v>
      </c>
      <c r="BI728" s="1">
        <f t="shared" si="315"/>
        <v>2.1008522727272725</v>
      </c>
      <c r="BJ728" s="1">
        <f t="shared" si="316"/>
        <v>0.66602698863636367</v>
      </c>
      <c r="BK728" s="1">
        <f t="shared" si="317"/>
        <v>2.1047130681818187</v>
      </c>
      <c r="BL728" s="1">
        <f t="shared" si="331"/>
        <v>0.66602698863636367</v>
      </c>
      <c r="BM728" s="1">
        <f t="shared" si="332"/>
        <v>0.66602698863636367</v>
      </c>
      <c r="BN728" s="1">
        <f t="shared" si="333"/>
        <v>1.6216637477401868E-5</v>
      </c>
      <c r="BO728" s="1">
        <f t="shared" si="335"/>
        <v>6.4698539073817299E-2</v>
      </c>
    </row>
    <row r="729" spans="3:67" x14ac:dyDescent="0.25">
      <c r="C729" t="s">
        <v>759</v>
      </c>
      <c r="G729">
        <v>0</v>
      </c>
      <c r="H729">
        <v>14.08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14.79</v>
      </c>
      <c r="O729">
        <v>14.79</v>
      </c>
      <c r="P729">
        <v>0</v>
      </c>
      <c r="Q729">
        <v>56.34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45.9</v>
      </c>
      <c r="AK729" t="s">
        <v>1</v>
      </c>
      <c r="AL729" t="s">
        <v>372</v>
      </c>
      <c r="AQ729" s="1">
        <f t="shared" si="334"/>
        <v>100</v>
      </c>
      <c r="AR729" s="1">
        <f t="shared" si="319"/>
        <v>0.1479</v>
      </c>
      <c r="AS729" s="1">
        <f t="shared" si="320"/>
        <v>0</v>
      </c>
      <c r="AT729" s="1">
        <f t="shared" si="321"/>
        <v>0.14080000000000001</v>
      </c>
      <c r="AU729" s="1">
        <f t="shared" si="322"/>
        <v>0.56340000000000001</v>
      </c>
      <c r="AV729" s="1">
        <f t="shared" si="323"/>
        <v>0.45899999999999996</v>
      </c>
      <c r="AX729" s="1">
        <f t="shared" si="324"/>
        <v>4.0014204545454541</v>
      </c>
      <c r="AY729" s="1">
        <f t="shared" si="325"/>
        <v>1.0504261363636362</v>
      </c>
      <c r="AZ729" s="1">
        <f t="shared" si="326"/>
        <v>0.75008877840909083</v>
      </c>
      <c r="BA729" s="1">
        <f t="shared" si="327"/>
        <v>1.5003551136363635</v>
      </c>
      <c r="BB729" s="1">
        <f t="shared" si="328"/>
        <v>0.75008877840909083</v>
      </c>
      <c r="BC729" s="1">
        <f t="shared" si="329"/>
        <v>0.75008877840909083</v>
      </c>
      <c r="BD729" s="1">
        <f t="shared" si="330"/>
        <v>0.29108877840909086</v>
      </c>
      <c r="BF729">
        <f t="shared" si="313"/>
        <v>14.08</v>
      </c>
      <c r="BG729">
        <f t="shared" si="318"/>
        <v>22.184999999999999</v>
      </c>
      <c r="BH729" s="1">
        <f t="shared" si="314"/>
        <v>4.001420454545455</v>
      </c>
      <c r="BI729" s="1">
        <f t="shared" si="315"/>
        <v>1.5756392045454544</v>
      </c>
      <c r="BJ729" s="1">
        <f t="shared" si="316"/>
        <v>0.66602698863636367</v>
      </c>
      <c r="BK729" s="1">
        <f t="shared" si="317"/>
        <v>2.1047130681818187</v>
      </c>
      <c r="BL729" s="1">
        <f t="shared" si="331"/>
        <v>0.66602698863636367</v>
      </c>
      <c r="BM729" s="1">
        <f t="shared" si="332"/>
        <v>0.66602698863636367</v>
      </c>
      <c r="BN729" s="1">
        <f t="shared" si="333"/>
        <v>4.2860174023841069E-2</v>
      </c>
      <c r="BO729" s="1">
        <f t="shared" si="335"/>
        <v>2.6377545927225902E-3</v>
      </c>
    </row>
    <row r="730" spans="3:67" x14ac:dyDescent="0.25">
      <c r="C730" t="s">
        <v>760</v>
      </c>
      <c r="G730">
        <v>0</v>
      </c>
      <c r="H730">
        <v>14.08</v>
      </c>
      <c r="I730">
        <v>14.79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14.79</v>
      </c>
      <c r="P730">
        <v>0</v>
      </c>
      <c r="Q730">
        <v>56.34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58.2</v>
      </c>
      <c r="AK730" t="s">
        <v>1</v>
      </c>
      <c r="AL730" t="s">
        <v>372</v>
      </c>
      <c r="AQ730" s="1">
        <f t="shared" si="334"/>
        <v>100</v>
      </c>
      <c r="AR730" s="1">
        <f t="shared" si="319"/>
        <v>0.1479</v>
      </c>
      <c r="AS730" s="1">
        <f t="shared" si="320"/>
        <v>0</v>
      </c>
      <c r="AT730" s="1">
        <f t="shared" si="321"/>
        <v>0.14080000000000001</v>
      </c>
      <c r="AU730" s="1">
        <f t="shared" si="322"/>
        <v>0.56340000000000001</v>
      </c>
      <c r="AV730" s="1">
        <f t="shared" si="323"/>
        <v>0.58200000000000007</v>
      </c>
      <c r="AX730" s="1">
        <f t="shared" si="324"/>
        <v>4.0014204545454541</v>
      </c>
      <c r="AY730" s="1">
        <f t="shared" si="325"/>
        <v>1.0504261363636362</v>
      </c>
      <c r="AZ730" s="1">
        <f t="shared" si="326"/>
        <v>0.75008877840909083</v>
      </c>
      <c r="BA730" s="1">
        <f t="shared" si="327"/>
        <v>1.5003551136363635</v>
      </c>
      <c r="BB730" s="1">
        <f t="shared" si="328"/>
        <v>0.75008877840909083</v>
      </c>
      <c r="BC730" s="1">
        <f t="shared" si="329"/>
        <v>0.75008877840909083</v>
      </c>
      <c r="BD730" s="1">
        <f t="shared" si="330"/>
        <v>0.16808877840909076</v>
      </c>
      <c r="BF730">
        <f t="shared" si="313"/>
        <v>14.08</v>
      </c>
      <c r="BG730">
        <f t="shared" si="318"/>
        <v>22.184999999999999</v>
      </c>
      <c r="BH730" s="1">
        <f t="shared" si="314"/>
        <v>4.001420454545455</v>
      </c>
      <c r="BI730" s="1">
        <f t="shared" si="315"/>
        <v>1.5756392045454544</v>
      </c>
      <c r="BJ730" s="1">
        <f t="shared" si="316"/>
        <v>0.66602698863636367</v>
      </c>
      <c r="BK730" s="1">
        <f t="shared" si="317"/>
        <v>2.1047130681818187</v>
      </c>
      <c r="BL730" s="1">
        <f t="shared" si="331"/>
        <v>0.66602698863636367</v>
      </c>
      <c r="BM730" s="1">
        <f t="shared" si="332"/>
        <v>0.66602698863636367</v>
      </c>
      <c r="BN730" s="1">
        <f t="shared" si="333"/>
        <v>7.0605348192955769E-3</v>
      </c>
      <c r="BO730" s="1">
        <f t="shared" si="335"/>
        <v>3.0401087061563248E-2</v>
      </c>
    </row>
    <row r="731" spans="3:67" x14ac:dyDescent="0.25">
      <c r="C731" t="s">
        <v>761</v>
      </c>
      <c r="G731">
        <v>0</v>
      </c>
      <c r="H731">
        <v>14.08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14.79</v>
      </c>
      <c r="P731">
        <v>0</v>
      </c>
      <c r="Q731">
        <v>56.34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14.79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65.900000000000006</v>
      </c>
      <c r="AK731" t="s">
        <v>1</v>
      </c>
      <c r="AL731" t="s">
        <v>372</v>
      </c>
      <c r="AQ731" s="1">
        <f t="shared" si="334"/>
        <v>100</v>
      </c>
      <c r="AR731" s="1">
        <f t="shared" si="319"/>
        <v>0.1479</v>
      </c>
      <c r="AS731" s="1">
        <f t="shared" si="320"/>
        <v>0</v>
      </c>
      <c r="AT731" s="1">
        <f t="shared" si="321"/>
        <v>0.14080000000000001</v>
      </c>
      <c r="AU731" s="1">
        <f t="shared" si="322"/>
        <v>0.56340000000000001</v>
      </c>
      <c r="AV731" s="1">
        <f t="shared" si="323"/>
        <v>0.65900000000000003</v>
      </c>
      <c r="AX731" s="1">
        <f t="shared" si="324"/>
        <v>4.0014204545454541</v>
      </c>
      <c r="AY731" s="1">
        <f t="shared" si="325"/>
        <v>1.0504261363636362</v>
      </c>
      <c r="AZ731" s="1">
        <f t="shared" si="326"/>
        <v>0.75008877840909083</v>
      </c>
      <c r="BA731" s="1">
        <f t="shared" si="327"/>
        <v>1.5003551136363635</v>
      </c>
      <c r="BB731" s="1">
        <f t="shared" si="328"/>
        <v>0.75008877840909083</v>
      </c>
      <c r="BC731" s="1">
        <f t="shared" si="329"/>
        <v>0.75008877840909083</v>
      </c>
      <c r="BD731" s="1">
        <f t="shared" si="330"/>
        <v>9.1088778409090798E-2</v>
      </c>
      <c r="BF731">
        <f t="shared" si="313"/>
        <v>14.08</v>
      </c>
      <c r="BG731">
        <f t="shared" si="318"/>
        <v>22.184999999999999</v>
      </c>
      <c r="BH731" s="1">
        <f t="shared" si="314"/>
        <v>4.001420454545455</v>
      </c>
      <c r="BI731" s="1">
        <f t="shared" si="315"/>
        <v>1.5756392045454544</v>
      </c>
      <c r="BJ731" s="1">
        <f t="shared" si="316"/>
        <v>0.66602698863636367</v>
      </c>
      <c r="BK731" s="1">
        <f t="shared" si="317"/>
        <v>2.1047130681818187</v>
      </c>
      <c r="BL731" s="1">
        <f t="shared" si="331"/>
        <v>0.66602698863636367</v>
      </c>
      <c r="BM731" s="1">
        <f t="shared" si="332"/>
        <v>0.66602698863636367</v>
      </c>
      <c r="BN731" s="1">
        <f t="shared" si="333"/>
        <v>4.9378569295583731E-5</v>
      </c>
      <c r="BO731" s="1">
        <f t="shared" si="335"/>
        <v>6.3181384623357775E-2</v>
      </c>
    </row>
    <row r="732" spans="3:67" x14ac:dyDescent="0.25">
      <c r="C732" t="s">
        <v>762</v>
      </c>
      <c r="G732">
        <v>0</v>
      </c>
      <c r="H732">
        <v>14.08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14.79</v>
      </c>
      <c r="P732">
        <v>0</v>
      </c>
      <c r="Q732">
        <v>56.34</v>
      </c>
      <c r="R732">
        <v>0</v>
      </c>
      <c r="S732">
        <v>0</v>
      </c>
      <c r="T732">
        <v>0</v>
      </c>
      <c r="U732">
        <v>0</v>
      </c>
      <c r="V732">
        <v>14.79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68.900000000000006</v>
      </c>
      <c r="AK732" t="s">
        <v>1</v>
      </c>
      <c r="AL732" t="s">
        <v>372</v>
      </c>
      <c r="AQ732" s="1">
        <f t="shared" si="334"/>
        <v>100</v>
      </c>
      <c r="AR732" s="1">
        <f t="shared" si="319"/>
        <v>0.1479</v>
      </c>
      <c r="AS732" s="1">
        <f t="shared" si="320"/>
        <v>0</v>
      </c>
      <c r="AT732" s="1">
        <f t="shared" si="321"/>
        <v>0.14080000000000001</v>
      </c>
      <c r="AU732" s="1">
        <f t="shared" si="322"/>
        <v>0.56340000000000001</v>
      </c>
      <c r="AV732" s="1">
        <f t="shared" si="323"/>
        <v>0.68900000000000006</v>
      </c>
      <c r="AX732" s="1">
        <f t="shared" si="324"/>
        <v>4.0014204545454541</v>
      </c>
      <c r="AY732" s="1">
        <f t="shared" si="325"/>
        <v>1.0504261363636362</v>
      </c>
      <c r="AZ732" s="1">
        <f t="shared" si="326"/>
        <v>0.75008877840909083</v>
      </c>
      <c r="BA732" s="1">
        <f t="shared" si="327"/>
        <v>1.5003551136363635</v>
      </c>
      <c r="BB732" s="1">
        <f t="shared" si="328"/>
        <v>0.75008877840909083</v>
      </c>
      <c r="BC732" s="1">
        <f t="shared" si="329"/>
        <v>0.75008877840909083</v>
      </c>
      <c r="BD732" s="1">
        <f t="shared" si="330"/>
        <v>6.1088778409090772E-2</v>
      </c>
      <c r="BF732">
        <f t="shared" si="313"/>
        <v>14.08</v>
      </c>
      <c r="BG732">
        <f t="shared" si="318"/>
        <v>22.184999999999999</v>
      </c>
      <c r="BH732" s="1">
        <f t="shared" si="314"/>
        <v>4.001420454545455</v>
      </c>
      <c r="BI732" s="1">
        <f t="shared" si="315"/>
        <v>1.5756392045454544</v>
      </c>
      <c r="BJ732" s="1">
        <f t="shared" si="316"/>
        <v>0.66602698863636367</v>
      </c>
      <c r="BK732" s="1">
        <f t="shared" si="317"/>
        <v>2.1047130681818187</v>
      </c>
      <c r="BL732" s="1">
        <f t="shared" si="331"/>
        <v>0.66602698863636367</v>
      </c>
      <c r="BM732" s="1">
        <f t="shared" si="332"/>
        <v>0.66602698863636367</v>
      </c>
      <c r="BN732" s="1">
        <f t="shared" si="333"/>
        <v>5.2775925111376654E-4</v>
      </c>
      <c r="BO732" s="1">
        <f t="shared" si="335"/>
        <v>7.9162929127953072E-2</v>
      </c>
    </row>
    <row r="733" spans="3:67" x14ac:dyDescent="0.25">
      <c r="C733" t="s">
        <v>763</v>
      </c>
      <c r="G733">
        <v>0</v>
      </c>
      <c r="H733">
        <v>17.27</v>
      </c>
      <c r="I733">
        <v>0</v>
      </c>
      <c r="J733">
        <v>0</v>
      </c>
      <c r="K733">
        <v>0</v>
      </c>
      <c r="L733">
        <v>0</v>
      </c>
      <c r="M733">
        <v>12.96</v>
      </c>
      <c r="N733">
        <v>0</v>
      </c>
      <c r="O733">
        <v>0</v>
      </c>
      <c r="P733">
        <v>0</v>
      </c>
      <c r="Q733">
        <v>69.77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29.5</v>
      </c>
      <c r="AK733" t="s">
        <v>1</v>
      </c>
      <c r="AL733" t="s">
        <v>372</v>
      </c>
      <c r="AQ733" s="1">
        <f t="shared" si="334"/>
        <v>100</v>
      </c>
      <c r="AR733" s="1">
        <f t="shared" si="319"/>
        <v>0.12960000000000002</v>
      </c>
      <c r="AS733" s="1">
        <f t="shared" si="320"/>
        <v>0</v>
      </c>
      <c r="AT733" s="1">
        <f t="shared" si="321"/>
        <v>0.17269999999999999</v>
      </c>
      <c r="AU733" s="1">
        <f t="shared" si="322"/>
        <v>0.69769999999999999</v>
      </c>
      <c r="AV733" s="1">
        <f t="shared" si="323"/>
        <v>0.29499999999999998</v>
      </c>
      <c r="AX733" s="1">
        <f t="shared" si="324"/>
        <v>4.039953676896352</v>
      </c>
      <c r="AY733" s="1">
        <f t="shared" si="325"/>
        <v>0.75043427909669969</v>
      </c>
      <c r="AZ733" s="1">
        <f t="shared" si="326"/>
        <v>0.75249710480602205</v>
      </c>
      <c r="BA733" s="1">
        <f t="shared" si="327"/>
        <v>1.509988419224088</v>
      </c>
      <c r="BB733" s="1">
        <f t="shared" si="328"/>
        <v>0.75043427909669969</v>
      </c>
      <c r="BC733" s="1">
        <f t="shared" si="329"/>
        <v>0.75043427909669969</v>
      </c>
      <c r="BD733" s="1">
        <f t="shared" si="330"/>
        <v>0.4554342790966997</v>
      </c>
      <c r="BF733">
        <f t="shared" ref="BF733:BF793" si="336">$BR$3*H733+$BR$4*G733+$BR$5*P733+$BR$6*K733+$BR$7*S733+$BR$8*U733+$BR$9*Y733+$BR$10*J733+$BR$11*AC733+$BR$12*AG733+$BR$13*AH733+$BR$14*R733+$BR$15*AE733</f>
        <v>17.27</v>
      </c>
      <c r="BG733">
        <f t="shared" si="318"/>
        <v>12.96</v>
      </c>
      <c r="BH733" s="1">
        <f t="shared" ref="BH733:BH787" si="337">(Q733)/BF733</f>
        <v>4.039953676896352</v>
      </c>
      <c r="BI733" s="1">
        <f t="shared" ref="BI733:BI787" si="338">BG733/BF733</f>
        <v>0.75043427909669957</v>
      </c>
      <c r="BJ733" s="1">
        <f t="shared" ref="BJ733:BJ787" si="339">$BR$32+BH733*$BR$33</f>
        <v>0.66675911986103065</v>
      </c>
      <c r="BK733" s="1">
        <f t="shared" ref="BK733:BK787" si="340">$BR$34+BH733*$BR$35</f>
        <v>2.1240567458019686</v>
      </c>
      <c r="BL733" s="1">
        <f t="shared" si="331"/>
        <v>0.66675911986103065</v>
      </c>
      <c r="BM733" s="1">
        <f t="shared" si="332"/>
        <v>0.66675911986103065</v>
      </c>
      <c r="BN733" s="1">
        <f t="shared" si="333"/>
        <v>0.13820484319984816</v>
      </c>
      <c r="BO733" s="1">
        <f t="shared" si="335"/>
        <v>1.268797796760176E-2</v>
      </c>
    </row>
    <row r="734" spans="3:67" x14ac:dyDescent="0.25">
      <c r="C734" t="s">
        <v>764</v>
      </c>
      <c r="G734">
        <v>0</v>
      </c>
      <c r="H734">
        <v>17.27</v>
      </c>
      <c r="I734">
        <v>0</v>
      </c>
      <c r="J734">
        <v>0</v>
      </c>
      <c r="K734">
        <v>0</v>
      </c>
      <c r="L734">
        <v>12.96</v>
      </c>
      <c r="M734">
        <v>0</v>
      </c>
      <c r="N734">
        <v>0</v>
      </c>
      <c r="O734">
        <v>0</v>
      </c>
      <c r="P734">
        <v>0</v>
      </c>
      <c r="Q734">
        <v>69.77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68.099999999999994</v>
      </c>
      <c r="AK734" t="s">
        <v>1</v>
      </c>
      <c r="AL734" t="s">
        <v>372</v>
      </c>
      <c r="AQ734" s="1">
        <f t="shared" si="334"/>
        <v>100</v>
      </c>
      <c r="AR734" s="1">
        <f t="shared" si="319"/>
        <v>0.12960000000000002</v>
      </c>
      <c r="AS734" s="1">
        <f t="shared" si="320"/>
        <v>0</v>
      </c>
      <c r="AT734" s="1">
        <f t="shared" si="321"/>
        <v>0.17269999999999999</v>
      </c>
      <c r="AU734" s="1">
        <f t="shared" si="322"/>
        <v>0.69769999999999999</v>
      </c>
      <c r="AV734" s="1">
        <f t="shared" si="323"/>
        <v>0.68099999999999994</v>
      </c>
      <c r="AX734" s="1">
        <f t="shared" si="324"/>
        <v>4.039953676896352</v>
      </c>
      <c r="AY734" s="1">
        <f t="shared" si="325"/>
        <v>0.75043427909669969</v>
      </c>
      <c r="AZ734" s="1">
        <f t="shared" si="326"/>
        <v>0.75249710480602205</v>
      </c>
      <c r="BA734" s="1">
        <f t="shared" si="327"/>
        <v>1.509988419224088</v>
      </c>
      <c r="BB734" s="1">
        <f t="shared" si="328"/>
        <v>0.75043427909669969</v>
      </c>
      <c r="BC734" s="1">
        <f t="shared" si="329"/>
        <v>0.75043427909669969</v>
      </c>
      <c r="BD734" s="1">
        <f t="shared" si="330"/>
        <v>6.9434279096699747E-2</v>
      </c>
      <c r="BF734">
        <f t="shared" si="336"/>
        <v>17.27</v>
      </c>
      <c r="BG734">
        <f t="shared" si="318"/>
        <v>12.96</v>
      </c>
      <c r="BH734" s="1">
        <f t="shared" si="337"/>
        <v>4.039953676896352</v>
      </c>
      <c r="BI734" s="1">
        <f t="shared" si="338"/>
        <v>0.75043427909669957</v>
      </c>
      <c r="BJ734" s="1">
        <f t="shared" si="339"/>
        <v>0.66675911986103065</v>
      </c>
      <c r="BK734" s="1">
        <f t="shared" si="340"/>
        <v>2.1240567458019686</v>
      </c>
      <c r="BL734" s="1">
        <f t="shared" si="331"/>
        <v>0.66675911986103065</v>
      </c>
      <c r="BM734" s="1">
        <f t="shared" si="332"/>
        <v>0.66675911986103065</v>
      </c>
      <c r="BN734" s="1">
        <f t="shared" si="333"/>
        <v>2.0280266713249004E-4</v>
      </c>
      <c r="BO734" s="1">
        <f t="shared" si="335"/>
        <v>7.4725183926727598E-2</v>
      </c>
    </row>
    <row r="735" spans="3:67" x14ac:dyDescent="0.25">
      <c r="C735" t="s">
        <v>765</v>
      </c>
      <c r="G735">
        <v>0</v>
      </c>
      <c r="H735">
        <v>17.27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69.77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12.96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67.099999999999994</v>
      </c>
      <c r="AK735" t="s">
        <v>1</v>
      </c>
      <c r="AL735" t="s">
        <v>372</v>
      </c>
      <c r="AQ735" s="1">
        <f t="shared" si="334"/>
        <v>100</v>
      </c>
      <c r="AR735" s="1">
        <f t="shared" si="319"/>
        <v>0</v>
      </c>
      <c r="AS735" s="1">
        <f t="shared" si="320"/>
        <v>0</v>
      </c>
      <c r="AT735" s="1">
        <f t="shared" si="321"/>
        <v>0.17269999999999999</v>
      </c>
      <c r="AU735" s="1">
        <f t="shared" si="322"/>
        <v>0.69769999999999999</v>
      </c>
      <c r="AV735" s="1">
        <f t="shared" si="323"/>
        <v>0.67099999999999993</v>
      </c>
      <c r="AX735" s="1">
        <f t="shared" si="324"/>
        <v>4.039953676896352</v>
      </c>
      <c r="AY735" s="1">
        <f t="shared" si="325"/>
        <v>0</v>
      </c>
      <c r="AZ735" s="1">
        <f t="shared" si="326"/>
        <v>0.75249710480602205</v>
      </c>
      <c r="BA735" s="1">
        <f t="shared" si="327"/>
        <v>1.509988419224088</v>
      </c>
      <c r="BB735" s="1">
        <f t="shared" si="328"/>
        <v>0</v>
      </c>
      <c r="BC735" s="1">
        <f t="shared" si="329"/>
        <v>0</v>
      </c>
      <c r="BD735" s="1">
        <f t="shared" si="330"/>
        <v>0.67099999999999993</v>
      </c>
      <c r="BF735">
        <f t="shared" si="336"/>
        <v>17.27</v>
      </c>
      <c r="BG735">
        <f t="shared" si="318"/>
        <v>12.96</v>
      </c>
      <c r="BH735" s="1">
        <f t="shared" si="337"/>
        <v>4.039953676896352</v>
      </c>
      <c r="BI735" s="1">
        <f t="shared" si="338"/>
        <v>0.75043427909669957</v>
      </c>
      <c r="BJ735" s="1">
        <f t="shared" si="339"/>
        <v>0.66675911986103065</v>
      </c>
      <c r="BK735" s="1">
        <f t="shared" si="340"/>
        <v>2.1240567458019686</v>
      </c>
      <c r="BL735" s="1">
        <f t="shared" si="331"/>
        <v>0.66675911986103065</v>
      </c>
      <c r="BM735" s="1">
        <f t="shared" si="332"/>
        <v>0.66675911986103065</v>
      </c>
      <c r="BN735" s="1">
        <f t="shared" si="333"/>
        <v>1.7985064353104125E-5</v>
      </c>
      <c r="BO735" s="1">
        <f t="shared" si="335"/>
        <v>6.9358002425195839E-2</v>
      </c>
    </row>
    <row r="736" spans="3:67" x14ac:dyDescent="0.25">
      <c r="C736" t="s">
        <v>766</v>
      </c>
      <c r="G736">
        <v>0</v>
      </c>
      <c r="H736">
        <v>19.61</v>
      </c>
      <c r="I736">
        <v>0</v>
      </c>
      <c r="J736">
        <v>0</v>
      </c>
      <c r="K736">
        <v>0</v>
      </c>
      <c r="L736">
        <v>0</v>
      </c>
      <c r="M736">
        <v>41.18</v>
      </c>
      <c r="N736">
        <v>0</v>
      </c>
      <c r="O736">
        <v>0</v>
      </c>
      <c r="P736">
        <v>0</v>
      </c>
      <c r="Q736">
        <v>39.21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51.7</v>
      </c>
      <c r="AK736" t="s">
        <v>1</v>
      </c>
      <c r="AL736" t="s">
        <v>372</v>
      </c>
      <c r="AQ736" s="1">
        <f t="shared" si="334"/>
        <v>100</v>
      </c>
      <c r="AR736" s="1">
        <f t="shared" si="319"/>
        <v>0.4118</v>
      </c>
      <c r="AS736" s="1">
        <f t="shared" si="320"/>
        <v>0</v>
      </c>
      <c r="AT736" s="1">
        <f t="shared" si="321"/>
        <v>0.1961</v>
      </c>
      <c r="AU736" s="1">
        <f t="shared" si="322"/>
        <v>0.3921</v>
      </c>
      <c r="AV736" s="1">
        <f t="shared" si="323"/>
        <v>0.51700000000000002</v>
      </c>
      <c r="AX736" s="1">
        <f t="shared" si="324"/>
        <v>1.9994900560938298</v>
      </c>
      <c r="AY736" s="1">
        <f t="shared" si="325"/>
        <v>2.0999490056093828</v>
      </c>
      <c r="AZ736" s="1">
        <f t="shared" si="326"/>
        <v>0.62496812850586436</v>
      </c>
      <c r="BA736" s="1">
        <f t="shared" si="327"/>
        <v>0.99987251402345745</v>
      </c>
      <c r="BB736" s="1">
        <f t="shared" si="328"/>
        <v>0.3957679933162217</v>
      </c>
      <c r="BC736" s="1">
        <f t="shared" si="329"/>
        <v>0.3957679933162217</v>
      </c>
      <c r="BD736" s="1">
        <f t="shared" si="330"/>
        <v>0.12123200668377832</v>
      </c>
      <c r="BF736">
        <f t="shared" si="336"/>
        <v>19.61</v>
      </c>
      <c r="BG736">
        <f t="shared" ref="BG736:BG793" si="341">O736+$BR$17*M736+$BR$18*L736+$BR$19*X736+$BR$20*AD736+$BR$21*I736+$BR$22*N736+$BR$23*AB736+$BR$24*V736+$BR$25*T736+$BR$26*AA736+$BR$28*Z736+$BR$29*AF736+$BR$30*W736+$BR$27*AI736</f>
        <v>41.18</v>
      </c>
      <c r="BH736" s="1">
        <f t="shared" si="337"/>
        <v>1.9994900560938298</v>
      </c>
      <c r="BI736" s="1">
        <f t="shared" si="338"/>
        <v>2.0999490056093828</v>
      </c>
      <c r="BJ736" s="1">
        <f t="shared" si="339"/>
        <v>0.62799031106578274</v>
      </c>
      <c r="BK736" s="1">
        <f t="shared" si="340"/>
        <v>1.0997440081591026</v>
      </c>
      <c r="BL736" s="1">
        <f t="shared" si="331"/>
        <v>0.41959832888419252</v>
      </c>
      <c r="BM736" s="1">
        <f t="shared" si="332"/>
        <v>0.41959832888419252</v>
      </c>
      <c r="BN736" s="1">
        <f t="shared" si="333"/>
        <v>9.4870855361519294E-3</v>
      </c>
      <c r="BO736" s="1">
        <f t="shared" si="335"/>
        <v>1.1959407301606795E-2</v>
      </c>
    </row>
    <row r="737" spans="3:67" x14ac:dyDescent="0.25">
      <c r="C737" t="s">
        <v>767</v>
      </c>
      <c r="G737">
        <v>0</v>
      </c>
      <c r="H737">
        <v>19.61</v>
      </c>
      <c r="I737">
        <v>0</v>
      </c>
      <c r="J737">
        <v>0</v>
      </c>
      <c r="K737">
        <v>0</v>
      </c>
      <c r="L737">
        <v>41.18</v>
      </c>
      <c r="M737">
        <v>0</v>
      </c>
      <c r="N737">
        <v>0</v>
      </c>
      <c r="O737">
        <v>0</v>
      </c>
      <c r="P737">
        <v>0</v>
      </c>
      <c r="Q737">
        <v>39.21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38.9</v>
      </c>
      <c r="AK737" t="s">
        <v>1</v>
      </c>
      <c r="AL737" t="s">
        <v>372</v>
      </c>
      <c r="AQ737" s="1">
        <f t="shared" si="334"/>
        <v>100</v>
      </c>
      <c r="AR737" s="1">
        <f t="shared" si="319"/>
        <v>0.4118</v>
      </c>
      <c r="AS737" s="1">
        <f t="shared" si="320"/>
        <v>0</v>
      </c>
      <c r="AT737" s="1">
        <f t="shared" si="321"/>
        <v>0.1961</v>
      </c>
      <c r="AU737" s="1">
        <f t="shared" si="322"/>
        <v>0.3921</v>
      </c>
      <c r="AV737" s="1">
        <f t="shared" si="323"/>
        <v>0.38900000000000001</v>
      </c>
      <c r="AX737" s="1">
        <f t="shared" si="324"/>
        <v>1.9994900560938298</v>
      </c>
      <c r="AY737" s="1">
        <f t="shared" si="325"/>
        <v>2.0999490056093828</v>
      </c>
      <c r="AZ737" s="1">
        <f t="shared" si="326"/>
        <v>0.62496812850586436</v>
      </c>
      <c r="BA737" s="1">
        <f t="shared" si="327"/>
        <v>0.99987251402345745</v>
      </c>
      <c r="BB737" s="1">
        <f t="shared" si="328"/>
        <v>0.3957679933162217</v>
      </c>
      <c r="BC737" s="1">
        <f t="shared" si="329"/>
        <v>0.3957679933162217</v>
      </c>
      <c r="BD737" s="1">
        <f t="shared" si="330"/>
        <v>6.7679933162216876E-3</v>
      </c>
      <c r="BF737">
        <f t="shared" si="336"/>
        <v>19.61</v>
      </c>
      <c r="BG737">
        <f t="shared" si="341"/>
        <v>41.18</v>
      </c>
      <c r="BH737" s="1">
        <f t="shared" si="337"/>
        <v>1.9994900560938298</v>
      </c>
      <c r="BI737" s="1">
        <f t="shared" si="338"/>
        <v>2.0999490056093828</v>
      </c>
      <c r="BJ737" s="1">
        <f t="shared" si="339"/>
        <v>0.62799031106578274</v>
      </c>
      <c r="BK737" s="1">
        <f t="shared" si="340"/>
        <v>1.0997440081591026</v>
      </c>
      <c r="BL737" s="1">
        <f t="shared" si="331"/>
        <v>0.41959832888419252</v>
      </c>
      <c r="BM737" s="1">
        <f t="shared" si="332"/>
        <v>0.41959832888419252</v>
      </c>
      <c r="BN737" s="1">
        <f t="shared" si="333"/>
        <v>9.3625773050520929E-4</v>
      </c>
      <c r="BO737" s="1">
        <f t="shared" si="335"/>
        <v>3.4748408200028537E-4</v>
      </c>
    </row>
    <row r="738" spans="3:67" x14ac:dyDescent="0.25">
      <c r="C738" t="s">
        <v>768</v>
      </c>
      <c r="G738">
        <v>0</v>
      </c>
      <c r="H738">
        <v>19.61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39.21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41.18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31.8</v>
      </c>
      <c r="AK738" t="s">
        <v>1</v>
      </c>
      <c r="AL738" t="s">
        <v>372</v>
      </c>
      <c r="AQ738" s="1">
        <f t="shared" si="334"/>
        <v>100</v>
      </c>
      <c r="AR738" s="1">
        <f t="shared" si="319"/>
        <v>0</v>
      </c>
      <c r="AS738" s="1">
        <f t="shared" si="320"/>
        <v>0</v>
      </c>
      <c r="AT738" s="1">
        <f t="shared" si="321"/>
        <v>0.1961</v>
      </c>
      <c r="AU738" s="1">
        <f t="shared" si="322"/>
        <v>0.3921</v>
      </c>
      <c r="AV738" s="1">
        <f t="shared" si="323"/>
        <v>0.318</v>
      </c>
      <c r="AX738" s="1">
        <f t="shared" si="324"/>
        <v>1.9994900560938298</v>
      </c>
      <c r="AY738" s="1">
        <f t="shared" si="325"/>
        <v>0</v>
      </c>
      <c r="AZ738" s="1">
        <f t="shared" si="326"/>
        <v>0.62496812850586436</v>
      </c>
      <c r="BA738" s="1">
        <f t="shared" si="327"/>
        <v>0.99987251402345745</v>
      </c>
      <c r="BB738" s="1">
        <f t="shared" si="328"/>
        <v>0</v>
      </c>
      <c r="BC738" s="1">
        <f t="shared" si="329"/>
        <v>0</v>
      </c>
      <c r="BD738" s="1">
        <f t="shared" si="330"/>
        <v>0.318</v>
      </c>
      <c r="BF738">
        <f t="shared" si="336"/>
        <v>19.61</v>
      </c>
      <c r="BG738">
        <f t="shared" si="341"/>
        <v>41.18</v>
      </c>
      <c r="BH738" s="1">
        <f t="shared" si="337"/>
        <v>1.9994900560938298</v>
      </c>
      <c r="BI738" s="1">
        <f t="shared" si="338"/>
        <v>2.0999490056093828</v>
      </c>
      <c r="BJ738" s="1">
        <f t="shared" si="339"/>
        <v>0.62799031106578274</v>
      </c>
      <c r="BK738" s="1">
        <f t="shared" si="340"/>
        <v>1.0997440081591026</v>
      </c>
      <c r="BL738" s="1">
        <f t="shared" si="331"/>
        <v>0.41959832888419252</v>
      </c>
      <c r="BM738" s="1">
        <f t="shared" si="332"/>
        <v>0.41959832888419252</v>
      </c>
      <c r="BN738" s="1">
        <f t="shared" si="333"/>
        <v>1.0322220432060547E-2</v>
      </c>
      <c r="BO738" s="1">
        <f t="shared" si="335"/>
        <v>8.0354954211248018E-3</v>
      </c>
    </row>
    <row r="739" spans="3:67" x14ac:dyDescent="0.25">
      <c r="C739" t="s">
        <v>347</v>
      </c>
      <c r="G739">
        <v>0</v>
      </c>
      <c r="H739">
        <v>17.27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69.78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12.95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67.2</v>
      </c>
      <c r="AK739" t="s">
        <v>1</v>
      </c>
      <c r="AL739" t="s">
        <v>372</v>
      </c>
      <c r="AO739" t="s">
        <v>378</v>
      </c>
      <c r="AQ739" s="1">
        <f t="shared" si="334"/>
        <v>100</v>
      </c>
      <c r="AR739" s="1">
        <f t="shared" si="319"/>
        <v>0</v>
      </c>
      <c r="AS739" s="1">
        <f t="shared" si="320"/>
        <v>0</v>
      </c>
      <c r="AT739" s="1">
        <f t="shared" si="321"/>
        <v>0.17269999999999999</v>
      </c>
      <c r="AU739" s="1">
        <f t="shared" si="322"/>
        <v>0.69779999999999998</v>
      </c>
      <c r="AV739" s="1">
        <f t="shared" si="323"/>
        <v>0.67200000000000004</v>
      </c>
      <c r="AX739" s="1">
        <f t="shared" si="324"/>
        <v>4.0405327156919517</v>
      </c>
      <c r="AY739" s="1">
        <f t="shared" si="325"/>
        <v>0</v>
      </c>
      <c r="AZ739" s="1">
        <f t="shared" si="326"/>
        <v>0.75253329473074704</v>
      </c>
      <c r="BA739" s="1">
        <f t="shared" si="327"/>
        <v>1.5101331789229879</v>
      </c>
      <c r="BB739" s="1">
        <f t="shared" si="328"/>
        <v>0</v>
      </c>
      <c r="BC739" s="1">
        <f t="shared" si="329"/>
        <v>0</v>
      </c>
      <c r="BD739" s="1">
        <f t="shared" si="330"/>
        <v>0.67200000000000004</v>
      </c>
      <c r="BF739">
        <f t="shared" si="336"/>
        <v>17.27</v>
      </c>
      <c r="BG739">
        <f t="shared" si="341"/>
        <v>12.95</v>
      </c>
      <c r="BH739" s="1">
        <f t="shared" si="337"/>
        <v>4.0405327156919517</v>
      </c>
      <c r="BI739" s="1">
        <f t="shared" si="338"/>
        <v>0.74985524030110018</v>
      </c>
      <c r="BJ739" s="1">
        <f t="shared" si="339"/>
        <v>0.66677012159814708</v>
      </c>
      <c r="BK739" s="1">
        <f t="shared" si="340"/>
        <v>2.12434742327736</v>
      </c>
      <c r="BL739" s="1">
        <f t="shared" si="331"/>
        <v>0.66677012159814708</v>
      </c>
      <c r="BM739" s="1">
        <f t="shared" si="332"/>
        <v>0.66677012159814708</v>
      </c>
      <c r="BN739" s="1">
        <f t="shared" si="333"/>
        <v>2.735162809816808E-5</v>
      </c>
      <c r="BO739" s="1">
        <f t="shared" si="335"/>
        <v>6.9885720575349072E-2</v>
      </c>
    </row>
    <row r="740" spans="3:67" x14ac:dyDescent="0.25">
      <c r="C740" t="s">
        <v>139</v>
      </c>
      <c r="G740">
        <v>0</v>
      </c>
      <c r="H740">
        <v>17.27</v>
      </c>
      <c r="I740">
        <v>0</v>
      </c>
      <c r="J740">
        <v>0</v>
      </c>
      <c r="K740">
        <v>0</v>
      </c>
      <c r="L740">
        <v>12.95</v>
      </c>
      <c r="M740">
        <v>0</v>
      </c>
      <c r="N740">
        <v>0</v>
      </c>
      <c r="O740">
        <v>0</v>
      </c>
      <c r="P740">
        <v>0</v>
      </c>
      <c r="Q740">
        <v>69.78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68.400000000000006</v>
      </c>
      <c r="AK740" t="s">
        <v>1</v>
      </c>
      <c r="AL740" t="s">
        <v>372</v>
      </c>
      <c r="AQ740" s="1">
        <f t="shared" si="334"/>
        <v>100</v>
      </c>
      <c r="AR740" s="1">
        <f t="shared" si="319"/>
        <v>0.1295</v>
      </c>
      <c r="AS740" s="1">
        <f t="shared" si="320"/>
        <v>0</v>
      </c>
      <c r="AT740" s="1">
        <f t="shared" si="321"/>
        <v>0.17269999999999999</v>
      </c>
      <c r="AU740" s="1">
        <f t="shared" si="322"/>
        <v>0.69779999999999998</v>
      </c>
      <c r="AV740" s="1">
        <f t="shared" si="323"/>
        <v>0.68400000000000005</v>
      </c>
      <c r="AX740" s="1">
        <f t="shared" si="324"/>
        <v>4.0405327156919517</v>
      </c>
      <c r="AY740" s="1">
        <f t="shared" si="325"/>
        <v>0.74985524030110018</v>
      </c>
      <c r="AZ740" s="1">
        <f t="shared" si="326"/>
        <v>0.75253329473074704</v>
      </c>
      <c r="BA740" s="1">
        <f t="shared" si="327"/>
        <v>1.5101331789229879</v>
      </c>
      <c r="BB740" s="1">
        <f t="shared" si="328"/>
        <v>0.74985524030110018</v>
      </c>
      <c r="BC740" s="1">
        <f t="shared" si="329"/>
        <v>0.74985524030110018</v>
      </c>
      <c r="BD740" s="1">
        <f t="shared" si="330"/>
        <v>6.5855240301100126E-2</v>
      </c>
      <c r="BF740">
        <f t="shared" si="336"/>
        <v>17.27</v>
      </c>
      <c r="BG740">
        <f t="shared" si="341"/>
        <v>12.95</v>
      </c>
      <c r="BH740" s="1">
        <f t="shared" si="337"/>
        <v>4.0405327156919517</v>
      </c>
      <c r="BI740" s="1">
        <f t="shared" si="338"/>
        <v>0.74985524030110018</v>
      </c>
      <c r="BJ740" s="1">
        <f t="shared" si="339"/>
        <v>0.66677012159814708</v>
      </c>
      <c r="BK740" s="1">
        <f t="shared" si="340"/>
        <v>2.12434742327736</v>
      </c>
      <c r="BL740" s="1">
        <f t="shared" si="331"/>
        <v>0.66677012159814708</v>
      </c>
      <c r="BM740" s="1">
        <f t="shared" si="332"/>
        <v>0.66677012159814708</v>
      </c>
      <c r="BN740" s="1">
        <f t="shared" si="333"/>
        <v>2.9686870974263949E-4</v>
      </c>
      <c r="BO740" s="1">
        <f t="shared" si="335"/>
        <v>7.6374338377187184E-2</v>
      </c>
    </row>
    <row r="741" spans="3:67" x14ac:dyDescent="0.25">
      <c r="C741" t="s">
        <v>769</v>
      </c>
      <c r="G741">
        <v>0</v>
      </c>
      <c r="H741">
        <v>17.27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6.48</v>
      </c>
      <c r="P741">
        <v>0</v>
      </c>
      <c r="Q741">
        <v>69.78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6.48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67</v>
      </c>
      <c r="AK741" t="s">
        <v>1</v>
      </c>
      <c r="AL741" t="s">
        <v>372</v>
      </c>
      <c r="AQ741" s="1">
        <f t="shared" si="334"/>
        <v>100.01</v>
      </c>
      <c r="AR741" s="1">
        <f t="shared" si="319"/>
        <v>6.480000000000001E-2</v>
      </c>
      <c r="AS741" s="1">
        <f t="shared" si="320"/>
        <v>0</v>
      </c>
      <c r="AT741" s="1">
        <f t="shared" si="321"/>
        <v>0.17269999999999999</v>
      </c>
      <c r="AU741" s="1">
        <f t="shared" si="322"/>
        <v>0.69779999999999998</v>
      </c>
      <c r="AV741" s="1">
        <f t="shared" si="323"/>
        <v>0.67</v>
      </c>
      <c r="AX741" s="1">
        <f t="shared" si="324"/>
        <v>4.0405327156919517</v>
      </c>
      <c r="AY741" s="1">
        <f t="shared" si="325"/>
        <v>0.37521713954834984</v>
      </c>
      <c r="AZ741" s="1">
        <f t="shared" si="326"/>
        <v>0.75253329473074704</v>
      </c>
      <c r="BA741" s="1">
        <f t="shared" si="327"/>
        <v>1.5101331789229879</v>
      </c>
      <c r="BB741" s="1">
        <f t="shared" si="328"/>
        <v>0.37521713954834984</v>
      </c>
      <c r="BC741" s="1">
        <f t="shared" si="329"/>
        <v>0.37521713954834984</v>
      </c>
      <c r="BD741" s="1">
        <f t="shared" si="330"/>
        <v>0.2947828604516502</v>
      </c>
      <c r="BF741">
        <f t="shared" si="336"/>
        <v>17.27</v>
      </c>
      <c r="BG741">
        <f t="shared" si="341"/>
        <v>12.96</v>
      </c>
      <c r="BH741" s="1">
        <f t="shared" si="337"/>
        <v>4.0405327156919517</v>
      </c>
      <c r="BI741" s="1">
        <f t="shared" si="338"/>
        <v>0.75043427909669957</v>
      </c>
      <c r="BJ741" s="1">
        <f t="shared" si="339"/>
        <v>0.66677012159814708</v>
      </c>
      <c r="BK741" s="1">
        <f t="shared" si="340"/>
        <v>2.12434742327736</v>
      </c>
      <c r="BL741" s="1">
        <f t="shared" si="331"/>
        <v>0.66677012159814708</v>
      </c>
      <c r="BM741" s="1">
        <f t="shared" si="332"/>
        <v>0.66677012159814708</v>
      </c>
      <c r="BN741" s="1">
        <f t="shared" si="333"/>
        <v>1.0432114490756225E-5</v>
      </c>
      <c r="BO741" s="1">
        <f t="shared" si="335"/>
        <v>6.8832284275042718E-2</v>
      </c>
    </row>
    <row r="742" spans="3:67" x14ac:dyDescent="0.25">
      <c r="C742" t="s">
        <v>770</v>
      </c>
      <c r="G742">
        <v>0</v>
      </c>
      <c r="H742">
        <v>17.27</v>
      </c>
      <c r="I742">
        <v>0</v>
      </c>
      <c r="J742">
        <v>0</v>
      </c>
      <c r="K742">
        <v>0</v>
      </c>
      <c r="L742">
        <v>6.48</v>
      </c>
      <c r="M742">
        <v>0</v>
      </c>
      <c r="N742">
        <v>0</v>
      </c>
      <c r="O742">
        <v>0</v>
      </c>
      <c r="P742">
        <v>0</v>
      </c>
      <c r="Q742">
        <v>69.78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6.48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67.099999999999994</v>
      </c>
      <c r="AK742" t="s">
        <v>1</v>
      </c>
      <c r="AL742" t="s">
        <v>372</v>
      </c>
      <c r="AQ742" s="1">
        <f t="shared" si="334"/>
        <v>100.01</v>
      </c>
      <c r="AR742" s="1">
        <f t="shared" si="319"/>
        <v>6.480000000000001E-2</v>
      </c>
      <c r="AS742" s="1">
        <f t="shared" si="320"/>
        <v>0</v>
      </c>
      <c r="AT742" s="1">
        <f t="shared" si="321"/>
        <v>0.17269999999999999</v>
      </c>
      <c r="AU742" s="1">
        <f t="shared" si="322"/>
        <v>0.69779999999999998</v>
      </c>
      <c r="AV742" s="1">
        <f t="shared" si="323"/>
        <v>0.67099999999999993</v>
      </c>
      <c r="AX742" s="1">
        <f t="shared" si="324"/>
        <v>4.0405327156919517</v>
      </c>
      <c r="AY742" s="1">
        <f t="shared" si="325"/>
        <v>0.37521713954834984</v>
      </c>
      <c r="AZ742" s="1">
        <f t="shared" si="326"/>
        <v>0.75253329473074704</v>
      </c>
      <c r="BA742" s="1">
        <f t="shared" si="327"/>
        <v>1.5101331789229879</v>
      </c>
      <c r="BB742" s="1">
        <f t="shared" si="328"/>
        <v>0.37521713954834984</v>
      </c>
      <c r="BC742" s="1">
        <f t="shared" si="329"/>
        <v>0.37521713954834984</v>
      </c>
      <c r="BD742" s="1">
        <f t="shared" si="330"/>
        <v>0.29578286045165009</v>
      </c>
      <c r="BF742">
        <f t="shared" si="336"/>
        <v>17.27</v>
      </c>
      <c r="BG742">
        <f t="shared" si="341"/>
        <v>12.96</v>
      </c>
      <c r="BH742" s="1">
        <f t="shared" si="337"/>
        <v>4.0405327156919517</v>
      </c>
      <c r="BI742" s="1">
        <f t="shared" si="338"/>
        <v>0.75043427909669957</v>
      </c>
      <c r="BJ742" s="1">
        <f t="shared" si="339"/>
        <v>0.66677012159814708</v>
      </c>
      <c r="BK742" s="1">
        <f t="shared" si="340"/>
        <v>2.12434742327736</v>
      </c>
      <c r="BL742" s="1">
        <f t="shared" si="331"/>
        <v>0.66677012159814708</v>
      </c>
      <c r="BM742" s="1">
        <f t="shared" si="332"/>
        <v>0.66677012159814708</v>
      </c>
      <c r="BN742" s="1">
        <f t="shared" si="333"/>
        <v>1.7891871294461214E-5</v>
      </c>
      <c r="BO742" s="1">
        <f t="shared" si="335"/>
        <v>6.9358002425195839E-2</v>
      </c>
    </row>
    <row r="743" spans="3:67" x14ac:dyDescent="0.25">
      <c r="C743" t="s">
        <v>346</v>
      </c>
      <c r="G743">
        <v>0</v>
      </c>
      <c r="H743">
        <v>17.27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12.95</v>
      </c>
      <c r="P743">
        <v>0</v>
      </c>
      <c r="Q743">
        <v>69.78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63.6</v>
      </c>
      <c r="AK743" t="s">
        <v>1</v>
      </c>
      <c r="AL743" t="s">
        <v>372</v>
      </c>
      <c r="AQ743" s="1">
        <f t="shared" si="334"/>
        <v>100</v>
      </c>
      <c r="AR743" s="1">
        <f t="shared" si="319"/>
        <v>0.1295</v>
      </c>
      <c r="AS743" s="1">
        <f t="shared" si="320"/>
        <v>0</v>
      </c>
      <c r="AT743" s="1">
        <f t="shared" si="321"/>
        <v>0.17269999999999999</v>
      </c>
      <c r="AU743" s="1">
        <f t="shared" si="322"/>
        <v>0.69779999999999998</v>
      </c>
      <c r="AV743" s="1">
        <f t="shared" si="323"/>
        <v>0.63600000000000001</v>
      </c>
      <c r="AX743" s="1">
        <f t="shared" si="324"/>
        <v>4.0405327156919517</v>
      </c>
      <c r="AY743" s="1">
        <f t="shared" si="325"/>
        <v>0.74985524030110018</v>
      </c>
      <c r="AZ743" s="1">
        <f t="shared" si="326"/>
        <v>0.75253329473074704</v>
      </c>
      <c r="BA743" s="1">
        <f t="shared" si="327"/>
        <v>1.5101331789229879</v>
      </c>
      <c r="BB743" s="1">
        <f t="shared" si="328"/>
        <v>0.74985524030110018</v>
      </c>
      <c r="BC743" s="1">
        <f t="shared" si="329"/>
        <v>0.74985524030110018</v>
      </c>
      <c r="BD743" s="1">
        <f t="shared" si="330"/>
        <v>0.11385524030110017</v>
      </c>
      <c r="BF743">
        <f t="shared" si="336"/>
        <v>17.27</v>
      </c>
      <c r="BG743">
        <f t="shared" si="341"/>
        <v>12.95</v>
      </c>
      <c r="BH743" s="1">
        <f t="shared" si="337"/>
        <v>4.0405327156919517</v>
      </c>
      <c r="BI743" s="1">
        <f t="shared" si="338"/>
        <v>0.74985524030110018</v>
      </c>
      <c r="BJ743" s="1">
        <f t="shared" si="339"/>
        <v>0.66677012159814708</v>
      </c>
      <c r="BK743" s="1">
        <f t="shared" si="340"/>
        <v>2.12434742327736</v>
      </c>
      <c r="BL743" s="1">
        <f t="shared" si="331"/>
        <v>0.66677012159814708</v>
      </c>
      <c r="BM743" s="1">
        <f t="shared" si="332"/>
        <v>0.66677012159814708</v>
      </c>
      <c r="BN743" s="1">
        <f t="shared" si="333"/>
        <v>9.468003831647569E-4</v>
      </c>
      <c r="BO743" s="1">
        <f t="shared" si="335"/>
        <v>5.2147867169834723E-2</v>
      </c>
    </row>
    <row r="744" spans="3:67" x14ac:dyDescent="0.25">
      <c r="C744" t="s">
        <v>771</v>
      </c>
      <c r="G744">
        <v>0</v>
      </c>
      <c r="H744">
        <v>17.27</v>
      </c>
      <c r="I744">
        <v>0</v>
      </c>
      <c r="J744">
        <v>0</v>
      </c>
      <c r="K744">
        <v>0</v>
      </c>
      <c r="L744">
        <v>0</v>
      </c>
      <c r="M744">
        <v>6.48</v>
      </c>
      <c r="N744">
        <v>0</v>
      </c>
      <c r="O744">
        <v>6.48</v>
      </c>
      <c r="P744">
        <v>0</v>
      </c>
      <c r="Q744">
        <v>69.78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55.2</v>
      </c>
      <c r="AK744" t="s">
        <v>1</v>
      </c>
      <c r="AL744" t="s">
        <v>372</v>
      </c>
      <c r="AQ744" s="1">
        <f t="shared" si="334"/>
        <v>100.01</v>
      </c>
      <c r="AR744" s="1">
        <f t="shared" si="319"/>
        <v>0.12960000000000002</v>
      </c>
      <c r="AS744" s="1">
        <f t="shared" si="320"/>
        <v>0</v>
      </c>
      <c r="AT744" s="1">
        <f t="shared" si="321"/>
        <v>0.17269999999999999</v>
      </c>
      <c r="AU744" s="1">
        <f t="shared" si="322"/>
        <v>0.69779999999999998</v>
      </c>
      <c r="AV744" s="1">
        <f t="shared" si="323"/>
        <v>0.55200000000000005</v>
      </c>
      <c r="AX744" s="1">
        <f t="shared" si="324"/>
        <v>4.0405327156919517</v>
      </c>
      <c r="AY744" s="1">
        <f t="shared" si="325"/>
        <v>0.75043427909669969</v>
      </c>
      <c r="AZ744" s="1">
        <f t="shared" si="326"/>
        <v>0.75253329473074704</v>
      </c>
      <c r="BA744" s="1">
        <f t="shared" si="327"/>
        <v>1.5101331789229879</v>
      </c>
      <c r="BB744" s="1">
        <f t="shared" si="328"/>
        <v>0.75043427909669969</v>
      </c>
      <c r="BC744" s="1">
        <f t="shared" si="329"/>
        <v>0.75043427909669969</v>
      </c>
      <c r="BD744" s="1">
        <f t="shared" si="330"/>
        <v>0.19843427909669964</v>
      </c>
      <c r="BF744">
        <f t="shared" si="336"/>
        <v>17.27</v>
      </c>
      <c r="BG744">
        <f t="shared" si="341"/>
        <v>12.96</v>
      </c>
      <c r="BH744" s="1">
        <f t="shared" si="337"/>
        <v>4.0405327156919517</v>
      </c>
      <c r="BI744" s="1">
        <f t="shared" si="338"/>
        <v>0.75043427909669957</v>
      </c>
      <c r="BJ744" s="1">
        <f t="shared" si="339"/>
        <v>0.66677012159814708</v>
      </c>
      <c r="BK744" s="1">
        <f t="shared" si="340"/>
        <v>2.12434742327736</v>
      </c>
      <c r="BL744" s="1">
        <f t="shared" si="331"/>
        <v>0.66677012159814708</v>
      </c>
      <c r="BM744" s="1">
        <f t="shared" si="332"/>
        <v>0.66677012159814708</v>
      </c>
      <c r="BN744" s="1">
        <f t="shared" si="333"/>
        <v>1.3172180811653457E-2</v>
      </c>
      <c r="BO744" s="1">
        <f t="shared" si="335"/>
        <v>2.083954255696796E-2</v>
      </c>
    </row>
    <row r="745" spans="3:67" x14ac:dyDescent="0.25">
      <c r="C745" t="s">
        <v>772</v>
      </c>
      <c r="G745">
        <v>0</v>
      </c>
      <c r="H745">
        <v>17.27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6.48</v>
      </c>
      <c r="P745">
        <v>0</v>
      </c>
      <c r="Q745">
        <v>69.78</v>
      </c>
      <c r="R745">
        <v>0</v>
      </c>
      <c r="S745">
        <v>0</v>
      </c>
      <c r="T745">
        <v>0</v>
      </c>
      <c r="U745">
        <v>0</v>
      </c>
      <c r="V745">
        <v>6.48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56.8</v>
      </c>
      <c r="AK745" t="s">
        <v>1</v>
      </c>
      <c r="AL745" t="s">
        <v>372</v>
      </c>
      <c r="AQ745" s="1">
        <f t="shared" si="334"/>
        <v>100.01</v>
      </c>
      <c r="AR745" s="1">
        <f t="shared" si="319"/>
        <v>6.480000000000001E-2</v>
      </c>
      <c r="AS745" s="1">
        <f t="shared" si="320"/>
        <v>0</v>
      </c>
      <c r="AT745" s="1">
        <f t="shared" si="321"/>
        <v>0.17269999999999999</v>
      </c>
      <c r="AU745" s="1">
        <f t="shared" si="322"/>
        <v>0.69779999999999998</v>
      </c>
      <c r="AV745" s="1">
        <f t="shared" si="323"/>
        <v>0.56799999999999995</v>
      </c>
      <c r="AX745" s="1">
        <f t="shared" si="324"/>
        <v>4.0405327156919517</v>
      </c>
      <c r="AY745" s="1">
        <f t="shared" si="325"/>
        <v>0.37521713954834984</v>
      </c>
      <c r="AZ745" s="1">
        <f t="shared" si="326"/>
        <v>0.75253329473074704</v>
      </c>
      <c r="BA745" s="1">
        <f t="shared" si="327"/>
        <v>1.5101331789229879</v>
      </c>
      <c r="BB745" s="1">
        <f t="shared" si="328"/>
        <v>0.37521713954834984</v>
      </c>
      <c r="BC745" s="1">
        <f t="shared" si="329"/>
        <v>0.37521713954834984</v>
      </c>
      <c r="BD745" s="1">
        <f t="shared" si="330"/>
        <v>0.19278286045165011</v>
      </c>
      <c r="BF745">
        <f t="shared" si="336"/>
        <v>17.27</v>
      </c>
      <c r="BG745">
        <f t="shared" si="341"/>
        <v>9.7200000000000006</v>
      </c>
      <c r="BH745" s="1">
        <f t="shared" si="337"/>
        <v>4.0405327156919517</v>
      </c>
      <c r="BI745" s="1">
        <f t="shared" si="338"/>
        <v>0.56282570932252463</v>
      </c>
      <c r="BJ745" s="1">
        <f t="shared" si="339"/>
        <v>0.66677012159814708</v>
      </c>
      <c r="BK745" s="1">
        <f t="shared" si="340"/>
        <v>2.12434742327736</v>
      </c>
      <c r="BL745" s="1">
        <f t="shared" si="331"/>
        <v>0.56282570932252463</v>
      </c>
      <c r="BM745" s="1">
        <f t="shared" si="332"/>
        <v>0.56282570932252463</v>
      </c>
      <c r="BN745" s="1">
        <f t="shared" si="333"/>
        <v>2.6773284015008048E-5</v>
      </c>
      <c r="BO745" s="1">
        <f t="shared" si="335"/>
        <v>2.5715032959418745E-2</v>
      </c>
    </row>
    <row r="746" spans="3:67" x14ac:dyDescent="0.25">
      <c r="C746" t="s">
        <v>773</v>
      </c>
      <c r="G746">
        <v>0</v>
      </c>
      <c r="H746">
        <v>17.27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6.48</v>
      </c>
      <c r="P746">
        <v>0</v>
      </c>
      <c r="Q746">
        <v>69.78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6.48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52.1</v>
      </c>
      <c r="AK746" t="s">
        <v>1</v>
      </c>
      <c r="AL746" t="s">
        <v>372</v>
      </c>
      <c r="AQ746" s="1">
        <f t="shared" si="334"/>
        <v>100.01</v>
      </c>
      <c r="AR746" s="1">
        <f t="shared" si="319"/>
        <v>6.480000000000001E-2</v>
      </c>
      <c r="AS746" s="1">
        <f t="shared" si="320"/>
        <v>0</v>
      </c>
      <c r="AT746" s="1">
        <f t="shared" si="321"/>
        <v>0.17269999999999999</v>
      </c>
      <c r="AU746" s="1">
        <f t="shared" si="322"/>
        <v>0.69779999999999998</v>
      </c>
      <c r="AV746" s="1">
        <f t="shared" si="323"/>
        <v>0.52100000000000002</v>
      </c>
      <c r="AX746" s="1">
        <f t="shared" si="324"/>
        <v>4.0405327156919517</v>
      </c>
      <c r="AY746" s="1">
        <f t="shared" si="325"/>
        <v>0.37521713954834984</v>
      </c>
      <c r="AZ746" s="1">
        <f t="shared" si="326"/>
        <v>0.75253329473074704</v>
      </c>
      <c r="BA746" s="1">
        <f t="shared" si="327"/>
        <v>1.5101331789229879</v>
      </c>
      <c r="BB746" s="1">
        <f t="shared" si="328"/>
        <v>0.37521713954834984</v>
      </c>
      <c r="BC746" s="1">
        <f t="shared" si="329"/>
        <v>0.37521713954834984</v>
      </c>
      <c r="BD746" s="1">
        <f t="shared" si="330"/>
        <v>0.14578286045165018</v>
      </c>
      <c r="BF746">
        <f t="shared" si="336"/>
        <v>17.27</v>
      </c>
      <c r="BG746">
        <f t="shared" si="341"/>
        <v>9.7200000000000006</v>
      </c>
      <c r="BH746" s="1">
        <f t="shared" si="337"/>
        <v>4.0405327156919517</v>
      </c>
      <c r="BI746" s="1">
        <f t="shared" si="338"/>
        <v>0.56282570932252463</v>
      </c>
      <c r="BJ746" s="1">
        <f t="shared" si="339"/>
        <v>0.66677012159814708</v>
      </c>
      <c r="BK746" s="1">
        <f t="shared" si="340"/>
        <v>2.12434742327736</v>
      </c>
      <c r="BL746" s="1">
        <f t="shared" si="331"/>
        <v>0.56282570932252463</v>
      </c>
      <c r="BM746" s="1">
        <f t="shared" si="332"/>
        <v>0.56282570932252463</v>
      </c>
      <c r="BN746" s="1">
        <f t="shared" si="333"/>
        <v>1.7493899603323218E-3</v>
      </c>
      <c r="BO746" s="1">
        <f t="shared" si="335"/>
        <v>1.28502799022195E-2</v>
      </c>
    </row>
    <row r="747" spans="3:67" x14ac:dyDescent="0.25">
      <c r="C747" t="s">
        <v>774</v>
      </c>
      <c r="G747">
        <v>0</v>
      </c>
      <c r="H747">
        <v>17.27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6.48</v>
      </c>
      <c r="O747">
        <v>6.48</v>
      </c>
      <c r="P747">
        <v>0</v>
      </c>
      <c r="Q747">
        <v>69.78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30.2</v>
      </c>
      <c r="AK747" t="s">
        <v>1</v>
      </c>
      <c r="AL747" t="s">
        <v>372</v>
      </c>
      <c r="AQ747" s="1">
        <f t="shared" si="334"/>
        <v>100.01</v>
      </c>
      <c r="AR747" s="1">
        <f t="shared" si="319"/>
        <v>6.480000000000001E-2</v>
      </c>
      <c r="AS747" s="1">
        <f t="shared" si="320"/>
        <v>0</v>
      </c>
      <c r="AT747" s="1">
        <f t="shared" si="321"/>
        <v>0.17269999999999999</v>
      </c>
      <c r="AU747" s="1">
        <f t="shared" si="322"/>
        <v>0.69779999999999998</v>
      </c>
      <c r="AV747" s="1">
        <f t="shared" si="323"/>
        <v>0.30199999999999999</v>
      </c>
      <c r="AX747" s="1">
        <f t="shared" si="324"/>
        <v>4.0405327156919517</v>
      </c>
      <c r="AY747" s="1">
        <f t="shared" si="325"/>
        <v>0.37521713954834984</v>
      </c>
      <c r="AZ747" s="1">
        <f t="shared" si="326"/>
        <v>0.75253329473074704</v>
      </c>
      <c r="BA747" s="1">
        <f t="shared" si="327"/>
        <v>1.5101331789229879</v>
      </c>
      <c r="BB747" s="1">
        <f t="shared" si="328"/>
        <v>0.37521713954834984</v>
      </c>
      <c r="BC747" s="1">
        <f t="shared" si="329"/>
        <v>0.37521713954834984</v>
      </c>
      <c r="BD747" s="1">
        <f t="shared" si="330"/>
        <v>7.3217139548349852E-2</v>
      </c>
      <c r="BF747">
        <f t="shared" si="336"/>
        <v>17.27</v>
      </c>
      <c r="BG747">
        <f t="shared" si="341"/>
        <v>9.7200000000000006</v>
      </c>
      <c r="BH747" s="1">
        <f t="shared" si="337"/>
        <v>4.0405327156919517</v>
      </c>
      <c r="BI747" s="1">
        <f t="shared" si="338"/>
        <v>0.56282570932252463</v>
      </c>
      <c r="BJ747" s="1">
        <f t="shared" si="339"/>
        <v>0.66677012159814708</v>
      </c>
      <c r="BK747" s="1">
        <f t="shared" si="340"/>
        <v>2.12434742327736</v>
      </c>
      <c r="BL747" s="1">
        <f t="shared" si="331"/>
        <v>0.56282570932252463</v>
      </c>
      <c r="BM747" s="1">
        <f t="shared" si="332"/>
        <v>0.56282570932252463</v>
      </c>
      <c r="BN747" s="1">
        <f t="shared" si="333"/>
        <v>6.8030050643598114E-2</v>
      </c>
      <c r="BO747" s="1">
        <f t="shared" si="335"/>
        <v>1.116000501867399E-2</v>
      </c>
    </row>
    <row r="748" spans="3:67" x14ac:dyDescent="0.25">
      <c r="C748" t="s">
        <v>732</v>
      </c>
      <c r="G748">
        <v>0</v>
      </c>
      <c r="H748">
        <v>26.7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20</v>
      </c>
      <c r="P748">
        <v>0</v>
      </c>
      <c r="Q748">
        <v>53.3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60.4</v>
      </c>
      <c r="AK748" t="s">
        <v>1</v>
      </c>
      <c r="AL748" t="s">
        <v>372</v>
      </c>
      <c r="AO748" t="s">
        <v>378</v>
      </c>
      <c r="AP748" t="s">
        <v>844</v>
      </c>
      <c r="AQ748" s="1">
        <f t="shared" si="334"/>
        <v>100</v>
      </c>
      <c r="AR748" s="1">
        <f t="shared" si="319"/>
        <v>0.2</v>
      </c>
      <c r="AS748" s="1">
        <f t="shared" si="320"/>
        <v>0</v>
      </c>
      <c r="AT748" s="1">
        <f t="shared" si="321"/>
        <v>0.26700000000000002</v>
      </c>
      <c r="AU748" s="1">
        <f t="shared" si="322"/>
        <v>0.53299999999999992</v>
      </c>
      <c r="AV748" s="1">
        <f t="shared" si="323"/>
        <v>0.60399999999999998</v>
      </c>
      <c r="AX748" s="1">
        <f t="shared" si="324"/>
        <v>1.9962546816479396</v>
      </c>
      <c r="AY748" s="1">
        <f t="shared" si="325"/>
        <v>0.74906367041198507</v>
      </c>
      <c r="AZ748" s="1">
        <f t="shared" si="326"/>
        <v>0.62476591760299627</v>
      </c>
      <c r="BA748" s="1">
        <f t="shared" si="327"/>
        <v>0.99906367041198485</v>
      </c>
      <c r="BB748" s="1">
        <f t="shared" si="328"/>
        <v>0.62476591760299627</v>
      </c>
      <c r="BC748" s="1">
        <f t="shared" si="329"/>
        <v>0.62476591760299627</v>
      </c>
      <c r="BD748" s="1">
        <f t="shared" si="330"/>
        <v>2.0765917602996287E-2</v>
      </c>
      <c r="BF748">
        <f t="shared" si="336"/>
        <v>26.7</v>
      </c>
      <c r="BG748">
        <f t="shared" si="341"/>
        <v>20</v>
      </c>
      <c r="BH748" s="1">
        <f t="shared" si="337"/>
        <v>1.9962546816479401</v>
      </c>
      <c r="BI748" s="1">
        <f t="shared" si="338"/>
        <v>0.74906367041198507</v>
      </c>
      <c r="BJ748" s="1">
        <f t="shared" si="339"/>
        <v>0.6279288389513108</v>
      </c>
      <c r="BK748" s="1">
        <f t="shared" si="340"/>
        <v>1.098119850187266</v>
      </c>
      <c r="BL748" s="1">
        <f t="shared" si="331"/>
        <v>0.6279288389513108</v>
      </c>
      <c r="BM748" s="1">
        <f t="shared" si="332"/>
        <v>0.6279288389513108</v>
      </c>
      <c r="BN748" s="1">
        <f t="shared" si="333"/>
        <v>5.7258933355776971E-4</v>
      </c>
      <c r="BO748" s="1">
        <f t="shared" si="335"/>
        <v>3.8556886364933082E-2</v>
      </c>
    </row>
    <row r="749" spans="3:67" x14ac:dyDescent="0.25">
      <c r="C749" t="s">
        <v>740</v>
      </c>
      <c r="G749">
        <v>0</v>
      </c>
      <c r="H749">
        <v>17.399999999999999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13</v>
      </c>
      <c r="P749">
        <v>0</v>
      </c>
      <c r="Q749">
        <v>69.599999999999994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61.8</v>
      </c>
      <c r="AK749" t="s">
        <v>1</v>
      </c>
      <c r="AL749" t="s">
        <v>372</v>
      </c>
      <c r="AQ749" s="1">
        <f t="shared" si="334"/>
        <v>100</v>
      </c>
      <c r="AR749" s="1">
        <f t="shared" si="319"/>
        <v>0.13</v>
      </c>
      <c r="AS749" s="1">
        <f t="shared" si="320"/>
        <v>0</v>
      </c>
      <c r="AT749" s="1">
        <f t="shared" si="321"/>
        <v>0.17399999999999999</v>
      </c>
      <c r="AU749" s="1">
        <f t="shared" si="322"/>
        <v>0.69599999999999995</v>
      </c>
      <c r="AV749" s="1">
        <f t="shared" si="323"/>
        <v>0.61799999999999999</v>
      </c>
      <c r="AX749" s="1">
        <f t="shared" si="324"/>
        <v>4</v>
      </c>
      <c r="AY749" s="1">
        <f t="shared" si="325"/>
        <v>0.74712643678160928</v>
      </c>
      <c r="AZ749" s="1">
        <f t="shared" si="326"/>
        <v>0.75</v>
      </c>
      <c r="BA749" s="1">
        <f t="shared" si="327"/>
        <v>1.5</v>
      </c>
      <c r="BB749" s="1">
        <f t="shared" si="328"/>
        <v>0.74712643678160928</v>
      </c>
      <c r="BC749" s="1">
        <f t="shared" si="329"/>
        <v>0.74712643678160928</v>
      </c>
      <c r="BD749" s="1">
        <f t="shared" si="330"/>
        <v>0.12912643678160929</v>
      </c>
      <c r="BF749">
        <f t="shared" si="336"/>
        <v>17.399999999999999</v>
      </c>
      <c r="BG749">
        <f t="shared" si="341"/>
        <v>13</v>
      </c>
      <c r="BH749" s="1">
        <f t="shared" si="337"/>
        <v>4</v>
      </c>
      <c r="BI749" s="1">
        <f t="shared" si="338"/>
        <v>0.74712643678160928</v>
      </c>
      <c r="BJ749" s="1">
        <f t="shared" si="339"/>
        <v>0.66599999999999993</v>
      </c>
      <c r="BK749" s="1">
        <f t="shared" si="340"/>
        <v>2.1040000000000001</v>
      </c>
      <c r="BL749" s="1">
        <f t="shared" si="331"/>
        <v>0.66599999999999993</v>
      </c>
      <c r="BM749" s="1">
        <f t="shared" si="332"/>
        <v>0.66599999999999993</v>
      </c>
      <c r="BN749" s="1">
        <f t="shared" si="333"/>
        <v>2.3039999999999936E-3</v>
      </c>
      <c r="BO749" s="1">
        <f t="shared" si="335"/>
        <v>4.4250940467077546E-2</v>
      </c>
    </row>
    <row r="750" spans="3:67" x14ac:dyDescent="0.25">
      <c r="C750" t="s">
        <v>775</v>
      </c>
      <c r="G750">
        <v>0</v>
      </c>
      <c r="H750">
        <v>17.399999999999999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6.5</v>
      </c>
      <c r="O750">
        <v>6.5</v>
      </c>
      <c r="P750">
        <v>0</v>
      </c>
      <c r="Q750">
        <v>69.599999999999994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31</v>
      </c>
      <c r="AK750" t="s">
        <v>1</v>
      </c>
      <c r="AL750" t="s">
        <v>372</v>
      </c>
      <c r="AQ750" s="1">
        <f t="shared" si="334"/>
        <v>100</v>
      </c>
      <c r="AR750" s="1">
        <f t="shared" si="319"/>
        <v>6.5000000000000002E-2</v>
      </c>
      <c r="AS750" s="1">
        <f t="shared" si="320"/>
        <v>0</v>
      </c>
      <c r="AT750" s="1">
        <f t="shared" si="321"/>
        <v>0.17399999999999999</v>
      </c>
      <c r="AU750" s="1">
        <f t="shared" si="322"/>
        <v>0.69599999999999995</v>
      </c>
      <c r="AV750" s="1">
        <f t="shared" si="323"/>
        <v>0.31</v>
      </c>
      <c r="AX750" s="1">
        <f t="shared" si="324"/>
        <v>4</v>
      </c>
      <c r="AY750" s="1">
        <f t="shared" si="325"/>
        <v>0.37356321839080464</v>
      </c>
      <c r="AZ750" s="1">
        <f t="shared" si="326"/>
        <v>0.75</v>
      </c>
      <c r="BA750" s="1">
        <f t="shared" si="327"/>
        <v>1.5</v>
      </c>
      <c r="BB750" s="1">
        <f t="shared" si="328"/>
        <v>0.37356321839080464</v>
      </c>
      <c r="BC750" s="1">
        <f t="shared" si="329"/>
        <v>0.37356321839080464</v>
      </c>
      <c r="BD750" s="1">
        <f t="shared" si="330"/>
        <v>6.3563218390804643E-2</v>
      </c>
      <c r="BF750">
        <f t="shared" si="336"/>
        <v>17.399999999999999</v>
      </c>
      <c r="BG750">
        <f t="shared" si="341"/>
        <v>9.75</v>
      </c>
      <c r="BH750" s="1">
        <f t="shared" si="337"/>
        <v>4</v>
      </c>
      <c r="BI750" s="1">
        <f t="shared" si="338"/>
        <v>0.56034482758620696</v>
      </c>
      <c r="BJ750" s="1">
        <f t="shared" si="339"/>
        <v>0.66599999999999993</v>
      </c>
      <c r="BK750" s="1">
        <f t="shared" si="340"/>
        <v>2.1040000000000001</v>
      </c>
      <c r="BL750" s="1">
        <f t="shared" si="331"/>
        <v>0.56034482758620696</v>
      </c>
      <c r="BM750" s="1">
        <f t="shared" si="332"/>
        <v>0.56034482758620696</v>
      </c>
      <c r="BN750" s="1">
        <f t="shared" si="333"/>
        <v>6.2672532699167685E-2</v>
      </c>
      <c r="BO750" s="1">
        <f t="shared" si="335"/>
        <v>9.5337502198993961E-3</v>
      </c>
    </row>
    <row r="751" spans="3:67" x14ac:dyDescent="0.25">
      <c r="C751" t="s">
        <v>776</v>
      </c>
      <c r="G751">
        <v>0</v>
      </c>
      <c r="H751">
        <v>14.1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14.8</v>
      </c>
      <c r="O751">
        <v>14.8</v>
      </c>
      <c r="P751">
        <v>0</v>
      </c>
      <c r="Q751">
        <v>56.3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44.5</v>
      </c>
      <c r="AK751" t="s">
        <v>1</v>
      </c>
      <c r="AL751" t="s">
        <v>372</v>
      </c>
      <c r="AQ751" s="1">
        <f t="shared" si="334"/>
        <v>100</v>
      </c>
      <c r="AR751" s="1">
        <f t="shared" si="319"/>
        <v>0.14800000000000002</v>
      </c>
      <c r="AS751" s="1">
        <f t="shared" si="320"/>
        <v>0</v>
      </c>
      <c r="AT751" s="1">
        <f t="shared" si="321"/>
        <v>0.14099999999999999</v>
      </c>
      <c r="AU751" s="1">
        <f t="shared" si="322"/>
        <v>0.56299999999999994</v>
      </c>
      <c r="AV751" s="1">
        <f t="shared" si="323"/>
        <v>0.44500000000000001</v>
      </c>
      <c r="AX751" s="1">
        <f t="shared" si="324"/>
        <v>3.9929078014184398</v>
      </c>
      <c r="AY751" s="1">
        <f t="shared" si="325"/>
        <v>1.0496453900709222</v>
      </c>
      <c r="AZ751" s="1">
        <f t="shared" si="326"/>
        <v>0.74955673758865249</v>
      </c>
      <c r="BA751" s="1">
        <f t="shared" si="327"/>
        <v>1.49822695035461</v>
      </c>
      <c r="BB751" s="1">
        <f t="shared" si="328"/>
        <v>0.74955673758865249</v>
      </c>
      <c r="BC751" s="1">
        <f t="shared" si="329"/>
        <v>0.74955673758865249</v>
      </c>
      <c r="BD751" s="1">
        <f t="shared" si="330"/>
        <v>0.30455673758865248</v>
      </c>
      <c r="BF751">
        <f t="shared" si="336"/>
        <v>14.1</v>
      </c>
      <c r="BG751">
        <f t="shared" si="341"/>
        <v>22.200000000000003</v>
      </c>
      <c r="BH751" s="1">
        <f t="shared" si="337"/>
        <v>3.9929078014184398</v>
      </c>
      <c r="BI751" s="1">
        <f t="shared" si="338"/>
        <v>1.5744680851063833</v>
      </c>
      <c r="BJ751" s="1">
        <f t="shared" si="339"/>
        <v>0.66586524822695037</v>
      </c>
      <c r="BK751" s="1">
        <f t="shared" si="340"/>
        <v>2.1004397163120569</v>
      </c>
      <c r="BL751" s="1">
        <f t="shared" si="331"/>
        <v>0.66586524822695037</v>
      </c>
      <c r="BM751" s="1">
        <f t="shared" si="332"/>
        <v>0.66586524822695037</v>
      </c>
      <c r="BN751" s="1">
        <f t="shared" si="333"/>
        <v>4.8781457874352396E-2</v>
      </c>
      <c r="BO751" s="1">
        <f t="shared" si="335"/>
        <v>1.395700490578133E-3</v>
      </c>
    </row>
    <row r="752" spans="3:67" x14ac:dyDescent="0.25">
      <c r="C752" t="s">
        <v>777</v>
      </c>
      <c r="G752">
        <v>3.84</v>
      </c>
      <c r="H752">
        <v>15.96</v>
      </c>
      <c r="I752">
        <v>5.73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12.65</v>
      </c>
      <c r="P752">
        <v>0</v>
      </c>
      <c r="Q752">
        <v>60.09</v>
      </c>
      <c r="R752">
        <v>0</v>
      </c>
      <c r="S752">
        <v>0</v>
      </c>
      <c r="T752">
        <v>0</v>
      </c>
      <c r="U752">
        <v>1.72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50</v>
      </c>
      <c r="AK752" t="s">
        <v>1</v>
      </c>
      <c r="AL752" t="s">
        <v>374</v>
      </c>
      <c r="AM752" t="s">
        <v>845</v>
      </c>
      <c r="AO752" t="s">
        <v>378</v>
      </c>
      <c r="AP752" t="s">
        <v>846</v>
      </c>
      <c r="AQ752" s="1">
        <f t="shared" si="334"/>
        <v>99.990000000000009</v>
      </c>
      <c r="AR752" s="1">
        <f t="shared" si="319"/>
        <v>0.1265</v>
      </c>
      <c r="AS752" s="1">
        <f t="shared" si="320"/>
        <v>3.8399999999999997E-2</v>
      </c>
      <c r="AT752" s="1">
        <f t="shared" si="321"/>
        <v>0.15960000000000002</v>
      </c>
      <c r="AU752" s="1">
        <f t="shared" si="322"/>
        <v>0.60089999999999999</v>
      </c>
      <c r="AV752" s="1">
        <f t="shared" si="323"/>
        <v>0.5</v>
      </c>
      <c r="AX752" s="1">
        <f t="shared" si="324"/>
        <v>3.0348484848484847</v>
      </c>
      <c r="AY752" s="1">
        <f t="shared" si="325"/>
        <v>0.63888888888888884</v>
      </c>
      <c r="AZ752" s="1">
        <f t="shared" si="326"/>
        <v>0.68967803030303032</v>
      </c>
      <c r="BA752" s="1">
        <f t="shared" si="327"/>
        <v>1.2587121212121213</v>
      </c>
      <c r="BB752" s="1">
        <f t="shared" si="328"/>
        <v>0.63888888888888884</v>
      </c>
      <c r="BC752" s="1">
        <f t="shared" si="329"/>
        <v>0.63888888888888884</v>
      </c>
      <c r="BD752" s="1">
        <f t="shared" si="330"/>
        <v>0.13888888888888884</v>
      </c>
      <c r="BF752">
        <f t="shared" si="336"/>
        <v>36.480000000000004</v>
      </c>
      <c r="BG752">
        <f t="shared" si="341"/>
        <v>15.515000000000001</v>
      </c>
      <c r="BH752" s="1">
        <f t="shared" si="337"/>
        <v>1.647203947368421</v>
      </c>
      <c r="BI752" s="1">
        <f t="shared" si="338"/>
        <v>0.42530153508771928</v>
      </c>
      <c r="BJ752" s="1">
        <f t="shared" si="339"/>
        <v>0.62129687499999997</v>
      </c>
      <c r="BK752" s="1">
        <f t="shared" si="340"/>
        <v>0.92289638157894738</v>
      </c>
      <c r="BL752" s="1">
        <f t="shared" si="331"/>
        <v>0.42530153508771928</v>
      </c>
      <c r="BM752" s="1">
        <f t="shared" si="332"/>
        <v>0.42530153508771928</v>
      </c>
      <c r="BN752" s="1">
        <f t="shared" si="333"/>
        <v>5.5798606602512329E-3</v>
      </c>
      <c r="BO752" s="1">
        <f t="shared" si="335"/>
        <v>8.5301987490028035E-3</v>
      </c>
    </row>
    <row r="753" spans="3:67" x14ac:dyDescent="0.25">
      <c r="C753" t="s">
        <v>778</v>
      </c>
      <c r="G753">
        <v>0</v>
      </c>
      <c r="H753">
        <v>15.37</v>
      </c>
      <c r="I753">
        <v>5.52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12.18</v>
      </c>
      <c r="P753">
        <v>0</v>
      </c>
      <c r="Q753">
        <v>65.28</v>
      </c>
      <c r="R753">
        <v>0</v>
      </c>
      <c r="S753">
        <v>0</v>
      </c>
      <c r="T753">
        <v>0</v>
      </c>
      <c r="U753">
        <v>1.66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64</v>
      </c>
      <c r="AK753" t="s">
        <v>1</v>
      </c>
      <c r="AL753" t="s">
        <v>374</v>
      </c>
      <c r="AP753" t="s">
        <v>847</v>
      </c>
      <c r="AQ753" s="1">
        <f t="shared" si="334"/>
        <v>100.00999999999999</v>
      </c>
      <c r="AR753" s="1">
        <f t="shared" si="319"/>
        <v>0.12179999999999999</v>
      </c>
      <c r="AS753" s="1">
        <f t="shared" si="320"/>
        <v>0</v>
      </c>
      <c r="AT753" s="1">
        <f t="shared" si="321"/>
        <v>0.1537</v>
      </c>
      <c r="AU753" s="1">
        <f t="shared" si="322"/>
        <v>0.65280000000000005</v>
      </c>
      <c r="AV753" s="1">
        <f t="shared" si="323"/>
        <v>0.64</v>
      </c>
      <c r="AX753" s="1">
        <f t="shared" si="324"/>
        <v>4.2472348731294733</v>
      </c>
      <c r="AY753" s="1">
        <f t="shared" si="325"/>
        <v>0.79245283018867918</v>
      </c>
      <c r="AZ753" s="1">
        <f t="shared" si="326"/>
        <v>0.76545217957059208</v>
      </c>
      <c r="BA753" s="1">
        <f t="shared" si="327"/>
        <v>1.5618087182823683</v>
      </c>
      <c r="BB753" s="1">
        <f t="shared" si="328"/>
        <v>0.76545217957059208</v>
      </c>
      <c r="BC753" s="1">
        <f t="shared" si="329"/>
        <v>0.76545217957059208</v>
      </c>
      <c r="BD753" s="1">
        <f t="shared" si="330"/>
        <v>0.12545217957059207</v>
      </c>
      <c r="BF753">
        <f t="shared" si="336"/>
        <v>20.349999999999998</v>
      </c>
      <c r="BG753">
        <f t="shared" si="341"/>
        <v>14.94</v>
      </c>
      <c r="BH753" s="1">
        <f t="shared" si="337"/>
        <v>3.2078624078624083</v>
      </c>
      <c r="BI753" s="1">
        <f t="shared" si="338"/>
        <v>0.73415233415233416</v>
      </c>
      <c r="BJ753" s="1">
        <f t="shared" si="339"/>
        <v>0.65094938574938577</v>
      </c>
      <c r="BK753" s="1">
        <f t="shared" si="340"/>
        <v>1.7063469287469291</v>
      </c>
      <c r="BL753" s="1">
        <f t="shared" si="331"/>
        <v>0.65094938574938577</v>
      </c>
      <c r="BM753" s="1">
        <f t="shared" si="332"/>
        <v>0.65094938574938577</v>
      </c>
      <c r="BN753" s="1">
        <f t="shared" si="333"/>
        <v>1.1988904828885183E-4</v>
      </c>
      <c r="BO753" s="1">
        <f t="shared" si="335"/>
        <v>5.3990739770447424E-2</v>
      </c>
    </row>
    <row r="754" spans="3:67" x14ac:dyDescent="0.25">
      <c r="C754" t="s">
        <v>779</v>
      </c>
      <c r="G754">
        <v>11.98</v>
      </c>
      <c r="H754">
        <v>17.21</v>
      </c>
      <c r="I754">
        <v>6.18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13.64</v>
      </c>
      <c r="P754">
        <v>0</v>
      </c>
      <c r="Q754">
        <v>49.13</v>
      </c>
      <c r="R754">
        <v>0</v>
      </c>
      <c r="S754">
        <v>0</v>
      </c>
      <c r="T754">
        <v>0</v>
      </c>
      <c r="U754">
        <v>1.85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23</v>
      </c>
      <c r="AK754" t="s">
        <v>1</v>
      </c>
      <c r="AL754" t="s">
        <v>374</v>
      </c>
      <c r="AQ754" s="1">
        <f t="shared" si="334"/>
        <v>99.990000000000009</v>
      </c>
      <c r="AR754" s="1">
        <f t="shared" ref="AR754:AR793" si="342">(L754+M754+O754+X754)/100</f>
        <v>0.13639999999999999</v>
      </c>
      <c r="AS754" s="1">
        <f t="shared" ref="AS754:AS793" si="343">G754/100</f>
        <v>0.1198</v>
      </c>
      <c r="AT754" s="1">
        <f t="shared" ref="AT754:AT793" si="344">H754/100</f>
        <v>0.1721</v>
      </c>
      <c r="AU754" s="1">
        <f t="shared" ref="AU754:AU793" si="345">Q754/100</f>
        <v>0.49130000000000001</v>
      </c>
      <c r="AV754" s="1">
        <f t="shared" ref="AV754:AV793" si="346">AJ754/100</f>
        <v>0.23</v>
      </c>
      <c r="AX754" s="1">
        <f t="shared" ref="AX754:AX787" si="347">AU754/(AT754+AS754)</f>
        <v>1.683110654333676</v>
      </c>
      <c r="AY754" s="1">
        <f t="shared" ref="AY754:AY787" si="348">AR754/(AS754+AT754)</f>
        <v>0.46728331620417951</v>
      </c>
      <c r="AZ754" s="1">
        <f t="shared" ref="AZ754:AZ787" si="349">0.5+AX754/16</f>
        <v>0.60519441589585476</v>
      </c>
      <c r="BA754" s="1">
        <f t="shared" ref="BA754:BA787" si="350">0.5+AX754/4</f>
        <v>0.92077766358341906</v>
      </c>
      <c r="BB754" s="1">
        <f t="shared" ref="BB754:BB787" si="351">IF(AY754&lt;=AZ754,AY754,IF(AY754&lt;=BA754,AZ754,AZ754-(AY754-BA754)*(8+AX754)/(12*(2+AX754))))</f>
        <v>0.46728331620417951</v>
      </c>
      <c r="BC754" s="1">
        <f t="shared" ref="BC754:BC787" si="352">IF(BB754&lt;1,BB754,1)</f>
        <v>0.46728331620417951</v>
      </c>
      <c r="BD754" s="1">
        <f t="shared" ref="BD754:BD787" si="353">ABS(BC754-AV754)</f>
        <v>0.2372833162041795</v>
      </c>
      <c r="BF754">
        <f t="shared" si="336"/>
        <v>70.679999999999993</v>
      </c>
      <c r="BG754">
        <f t="shared" si="341"/>
        <v>16.73</v>
      </c>
      <c r="BH754" s="1">
        <f t="shared" si="337"/>
        <v>0.69510469722693846</v>
      </c>
      <c r="BI754" s="1">
        <f t="shared" si="338"/>
        <v>0.23670062252405211</v>
      </c>
      <c r="BJ754" s="1">
        <f t="shared" si="339"/>
        <v>0.60320698924731175</v>
      </c>
      <c r="BK754" s="1">
        <f t="shared" si="340"/>
        <v>0.44494255800792315</v>
      </c>
      <c r="BL754" s="1">
        <f t="shared" ref="BL754:BL787" si="354">IF(BI754&lt;=BJ754,BI754,IF(BI754&lt;=BK754,BJ754,BJ754-(BI754-BK754)*(8+BH754)/(12*(2+BH754))))</f>
        <v>0.23670062252405211</v>
      </c>
      <c r="BM754" s="1">
        <f t="shared" ref="BM754:BM793" si="355">IF(BL754&lt;1,IF(BL754&gt;0,BL754,0),1)</f>
        <v>0.23670062252405211</v>
      </c>
      <c r="BN754" s="1">
        <f t="shared" ref="BN754:BN787" si="356">(BM754-AV754)^2</f>
        <v>4.4898342209834291E-5</v>
      </c>
      <c r="BO754" s="1">
        <f t="shared" si="335"/>
        <v>3.1556298207645328E-2</v>
      </c>
    </row>
    <row r="755" spans="3:67" x14ac:dyDescent="0.25">
      <c r="C755" t="s">
        <v>780</v>
      </c>
      <c r="G755">
        <v>21.51</v>
      </c>
      <c r="H755">
        <v>18.68</v>
      </c>
      <c r="I755">
        <v>6.71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14.8</v>
      </c>
      <c r="P755">
        <v>0</v>
      </c>
      <c r="Q755">
        <v>36.29</v>
      </c>
      <c r="R755">
        <v>0</v>
      </c>
      <c r="S755">
        <v>0</v>
      </c>
      <c r="T755">
        <v>0</v>
      </c>
      <c r="U755">
        <v>2.0099999999999998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7</v>
      </c>
      <c r="AK755" t="s">
        <v>1</v>
      </c>
      <c r="AL755" t="s">
        <v>374</v>
      </c>
      <c r="AQ755" s="1">
        <f t="shared" si="334"/>
        <v>100.00000000000001</v>
      </c>
      <c r="AR755" s="1">
        <f t="shared" si="342"/>
        <v>0.14800000000000002</v>
      </c>
      <c r="AS755" s="1">
        <f t="shared" si="343"/>
        <v>0.21510000000000001</v>
      </c>
      <c r="AT755" s="1">
        <f t="shared" si="344"/>
        <v>0.18679999999999999</v>
      </c>
      <c r="AU755" s="1">
        <f t="shared" si="345"/>
        <v>0.3629</v>
      </c>
      <c r="AV755" s="1">
        <f t="shared" si="346"/>
        <v>7.0000000000000007E-2</v>
      </c>
      <c r="AX755" s="1">
        <f t="shared" si="347"/>
        <v>0.90296093555610846</v>
      </c>
      <c r="AY755" s="1">
        <f t="shared" si="348"/>
        <v>0.36825080865887039</v>
      </c>
      <c r="AZ755" s="1">
        <f t="shared" si="349"/>
        <v>0.55643505847225683</v>
      </c>
      <c r="BA755" s="1">
        <f t="shared" si="350"/>
        <v>0.72574023388902709</v>
      </c>
      <c r="BB755" s="1">
        <f t="shared" si="351"/>
        <v>0.36825080865887039</v>
      </c>
      <c r="BC755" s="1">
        <f t="shared" si="352"/>
        <v>0.36825080865887039</v>
      </c>
      <c r="BD755" s="1">
        <f t="shared" si="353"/>
        <v>0.29825080865887038</v>
      </c>
      <c r="BF755">
        <f t="shared" si="336"/>
        <v>110.75</v>
      </c>
      <c r="BG755">
        <f t="shared" si="341"/>
        <v>18.155000000000001</v>
      </c>
      <c r="BH755" s="1">
        <f t="shared" si="337"/>
        <v>0.32767494356659144</v>
      </c>
      <c r="BI755" s="1">
        <f t="shared" si="338"/>
        <v>0.16392776523702032</v>
      </c>
      <c r="BJ755" s="1">
        <f t="shared" si="339"/>
        <v>0.59622582392776524</v>
      </c>
      <c r="BK755" s="1">
        <f t="shared" si="340"/>
        <v>0.26049282167042886</v>
      </c>
      <c r="BL755" s="1">
        <f t="shared" si="354"/>
        <v>0.16392776523702032</v>
      </c>
      <c r="BM755" s="1">
        <f t="shared" si="355"/>
        <v>0.16392776523702032</v>
      </c>
      <c r="BN755" s="1">
        <f t="shared" si="356"/>
        <v>8.8224250824208029E-3</v>
      </c>
      <c r="BO755" s="1">
        <f t="shared" si="335"/>
        <v>0.11400139418313719</v>
      </c>
    </row>
    <row r="756" spans="3:67" x14ac:dyDescent="0.25">
      <c r="C756" t="s">
        <v>781</v>
      </c>
      <c r="G756">
        <v>0</v>
      </c>
      <c r="H756">
        <v>15.96</v>
      </c>
      <c r="I756">
        <v>5.73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8.81</v>
      </c>
      <c r="P756">
        <v>0</v>
      </c>
      <c r="Q756">
        <v>67.78</v>
      </c>
      <c r="R756">
        <v>0</v>
      </c>
      <c r="S756">
        <v>0</v>
      </c>
      <c r="T756">
        <v>0</v>
      </c>
      <c r="U756">
        <v>1.72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56</v>
      </c>
      <c r="AK756" t="s">
        <v>1</v>
      </c>
      <c r="AL756" t="s">
        <v>374</v>
      </c>
      <c r="AQ756" s="1">
        <f t="shared" si="334"/>
        <v>100</v>
      </c>
      <c r="AR756" s="1">
        <f t="shared" si="342"/>
        <v>8.8100000000000012E-2</v>
      </c>
      <c r="AS756" s="1">
        <f t="shared" si="343"/>
        <v>0</v>
      </c>
      <c r="AT756" s="1">
        <f t="shared" si="344"/>
        <v>0.15960000000000002</v>
      </c>
      <c r="AU756" s="1">
        <f t="shared" si="345"/>
        <v>0.67779999999999996</v>
      </c>
      <c r="AV756" s="1">
        <f t="shared" si="346"/>
        <v>0.56000000000000005</v>
      </c>
      <c r="AX756" s="1">
        <f t="shared" si="347"/>
        <v>4.2468671679197989</v>
      </c>
      <c r="AY756" s="1">
        <f t="shared" si="348"/>
        <v>0.55200501253132828</v>
      </c>
      <c r="AZ756" s="1">
        <f t="shared" si="349"/>
        <v>0.76542919799498743</v>
      </c>
      <c r="BA756" s="1">
        <f t="shared" si="350"/>
        <v>1.5617167919799497</v>
      </c>
      <c r="BB756" s="1">
        <f t="shared" si="351"/>
        <v>0.55200501253132828</v>
      </c>
      <c r="BC756" s="1">
        <f t="shared" si="352"/>
        <v>0.55200501253132828</v>
      </c>
      <c r="BD756" s="1">
        <f t="shared" si="353"/>
        <v>7.994987468671777E-3</v>
      </c>
      <c r="BF756">
        <f t="shared" si="336"/>
        <v>21.12</v>
      </c>
      <c r="BG756">
        <f t="shared" si="341"/>
        <v>11.675000000000001</v>
      </c>
      <c r="BH756" s="1">
        <f t="shared" si="337"/>
        <v>3.2092803030303028</v>
      </c>
      <c r="BI756" s="1">
        <f t="shared" si="338"/>
        <v>0.55279356060606066</v>
      </c>
      <c r="BJ756" s="1">
        <f t="shared" si="339"/>
        <v>0.65097632575757569</v>
      </c>
      <c r="BK756" s="1">
        <f t="shared" si="340"/>
        <v>1.7070587121212122</v>
      </c>
      <c r="BL756" s="1">
        <f t="shared" si="354"/>
        <v>0.55279356060606066</v>
      </c>
      <c r="BM756" s="1">
        <f t="shared" si="355"/>
        <v>0.55279356060606066</v>
      </c>
      <c r="BN756" s="1">
        <f t="shared" si="356"/>
        <v>5.1932768738521526E-5</v>
      </c>
      <c r="BO756" s="1">
        <f t="shared" si="335"/>
        <v>2.3213287758193368E-2</v>
      </c>
    </row>
    <row r="757" spans="3:67" x14ac:dyDescent="0.25">
      <c r="C757" t="s">
        <v>782</v>
      </c>
      <c r="G757">
        <v>11.11</v>
      </c>
      <c r="H757">
        <v>15.96</v>
      </c>
      <c r="I757">
        <v>5.73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19.920000000000002</v>
      </c>
      <c r="P757">
        <v>0</v>
      </c>
      <c r="Q757">
        <v>45.56</v>
      </c>
      <c r="R757">
        <v>0</v>
      </c>
      <c r="S757">
        <v>0</v>
      </c>
      <c r="T757">
        <v>0</v>
      </c>
      <c r="U757">
        <v>1.72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37</v>
      </c>
      <c r="AK757" t="s">
        <v>1</v>
      </c>
      <c r="AL757" t="s">
        <v>374</v>
      </c>
      <c r="AQ757" s="1">
        <f t="shared" si="334"/>
        <v>100</v>
      </c>
      <c r="AR757" s="1">
        <f t="shared" si="342"/>
        <v>0.19920000000000002</v>
      </c>
      <c r="AS757" s="1">
        <f t="shared" si="343"/>
        <v>0.11109999999999999</v>
      </c>
      <c r="AT757" s="1">
        <f t="shared" si="344"/>
        <v>0.15960000000000002</v>
      </c>
      <c r="AU757" s="1">
        <f t="shared" si="345"/>
        <v>0.4556</v>
      </c>
      <c r="AV757" s="1">
        <f t="shared" si="346"/>
        <v>0.37</v>
      </c>
      <c r="AX757" s="1">
        <f t="shared" si="347"/>
        <v>1.6830439601034355</v>
      </c>
      <c r="AY757" s="1">
        <f t="shared" si="348"/>
        <v>0.73586996675286298</v>
      </c>
      <c r="AZ757" s="1">
        <f t="shared" si="349"/>
        <v>0.60519024750646477</v>
      </c>
      <c r="BA757" s="1">
        <f t="shared" si="350"/>
        <v>0.92076099002585887</v>
      </c>
      <c r="BB757" s="1">
        <f t="shared" si="351"/>
        <v>0.60519024750646477</v>
      </c>
      <c r="BC757" s="1">
        <f t="shared" si="352"/>
        <v>0.60519024750646477</v>
      </c>
      <c r="BD757" s="1">
        <f t="shared" si="353"/>
        <v>0.23519024750646478</v>
      </c>
      <c r="BF757">
        <f t="shared" si="336"/>
        <v>65.56</v>
      </c>
      <c r="BG757">
        <f t="shared" si="341"/>
        <v>22.785000000000004</v>
      </c>
      <c r="BH757" s="1">
        <f t="shared" si="337"/>
        <v>0.69493593654667485</v>
      </c>
      <c r="BI757" s="1">
        <f t="shared" si="338"/>
        <v>0.34754423428920078</v>
      </c>
      <c r="BJ757" s="1">
        <f t="shared" si="339"/>
        <v>0.6032037827943868</v>
      </c>
      <c r="BK757" s="1">
        <f t="shared" si="340"/>
        <v>0.44485784014643082</v>
      </c>
      <c r="BL757" s="1">
        <f t="shared" si="354"/>
        <v>0.34754423428920078</v>
      </c>
      <c r="BM757" s="1">
        <f t="shared" si="355"/>
        <v>0.34754423428920078</v>
      </c>
      <c r="BN757" s="1">
        <f t="shared" si="356"/>
        <v>5.0426141365830573E-4</v>
      </c>
      <c r="BO757" s="1">
        <f t="shared" si="335"/>
        <v>1.4168392290899454E-3</v>
      </c>
    </row>
    <row r="758" spans="3:67" x14ac:dyDescent="0.25">
      <c r="C758" t="s">
        <v>783</v>
      </c>
      <c r="G758">
        <v>18.38</v>
      </c>
      <c r="H758">
        <v>15.96</v>
      </c>
      <c r="I758">
        <v>5.73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27.19</v>
      </c>
      <c r="P758">
        <v>0</v>
      </c>
      <c r="Q758">
        <v>31.01</v>
      </c>
      <c r="R758">
        <v>0</v>
      </c>
      <c r="S758">
        <v>0</v>
      </c>
      <c r="T758">
        <v>0</v>
      </c>
      <c r="U758">
        <v>1.72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13</v>
      </c>
      <c r="AK758" t="s">
        <v>1</v>
      </c>
      <c r="AL758" t="s">
        <v>374</v>
      </c>
      <c r="AQ758" s="1">
        <f t="shared" si="334"/>
        <v>99.990000000000009</v>
      </c>
      <c r="AR758" s="1">
        <f t="shared" si="342"/>
        <v>0.27190000000000003</v>
      </c>
      <c r="AS758" s="1">
        <f t="shared" si="343"/>
        <v>0.18379999999999999</v>
      </c>
      <c r="AT758" s="1">
        <f t="shared" si="344"/>
        <v>0.15960000000000002</v>
      </c>
      <c r="AU758" s="1">
        <f t="shared" si="345"/>
        <v>0.31010000000000004</v>
      </c>
      <c r="AV758" s="1">
        <f t="shared" si="346"/>
        <v>0.13</v>
      </c>
      <c r="AX758" s="1">
        <f t="shared" si="347"/>
        <v>0.90302853814793249</v>
      </c>
      <c r="AY758" s="1">
        <f t="shared" si="348"/>
        <v>0.79178800232964475</v>
      </c>
      <c r="AZ758" s="1">
        <f t="shared" si="349"/>
        <v>0.55643928363424577</v>
      </c>
      <c r="BA758" s="1">
        <f t="shared" si="350"/>
        <v>0.7257571345369831</v>
      </c>
      <c r="BB758" s="1">
        <f t="shared" si="351"/>
        <v>0.53956395577600991</v>
      </c>
      <c r="BC758" s="1">
        <f t="shared" si="352"/>
        <v>0.53956395577600991</v>
      </c>
      <c r="BD758" s="1">
        <f t="shared" si="353"/>
        <v>0.4095639557760099</v>
      </c>
      <c r="BF758">
        <f t="shared" si="336"/>
        <v>94.639999999999986</v>
      </c>
      <c r="BG758">
        <f t="shared" si="341"/>
        <v>30.055</v>
      </c>
      <c r="BH758" s="1">
        <f t="shared" si="337"/>
        <v>0.32766272189349122</v>
      </c>
      <c r="BI758" s="1">
        <f t="shared" si="338"/>
        <v>0.31757185122569742</v>
      </c>
      <c r="BJ758" s="1">
        <f t="shared" si="339"/>
        <v>0.59622559171597633</v>
      </c>
      <c r="BK758" s="1">
        <f t="shared" si="340"/>
        <v>0.26048668639053263</v>
      </c>
      <c r="BL758" s="1">
        <f t="shared" si="354"/>
        <v>0.31757185122569742</v>
      </c>
      <c r="BM758" s="1">
        <f t="shared" si="355"/>
        <v>0.31757185122569742</v>
      </c>
      <c r="BN758" s="1">
        <f t="shared" si="356"/>
        <v>3.5183199372235165E-2</v>
      </c>
      <c r="BO758" s="1">
        <f t="shared" si="335"/>
        <v>7.7084483192327746E-2</v>
      </c>
    </row>
    <row r="759" spans="3:67" x14ac:dyDescent="0.25">
      <c r="C759" t="s">
        <v>784</v>
      </c>
      <c r="G759">
        <v>23</v>
      </c>
      <c r="H759">
        <v>15.96</v>
      </c>
      <c r="I759">
        <v>5.73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31.81</v>
      </c>
      <c r="P759">
        <v>0</v>
      </c>
      <c r="Q759">
        <v>21.77</v>
      </c>
      <c r="R759">
        <v>0</v>
      </c>
      <c r="S759">
        <v>0</v>
      </c>
      <c r="T759">
        <v>0</v>
      </c>
      <c r="U759">
        <v>1.72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3</v>
      </c>
      <c r="AK759" t="s">
        <v>1</v>
      </c>
      <c r="AL759" t="s">
        <v>374</v>
      </c>
      <c r="AQ759" s="1">
        <f t="shared" si="334"/>
        <v>99.99</v>
      </c>
      <c r="AR759" s="1">
        <f t="shared" si="342"/>
        <v>0.31809999999999999</v>
      </c>
      <c r="AS759" s="1">
        <f t="shared" si="343"/>
        <v>0.23</v>
      </c>
      <c r="AT759" s="1">
        <f t="shared" si="344"/>
        <v>0.15960000000000002</v>
      </c>
      <c r="AU759" s="1">
        <f t="shared" si="345"/>
        <v>0.2177</v>
      </c>
      <c r="AV759" s="1">
        <f t="shared" si="346"/>
        <v>0.03</v>
      </c>
      <c r="AX759" s="1">
        <f t="shared" si="347"/>
        <v>0.55877823408624228</v>
      </c>
      <c r="AY759" s="1">
        <f t="shared" si="348"/>
        <v>0.81647843942505116</v>
      </c>
      <c r="AZ759" s="1">
        <f t="shared" si="349"/>
        <v>0.53492363963039014</v>
      </c>
      <c r="BA759" s="1">
        <f t="shared" si="350"/>
        <v>0.63969455852156054</v>
      </c>
      <c r="BB759" s="1">
        <f t="shared" si="351"/>
        <v>0.48564706133160646</v>
      </c>
      <c r="BC759" s="1">
        <f t="shared" si="352"/>
        <v>0.48564706133160646</v>
      </c>
      <c r="BD759" s="1">
        <f t="shared" si="353"/>
        <v>0.45564706133160648</v>
      </c>
      <c r="BF759">
        <f t="shared" si="336"/>
        <v>113.12</v>
      </c>
      <c r="BG759">
        <f t="shared" si="341"/>
        <v>34.674999999999997</v>
      </c>
      <c r="BH759" s="1">
        <f t="shared" si="337"/>
        <v>0.19245049504950493</v>
      </c>
      <c r="BI759" s="1">
        <f t="shared" si="338"/>
        <v>0.30653288543140023</v>
      </c>
      <c r="BJ759" s="1">
        <f t="shared" si="339"/>
        <v>0.59365655940594053</v>
      </c>
      <c r="BK759" s="1">
        <f t="shared" si="340"/>
        <v>0.19261014851485148</v>
      </c>
      <c r="BL759" s="1">
        <f t="shared" si="354"/>
        <v>0.30653288543140023</v>
      </c>
      <c r="BM759" s="1">
        <f t="shared" si="355"/>
        <v>0.30653288543140023</v>
      </c>
      <c r="BN759" s="1">
        <f t="shared" si="356"/>
        <v>7.6470436725015911E-2</v>
      </c>
      <c r="BO759" s="1">
        <f t="shared" si="335"/>
        <v>0.14261266817701015</v>
      </c>
    </row>
    <row r="760" spans="3:67" x14ac:dyDescent="0.25">
      <c r="C760" t="s">
        <v>785</v>
      </c>
      <c r="G760">
        <v>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20</v>
      </c>
      <c r="P760">
        <v>0</v>
      </c>
      <c r="Q760">
        <v>70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95.4</v>
      </c>
      <c r="AK760" t="s">
        <v>1</v>
      </c>
      <c r="AL760" t="s">
        <v>374</v>
      </c>
      <c r="AM760" t="s">
        <v>848</v>
      </c>
      <c r="AO760" t="s">
        <v>378</v>
      </c>
      <c r="AP760" t="s">
        <v>849</v>
      </c>
      <c r="AQ760" s="1">
        <f t="shared" si="334"/>
        <v>100</v>
      </c>
      <c r="AR760" s="1">
        <f t="shared" si="342"/>
        <v>0.2</v>
      </c>
      <c r="AS760" s="1">
        <f t="shared" si="343"/>
        <v>0</v>
      </c>
      <c r="AT760" s="1">
        <f t="shared" si="344"/>
        <v>0.1</v>
      </c>
      <c r="AU760" s="1">
        <f t="shared" si="345"/>
        <v>0.7</v>
      </c>
      <c r="AV760" s="1">
        <f t="shared" si="346"/>
        <v>0.95400000000000007</v>
      </c>
      <c r="AX760" s="1">
        <f t="shared" si="347"/>
        <v>6.9999999999999991</v>
      </c>
      <c r="AY760" s="1">
        <f t="shared" si="348"/>
        <v>2</v>
      </c>
      <c r="AZ760" s="1">
        <f t="shared" si="349"/>
        <v>0.9375</v>
      </c>
      <c r="BA760" s="1">
        <f t="shared" si="350"/>
        <v>2.25</v>
      </c>
      <c r="BB760" s="1">
        <f t="shared" si="351"/>
        <v>0.9375</v>
      </c>
      <c r="BC760" s="1">
        <f t="shared" si="352"/>
        <v>0.9375</v>
      </c>
      <c r="BD760" s="1">
        <f t="shared" si="353"/>
        <v>1.650000000000007E-2</v>
      </c>
      <c r="BF760">
        <f t="shared" si="336"/>
        <v>10</v>
      </c>
      <c r="BG760">
        <f t="shared" si="341"/>
        <v>20</v>
      </c>
      <c r="BH760" s="1">
        <f t="shared" si="337"/>
        <v>7</v>
      </c>
      <c r="BI760" s="1">
        <f t="shared" si="338"/>
        <v>2</v>
      </c>
      <c r="BJ760" s="1">
        <f t="shared" si="339"/>
        <v>0.72299999999999998</v>
      </c>
      <c r="BK760" s="1">
        <f t="shared" si="340"/>
        <v>3.6100000000000003</v>
      </c>
      <c r="BL760" s="1">
        <f t="shared" si="354"/>
        <v>0.72299999999999998</v>
      </c>
      <c r="BM760" s="1">
        <f t="shared" si="355"/>
        <v>0.72299999999999998</v>
      </c>
      <c r="BN760" s="1">
        <f t="shared" si="356"/>
        <v>5.336100000000004E-2</v>
      </c>
      <c r="BO760" s="1">
        <f t="shared" si="335"/>
        <v>0.29850823891854472</v>
      </c>
    </row>
    <row r="761" spans="3:67" x14ac:dyDescent="0.25">
      <c r="C761" t="s">
        <v>786</v>
      </c>
      <c r="G761">
        <v>0</v>
      </c>
      <c r="H761">
        <v>17.5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20</v>
      </c>
      <c r="P761">
        <v>0</v>
      </c>
      <c r="Q761">
        <v>62.5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87.9</v>
      </c>
      <c r="AK761" t="s">
        <v>1</v>
      </c>
      <c r="AL761" t="s">
        <v>374</v>
      </c>
      <c r="AQ761" s="1">
        <f t="shared" si="334"/>
        <v>100</v>
      </c>
      <c r="AR761" s="1">
        <f t="shared" si="342"/>
        <v>0.2</v>
      </c>
      <c r="AS761" s="1">
        <f t="shared" si="343"/>
        <v>0</v>
      </c>
      <c r="AT761" s="1">
        <f t="shared" si="344"/>
        <v>0.17499999999999999</v>
      </c>
      <c r="AU761" s="1">
        <f t="shared" si="345"/>
        <v>0.625</v>
      </c>
      <c r="AV761" s="1">
        <f t="shared" si="346"/>
        <v>0.879</v>
      </c>
      <c r="AX761" s="1">
        <f t="shared" si="347"/>
        <v>3.5714285714285716</v>
      </c>
      <c r="AY761" s="1">
        <f t="shared" si="348"/>
        <v>1.142857142857143</v>
      </c>
      <c r="AZ761" s="1">
        <f t="shared" si="349"/>
        <v>0.7232142857142857</v>
      </c>
      <c r="BA761" s="1">
        <f t="shared" si="350"/>
        <v>1.3928571428571428</v>
      </c>
      <c r="BB761" s="1">
        <f t="shared" si="351"/>
        <v>0.7232142857142857</v>
      </c>
      <c r="BC761" s="1">
        <f t="shared" si="352"/>
        <v>0.7232142857142857</v>
      </c>
      <c r="BD761" s="1">
        <f t="shared" si="353"/>
        <v>0.15578571428571431</v>
      </c>
      <c r="BF761">
        <f t="shared" si="336"/>
        <v>17.5</v>
      </c>
      <c r="BG761">
        <f t="shared" si="341"/>
        <v>20</v>
      </c>
      <c r="BH761" s="1">
        <f t="shared" si="337"/>
        <v>3.5714285714285716</v>
      </c>
      <c r="BI761" s="1">
        <f t="shared" si="338"/>
        <v>1.1428571428571428</v>
      </c>
      <c r="BJ761" s="1">
        <f t="shared" si="339"/>
        <v>0.65785714285714281</v>
      </c>
      <c r="BK761" s="1">
        <f t="shared" si="340"/>
        <v>1.888857142857143</v>
      </c>
      <c r="BL761" s="1">
        <f t="shared" si="354"/>
        <v>0.65785714285714281</v>
      </c>
      <c r="BM761" s="1">
        <f t="shared" si="355"/>
        <v>0.65785714285714281</v>
      </c>
      <c r="BN761" s="1">
        <f t="shared" si="356"/>
        <v>4.8904163265306146E-2</v>
      </c>
      <c r="BO761" s="1">
        <f t="shared" si="335"/>
        <v>0.22217937765705645</v>
      </c>
    </row>
    <row r="762" spans="3:67" x14ac:dyDescent="0.25">
      <c r="C762" t="s">
        <v>787</v>
      </c>
      <c r="G762">
        <v>0</v>
      </c>
      <c r="H762">
        <v>25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20</v>
      </c>
      <c r="P762">
        <v>0</v>
      </c>
      <c r="Q762">
        <v>55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53.1</v>
      </c>
      <c r="AK762" t="s">
        <v>1</v>
      </c>
      <c r="AL762" t="s">
        <v>374</v>
      </c>
      <c r="AQ762" s="1">
        <f t="shared" si="334"/>
        <v>100</v>
      </c>
      <c r="AR762" s="1">
        <f t="shared" si="342"/>
        <v>0.2</v>
      </c>
      <c r="AS762" s="1">
        <f t="shared" si="343"/>
        <v>0</v>
      </c>
      <c r="AT762" s="1">
        <f t="shared" si="344"/>
        <v>0.25</v>
      </c>
      <c r="AU762" s="1">
        <f t="shared" si="345"/>
        <v>0.55000000000000004</v>
      </c>
      <c r="AV762" s="1">
        <f t="shared" si="346"/>
        <v>0.53100000000000003</v>
      </c>
      <c r="AX762" s="1">
        <f t="shared" si="347"/>
        <v>2.2000000000000002</v>
      </c>
      <c r="AY762" s="1">
        <f t="shared" si="348"/>
        <v>0.8</v>
      </c>
      <c r="AZ762" s="1">
        <f t="shared" si="349"/>
        <v>0.63749999999999996</v>
      </c>
      <c r="BA762" s="1">
        <f t="shared" si="350"/>
        <v>1.05</v>
      </c>
      <c r="BB762" s="1">
        <f t="shared" si="351"/>
        <v>0.63749999999999996</v>
      </c>
      <c r="BC762" s="1">
        <f t="shared" si="352"/>
        <v>0.63749999999999996</v>
      </c>
      <c r="BD762" s="1">
        <f t="shared" si="353"/>
        <v>0.10649999999999993</v>
      </c>
      <c r="BF762">
        <f t="shared" si="336"/>
        <v>25</v>
      </c>
      <c r="BG762">
        <f t="shared" si="341"/>
        <v>20</v>
      </c>
      <c r="BH762" s="1">
        <f t="shared" si="337"/>
        <v>2.2000000000000002</v>
      </c>
      <c r="BI762" s="1">
        <f t="shared" si="338"/>
        <v>0.8</v>
      </c>
      <c r="BJ762" s="1">
        <f t="shared" si="339"/>
        <v>0.63179999999999992</v>
      </c>
      <c r="BK762" s="1">
        <f t="shared" si="340"/>
        <v>1.2004000000000001</v>
      </c>
      <c r="BL762" s="1">
        <f t="shared" si="354"/>
        <v>0.63179999999999992</v>
      </c>
      <c r="BM762" s="1">
        <f t="shared" si="355"/>
        <v>0.63179999999999992</v>
      </c>
      <c r="BN762" s="1">
        <f t="shared" si="356"/>
        <v>1.0160639999999978E-2</v>
      </c>
      <c r="BO762" s="1">
        <f t="shared" si="335"/>
        <v>1.5217461403751261E-2</v>
      </c>
    </row>
    <row r="763" spans="3:67" x14ac:dyDescent="0.25">
      <c r="C763" t="s">
        <v>788</v>
      </c>
      <c r="G763">
        <v>0</v>
      </c>
      <c r="H763">
        <v>32.5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20</v>
      </c>
      <c r="P763">
        <v>0</v>
      </c>
      <c r="Q763">
        <v>47.5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18.2</v>
      </c>
      <c r="AK763" t="s">
        <v>1</v>
      </c>
      <c r="AL763" t="s">
        <v>374</v>
      </c>
      <c r="AQ763" s="1">
        <f t="shared" ref="AQ763:AQ793" si="357">SUM(G763:AF763)</f>
        <v>100</v>
      </c>
      <c r="AR763" s="1">
        <f t="shared" si="342"/>
        <v>0.2</v>
      </c>
      <c r="AS763" s="1">
        <f t="shared" si="343"/>
        <v>0</v>
      </c>
      <c r="AT763" s="1">
        <f t="shared" si="344"/>
        <v>0.32500000000000001</v>
      </c>
      <c r="AU763" s="1">
        <f t="shared" si="345"/>
        <v>0.47499999999999998</v>
      </c>
      <c r="AV763" s="1">
        <f t="shared" si="346"/>
        <v>0.182</v>
      </c>
      <c r="AX763" s="1">
        <f t="shared" si="347"/>
        <v>1.4615384615384615</v>
      </c>
      <c r="AY763" s="1">
        <f t="shared" si="348"/>
        <v>0.61538461538461542</v>
      </c>
      <c r="AZ763" s="1">
        <f t="shared" si="349"/>
        <v>0.59134615384615385</v>
      </c>
      <c r="BA763" s="1">
        <f t="shared" si="350"/>
        <v>0.86538461538461542</v>
      </c>
      <c r="BB763" s="1">
        <f t="shared" si="351"/>
        <v>0.59134615384615385</v>
      </c>
      <c r="BC763" s="1">
        <f t="shared" si="352"/>
        <v>0.59134615384615385</v>
      </c>
      <c r="BD763" s="1">
        <f t="shared" si="353"/>
        <v>0.40934615384615386</v>
      </c>
      <c r="BF763">
        <f t="shared" si="336"/>
        <v>32.5</v>
      </c>
      <c r="BG763">
        <f t="shared" si="341"/>
        <v>20</v>
      </c>
      <c r="BH763" s="1">
        <f t="shared" si="337"/>
        <v>1.4615384615384615</v>
      </c>
      <c r="BI763" s="1">
        <f t="shared" si="338"/>
        <v>0.61538461538461542</v>
      </c>
      <c r="BJ763" s="1">
        <f t="shared" si="339"/>
        <v>0.61776923076923074</v>
      </c>
      <c r="BK763" s="1">
        <f t="shared" si="340"/>
        <v>0.82969230769230762</v>
      </c>
      <c r="BL763" s="1">
        <f t="shared" si="354"/>
        <v>0.61538461538461542</v>
      </c>
      <c r="BM763" s="1">
        <f t="shared" si="355"/>
        <v>0.61538461538461542</v>
      </c>
      <c r="BN763" s="1">
        <f t="shared" si="356"/>
        <v>0.18782222485207103</v>
      </c>
      <c r="BO763" s="1">
        <f t="shared" si="335"/>
        <v>5.0913827000292892E-2</v>
      </c>
    </row>
    <row r="764" spans="3:67" x14ac:dyDescent="0.25">
      <c r="C764" t="s">
        <v>789</v>
      </c>
      <c r="G764">
        <v>0</v>
      </c>
      <c r="H764">
        <v>40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20</v>
      </c>
      <c r="P764">
        <v>0</v>
      </c>
      <c r="Q764">
        <v>40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20.2</v>
      </c>
      <c r="AK764" t="s">
        <v>1</v>
      </c>
      <c r="AL764" t="s">
        <v>374</v>
      </c>
      <c r="AQ764" s="1">
        <f t="shared" si="357"/>
        <v>100</v>
      </c>
      <c r="AR764" s="1">
        <f t="shared" si="342"/>
        <v>0.2</v>
      </c>
      <c r="AS764" s="1">
        <f t="shared" si="343"/>
        <v>0</v>
      </c>
      <c r="AT764" s="1">
        <f t="shared" si="344"/>
        <v>0.4</v>
      </c>
      <c r="AU764" s="1">
        <f t="shared" si="345"/>
        <v>0.4</v>
      </c>
      <c r="AV764" s="1">
        <f t="shared" si="346"/>
        <v>0.20199999999999999</v>
      </c>
      <c r="AX764" s="1">
        <f t="shared" si="347"/>
        <v>1</v>
      </c>
      <c r="AY764" s="1">
        <f t="shared" si="348"/>
        <v>0.5</v>
      </c>
      <c r="AZ764" s="1">
        <f t="shared" si="349"/>
        <v>0.5625</v>
      </c>
      <c r="BA764" s="1">
        <f t="shared" si="350"/>
        <v>0.75</v>
      </c>
      <c r="BB764" s="1">
        <f t="shared" si="351"/>
        <v>0.5</v>
      </c>
      <c r="BC764" s="1">
        <f t="shared" si="352"/>
        <v>0.5</v>
      </c>
      <c r="BD764" s="1">
        <f t="shared" si="353"/>
        <v>0.29800000000000004</v>
      </c>
      <c r="BF764">
        <f t="shared" si="336"/>
        <v>40</v>
      </c>
      <c r="BG764">
        <f t="shared" si="341"/>
        <v>20</v>
      </c>
      <c r="BH764" s="1">
        <f t="shared" si="337"/>
        <v>1</v>
      </c>
      <c r="BI764" s="1">
        <f t="shared" si="338"/>
        <v>0.5</v>
      </c>
      <c r="BJ764" s="1">
        <f t="shared" si="339"/>
        <v>0.60899999999999999</v>
      </c>
      <c r="BK764" s="1">
        <f t="shared" si="340"/>
        <v>0.59799999999999998</v>
      </c>
      <c r="BL764" s="1">
        <f t="shared" si="354"/>
        <v>0.5</v>
      </c>
      <c r="BM764" s="1">
        <f t="shared" si="355"/>
        <v>0.5</v>
      </c>
      <c r="BN764" s="1">
        <f t="shared" si="356"/>
        <v>8.8804000000000022E-2</v>
      </c>
      <c r="BO764" s="1">
        <f t="shared" si="335"/>
        <v>4.2288190003356409E-2</v>
      </c>
    </row>
    <row r="765" spans="3:67" x14ac:dyDescent="0.25">
      <c r="C765" t="s">
        <v>790</v>
      </c>
      <c r="G765">
        <v>0</v>
      </c>
      <c r="H765">
        <v>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</v>
      </c>
      <c r="P765">
        <v>0</v>
      </c>
      <c r="Q765">
        <v>75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15.2</v>
      </c>
      <c r="AK765" t="s">
        <v>1</v>
      </c>
      <c r="AL765" t="s">
        <v>374</v>
      </c>
      <c r="AQ765" s="1">
        <f t="shared" si="357"/>
        <v>100</v>
      </c>
      <c r="AR765" s="1">
        <f t="shared" si="342"/>
        <v>0.05</v>
      </c>
      <c r="AS765" s="1">
        <f t="shared" si="343"/>
        <v>0</v>
      </c>
      <c r="AT765" s="1">
        <f t="shared" si="344"/>
        <v>0.2</v>
      </c>
      <c r="AU765" s="1">
        <f t="shared" si="345"/>
        <v>0.75</v>
      </c>
      <c r="AV765" s="1">
        <f t="shared" si="346"/>
        <v>0.152</v>
      </c>
      <c r="AX765" s="1">
        <f t="shared" si="347"/>
        <v>3.75</v>
      </c>
      <c r="AY765" s="1">
        <f t="shared" si="348"/>
        <v>0.25</v>
      </c>
      <c r="AZ765" s="1">
        <f t="shared" si="349"/>
        <v>0.734375</v>
      </c>
      <c r="BA765" s="1">
        <f t="shared" si="350"/>
        <v>1.4375</v>
      </c>
      <c r="BB765" s="1">
        <f t="shared" si="351"/>
        <v>0.25</v>
      </c>
      <c r="BC765" s="1">
        <f t="shared" si="352"/>
        <v>0.25</v>
      </c>
      <c r="BD765" s="1">
        <f t="shared" si="353"/>
        <v>9.8000000000000004E-2</v>
      </c>
      <c r="BF765">
        <f t="shared" si="336"/>
        <v>20</v>
      </c>
      <c r="BG765">
        <f t="shared" si="341"/>
        <v>5</v>
      </c>
      <c r="BH765" s="1">
        <f t="shared" si="337"/>
        <v>3.75</v>
      </c>
      <c r="BI765" s="1">
        <f t="shared" si="338"/>
        <v>0.25</v>
      </c>
      <c r="BJ765" s="1">
        <f t="shared" si="339"/>
        <v>0.66125</v>
      </c>
      <c r="BK765" s="1">
        <f t="shared" si="340"/>
        <v>1.9785000000000001</v>
      </c>
      <c r="BL765" s="1">
        <f t="shared" si="354"/>
        <v>0.25</v>
      </c>
      <c r="BM765" s="1">
        <f t="shared" si="355"/>
        <v>0.25</v>
      </c>
      <c r="BN765" s="1">
        <f t="shared" si="356"/>
        <v>9.6040000000000014E-3</v>
      </c>
      <c r="BO765" s="1">
        <f t="shared" si="335"/>
        <v>6.5352282495697606E-2</v>
      </c>
    </row>
    <row r="766" spans="3:67" x14ac:dyDescent="0.25">
      <c r="C766" t="s">
        <v>791</v>
      </c>
      <c r="G766">
        <v>0</v>
      </c>
      <c r="H766">
        <v>20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10</v>
      </c>
      <c r="P766">
        <v>0</v>
      </c>
      <c r="Q766">
        <v>70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21.2</v>
      </c>
      <c r="AK766" t="s">
        <v>1</v>
      </c>
      <c r="AL766" t="s">
        <v>374</v>
      </c>
      <c r="AQ766" s="1">
        <f t="shared" si="357"/>
        <v>100</v>
      </c>
      <c r="AR766" s="1">
        <f t="shared" si="342"/>
        <v>0.1</v>
      </c>
      <c r="AS766" s="1">
        <f t="shared" si="343"/>
        <v>0</v>
      </c>
      <c r="AT766" s="1">
        <f t="shared" si="344"/>
        <v>0.2</v>
      </c>
      <c r="AU766" s="1">
        <f t="shared" si="345"/>
        <v>0.7</v>
      </c>
      <c r="AV766" s="1">
        <f t="shared" si="346"/>
        <v>0.21199999999999999</v>
      </c>
      <c r="AX766" s="1">
        <f t="shared" si="347"/>
        <v>3.4999999999999996</v>
      </c>
      <c r="AY766" s="1">
        <f t="shared" si="348"/>
        <v>0.5</v>
      </c>
      <c r="AZ766" s="1">
        <f t="shared" si="349"/>
        <v>0.71875</v>
      </c>
      <c r="BA766" s="1">
        <f t="shared" si="350"/>
        <v>1.375</v>
      </c>
      <c r="BB766" s="1">
        <f t="shared" si="351"/>
        <v>0.5</v>
      </c>
      <c r="BC766" s="1">
        <f t="shared" si="352"/>
        <v>0.5</v>
      </c>
      <c r="BD766" s="1">
        <f t="shared" si="353"/>
        <v>0.28800000000000003</v>
      </c>
      <c r="BF766">
        <f t="shared" si="336"/>
        <v>20</v>
      </c>
      <c r="BG766">
        <f t="shared" si="341"/>
        <v>10</v>
      </c>
      <c r="BH766" s="1">
        <f t="shared" si="337"/>
        <v>3.5</v>
      </c>
      <c r="BI766" s="1">
        <f t="shared" si="338"/>
        <v>0.5</v>
      </c>
      <c r="BJ766" s="1">
        <f t="shared" si="339"/>
        <v>0.65649999999999997</v>
      </c>
      <c r="BK766" s="1">
        <f t="shared" si="340"/>
        <v>1.8530000000000002</v>
      </c>
      <c r="BL766" s="1">
        <f t="shared" si="354"/>
        <v>0.5</v>
      </c>
      <c r="BM766" s="1">
        <f t="shared" si="355"/>
        <v>0.5</v>
      </c>
      <c r="BN766" s="1">
        <f t="shared" si="356"/>
        <v>8.2944000000000018E-2</v>
      </c>
      <c r="BO766" s="1">
        <f t="shared" si="335"/>
        <v>3.8275371504888168E-2</v>
      </c>
    </row>
    <row r="767" spans="3:67" x14ac:dyDescent="0.25">
      <c r="C767" t="s">
        <v>792</v>
      </c>
      <c r="G767">
        <v>0</v>
      </c>
      <c r="H767">
        <v>20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15</v>
      </c>
      <c r="P767">
        <v>0</v>
      </c>
      <c r="Q767">
        <v>65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55.3</v>
      </c>
      <c r="AK767" t="s">
        <v>1</v>
      </c>
      <c r="AL767" t="s">
        <v>374</v>
      </c>
      <c r="AQ767" s="1">
        <f t="shared" si="357"/>
        <v>100</v>
      </c>
      <c r="AR767" s="1">
        <f t="shared" si="342"/>
        <v>0.15</v>
      </c>
      <c r="AS767" s="1">
        <f t="shared" si="343"/>
        <v>0</v>
      </c>
      <c r="AT767" s="1">
        <f t="shared" si="344"/>
        <v>0.2</v>
      </c>
      <c r="AU767" s="1">
        <f t="shared" si="345"/>
        <v>0.65</v>
      </c>
      <c r="AV767" s="1">
        <f t="shared" si="346"/>
        <v>0.55299999999999994</v>
      </c>
      <c r="AX767" s="1">
        <f t="shared" si="347"/>
        <v>3.25</v>
      </c>
      <c r="AY767" s="1">
        <f t="shared" si="348"/>
        <v>0.74999999999999989</v>
      </c>
      <c r="AZ767" s="1">
        <f t="shared" si="349"/>
        <v>0.703125</v>
      </c>
      <c r="BA767" s="1">
        <f t="shared" si="350"/>
        <v>1.3125</v>
      </c>
      <c r="BB767" s="1">
        <f t="shared" si="351"/>
        <v>0.703125</v>
      </c>
      <c r="BC767" s="1">
        <f t="shared" si="352"/>
        <v>0.703125</v>
      </c>
      <c r="BD767" s="1">
        <f t="shared" si="353"/>
        <v>0.15012500000000006</v>
      </c>
      <c r="BF767">
        <f t="shared" si="336"/>
        <v>20</v>
      </c>
      <c r="BG767">
        <f t="shared" si="341"/>
        <v>15</v>
      </c>
      <c r="BH767" s="1">
        <f t="shared" si="337"/>
        <v>3.25</v>
      </c>
      <c r="BI767" s="1">
        <f t="shared" si="338"/>
        <v>0.75</v>
      </c>
      <c r="BJ767" s="1">
        <f t="shared" si="339"/>
        <v>0.65174999999999994</v>
      </c>
      <c r="BK767" s="1">
        <f t="shared" si="340"/>
        <v>1.7275</v>
      </c>
      <c r="BL767" s="1">
        <f t="shared" si="354"/>
        <v>0.65174999999999994</v>
      </c>
      <c r="BM767" s="1">
        <f t="shared" si="355"/>
        <v>0.65174999999999994</v>
      </c>
      <c r="BN767" s="1">
        <f t="shared" si="356"/>
        <v>9.7515625000000015E-3</v>
      </c>
      <c r="BO767" s="1">
        <f t="shared" si="335"/>
        <v>2.1129260707121105E-2</v>
      </c>
    </row>
    <row r="768" spans="3:67" x14ac:dyDescent="0.25">
      <c r="C768" t="s">
        <v>793</v>
      </c>
      <c r="G768">
        <v>0</v>
      </c>
      <c r="H768">
        <v>20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20</v>
      </c>
      <c r="P768">
        <v>0</v>
      </c>
      <c r="Q768">
        <v>60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80.5</v>
      </c>
      <c r="AK768" t="s">
        <v>1</v>
      </c>
      <c r="AL768" t="s">
        <v>374</v>
      </c>
      <c r="AQ768" s="1">
        <f t="shared" si="357"/>
        <v>100</v>
      </c>
      <c r="AR768" s="1">
        <f t="shared" si="342"/>
        <v>0.2</v>
      </c>
      <c r="AS768" s="1">
        <f t="shared" si="343"/>
        <v>0</v>
      </c>
      <c r="AT768" s="1">
        <f t="shared" si="344"/>
        <v>0.2</v>
      </c>
      <c r="AU768" s="1">
        <f t="shared" si="345"/>
        <v>0.6</v>
      </c>
      <c r="AV768" s="1">
        <f t="shared" si="346"/>
        <v>0.80500000000000005</v>
      </c>
      <c r="AX768" s="1">
        <f t="shared" si="347"/>
        <v>2.9999999999999996</v>
      </c>
      <c r="AY768" s="1">
        <f t="shared" si="348"/>
        <v>1</v>
      </c>
      <c r="AZ768" s="1">
        <f t="shared" si="349"/>
        <v>0.6875</v>
      </c>
      <c r="BA768" s="1">
        <f t="shared" si="350"/>
        <v>1.25</v>
      </c>
      <c r="BB768" s="1">
        <f t="shared" si="351"/>
        <v>0.6875</v>
      </c>
      <c r="BC768" s="1">
        <f t="shared" si="352"/>
        <v>0.6875</v>
      </c>
      <c r="BD768" s="1">
        <f t="shared" si="353"/>
        <v>0.11750000000000005</v>
      </c>
      <c r="BF768">
        <f t="shared" si="336"/>
        <v>20</v>
      </c>
      <c r="BG768">
        <f t="shared" si="341"/>
        <v>20</v>
      </c>
      <c r="BH768" s="1">
        <f t="shared" si="337"/>
        <v>3</v>
      </c>
      <c r="BI768" s="1">
        <f t="shared" si="338"/>
        <v>1</v>
      </c>
      <c r="BJ768" s="1">
        <f t="shared" si="339"/>
        <v>0.64700000000000002</v>
      </c>
      <c r="BK768" s="1">
        <f t="shared" si="340"/>
        <v>1.6020000000000001</v>
      </c>
      <c r="BL768" s="1">
        <f t="shared" si="354"/>
        <v>0.64700000000000002</v>
      </c>
      <c r="BM768" s="1">
        <f t="shared" si="355"/>
        <v>0.64700000000000002</v>
      </c>
      <c r="BN768" s="1">
        <f t="shared" si="356"/>
        <v>2.496400000000001E-2</v>
      </c>
      <c r="BO768" s="1">
        <f t="shared" si="335"/>
        <v>0.15789423454572146</v>
      </c>
    </row>
    <row r="769" spans="3:67" x14ac:dyDescent="0.25">
      <c r="C769" t="s">
        <v>794</v>
      </c>
      <c r="G769">
        <v>0</v>
      </c>
      <c r="H769">
        <v>20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25</v>
      </c>
      <c r="P769">
        <v>0</v>
      </c>
      <c r="Q769">
        <v>55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92.1</v>
      </c>
      <c r="AK769" t="s">
        <v>1</v>
      </c>
      <c r="AL769" t="s">
        <v>374</v>
      </c>
      <c r="AQ769" s="1">
        <f t="shared" si="357"/>
        <v>100</v>
      </c>
      <c r="AR769" s="1">
        <f t="shared" si="342"/>
        <v>0.25</v>
      </c>
      <c r="AS769" s="1">
        <f t="shared" si="343"/>
        <v>0</v>
      </c>
      <c r="AT769" s="1">
        <f t="shared" si="344"/>
        <v>0.2</v>
      </c>
      <c r="AU769" s="1">
        <f t="shared" si="345"/>
        <v>0.55000000000000004</v>
      </c>
      <c r="AV769" s="1">
        <f t="shared" si="346"/>
        <v>0.92099999999999993</v>
      </c>
      <c r="AX769" s="1">
        <f t="shared" si="347"/>
        <v>2.75</v>
      </c>
      <c r="AY769" s="1">
        <f t="shared" si="348"/>
        <v>1.25</v>
      </c>
      <c r="AZ769" s="1">
        <f t="shared" si="349"/>
        <v>0.671875</v>
      </c>
      <c r="BA769" s="1">
        <f t="shared" si="350"/>
        <v>1.1875</v>
      </c>
      <c r="BB769" s="1">
        <f t="shared" si="351"/>
        <v>0.66008771929824561</v>
      </c>
      <c r="BC769" s="1">
        <f t="shared" si="352"/>
        <v>0.66008771929824561</v>
      </c>
      <c r="BD769" s="1">
        <f t="shared" si="353"/>
        <v>0.26091228070175432</v>
      </c>
      <c r="BF769">
        <f t="shared" si="336"/>
        <v>20</v>
      </c>
      <c r="BG769">
        <f t="shared" si="341"/>
        <v>25</v>
      </c>
      <c r="BH769" s="1">
        <f t="shared" si="337"/>
        <v>2.75</v>
      </c>
      <c r="BI769" s="1">
        <f t="shared" si="338"/>
        <v>1.25</v>
      </c>
      <c r="BJ769" s="1">
        <f t="shared" si="339"/>
        <v>0.64224999999999999</v>
      </c>
      <c r="BK769" s="1">
        <f t="shared" si="340"/>
        <v>1.4765000000000001</v>
      </c>
      <c r="BL769" s="1">
        <f t="shared" si="354"/>
        <v>0.64224999999999999</v>
      </c>
      <c r="BM769" s="1">
        <f t="shared" si="355"/>
        <v>0.64224999999999999</v>
      </c>
      <c r="BN769" s="1">
        <f t="shared" si="356"/>
        <v>7.7701562499999974E-2</v>
      </c>
      <c r="BO769" s="1">
        <f t="shared" si="335"/>
        <v>0.26353753996348978</v>
      </c>
    </row>
    <row r="770" spans="3:67" x14ac:dyDescent="0.25">
      <c r="C770" t="s">
        <v>795</v>
      </c>
      <c r="G770">
        <v>0</v>
      </c>
      <c r="H770">
        <v>77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22.7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0.3</v>
      </c>
      <c r="AJ770">
        <v>46.82</v>
      </c>
      <c r="AK770" t="s">
        <v>816</v>
      </c>
      <c r="AL770" t="s">
        <v>374</v>
      </c>
      <c r="AM770" t="s">
        <v>850</v>
      </c>
      <c r="AO770" t="s">
        <v>378</v>
      </c>
      <c r="AP770" t="s">
        <v>851</v>
      </c>
      <c r="AQ770" s="1">
        <f t="shared" si="357"/>
        <v>99.7</v>
      </c>
      <c r="AR770" s="1">
        <f t="shared" si="342"/>
        <v>0.22699999999999998</v>
      </c>
      <c r="AS770" s="1">
        <f t="shared" si="343"/>
        <v>0</v>
      </c>
      <c r="AT770" s="1">
        <f t="shared" si="344"/>
        <v>0.77</v>
      </c>
      <c r="AU770" s="1">
        <f t="shared" si="345"/>
        <v>0</v>
      </c>
      <c r="AV770" s="1">
        <f t="shared" si="346"/>
        <v>0.46820000000000001</v>
      </c>
      <c r="AX770" s="1">
        <f t="shared" si="347"/>
        <v>0</v>
      </c>
      <c r="AY770" s="1">
        <f t="shared" si="348"/>
        <v>0.29480519480519479</v>
      </c>
      <c r="AZ770" s="1">
        <f t="shared" si="349"/>
        <v>0.5</v>
      </c>
      <c r="BA770" s="1">
        <f t="shared" si="350"/>
        <v>0.5</v>
      </c>
      <c r="BB770" s="1">
        <f t="shared" si="351"/>
        <v>0.29480519480519479</v>
      </c>
      <c r="BC770" s="1">
        <f t="shared" si="352"/>
        <v>0.29480519480519479</v>
      </c>
      <c r="BD770" s="1">
        <f t="shared" si="353"/>
        <v>0.17339480519480521</v>
      </c>
      <c r="BF770">
        <f t="shared" si="336"/>
        <v>77</v>
      </c>
      <c r="BG770">
        <f t="shared" si="341"/>
        <v>22.849999999999998</v>
      </c>
      <c r="BH770" s="1">
        <f t="shared" si="337"/>
        <v>0</v>
      </c>
      <c r="BI770" s="1">
        <f t="shared" si="338"/>
        <v>0.29675324675324671</v>
      </c>
      <c r="BJ770" s="1">
        <f t="shared" si="339"/>
        <v>0.59</v>
      </c>
      <c r="BK770" s="1">
        <f t="shared" si="340"/>
        <v>9.6000000000000002E-2</v>
      </c>
      <c r="BL770" s="1">
        <f t="shared" si="354"/>
        <v>0.29675324675324671</v>
      </c>
      <c r="BM770" s="1">
        <f t="shared" si="355"/>
        <v>0.29675324675324671</v>
      </c>
      <c r="BN770" s="1">
        <f t="shared" si="356"/>
        <v>2.939398919885311E-2</v>
      </c>
      <c r="BO770" s="1">
        <f t="shared" ref="BO770:BO787" si="358">(AV770-AVERAGE($AV$2:$AV$638))^2</f>
        <v>3.6674015741318122E-3</v>
      </c>
    </row>
    <row r="771" spans="3:67" x14ac:dyDescent="0.25">
      <c r="C771" t="s">
        <v>796</v>
      </c>
      <c r="G771">
        <v>0</v>
      </c>
      <c r="H771">
        <v>72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22.7</v>
      </c>
      <c r="P771">
        <v>0</v>
      </c>
      <c r="Q771">
        <v>0</v>
      </c>
      <c r="R771">
        <v>0</v>
      </c>
      <c r="S771">
        <v>0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0.3</v>
      </c>
      <c r="AJ771">
        <v>46.83</v>
      </c>
      <c r="AK771" t="s">
        <v>816</v>
      </c>
      <c r="AL771" t="s">
        <v>374</v>
      </c>
      <c r="AP771" t="s">
        <v>852</v>
      </c>
      <c r="AQ771" s="1">
        <f t="shared" si="357"/>
        <v>99.7</v>
      </c>
      <c r="AR771" s="1">
        <f t="shared" si="342"/>
        <v>0.22699999999999998</v>
      </c>
      <c r="AS771" s="1">
        <f t="shared" si="343"/>
        <v>0</v>
      </c>
      <c r="AT771" s="1">
        <f t="shared" si="344"/>
        <v>0.72</v>
      </c>
      <c r="AU771" s="1">
        <f t="shared" si="345"/>
        <v>0</v>
      </c>
      <c r="AV771" s="1">
        <f t="shared" si="346"/>
        <v>0.46829999999999999</v>
      </c>
      <c r="AX771" s="1">
        <f t="shared" si="347"/>
        <v>0</v>
      </c>
      <c r="AY771" s="1">
        <f t="shared" si="348"/>
        <v>0.31527777777777777</v>
      </c>
      <c r="AZ771" s="1">
        <f t="shared" si="349"/>
        <v>0.5</v>
      </c>
      <c r="BA771" s="1">
        <f t="shared" si="350"/>
        <v>0.5</v>
      </c>
      <c r="BB771" s="1">
        <f t="shared" si="351"/>
        <v>0.31527777777777777</v>
      </c>
      <c r="BC771" s="1">
        <f t="shared" si="352"/>
        <v>0.31527777777777777</v>
      </c>
      <c r="BD771" s="1">
        <f t="shared" si="353"/>
        <v>0.15302222222222223</v>
      </c>
      <c r="BF771">
        <f t="shared" si="336"/>
        <v>72</v>
      </c>
      <c r="BG771">
        <f t="shared" si="341"/>
        <v>25.349999999999998</v>
      </c>
      <c r="BH771" s="1">
        <f t="shared" si="337"/>
        <v>0</v>
      </c>
      <c r="BI771" s="1">
        <f t="shared" si="338"/>
        <v>0.3520833333333333</v>
      </c>
      <c r="BJ771" s="1">
        <f t="shared" si="339"/>
        <v>0.59</v>
      </c>
      <c r="BK771" s="1">
        <f t="shared" si="340"/>
        <v>9.6000000000000002E-2</v>
      </c>
      <c r="BL771" s="1">
        <f t="shared" si="354"/>
        <v>0.3520833333333333</v>
      </c>
      <c r="BM771" s="1">
        <f t="shared" si="355"/>
        <v>0.3520833333333333</v>
      </c>
      <c r="BN771" s="1">
        <f t="shared" si="356"/>
        <v>1.3506313611111117E-2</v>
      </c>
      <c r="BO771" s="1">
        <f t="shared" si="358"/>
        <v>3.6795233891471287E-3</v>
      </c>
    </row>
    <row r="772" spans="3:67" x14ac:dyDescent="0.25">
      <c r="C772" t="s">
        <v>797</v>
      </c>
      <c r="G772">
        <v>0</v>
      </c>
      <c r="H772">
        <v>67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22.7</v>
      </c>
      <c r="P772">
        <v>0</v>
      </c>
      <c r="Q772">
        <v>0</v>
      </c>
      <c r="R772">
        <v>0</v>
      </c>
      <c r="S772">
        <v>0</v>
      </c>
      <c r="T772">
        <v>10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0.3</v>
      </c>
      <c r="AJ772">
        <v>46.44</v>
      </c>
      <c r="AK772" t="s">
        <v>816</v>
      </c>
      <c r="AL772" t="s">
        <v>374</v>
      </c>
      <c r="AQ772" s="1">
        <f t="shared" si="357"/>
        <v>99.7</v>
      </c>
      <c r="AR772" s="1">
        <f t="shared" si="342"/>
        <v>0.22699999999999998</v>
      </c>
      <c r="AS772" s="1">
        <f t="shared" si="343"/>
        <v>0</v>
      </c>
      <c r="AT772" s="1">
        <f t="shared" si="344"/>
        <v>0.67</v>
      </c>
      <c r="AU772" s="1">
        <f t="shared" si="345"/>
        <v>0</v>
      </c>
      <c r="AV772" s="1">
        <f t="shared" si="346"/>
        <v>0.46439999999999998</v>
      </c>
      <c r="AX772" s="1">
        <f t="shared" si="347"/>
        <v>0</v>
      </c>
      <c r="AY772" s="1">
        <f t="shared" si="348"/>
        <v>0.33880597014925368</v>
      </c>
      <c r="AZ772" s="1">
        <f t="shared" si="349"/>
        <v>0.5</v>
      </c>
      <c r="BA772" s="1">
        <f t="shared" si="350"/>
        <v>0.5</v>
      </c>
      <c r="BB772" s="1">
        <f t="shared" si="351"/>
        <v>0.33880597014925368</v>
      </c>
      <c r="BC772" s="1">
        <f t="shared" si="352"/>
        <v>0.33880597014925368</v>
      </c>
      <c r="BD772" s="1">
        <f t="shared" si="353"/>
        <v>0.1255940298507463</v>
      </c>
      <c r="BF772">
        <f t="shared" si="336"/>
        <v>67</v>
      </c>
      <c r="BG772">
        <f t="shared" si="341"/>
        <v>27.849999999999998</v>
      </c>
      <c r="BH772" s="1">
        <f t="shared" si="337"/>
        <v>0</v>
      </c>
      <c r="BI772" s="1">
        <f t="shared" si="338"/>
        <v>0.41567164179104477</v>
      </c>
      <c r="BJ772" s="1">
        <f t="shared" si="339"/>
        <v>0.59</v>
      </c>
      <c r="BK772" s="1">
        <f t="shared" si="340"/>
        <v>9.6000000000000002E-2</v>
      </c>
      <c r="BL772" s="1">
        <f t="shared" si="354"/>
        <v>0.41567164179104477</v>
      </c>
      <c r="BM772" s="1">
        <f t="shared" si="355"/>
        <v>0.41567164179104477</v>
      </c>
      <c r="BN772" s="1">
        <f t="shared" si="356"/>
        <v>2.3744528937402528E-3</v>
      </c>
      <c r="BO772" s="1">
        <f t="shared" si="358"/>
        <v>3.2215926035497411E-3</v>
      </c>
    </row>
    <row r="773" spans="3:67" x14ac:dyDescent="0.25">
      <c r="C773" t="s">
        <v>798</v>
      </c>
      <c r="G773">
        <v>0</v>
      </c>
      <c r="H773">
        <v>62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22.7</v>
      </c>
      <c r="P773">
        <v>0</v>
      </c>
      <c r="Q773">
        <v>0</v>
      </c>
      <c r="R773">
        <v>0</v>
      </c>
      <c r="S773">
        <v>0</v>
      </c>
      <c r="T773">
        <v>15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0.3</v>
      </c>
      <c r="AJ773">
        <v>45.7</v>
      </c>
      <c r="AK773" t="s">
        <v>816</v>
      </c>
      <c r="AL773" t="s">
        <v>374</v>
      </c>
      <c r="AQ773" s="1">
        <f t="shared" si="357"/>
        <v>99.7</v>
      </c>
      <c r="AR773" s="1">
        <f t="shared" si="342"/>
        <v>0.22699999999999998</v>
      </c>
      <c r="AS773" s="1">
        <f t="shared" si="343"/>
        <v>0</v>
      </c>
      <c r="AT773" s="1">
        <f t="shared" si="344"/>
        <v>0.62</v>
      </c>
      <c r="AU773" s="1">
        <f t="shared" si="345"/>
        <v>0</v>
      </c>
      <c r="AV773" s="1">
        <f t="shared" si="346"/>
        <v>0.45700000000000002</v>
      </c>
      <c r="AX773" s="1">
        <f t="shared" si="347"/>
        <v>0</v>
      </c>
      <c r="AY773" s="1">
        <f t="shared" si="348"/>
        <v>0.36612903225806448</v>
      </c>
      <c r="AZ773" s="1">
        <f t="shared" si="349"/>
        <v>0.5</v>
      </c>
      <c r="BA773" s="1">
        <f t="shared" si="350"/>
        <v>0.5</v>
      </c>
      <c r="BB773" s="1">
        <f t="shared" si="351"/>
        <v>0.36612903225806448</v>
      </c>
      <c r="BC773" s="1">
        <f t="shared" si="352"/>
        <v>0.36612903225806448</v>
      </c>
      <c r="BD773" s="1">
        <f t="shared" si="353"/>
        <v>9.0870967741935538E-2</v>
      </c>
      <c r="BF773">
        <f t="shared" si="336"/>
        <v>62</v>
      </c>
      <c r="BG773">
        <f t="shared" si="341"/>
        <v>30.349999999999998</v>
      </c>
      <c r="BH773" s="1">
        <f t="shared" si="337"/>
        <v>0</v>
      </c>
      <c r="BI773" s="1">
        <f t="shared" si="338"/>
        <v>0.48951612903225805</v>
      </c>
      <c r="BJ773" s="1">
        <f t="shared" si="339"/>
        <v>0.59</v>
      </c>
      <c r="BK773" s="1">
        <f t="shared" si="340"/>
        <v>9.6000000000000002E-2</v>
      </c>
      <c r="BL773" s="1">
        <f t="shared" si="354"/>
        <v>0.48951612903225805</v>
      </c>
      <c r="BM773" s="1">
        <f t="shared" si="355"/>
        <v>0.48951612903225805</v>
      </c>
      <c r="BN773" s="1">
        <f t="shared" si="356"/>
        <v>1.0572986472424538E-3</v>
      </c>
      <c r="BO773" s="1">
        <f t="shared" si="358"/>
        <v>2.4363182924162442E-3</v>
      </c>
    </row>
    <row r="774" spans="3:67" x14ac:dyDescent="0.25">
      <c r="C774" t="s">
        <v>799</v>
      </c>
      <c r="G774">
        <v>0</v>
      </c>
      <c r="H774">
        <v>57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22.7</v>
      </c>
      <c r="P774">
        <v>0</v>
      </c>
      <c r="Q774">
        <v>0</v>
      </c>
      <c r="R774">
        <v>0</v>
      </c>
      <c r="S774">
        <v>0</v>
      </c>
      <c r="T774">
        <v>20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0.3</v>
      </c>
      <c r="AJ774">
        <v>45.03</v>
      </c>
      <c r="AK774" t="s">
        <v>816</v>
      </c>
      <c r="AL774" t="s">
        <v>374</v>
      </c>
      <c r="AQ774" s="1">
        <f t="shared" si="357"/>
        <v>99.7</v>
      </c>
      <c r="AR774" s="1">
        <f t="shared" si="342"/>
        <v>0.22699999999999998</v>
      </c>
      <c r="AS774" s="1">
        <f t="shared" si="343"/>
        <v>0</v>
      </c>
      <c r="AT774" s="1">
        <f t="shared" si="344"/>
        <v>0.56999999999999995</v>
      </c>
      <c r="AU774" s="1">
        <f t="shared" si="345"/>
        <v>0</v>
      </c>
      <c r="AV774" s="1">
        <f t="shared" si="346"/>
        <v>0.45030000000000003</v>
      </c>
      <c r="AX774" s="1">
        <f t="shared" si="347"/>
        <v>0</v>
      </c>
      <c r="AY774" s="1">
        <f t="shared" si="348"/>
        <v>0.39824561403508774</v>
      </c>
      <c r="AZ774" s="1">
        <f t="shared" si="349"/>
        <v>0.5</v>
      </c>
      <c r="BA774" s="1">
        <f t="shared" si="350"/>
        <v>0.5</v>
      </c>
      <c r="BB774" s="1">
        <f t="shared" si="351"/>
        <v>0.39824561403508774</v>
      </c>
      <c r="BC774" s="1">
        <f t="shared" si="352"/>
        <v>0.39824561403508774</v>
      </c>
      <c r="BD774" s="1">
        <f t="shared" si="353"/>
        <v>5.2054385964912298E-2</v>
      </c>
      <c r="BF774">
        <f t="shared" si="336"/>
        <v>57</v>
      </c>
      <c r="BG774">
        <f t="shared" si="341"/>
        <v>32.85</v>
      </c>
      <c r="BH774" s="1">
        <f t="shared" si="337"/>
        <v>0</v>
      </c>
      <c r="BI774" s="1">
        <f t="shared" si="338"/>
        <v>0.57631578947368423</v>
      </c>
      <c r="BJ774" s="1">
        <f t="shared" si="339"/>
        <v>0.59</v>
      </c>
      <c r="BK774" s="1">
        <f t="shared" si="340"/>
        <v>9.6000000000000002E-2</v>
      </c>
      <c r="BL774" s="1">
        <f t="shared" si="354"/>
        <v>0.57631578947368423</v>
      </c>
      <c r="BM774" s="1">
        <f t="shared" si="355"/>
        <v>0.57631578947368423</v>
      </c>
      <c r="BN774" s="1">
        <f t="shared" si="356"/>
        <v>1.5879979196675897E-2</v>
      </c>
      <c r="BO774" s="1">
        <f t="shared" si="358"/>
        <v>1.819796686389967E-3</v>
      </c>
    </row>
    <row r="775" spans="3:67" x14ac:dyDescent="0.25">
      <c r="C775" t="s">
        <v>48</v>
      </c>
      <c r="G775">
        <v>0</v>
      </c>
      <c r="H775">
        <v>10</v>
      </c>
      <c r="I775">
        <v>0</v>
      </c>
      <c r="J775">
        <v>0</v>
      </c>
      <c r="K775">
        <v>0</v>
      </c>
      <c r="L775">
        <v>0</v>
      </c>
      <c r="M775">
        <v>16</v>
      </c>
      <c r="N775">
        <v>0</v>
      </c>
      <c r="O775">
        <v>0</v>
      </c>
      <c r="P775">
        <v>0</v>
      </c>
      <c r="Q775">
        <v>74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57</v>
      </c>
      <c r="AK775" t="s">
        <v>1</v>
      </c>
      <c r="AL775" t="s">
        <v>380</v>
      </c>
      <c r="AM775" t="s">
        <v>853</v>
      </c>
      <c r="AO775" t="s">
        <v>378</v>
      </c>
      <c r="AP775" t="s">
        <v>854</v>
      </c>
      <c r="AQ775" s="1">
        <f t="shared" si="357"/>
        <v>100</v>
      </c>
      <c r="AR775" s="1">
        <f t="shared" si="342"/>
        <v>0.16</v>
      </c>
      <c r="AS775" s="1">
        <f t="shared" si="343"/>
        <v>0</v>
      </c>
      <c r="AT775" s="1">
        <f t="shared" si="344"/>
        <v>0.1</v>
      </c>
      <c r="AU775" s="1">
        <f t="shared" si="345"/>
        <v>0.74</v>
      </c>
      <c r="AV775" s="1">
        <f t="shared" si="346"/>
        <v>0.56999999999999995</v>
      </c>
      <c r="AX775" s="1">
        <f t="shared" si="347"/>
        <v>7.3999999999999995</v>
      </c>
      <c r="AY775" s="1">
        <f t="shared" si="348"/>
        <v>1.5999999999999999</v>
      </c>
      <c r="AZ775" s="1">
        <f t="shared" si="349"/>
        <v>0.96249999999999991</v>
      </c>
      <c r="BA775" s="1">
        <f t="shared" si="350"/>
        <v>2.3499999999999996</v>
      </c>
      <c r="BB775" s="1">
        <f t="shared" si="351"/>
        <v>0.96249999999999991</v>
      </c>
      <c r="BC775" s="1">
        <f t="shared" si="352"/>
        <v>0.96249999999999991</v>
      </c>
      <c r="BD775" s="1">
        <f t="shared" si="353"/>
        <v>0.39249999999999996</v>
      </c>
      <c r="BF775">
        <f t="shared" si="336"/>
        <v>10</v>
      </c>
      <c r="BG775">
        <f t="shared" si="341"/>
        <v>16</v>
      </c>
      <c r="BH775" s="1">
        <f t="shared" si="337"/>
        <v>7.4</v>
      </c>
      <c r="BI775" s="1">
        <f t="shared" si="338"/>
        <v>1.6</v>
      </c>
      <c r="BJ775" s="1">
        <f t="shared" si="339"/>
        <v>0.73059999999999992</v>
      </c>
      <c r="BK775" s="1">
        <f t="shared" si="340"/>
        <v>3.8108000000000004</v>
      </c>
      <c r="BL775" s="1">
        <f t="shared" si="354"/>
        <v>0.73059999999999992</v>
      </c>
      <c r="BM775" s="1">
        <f t="shared" si="355"/>
        <v>0.73059999999999992</v>
      </c>
      <c r="BN775" s="1">
        <f t="shared" si="356"/>
        <v>2.579235999999999E-2</v>
      </c>
      <c r="BO775" s="1">
        <f t="shared" si="358"/>
        <v>2.6360469259725097E-2</v>
      </c>
    </row>
    <row r="776" spans="3:67" x14ac:dyDescent="0.25">
      <c r="C776" t="s">
        <v>49</v>
      </c>
      <c r="G776">
        <v>0</v>
      </c>
      <c r="H776">
        <v>10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16</v>
      </c>
      <c r="P776">
        <v>0</v>
      </c>
      <c r="Q776">
        <v>74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88</v>
      </c>
      <c r="AK776" t="s">
        <v>1</v>
      </c>
      <c r="AL776" t="s">
        <v>380</v>
      </c>
      <c r="AQ776" s="1">
        <f t="shared" si="357"/>
        <v>100</v>
      </c>
      <c r="AR776" s="1">
        <f t="shared" si="342"/>
        <v>0.16</v>
      </c>
      <c r="AS776" s="1">
        <f t="shared" si="343"/>
        <v>0</v>
      </c>
      <c r="AT776" s="1">
        <f t="shared" si="344"/>
        <v>0.1</v>
      </c>
      <c r="AU776" s="1">
        <f t="shared" si="345"/>
        <v>0.74</v>
      </c>
      <c r="AV776" s="1">
        <f t="shared" si="346"/>
        <v>0.88</v>
      </c>
      <c r="AX776" s="1">
        <f t="shared" si="347"/>
        <v>7.3999999999999995</v>
      </c>
      <c r="AY776" s="1">
        <f t="shared" si="348"/>
        <v>1.5999999999999999</v>
      </c>
      <c r="AZ776" s="1">
        <f t="shared" si="349"/>
        <v>0.96249999999999991</v>
      </c>
      <c r="BA776" s="1">
        <f t="shared" si="350"/>
        <v>2.3499999999999996</v>
      </c>
      <c r="BB776" s="1">
        <f t="shared" si="351"/>
        <v>0.96249999999999991</v>
      </c>
      <c r="BC776" s="1">
        <f t="shared" si="352"/>
        <v>0.96249999999999991</v>
      </c>
      <c r="BD776" s="1">
        <f t="shared" si="353"/>
        <v>8.2499999999999907E-2</v>
      </c>
      <c r="BF776">
        <f t="shared" si="336"/>
        <v>10</v>
      </c>
      <c r="BG776">
        <f t="shared" si="341"/>
        <v>16</v>
      </c>
      <c r="BH776" s="1">
        <f t="shared" si="337"/>
        <v>7.4</v>
      </c>
      <c r="BI776" s="1">
        <f t="shared" si="338"/>
        <v>1.6</v>
      </c>
      <c r="BJ776" s="1">
        <f t="shared" si="339"/>
        <v>0.73059999999999992</v>
      </c>
      <c r="BK776" s="1">
        <f t="shared" si="340"/>
        <v>3.8108000000000004</v>
      </c>
      <c r="BL776" s="1">
        <f t="shared" si="354"/>
        <v>0.73059999999999992</v>
      </c>
      <c r="BM776" s="1">
        <f t="shared" si="355"/>
        <v>0.73059999999999992</v>
      </c>
      <c r="BN776" s="1">
        <f t="shared" si="356"/>
        <v>2.2320360000000025E-2</v>
      </c>
      <c r="BO776" s="1">
        <f t="shared" si="358"/>
        <v>0.22312309580720963</v>
      </c>
    </row>
    <row r="777" spans="3:67" x14ac:dyDescent="0.25">
      <c r="C777" t="s">
        <v>204</v>
      </c>
      <c r="G777">
        <v>0</v>
      </c>
      <c r="H777">
        <v>10</v>
      </c>
      <c r="I777">
        <v>0</v>
      </c>
      <c r="J777">
        <v>0</v>
      </c>
      <c r="K777">
        <v>0</v>
      </c>
      <c r="L777">
        <v>16</v>
      </c>
      <c r="M777">
        <v>0</v>
      </c>
      <c r="N777">
        <v>0</v>
      </c>
      <c r="O777">
        <v>0</v>
      </c>
      <c r="P777">
        <v>0</v>
      </c>
      <c r="Q777">
        <v>74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92</v>
      </c>
      <c r="AK777" t="s">
        <v>1</v>
      </c>
      <c r="AL777" t="s">
        <v>380</v>
      </c>
      <c r="AQ777" s="1">
        <f t="shared" si="357"/>
        <v>100</v>
      </c>
      <c r="AR777" s="1">
        <f t="shared" si="342"/>
        <v>0.16</v>
      </c>
      <c r="AS777" s="1">
        <f t="shared" si="343"/>
        <v>0</v>
      </c>
      <c r="AT777" s="1">
        <f t="shared" si="344"/>
        <v>0.1</v>
      </c>
      <c r="AU777" s="1">
        <f t="shared" si="345"/>
        <v>0.74</v>
      </c>
      <c r="AV777" s="1">
        <f t="shared" si="346"/>
        <v>0.92</v>
      </c>
      <c r="AX777" s="1">
        <f t="shared" si="347"/>
        <v>7.3999999999999995</v>
      </c>
      <c r="AY777" s="1">
        <f t="shared" si="348"/>
        <v>1.5999999999999999</v>
      </c>
      <c r="AZ777" s="1">
        <f t="shared" si="349"/>
        <v>0.96249999999999991</v>
      </c>
      <c r="BA777" s="1">
        <f t="shared" si="350"/>
        <v>2.3499999999999996</v>
      </c>
      <c r="BB777" s="1">
        <f t="shared" si="351"/>
        <v>0.96249999999999991</v>
      </c>
      <c r="BC777" s="1">
        <f t="shared" si="352"/>
        <v>0.96249999999999991</v>
      </c>
      <c r="BD777" s="1">
        <f t="shared" si="353"/>
        <v>4.2499999999999871E-2</v>
      </c>
      <c r="BF777">
        <f t="shared" si="336"/>
        <v>10</v>
      </c>
      <c r="BG777">
        <f t="shared" si="341"/>
        <v>16</v>
      </c>
      <c r="BH777" s="1">
        <f t="shared" si="337"/>
        <v>7.4</v>
      </c>
      <c r="BI777" s="1">
        <f t="shared" si="338"/>
        <v>1.6</v>
      </c>
      <c r="BJ777" s="1">
        <f t="shared" si="339"/>
        <v>0.73059999999999992</v>
      </c>
      <c r="BK777" s="1">
        <f t="shared" si="340"/>
        <v>3.8108000000000004</v>
      </c>
      <c r="BL777" s="1">
        <f t="shared" si="354"/>
        <v>0.73059999999999992</v>
      </c>
      <c r="BM777" s="1">
        <f t="shared" si="355"/>
        <v>0.73059999999999992</v>
      </c>
      <c r="BN777" s="1">
        <f t="shared" si="356"/>
        <v>3.5872360000000048E-2</v>
      </c>
      <c r="BO777" s="1">
        <f t="shared" si="358"/>
        <v>0.26251182181333671</v>
      </c>
    </row>
    <row r="778" spans="3:67" x14ac:dyDescent="0.25">
      <c r="C778" t="s">
        <v>800</v>
      </c>
      <c r="G778">
        <v>0</v>
      </c>
      <c r="H778">
        <v>10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74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93</v>
      </c>
      <c r="AK778" t="s">
        <v>1</v>
      </c>
      <c r="AL778" t="s">
        <v>380</v>
      </c>
      <c r="AQ778" s="1">
        <f t="shared" si="357"/>
        <v>100</v>
      </c>
      <c r="AR778" s="1">
        <f t="shared" si="342"/>
        <v>0</v>
      </c>
      <c r="AS778" s="1">
        <f t="shared" si="343"/>
        <v>0</v>
      </c>
      <c r="AT778" s="1">
        <f t="shared" si="344"/>
        <v>0.1</v>
      </c>
      <c r="AU778" s="1">
        <f t="shared" si="345"/>
        <v>0.74</v>
      </c>
      <c r="AV778" s="1">
        <f t="shared" si="346"/>
        <v>0.93</v>
      </c>
      <c r="AX778" s="1">
        <f t="shared" si="347"/>
        <v>7.3999999999999995</v>
      </c>
      <c r="AY778" s="1">
        <f t="shared" si="348"/>
        <v>0</v>
      </c>
      <c r="AZ778" s="1">
        <f t="shared" si="349"/>
        <v>0.96249999999999991</v>
      </c>
      <c r="BA778" s="1">
        <f t="shared" si="350"/>
        <v>2.3499999999999996</v>
      </c>
      <c r="BB778" s="1">
        <f t="shared" si="351"/>
        <v>0</v>
      </c>
      <c r="BC778" s="1">
        <f t="shared" si="352"/>
        <v>0</v>
      </c>
      <c r="BD778" s="1">
        <f t="shared" si="353"/>
        <v>0.93</v>
      </c>
      <c r="BF778">
        <f t="shared" si="336"/>
        <v>10</v>
      </c>
      <c r="BG778">
        <f t="shared" si="341"/>
        <v>16</v>
      </c>
      <c r="BH778" s="1">
        <f t="shared" si="337"/>
        <v>7.4</v>
      </c>
      <c r="BI778" s="1">
        <f t="shared" si="338"/>
        <v>1.6</v>
      </c>
      <c r="BJ778" s="1">
        <f t="shared" si="339"/>
        <v>0.73059999999999992</v>
      </c>
      <c r="BK778" s="1">
        <f t="shared" si="340"/>
        <v>3.8108000000000004</v>
      </c>
      <c r="BL778" s="1">
        <f t="shared" si="354"/>
        <v>0.73059999999999992</v>
      </c>
      <c r="BM778" s="1">
        <f t="shared" si="355"/>
        <v>0.73059999999999992</v>
      </c>
      <c r="BN778" s="1">
        <f t="shared" si="356"/>
        <v>3.976036000000005E-2</v>
      </c>
      <c r="BO778" s="1">
        <f t="shared" si="358"/>
        <v>0.27285900331486845</v>
      </c>
    </row>
    <row r="779" spans="3:67" x14ac:dyDescent="0.25">
      <c r="C779" t="s">
        <v>801</v>
      </c>
      <c r="G779">
        <v>0</v>
      </c>
      <c r="H779">
        <v>10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74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16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97</v>
      </c>
      <c r="AK779" t="s">
        <v>1</v>
      </c>
      <c r="AL779" t="s">
        <v>380</v>
      </c>
      <c r="AQ779" s="1">
        <f t="shared" si="357"/>
        <v>100</v>
      </c>
      <c r="AR779" s="1">
        <f t="shared" si="342"/>
        <v>0.16</v>
      </c>
      <c r="AS779" s="1">
        <f t="shared" si="343"/>
        <v>0</v>
      </c>
      <c r="AT779" s="1">
        <f t="shared" si="344"/>
        <v>0.1</v>
      </c>
      <c r="AU779" s="1">
        <f t="shared" si="345"/>
        <v>0.74</v>
      </c>
      <c r="AV779" s="1">
        <f t="shared" si="346"/>
        <v>0.97</v>
      </c>
      <c r="AX779" s="1">
        <f t="shared" si="347"/>
        <v>7.3999999999999995</v>
      </c>
      <c r="AY779" s="1">
        <f t="shared" si="348"/>
        <v>1.5999999999999999</v>
      </c>
      <c r="AZ779" s="1">
        <f t="shared" si="349"/>
        <v>0.96249999999999991</v>
      </c>
      <c r="BA779" s="1">
        <f t="shared" si="350"/>
        <v>2.3499999999999996</v>
      </c>
      <c r="BB779" s="1">
        <f t="shared" si="351"/>
        <v>0.96249999999999991</v>
      </c>
      <c r="BC779" s="1">
        <f t="shared" si="352"/>
        <v>0.96249999999999991</v>
      </c>
      <c r="BD779" s="1">
        <f t="shared" si="353"/>
        <v>7.5000000000000622E-3</v>
      </c>
      <c r="BF779">
        <f t="shared" si="336"/>
        <v>10</v>
      </c>
      <c r="BG779">
        <f t="shared" si="341"/>
        <v>16</v>
      </c>
      <c r="BH779" s="1">
        <f t="shared" si="337"/>
        <v>7.4</v>
      </c>
      <c r="BI779" s="1">
        <f t="shared" si="338"/>
        <v>1.6</v>
      </c>
      <c r="BJ779" s="1">
        <f t="shared" si="339"/>
        <v>0.73059999999999992</v>
      </c>
      <c r="BK779" s="1">
        <f t="shared" si="340"/>
        <v>3.8108000000000004</v>
      </c>
      <c r="BL779" s="1">
        <f t="shared" si="354"/>
        <v>0.73059999999999992</v>
      </c>
      <c r="BM779" s="1">
        <f t="shared" si="355"/>
        <v>0.73059999999999992</v>
      </c>
      <c r="BN779" s="1">
        <f t="shared" si="356"/>
        <v>5.7312360000000027E-2</v>
      </c>
      <c r="BO779" s="1">
        <f t="shared" si="358"/>
        <v>0.31624772932099543</v>
      </c>
    </row>
    <row r="780" spans="3:67" x14ac:dyDescent="0.25">
      <c r="C780" t="s">
        <v>802</v>
      </c>
      <c r="G780">
        <v>0</v>
      </c>
      <c r="H780">
        <v>10</v>
      </c>
      <c r="I780">
        <v>0</v>
      </c>
      <c r="J780">
        <v>0</v>
      </c>
      <c r="K780">
        <v>0</v>
      </c>
      <c r="L780">
        <v>0</v>
      </c>
      <c r="M780">
        <v>8</v>
      </c>
      <c r="N780">
        <v>0</v>
      </c>
      <c r="O780">
        <v>8</v>
      </c>
      <c r="P780">
        <v>0</v>
      </c>
      <c r="Q780">
        <v>74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70</v>
      </c>
      <c r="AK780" t="s">
        <v>1</v>
      </c>
      <c r="AL780" t="s">
        <v>380</v>
      </c>
      <c r="AQ780" s="1">
        <f t="shared" si="357"/>
        <v>100</v>
      </c>
      <c r="AR780" s="1">
        <f t="shared" si="342"/>
        <v>0.16</v>
      </c>
      <c r="AS780" s="1">
        <f t="shared" si="343"/>
        <v>0</v>
      </c>
      <c r="AT780" s="1">
        <f t="shared" si="344"/>
        <v>0.1</v>
      </c>
      <c r="AU780" s="1">
        <f t="shared" si="345"/>
        <v>0.74</v>
      </c>
      <c r="AV780" s="1">
        <f t="shared" si="346"/>
        <v>0.7</v>
      </c>
      <c r="AX780" s="1">
        <f t="shared" si="347"/>
        <v>7.3999999999999995</v>
      </c>
      <c r="AY780" s="1">
        <f t="shared" si="348"/>
        <v>1.5999999999999999</v>
      </c>
      <c r="AZ780" s="1">
        <f t="shared" si="349"/>
        <v>0.96249999999999991</v>
      </c>
      <c r="BA780" s="1">
        <f t="shared" si="350"/>
        <v>2.3499999999999996</v>
      </c>
      <c r="BB780" s="1">
        <f t="shared" si="351"/>
        <v>0.96249999999999991</v>
      </c>
      <c r="BC780" s="1">
        <f t="shared" si="352"/>
        <v>0.96249999999999991</v>
      </c>
      <c r="BD780" s="1">
        <f t="shared" si="353"/>
        <v>0.26249999999999996</v>
      </c>
      <c r="BF780">
        <f t="shared" si="336"/>
        <v>10</v>
      </c>
      <c r="BG780">
        <f t="shared" si="341"/>
        <v>16</v>
      </c>
      <c r="BH780" s="1">
        <f t="shared" si="337"/>
        <v>7.4</v>
      </c>
      <c r="BI780" s="1">
        <f t="shared" si="338"/>
        <v>1.6</v>
      </c>
      <c r="BJ780" s="1">
        <f t="shared" si="339"/>
        <v>0.73059999999999992</v>
      </c>
      <c r="BK780" s="1">
        <f t="shared" si="340"/>
        <v>3.8108000000000004</v>
      </c>
      <c r="BL780" s="1">
        <f t="shared" si="354"/>
        <v>0.73059999999999992</v>
      </c>
      <c r="BM780" s="1">
        <f t="shared" si="355"/>
        <v>0.73059999999999992</v>
      </c>
      <c r="BN780" s="1">
        <f t="shared" si="356"/>
        <v>9.3635999999999763E-4</v>
      </c>
      <c r="BO780" s="1">
        <f t="shared" si="358"/>
        <v>8.5473828779637939E-2</v>
      </c>
    </row>
    <row r="781" spans="3:67" x14ac:dyDescent="0.25">
      <c r="C781" t="s">
        <v>803</v>
      </c>
      <c r="G781">
        <v>0</v>
      </c>
      <c r="H781">
        <v>10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74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8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8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97</v>
      </c>
      <c r="AK781" t="s">
        <v>1</v>
      </c>
      <c r="AL781" t="s">
        <v>380</v>
      </c>
      <c r="AQ781" s="1">
        <f t="shared" si="357"/>
        <v>100</v>
      </c>
      <c r="AR781" s="1">
        <f t="shared" si="342"/>
        <v>0.08</v>
      </c>
      <c r="AS781" s="1">
        <f t="shared" si="343"/>
        <v>0</v>
      </c>
      <c r="AT781" s="1">
        <f t="shared" si="344"/>
        <v>0.1</v>
      </c>
      <c r="AU781" s="1">
        <f t="shared" si="345"/>
        <v>0.74</v>
      </c>
      <c r="AV781" s="1">
        <f t="shared" si="346"/>
        <v>0.97</v>
      </c>
      <c r="AX781" s="1">
        <f t="shared" si="347"/>
        <v>7.3999999999999995</v>
      </c>
      <c r="AY781" s="1">
        <f t="shared" si="348"/>
        <v>0.79999999999999993</v>
      </c>
      <c r="AZ781" s="1">
        <f t="shared" si="349"/>
        <v>0.96249999999999991</v>
      </c>
      <c r="BA781" s="1">
        <f t="shared" si="350"/>
        <v>2.3499999999999996</v>
      </c>
      <c r="BB781" s="1">
        <f t="shared" si="351"/>
        <v>0.79999999999999993</v>
      </c>
      <c r="BC781" s="1">
        <f t="shared" si="352"/>
        <v>0.79999999999999993</v>
      </c>
      <c r="BD781" s="1">
        <f t="shared" si="353"/>
        <v>0.17000000000000004</v>
      </c>
      <c r="BF781">
        <f t="shared" si="336"/>
        <v>10</v>
      </c>
      <c r="BG781">
        <f t="shared" si="341"/>
        <v>16</v>
      </c>
      <c r="BH781" s="1">
        <f t="shared" si="337"/>
        <v>7.4</v>
      </c>
      <c r="BI781" s="1">
        <f t="shared" si="338"/>
        <v>1.6</v>
      </c>
      <c r="BJ781" s="1">
        <f t="shared" si="339"/>
        <v>0.73059999999999992</v>
      </c>
      <c r="BK781" s="1">
        <f t="shared" si="340"/>
        <v>3.8108000000000004</v>
      </c>
      <c r="BL781" s="1">
        <f t="shared" si="354"/>
        <v>0.73059999999999992</v>
      </c>
      <c r="BM781" s="1">
        <f t="shared" si="355"/>
        <v>0.73059999999999992</v>
      </c>
      <c r="BN781" s="1">
        <f t="shared" si="356"/>
        <v>5.7312360000000027E-2</v>
      </c>
      <c r="BO781" s="1">
        <f t="shared" si="358"/>
        <v>0.31624772932099543</v>
      </c>
    </row>
    <row r="782" spans="3:67" x14ac:dyDescent="0.25">
      <c r="C782" t="s">
        <v>804</v>
      </c>
      <c r="G782">
        <v>7.7</v>
      </c>
      <c r="H782">
        <v>14.9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26.1</v>
      </c>
      <c r="P782">
        <v>0</v>
      </c>
      <c r="Q782">
        <v>51.3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57</v>
      </c>
      <c r="AK782" t="s">
        <v>1</v>
      </c>
      <c r="AL782" t="s">
        <v>380</v>
      </c>
      <c r="AM782" t="s">
        <v>855</v>
      </c>
      <c r="AO782" t="s">
        <v>378</v>
      </c>
      <c r="AP782" t="s">
        <v>856</v>
      </c>
      <c r="AQ782" s="1">
        <f t="shared" si="357"/>
        <v>100</v>
      </c>
      <c r="AR782" s="1">
        <f t="shared" si="342"/>
        <v>0.26100000000000001</v>
      </c>
      <c r="AS782" s="1">
        <f t="shared" si="343"/>
        <v>7.6999999999999999E-2</v>
      </c>
      <c r="AT782" s="1">
        <f t="shared" si="344"/>
        <v>0.14899999999999999</v>
      </c>
      <c r="AU782" s="1">
        <f t="shared" si="345"/>
        <v>0.51300000000000001</v>
      </c>
      <c r="AV782" s="1">
        <f t="shared" si="346"/>
        <v>0.56999999999999995</v>
      </c>
      <c r="AX782" s="1">
        <f t="shared" si="347"/>
        <v>2.2699115044247788</v>
      </c>
      <c r="AY782" s="1">
        <f t="shared" si="348"/>
        <v>1.1548672566371683</v>
      </c>
      <c r="AZ782" s="1">
        <f t="shared" si="349"/>
        <v>0.64186946902654873</v>
      </c>
      <c r="BA782" s="1">
        <f t="shared" si="350"/>
        <v>1.0674778761061947</v>
      </c>
      <c r="BB782" s="1">
        <f t="shared" si="351"/>
        <v>0.62435386002720594</v>
      </c>
      <c r="BC782" s="1">
        <f t="shared" si="352"/>
        <v>0.62435386002720594</v>
      </c>
      <c r="BD782" s="1">
        <f t="shared" si="353"/>
        <v>5.4353860027205991E-2</v>
      </c>
      <c r="BF782">
        <f t="shared" si="336"/>
        <v>45.7</v>
      </c>
      <c r="BG782">
        <f t="shared" si="341"/>
        <v>26.1</v>
      </c>
      <c r="BH782" s="1">
        <f t="shared" si="337"/>
        <v>1.1225382932166301</v>
      </c>
      <c r="BI782" s="1">
        <f t="shared" si="338"/>
        <v>0.57111597374179435</v>
      </c>
      <c r="BJ782" s="1">
        <f t="shared" si="339"/>
        <v>0.61132822757111593</v>
      </c>
      <c r="BK782" s="1">
        <f t="shared" si="340"/>
        <v>0.65951422319474828</v>
      </c>
      <c r="BL782" s="1">
        <f t="shared" si="354"/>
        <v>0.57111597374179435</v>
      </c>
      <c r="BM782" s="1">
        <f t="shared" si="355"/>
        <v>0.57111597374179435</v>
      </c>
      <c r="BN782" s="1">
        <f t="shared" si="356"/>
        <v>1.2453973923745853E-6</v>
      </c>
      <c r="BO782" s="1">
        <f t="shared" si="358"/>
        <v>2.6360469259725097E-2</v>
      </c>
    </row>
    <row r="783" spans="3:67" x14ac:dyDescent="0.25">
      <c r="C783" t="s">
        <v>805</v>
      </c>
      <c r="G783">
        <v>7.7</v>
      </c>
      <c r="H783">
        <v>14.9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7.5</v>
      </c>
      <c r="O783">
        <v>18.7</v>
      </c>
      <c r="P783">
        <v>0</v>
      </c>
      <c r="Q783">
        <v>51.2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37</v>
      </c>
      <c r="AK783" t="s">
        <v>1</v>
      </c>
      <c r="AL783" t="s">
        <v>380</v>
      </c>
      <c r="AQ783" s="1">
        <f t="shared" si="357"/>
        <v>100</v>
      </c>
      <c r="AR783" s="1">
        <f t="shared" si="342"/>
        <v>0.187</v>
      </c>
      <c r="AS783" s="1">
        <f t="shared" si="343"/>
        <v>7.6999999999999999E-2</v>
      </c>
      <c r="AT783" s="1">
        <f t="shared" si="344"/>
        <v>0.14899999999999999</v>
      </c>
      <c r="AU783" s="1">
        <f t="shared" si="345"/>
        <v>0.51200000000000001</v>
      </c>
      <c r="AV783" s="1">
        <f t="shared" si="346"/>
        <v>0.37</v>
      </c>
      <c r="AX783" s="1">
        <f t="shared" si="347"/>
        <v>2.2654867256637172</v>
      </c>
      <c r="AY783" s="1">
        <f t="shared" si="348"/>
        <v>0.82743362831858414</v>
      </c>
      <c r="AZ783" s="1">
        <f t="shared" si="349"/>
        <v>0.6415929203539823</v>
      </c>
      <c r="BA783" s="1">
        <f t="shared" si="350"/>
        <v>1.0663716814159292</v>
      </c>
      <c r="BB783" s="1">
        <f t="shared" si="351"/>
        <v>0.6415929203539823</v>
      </c>
      <c r="BC783" s="1">
        <f t="shared" si="352"/>
        <v>0.6415929203539823</v>
      </c>
      <c r="BD783" s="1">
        <f t="shared" si="353"/>
        <v>0.2715929203539823</v>
      </c>
      <c r="BF783">
        <f t="shared" si="336"/>
        <v>45.7</v>
      </c>
      <c r="BG783">
        <f t="shared" si="341"/>
        <v>22.45</v>
      </c>
      <c r="BH783" s="1">
        <f t="shared" si="337"/>
        <v>1.1203501094091903</v>
      </c>
      <c r="BI783" s="1">
        <f t="shared" si="338"/>
        <v>0.49124726477024067</v>
      </c>
      <c r="BJ783" s="1">
        <f t="shared" si="339"/>
        <v>0.61128665207877453</v>
      </c>
      <c r="BK783" s="1">
        <f t="shared" si="340"/>
        <v>0.65841575492341353</v>
      </c>
      <c r="BL783" s="1">
        <f t="shared" si="354"/>
        <v>0.49124726477024067</v>
      </c>
      <c r="BM783" s="1">
        <f t="shared" si="355"/>
        <v>0.49124726477024067</v>
      </c>
      <c r="BN783" s="1">
        <f t="shared" si="356"/>
        <v>1.4700899214264844E-2</v>
      </c>
      <c r="BO783" s="1">
        <f t="shared" si="358"/>
        <v>1.4168392290899454E-3</v>
      </c>
    </row>
    <row r="784" spans="3:67" x14ac:dyDescent="0.25">
      <c r="C784" t="s">
        <v>806</v>
      </c>
      <c r="G784">
        <v>7.7</v>
      </c>
      <c r="H784">
        <v>14.9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13.1</v>
      </c>
      <c r="O784">
        <v>13.1</v>
      </c>
      <c r="P784">
        <v>0</v>
      </c>
      <c r="Q784">
        <v>51.2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24</v>
      </c>
      <c r="AK784" t="s">
        <v>1</v>
      </c>
      <c r="AL784" t="s">
        <v>380</v>
      </c>
      <c r="AQ784" s="1">
        <f t="shared" si="357"/>
        <v>100</v>
      </c>
      <c r="AR784" s="1">
        <f t="shared" si="342"/>
        <v>0.13100000000000001</v>
      </c>
      <c r="AS784" s="1">
        <f t="shared" si="343"/>
        <v>7.6999999999999999E-2</v>
      </c>
      <c r="AT784" s="1">
        <f t="shared" si="344"/>
        <v>0.14899999999999999</v>
      </c>
      <c r="AU784" s="1">
        <f t="shared" si="345"/>
        <v>0.51200000000000001</v>
      </c>
      <c r="AV784" s="1">
        <f t="shared" si="346"/>
        <v>0.24</v>
      </c>
      <c r="AX784" s="1">
        <f t="shared" si="347"/>
        <v>2.2654867256637172</v>
      </c>
      <c r="AY784" s="1">
        <f t="shared" si="348"/>
        <v>0.57964601769911517</v>
      </c>
      <c r="AZ784" s="1">
        <f t="shared" si="349"/>
        <v>0.6415929203539823</v>
      </c>
      <c r="BA784" s="1">
        <f t="shared" si="350"/>
        <v>1.0663716814159292</v>
      </c>
      <c r="BB784" s="1">
        <f t="shared" si="351"/>
        <v>0.57964601769911517</v>
      </c>
      <c r="BC784" s="1">
        <f t="shared" si="352"/>
        <v>0.57964601769911517</v>
      </c>
      <c r="BD784" s="1">
        <f t="shared" si="353"/>
        <v>0.33964601769911518</v>
      </c>
      <c r="BF784">
        <f t="shared" si="336"/>
        <v>45.7</v>
      </c>
      <c r="BG784">
        <f t="shared" si="341"/>
        <v>19.649999999999999</v>
      </c>
      <c r="BH784" s="1">
        <f t="shared" si="337"/>
        <v>1.1203501094091903</v>
      </c>
      <c r="BI784" s="1">
        <f t="shared" si="338"/>
        <v>0.42997811816192555</v>
      </c>
      <c r="BJ784" s="1">
        <f t="shared" si="339"/>
        <v>0.61128665207877453</v>
      </c>
      <c r="BK784" s="1">
        <f t="shared" si="340"/>
        <v>0.65841575492341353</v>
      </c>
      <c r="BL784" s="1">
        <f t="shared" si="354"/>
        <v>0.42997811816192555</v>
      </c>
      <c r="BM784" s="1">
        <f t="shared" si="355"/>
        <v>0.42997811816192555</v>
      </c>
      <c r="BN784" s="1">
        <f t="shared" si="356"/>
        <v>3.6091685380346551E-2</v>
      </c>
      <c r="BO784" s="1">
        <f t="shared" si="358"/>
        <v>2.8103479709177089E-2</v>
      </c>
    </row>
    <row r="785" spans="1:67" x14ac:dyDescent="0.25">
      <c r="C785" t="s">
        <v>807</v>
      </c>
      <c r="G785">
        <v>7.7</v>
      </c>
      <c r="H785">
        <v>14.9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18.7</v>
      </c>
      <c r="O785">
        <v>7.5</v>
      </c>
      <c r="P785">
        <v>0</v>
      </c>
      <c r="Q785">
        <v>51.2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7</v>
      </c>
      <c r="AK785" t="s">
        <v>1</v>
      </c>
      <c r="AL785" t="s">
        <v>380</v>
      </c>
      <c r="AQ785" s="1">
        <f t="shared" si="357"/>
        <v>100</v>
      </c>
      <c r="AR785" s="1">
        <f t="shared" si="342"/>
        <v>7.4999999999999997E-2</v>
      </c>
      <c r="AS785" s="1">
        <f t="shared" si="343"/>
        <v>7.6999999999999999E-2</v>
      </c>
      <c r="AT785" s="1">
        <f t="shared" si="344"/>
        <v>0.14899999999999999</v>
      </c>
      <c r="AU785" s="1">
        <f t="shared" si="345"/>
        <v>0.51200000000000001</v>
      </c>
      <c r="AV785" s="1">
        <f t="shared" si="346"/>
        <v>7.0000000000000007E-2</v>
      </c>
      <c r="AX785" s="1">
        <f t="shared" si="347"/>
        <v>2.2654867256637172</v>
      </c>
      <c r="AY785" s="1">
        <f t="shared" si="348"/>
        <v>0.33185840707964603</v>
      </c>
      <c r="AZ785" s="1">
        <f t="shared" si="349"/>
        <v>0.6415929203539823</v>
      </c>
      <c r="BA785" s="1">
        <f t="shared" si="350"/>
        <v>1.0663716814159292</v>
      </c>
      <c r="BB785" s="1">
        <f t="shared" si="351"/>
        <v>0.33185840707964603</v>
      </c>
      <c r="BC785" s="1">
        <f t="shared" si="352"/>
        <v>0.33185840707964603</v>
      </c>
      <c r="BD785" s="1">
        <f t="shared" si="353"/>
        <v>0.26185840707964603</v>
      </c>
      <c r="BF785">
        <f t="shared" si="336"/>
        <v>45.7</v>
      </c>
      <c r="BG785">
        <f t="shared" si="341"/>
        <v>16.850000000000001</v>
      </c>
      <c r="BH785" s="1">
        <f t="shared" si="337"/>
        <v>1.1203501094091903</v>
      </c>
      <c r="BI785" s="1">
        <f t="shared" si="338"/>
        <v>0.36870897155361049</v>
      </c>
      <c r="BJ785" s="1">
        <f t="shared" si="339"/>
        <v>0.61128665207877453</v>
      </c>
      <c r="BK785" s="1">
        <f t="shared" si="340"/>
        <v>0.65841575492341353</v>
      </c>
      <c r="BL785" s="1">
        <f t="shared" si="354"/>
        <v>0.36870897155361049</v>
      </c>
      <c r="BM785" s="1">
        <f t="shared" si="355"/>
        <v>0.36870897155361049</v>
      </c>
      <c r="BN785" s="1">
        <f t="shared" si="356"/>
        <v>8.922704968661567E-2</v>
      </c>
      <c r="BO785" s="1">
        <f t="shared" si="358"/>
        <v>0.11400139418313719</v>
      </c>
    </row>
    <row r="786" spans="1:67" x14ac:dyDescent="0.25">
      <c r="C786" t="s">
        <v>808</v>
      </c>
      <c r="G786">
        <v>12.4</v>
      </c>
      <c r="H786">
        <v>24.2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12.1</v>
      </c>
      <c r="O786">
        <v>0</v>
      </c>
      <c r="P786">
        <v>0</v>
      </c>
      <c r="Q786">
        <v>51.3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2</v>
      </c>
      <c r="AK786" t="s">
        <v>1</v>
      </c>
      <c r="AL786" t="s">
        <v>380</v>
      </c>
      <c r="AQ786" s="1">
        <f t="shared" si="357"/>
        <v>100</v>
      </c>
      <c r="AR786" s="1">
        <f t="shared" si="342"/>
        <v>0</v>
      </c>
      <c r="AS786" s="1">
        <f t="shared" si="343"/>
        <v>0.124</v>
      </c>
      <c r="AT786" s="1">
        <f t="shared" si="344"/>
        <v>0.24199999999999999</v>
      </c>
      <c r="AU786" s="1">
        <f t="shared" si="345"/>
        <v>0.51300000000000001</v>
      </c>
      <c r="AV786" s="1">
        <f t="shared" si="346"/>
        <v>0.02</v>
      </c>
      <c r="AX786" s="1">
        <f t="shared" si="347"/>
        <v>1.4016393442622952</v>
      </c>
      <c r="AY786" s="1">
        <f t="shared" si="348"/>
        <v>0</v>
      </c>
      <c r="AZ786" s="1">
        <f t="shared" si="349"/>
        <v>0.58760245901639341</v>
      </c>
      <c r="BA786" s="1">
        <f t="shared" si="350"/>
        <v>0.85040983606557385</v>
      </c>
      <c r="BB786" s="1">
        <f t="shared" si="351"/>
        <v>0</v>
      </c>
      <c r="BC786" s="1">
        <f t="shared" si="352"/>
        <v>0</v>
      </c>
      <c r="BD786" s="1">
        <f t="shared" si="353"/>
        <v>0.02</v>
      </c>
      <c r="BF786">
        <f t="shared" si="336"/>
        <v>73.8</v>
      </c>
      <c r="BG786">
        <f t="shared" si="341"/>
        <v>6.05</v>
      </c>
      <c r="BH786" s="1">
        <f t="shared" si="337"/>
        <v>0.69512195121951215</v>
      </c>
      <c r="BI786" s="1">
        <f t="shared" si="338"/>
        <v>8.1978319783197834E-2</v>
      </c>
      <c r="BJ786" s="1">
        <f t="shared" si="339"/>
        <v>0.60320731707317066</v>
      </c>
      <c r="BK786" s="1">
        <f t="shared" si="340"/>
        <v>0.44495121951219507</v>
      </c>
      <c r="BL786" s="1">
        <f t="shared" si="354"/>
        <v>8.1978319783197834E-2</v>
      </c>
      <c r="BM786" s="1">
        <f t="shared" si="355"/>
        <v>8.1978319783197834E-2</v>
      </c>
      <c r="BN786" s="1">
        <f t="shared" si="356"/>
        <v>3.8413121231483313E-3</v>
      </c>
      <c r="BO786" s="1">
        <f t="shared" si="358"/>
        <v>0.1502654866754784</v>
      </c>
    </row>
    <row r="787" spans="1:67" x14ac:dyDescent="0.25">
      <c r="C787" t="s">
        <v>809</v>
      </c>
      <c r="G787">
        <v>7.7</v>
      </c>
      <c r="H787">
        <v>14.9</v>
      </c>
      <c r="I787">
        <v>7.5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18.7</v>
      </c>
      <c r="P787">
        <v>0</v>
      </c>
      <c r="Q787">
        <v>51.2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46</v>
      </c>
      <c r="AK787" t="s">
        <v>1</v>
      </c>
      <c r="AL787" t="s">
        <v>380</v>
      </c>
      <c r="AQ787" s="1">
        <f t="shared" si="357"/>
        <v>100</v>
      </c>
      <c r="AR787" s="1">
        <f t="shared" si="342"/>
        <v>0.187</v>
      </c>
      <c r="AS787" s="1">
        <f t="shared" si="343"/>
        <v>7.6999999999999999E-2</v>
      </c>
      <c r="AT787" s="1">
        <f t="shared" si="344"/>
        <v>0.14899999999999999</v>
      </c>
      <c r="AU787" s="1">
        <f t="shared" si="345"/>
        <v>0.51200000000000001</v>
      </c>
      <c r="AV787" s="1">
        <f t="shared" si="346"/>
        <v>0.46</v>
      </c>
      <c r="AX787" s="1">
        <f t="shared" si="347"/>
        <v>2.2654867256637172</v>
      </c>
      <c r="AY787" s="1">
        <f t="shared" si="348"/>
        <v>0.82743362831858414</v>
      </c>
      <c r="AZ787" s="1">
        <f t="shared" si="349"/>
        <v>0.6415929203539823</v>
      </c>
      <c r="BA787" s="1">
        <f t="shared" si="350"/>
        <v>1.0663716814159292</v>
      </c>
      <c r="BB787" s="1">
        <f t="shared" si="351"/>
        <v>0.6415929203539823</v>
      </c>
      <c r="BC787" s="1">
        <f t="shared" si="352"/>
        <v>0.6415929203539823</v>
      </c>
      <c r="BD787" s="1">
        <f t="shared" si="353"/>
        <v>0.18159292035398228</v>
      </c>
      <c r="BF787">
        <f t="shared" si="336"/>
        <v>45.7</v>
      </c>
      <c r="BG787">
        <f t="shared" si="341"/>
        <v>22.45</v>
      </c>
      <c r="BH787" s="1">
        <f t="shared" si="337"/>
        <v>1.1203501094091903</v>
      </c>
      <c r="BI787" s="1">
        <f t="shared" si="338"/>
        <v>0.49124726477024067</v>
      </c>
      <c r="BJ787" s="1">
        <f t="shared" si="339"/>
        <v>0.61128665207877453</v>
      </c>
      <c r="BK787" s="1">
        <f t="shared" si="340"/>
        <v>0.65841575492341353</v>
      </c>
      <c r="BL787" s="1">
        <f t="shared" si="354"/>
        <v>0.49124726477024067</v>
      </c>
      <c r="BM787" s="1">
        <f t="shared" si="355"/>
        <v>0.49124726477024067</v>
      </c>
      <c r="BN787" s="1">
        <f t="shared" si="356"/>
        <v>9.7639155562152216E-4</v>
      </c>
      <c r="BO787" s="1">
        <f t="shared" si="358"/>
        <v>2.7414727428757718E-3</v>
      </c>
    </row>
    <row r="788" spans="1:67" x14ac:dyDescent="0.25">
      <c r="AR788" s="1">
        <f t="shared" si="342"/>
        <v>0</v>
      </c>
      <c r="AS788" s="1">
        <f t="shared" si="343"/>
        <v>0</v>
      </c>
      <c r="AT788" s="1">
        <f t="shared" si="344"/>
        <v>0</v>
      </c>
      <c r="AU788" s="1">
        <f t="shared" si="345"/>
        <v>0</v>
      </c>
      <c r="AV788" s="1">
        <f t="shared" si="346"/>
        <v>0</v>
      </c>
    </row>
    <row r="789" spans="1:67" x14ac:dyDescent="0.25">
      <c r="G789">
        <v>6.1611304951871659</v>
      </c>
      <c r="H789">
        <v>6.449689303028368</v>
      </c>
      <c r="I789">
        <v>1.5430771245394286</v>
      </c>
      <c r="J789">
        <v>0.34517902210129919</v>
      </c>
      <c r="K789">
        <v>0.43946894149827437</v>
      </c>
      <c r="L789">
        <v>1.2440740405738484</v>
      </c>
      <c r="M789">
        <v>0</v>
      </c>
      <c r="N789">
        <v>1.8933833616939071</v>
      </c>
      <c r="O789">
        <v>25.834019396088852</v>
      </c>
      <c r="P789">
        <v>0.27840569066501664</v>
      </c>
      <c r="Q789">
        <v>45.110937568005824</v>
      </c>
      <c r="R789">
        <v>0.73189966663787487</v>
      </c>
      <c r="S789">
        <v>0</v>
      </c>
      <c r="T789">
        <v>4.0355559536552095</v>
      </c>
      <c r="U789">
        <v>0.8792080440578085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 s="24">
        <v>69.5</v>
      </c>
      <c r="AQ789" s="1">
        <f t="shared" si="357"/>
        <v>94.94602860773287</v>
      </c>
      <c r="AR789" s="1">
        <f t="shared" si="342"/>
        <v>0.27078093436662704</v>
      </c>
      <c r="AS789" s="1">
        <f t="shared" si="343"/>
        <v>6.1611304951871657E-2</v>
      </c>
      <c r="AT789" s="1">
        <f t="shared" si="344"/>
        <v>6.4496893030283678E-2</v>
      </c>
      <c r="AU789" s="1">
        <f t="shared" si="345"/>
        <v>0.45110937568005821</v>
      </c>
      <c r="AV789" s="1">
        <f t="shared" si="346"/>
        <v>0.69499999999999995</v>
      </c>
      <c r="BF789">
        <f t="shared" si="336"/>
        <v>34.271898421517271</v>
      </c>
      <c r="BG789">
        <f t="shared" si="341"/>
        <v>30.814101656606976</v>
      </c>
      <c r="BH789" s="1">
        <f t="shared" ref="BH789:BH793" si="359">(Q789)/BF789</f>
        <v>1.3162660852100148</v>
      </c>
      <c r="BI789" s="1">
        <f t="shared" ref="BI789:BI793" si="360">BG789/BF789</f>
        <v>0.89910693821561538</v>
      </c>
      <c r="BJ789" s="1">
        <f t="shared" ref="BJ789:BJ793" si="361">$BR$32+BH789*$BR$33</f>
        <v>0.61500905561899022</v>
      </c>
      <c r="BK789" s="1">
        <f t="shared" ref="BK789:BK793" si="362">$BR$34+BH789*$BR$35</f>
        <v>0.75676557477542739</v>
      </c>
      <c r="BL789" s="1">
        <f t="shared" ref="BL789:BL793" si="363">IF(BI789&lt;=BJ789,BI789,IF(BI789&lt;=BK789,BJ789,BJ789-(BI789-BK789)*(8+BH789)/(12*(2+BH789))))</f>
        <v>0.58168618629681001</v>
      </c>
      <c r="BM789" s="1">
        <f t="shared" si="355"/>
        <v>0.58168618629681001</v>
      </c>
    </row>
    <row r="790" spans="1:67" x14ac:dyDescent="0.25">
      <c r="G790">
        <v>7.4275810865367937</v>
      </c>
      <c r="H790">
        <v>15.424380120222281</v>
      </c>
      <c r="I790">
        <v>2.1208566501992685</v>
      </c>
      <c r="J790">
        <v>0.22035753411968254</v>
      </c>
      <c r="K790">
        <v>0.2782162384396919</v>
      </c>
      <c r="L790">
        <v>0.7909015632355626</v>
      </c>
      <c r="M790">
        <v>0</v>
      </c>
      <c r="N790">
        <v>1.2040846983184881</v>
      </c>
      <c r="O790">
        <v>20.170468208700594</v>
      </c>
      <c r="P790">
        <v>0.17816811839601152</v>
      </c>
      <c r="Q790">
        <v>44.150829988485654</v>
      </c>
      <c r="R790">
        <v>0.46956307988314389</v>
      </c>
      <c r="S790">
        <v>0</v>
      </c>
      <c r="T790">
        <v>2.5617357512403962</v>
      </c>
      <c r="U790">
        <v>2.5683468532830651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 s="24">
        <v>69.7</v>
      </c>
      <c r="AQ790" s="1">
        <f t="shared" si="357"/>
        <v>97.565489891060622</v>
      </c>
      <c r="AR790" s="1">
        <f t="shared" si="342"/>
        <v>0.20961369771936156</v>
      </c>
      <c r="AS790" s="1">
        <f t="shared" si="343"/>
        <v>7.4275810865367942E-2</v>
      </c>
      <c r="AT790" s="1">
        <f t="shared" si="344"/>
        <v>0.15424380120222281</v>
      </c>
      <c r="AU790" s="1">
        <f t="shared" si="345"/>
        <v>0.44150829988485651</v>
      </c>
      <c r="AV790" s="1">
        <f t="shared" si="346"/>
        <v>0.69700000000000006</v>
      </c>
      <c r="BF790">
        <f t="shared" si="336"/>
        <v>53.184820243215547</v>
      </c>
      <c r="BG790">
        <f t="shared" si="341"/>
        <v>23.904708321815235</v>
      </c>
      <c r="BH790" s="1">
        <f t="shared" si="359"/>
        <v>0.83013968622217349</v>
      </c>
      <c r="BI790" s="1">
        <f t="shared" si="360"/>
        <v>0.44946487009824215</v>
      </c>
      <c r="BJ790" s="1">
        <f t="shared" si="361"/>
        <v>0.60577265403822123</v>
      </c>
      <c r="BK790" s="1">
        <f t="shared" si="362"/>
        <v>0.51273012248353111</v>
      </c>
      <c r="BL790" s="1">
        <f t="shared" si="363"/>
        <v>0.44946487009824215</v>
      </c>
      <c r="BM790" s="1">
        <f t="shared" si="355"/>
        <v>0.44946487009824215</v>
      </c>
    </row>
    <row r="791" spans="1:67" x14ac:dyDescent="0.25">
      <c r="G791">
        <v>7.5120489436544826</v>
      </c>
      <c r="H791">
        <v>9.6100671956990311</v>
      </c>
      <c r="I791">
        <v>8.0056464469594353</v>
      </c>
      <c r="J791">
        <v>0.36755168805402522</v>
      </c>
      <c r="K791">
        <v>0.46784350239385297</v>
      </c>
      <c r="L791">
        <v>1.3218317214662842</v>
      </c>
      <c r="M791">
        <v>0</v>
      </c>
      <c r="N791">
        <v>2.0206568361019763</v>
      </c>
      <c r="O791">
        <v>18.135404662411553</v>
      </c>
      <c r="P791">
        <v>0.29635809352333453</v>
      </c>
      <c r="Q791">
        <v>42.568400470886544</v>
      </c>
      <c r="R791">
        <v>0.78184867964415405</v>
      </c>
      <c r="S791">
        <v>0</v>
      </c>
      <c r="T791">
        <v>4.2925004887802158</v>
      </c>
      <c r="U791">
        <v>0.89036646323725988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s="24">
        <v>57.2</v>
      </c>
      <c r="AQ791" s="1">
        <f t="shared" si="357"/>
        <v>96.270525192812158</v>
      </c>
      <c r="AR791" s="1">
        <f t="shared" si="342"/>
        <v>0.19457236383877838</v>
      </c>
      <c r="AS791" s="1">
        <f t="shared" si="343"/>
        <v>7.5120489436544827E-2</v>
      </c>
      <c r="AT791" s="1">
        <f t="shared" si="344"/>
        <v>9.6100671956990305E-2</v>
      </c>
      <c r="AU791" s="1">
        <f t="shared" si="345"/>
        <v>0.42568400470886547</v>
      </c>
      <c r="AV791" s="1">
        <f t="shared" si="346"/>
        <v>0.57200000000000006</v>
      </c>
      <c r="BF791">
        <f t="shared" si="336"/>
        <v>42.9043647135491</v>
      </c>
      <c r="BG791">
        <f t="shared" si="341"/>
        <v>26.616638269798653</v>
      </c>
      <c r="BH791" s="1">
        <f t="shared" si="359"/>
        <v>0.9921694623634304</v>
      </c>
      <c r="BI791" s="1">
        <f t="shared" si="360"/>
        <v>0.62037134094641844</v>
      </c>
      <c r="BJ791" s="1">
        <f t="shared" si="361"/>
        <v>0.6088512197849052</v>
      </c>
      <c r="BK791" s="1">
        <f t="shared" si="362"/>
        <v>0.59406907010644205</v>
      </c>
      <c r="BL791" s="1">
        <f t="shared" si="363"/>
        <v>0.60226417985693625</v>
      </c>
      <c r="BM791" s="1">
        <f t="shared" si="355"/>
        <v>0.60226417985693625</v>
      </c>
    </row>
    <row r="792" spans="1:67" x14ac:dyDescent="0.25">
      <c r="G792">
        <v>5.7543129700832738</v>
      </c>
      <c r="H792">
        <v>13.523105210758251</v>
      </c>
      <c r="I792">
        <v>3.1328611200125311</v>
      </c>
      <c r="J792">
        <v>0.29999811171366003</v>
      </c>
      <c r="K792">
        <v>0.3821099043865952</v>
      </c>
      <c r="L792">
        <v>1.0819752054300293</v>
      </c>
      <c r="M792">
        <v>0</v>
      </c>
      <c r="N792">
        <v>1.6470685244117349</v>
      </c>
      <c r="O792">
        <v>19.235869196886572</v>
      </c>
      <c r="P792">
        <v>0.24328385177336273</v>
      </c>
      <c r="Q792">
        <v>46.326100771467111</v>
      </c>
      <c r="R792">
        <v>0.6365355005715011</v>
      </c>
      <c r="S792">
        <v>0</v>
      </c>
      <c r="T792">
        <v>3.5018795542584074</v>
      </c>
      <c r="U792">
        <v>0.58772507978814115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 s="24">
        <v>69.400000000000006</v>
      </c>
      <c r="AQ792" s="1">
        <f t="shared" si="357"/>
        <v>96.352825001541163</v>
      </c>
      <c r="AR792" s="1">
        <f t="shared" si="342"/>
        <v>0.20317844402316601</v>
      </c>
      <c r="AS792" s="1">
        <f t="shared" si="343"/>
        <v>5.7543129700832737E-2</v>
      </c>
      <c r="AT792" s="1">
        <f t="shared" si="344"/>
        <v>0.13523105210758252</v>
      </c>
      <c r="AU792" s="1">
        <f t="shared" si="345"/>
        <v>0.4632610077146711</v>
      </c>
      <c r="AV792" s="1">
        <f t="shared" si="346"/>
        <v>0.69400000000000006</v>
      </c>
      <c r="BF792">
        <f t="shared" si="336"/>
        <v>38.773829138410782</v>
      </c>
      <c r="BG792">
        <f t="shared" si="341"/>
        <v>24.458749001657939</v>
      </c>
      <c r="BH792" s="1">
        <f t="shared" si="359"/>
        <v>1.1947775548836566</v>
      </c>
      <c r="BI792" s="1">
        <f t="shared" si="360"/>
        <v>0.6308056115465831</v>
      </c>
      <c r="BJ792" s="1">
        <f t="shared" si="361"/>
        <v>0.6127007735427894</v>
      </c>
      <c r="BK792" s="1">
        <f t="shared" si="362"/>
        <v>0.6957783325515956</v>
      </c>
      <c r="BL792" s="1">
        <f t="shared" si="363"/>
        <v>0.6127007735427894</v>
      </c>
      <c r="BM792" s="1">
        <f t="shared" si="355"/>
        <v>0.6127007735427894</v>
      </c>
    </row>
    <row r="793" spans="1:67" x14ac:dyDescent="0.25">
      <c r="G793">
        <v>4.6586619763205208</v>
      </c>
      <c r="H793">
        <v>11.233480449823881</v>
      </c>
      <c r="I793">
        <v>3.8793022439691045</v>
      </c>
      <c r="J793">
        <v>0.38952446793249162</v>
      </c>
      <c r="K793">
        <v>0.49144897908598867</v>
      </c>
      <c r="L793">
        <v>1.3885259637339264</v>
      </c>
      <c r="M793">
        <v>0</v>
      </c>
      <c r="N793">
        <v>2.1179945672341849</v>
      </c>
      <c r="O793">
        <v>17.671642682192338</v>
      </c>
      <c r="P793">
        <v>0.31039356672795565</v>
      </c>
      <c r="Q793">
        <v>44.685261577324169</v>
      </c>
      <c r="R793">
        <v>0.81688199964861286</v>
      </c>
      <c r="S793">
        <v>0</v>
      </c>
      <c r="T793">
        <v>4.5003945513518291</v>
      </c>
      <c r="U793">
        <v>2.6929245756028766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 s="24">
        <v>56.7</v>
      </c>
      <c r="AQ793" s="1">
        <f t="shared" si="357"/>
        <v>94.836437600947875</v>
      </c>
      <c r="AR793" s="1">
        <f t="shared" si="342"/>
        <v>0.19060168645926265</v>
      </c>
      <c r="AS793" s="1">
        <f t="shared" si="343"/>
        <v>4.658661976320521E-2</v>
      </c>
      <c r="AT793" s="1">
        <f t="shared" si="344"/>
        <v>0.11233480449823881</v>
      </c>
      <c r="AU793" s="1">
        <f t="shared" si="345"/>
        <v>0.4468526157732417</v>
      </c>
      <c r="AV793" s="1">
        <f t="shared" si="346"/>
        <v>0.56700000000000006</v>
      </c>
      <c r="BF793">
        <f t="shared" si="336"/>
        <v>38.553702046556651</v>
      </c>
      <c r="BG793">
        <f t="shared" si="341"/>
        <v>24.309014327203826</v>
      </c>
      <c r="BH793" s="1">
        <f t="shared" si="359"/>
        <v>1.1590394490096743</v>
      </c>
      <c r="BI793" s="1">
        <f t="shared" si="360"/>
        <v>0.63052347859743185</v>
      </c>
      <c r="BJ793" s="1">
        <f t="shared" si="361"/>
        <v>0.61202174953118382</v>
      </c>
      <c r="BK793" s="1">
        <f t="shared" si="362"/>
        <v>0.67783780340285649</v>
      </c>
      <c r="BL793" s="1">
        <f t="shared" si="363"/>
        <v>0.61202174953118382</v>
      </c>
      <c r="BM793" s="1">
        <f t="shared" si="355"/>
        <v>0.61202174953118382</v>
      </c>
    </row>
    <row r="795" spans="1:67" x14ac:dyDescent="0.25">
      <c r="C795" t="s">
        <v>810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9.6999999999999993</v>
      </c>
      <c r="O795">
        <v>24.2</v>
      </c>
      <c r="P795">
        <v>0</v>
      </c>
      <c r="Q795">
        <v>66.099999999999994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 t="s">
        <v>1</v>
      </c>
      <c r="AL795" t="s">
        <v>380</v>
      </c>
      <c r="AQ795" s="1">
        <f>SUM(G795:AF795)</f>
        <v>100</v>
      </c>
      <c r="AR795" s="1">
        <f>(L795+M795+O795+X795)/100</f>
        <v>0.24199999999999999</v>
      </c>
      <c r="AS795" s="1">
        <f t="shared" ref="AS795:AS832" si="364">G795/100</f>
        <v>0</v>
      </c>
      <c r="AT795" s="1">
        <f t="shared" ref="AT795:AT832" si="365">H795/100</f>
        <v>0</v>
      </c>
      <c r="AU795" s="1">
        <f>Q795/100</f>
        <v>0.66099999999999992</v>
      </c>
      <c r="AV795" s="1">
        <f>AJ795/100</f>
        <v>0</v>
      </c>
      <c r="AX795" s="1" t="e">
        <f>AU795/(AT795+AS795)</f>
        <v>#DIV/0!</v>
      </c>
      <c r="AY795" s="1" t="e">
        <f>AR795/(AS795+AT795)</f>
        <v>#DIV/0!</v>
      </c>
      <c r="AZ795" s="1" t="e">
        <f>0.5+AX795/16</f>
        <v>#DIV/0!</v>
      </c>
      <c r="BA795" s="1" t="e">
        <f>0.5+AX795/4</f>
        <v>#DIV/0!</v>
      </c>
      <c r="BB795" s="1" t="e">
        <f>IF(AY795&lt;=AZ795,AY795,IF(AY795&lt;=BA795,AZ795,AZ795-(AY795-BA795)*(8+AX795)/(12*(2+AX795))))</f>
        <v>#DIV/0!</v>
      </c>
      <c r="BC795" s="1" t="e">
        <f>IF(BB795&lt;1,BB795,1)</f>
        <v>#DIV/0!</v>
      </c>
      <c r="BD795" s="1" t="e">
        <f>ABS(BC795-AV795)</f>
        <v>#DIV/0!</v>
      </c>
      <c r="BH795" s="1" t="e">
        <f>(Q795)/($BR$3*H795+$BR$4*G795+$BR$5*P795+$BR$6*K795+$BR$7*S795+$BR$8*U795+$BR$9*Y795)</f>
        <v>#DIV/0!</v>
      </c>
      <c r="BI795" s="1" t="e">
        <f>(O795+$BR$17*M795+$BR$18*L795+$BR$19*X795+$BR$20*AD795+$BR$21*I795+$BR$22*N795+$BR$23*AB795+$BR$24*V795+$BR$25*T795+$BR$26*AA795+$BR$28*Z795+$BR$29*AF795+$BR$30*W795)/($BR$3*$H795+$BR$4*$G795+$BR$5*$P795+$BR$6*$K795+$BR$7*$S795+$BR$8*$U795+$BR$9*$Y795)</f>
        <v>#DIV/0!</v>
      </c>
      <c r="BJ795" s="1" t="e">
        <f t="shared" ref="BJ795:BJ832" si="366">$BR$32+BH795*$BR$33</f>
        <v>#DIV/0!</v>
      </c>
      <c r="BK795" s="1" t="e">
        <f t="shared" ref="BK795:BK832" si="367">$BR$34+BH795*$BR$35</f>
        <v>#DIV/0!</v>
      </c>
      <c r="BL795" s="1" t="e">
        <f>IF(BI795&lt;=BJ795,BI795,IF(BI795&lt;=BK795,BJ795,BJ795-(BI795-BK795)*(8+BH795)/(12*(2+BH795))))</f>
        <v>#DIV/0!</v>
      </c>
      <c r="BM795" s="1" t="e">
        <f>IF(BL795&lt;1,IF(BL795&gt;0,BL795,0),1)</f>
        <v>#DIV/0!</v>
      </c>
      <c r="BN795" s="1" t="e">
        <f>(BM795-AV795)^2</f>
        <v>#DIV/0!</v>
      </c>
      <c r="BO795" s="1">
        <f t="shared" ref="BO795:BO832" si="368">(AV795-AVERAGE($AV$2:$AV$638))^2</f>
        <v>0.16617112367241488</v>
      </c>
    </row>
    <row r="796" spans="1:67" x14ac:dyDescent="0.25">
      <c r="C796" t="s">
        <v>726</v>
      </c>
      <c r="G796">
        <v>14.318373933221279</v>
      </c>
      <c r="H796">
        <v>0</v>
      </c>
      <c r="I796">
        <v>6.9265923007507793</v>
      </c>
      <c r="J796">
        <v>0</v>
      </c>
      <c r="K796">
        <v>0</v>
      </c>
      <c r="L796">
        <v>0</v>
      </c>
      <c r="M796">
        <v>0</v>
      </c>
      <c r="N796">
        <v>7.809551834126359</v>
      </c>
      <c r="O796">
        <v>0</v>
      </c>
      <c r="P796">
        <v>0</v>
      </c>
      <c r="Q796">
        <v>64.87057977080994</v>
      </c>
      <c r="R796">
        <v>0</v>
      </c>
      <c r="S796">
        <v>0</v>
      </c>
      <c r="T796">
        <v>0.69949236878831589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5.1704139871717736</v>
      </c>
      <c r="AC796">
        <v>0</v>
      </c>
      <c r="AD796">
        <v>0</v>
      </c>
      <c r="AE796">
        <v>0</v>
      </c>
      <c r="AF796">
        <v>0</v>
      </c>
      <c r="AG796">
        <v>8.8872579952588515E-2</v>
      </c>
      <c r="AH796">
        <v>0.1161232251789539</v>
      </c>
      <c r="AI796">
        <v>0</v>
      </c>
      <c r="AJ796">
        <v>0</v>
      </c>
      <c r="AK796" t="s">
        <v>1</v>
      </c>
      <c r="AL796" t="s">
        <v>374</v>
      </c>
      <c r="AM796" t="s">
        <v>842</v>
      </c>
      <c r="AO796" t="s">
        <v>378</v>
      </c>
      <c r="AQ796" s="1">
        <f>SUM(G796:AF796)</f>
        <v>99.79500419486844</v>
      </c>
      <c r="AR796" s="1">
        <f>(L796+M796+O796+X796)/100</f>
        <v>0</v>
      </c>
      <c r="AS796" s="1">
        <f t="shared" si="364"/>
        <v>0.14318373933221279</v>
      </c>
      <c r="AT796" s="1">
        <f t="shared" si="365"/>
        <v>0</v>
      </c>
      <c r="AU796" s="1">
        <f>Q796/100</f>
        <v>0.64870579770809944</v>
      </c>
      <c r="AV796" s="1">
        <f>AJ796/100</f>
        <v>0</v>
      </c>
      <c r="AX796" s="1">
        <f>AU796/(AT796+AS796)</f>
        <v>4.5305828771728178</v>
      </c>
      <c r="AY796" s="1">
        <f>AR796/(AS796+AT796)</f>
        <v>0</v>
      </c>
      <c r="AZ796" s="1">
        <f>0.5+AX796/16</f>
        <v>0.78316142982330117</v>
      </c>
      <c r="BA796" s="1">
        <f>0.5+AX796/4</f>
        <v>1.6326457192932045</v>
      </c>
      <c r="BB796" s="1">
        <f>IF(AY796&lt;=AZ796,AY796,IF(AY796&lt;=BA796,AZ796,AZ796-(AY796-BA796)*(8+AX796)/(12*(2+AX796))))</f>
        <v>0</v>
      </c>
      <c r="BC796" s="1">
        <f>IF(BB796&lt;1,BB796,1)</f>
        <v>0</v>
      </c>
      <c r="BD796" s="1">
        <f>ABS(BC796-AV796)</f>
        <v>0</v>
      </c>
      <c r="BF796">
        <f t="shared" ref="BF796:BF832" si="369">$BR$3*H796+$BR$4*G796+$BR$5*P796+$BR$6*K796+$BR$7*S796+$BR$8*U796+$BR$9*Y796+$BR$10*J796+$BR$11*AC796+$BR$12*AG796+$BR$13*AH796+$BR$14*R796+$BR$15*AE796</f>
        <v>57.389618958064069</v>
      </c>
      <c r="BG796">
        <f t="shared" ref="BG796:BG832" si="370">O796+$BR$17*M796+$BR$18*L796+$BR$19*X796+$BR$20*AD796+$BR$21*I796+$BR$22*N796+$BR$23*AB796+$BR$24*V796+$BR$25*T796+$BR$26*AA796+$BR$28*Z796+$BR$29*AF796+$BR$30*W796+$BR$27*AI796</f>
        <v>10.303025245418615</v>
      </c>
      <c r="BH796" s="1">
        <f t="shared" ref="BH796:BH832" si="371">(Q796)/BF796</f>
        <v>1.1303539028236516</v>
      </c>
      <c r="BI796" s="1">
        <f t="shared" ref="BI796:BI832" si="372">BG796/BF796</f>
        <v>0.17952768170402517</v>
      </c>
      <c r="BJ796" s="1">
        <f t="shared" si="366"/>
        <v>0.6114767241536494</v>
      </c>
      <c r="BK796" s="1">
        <f t="shared" si="367"/>
        <v>0.66343765921747311</v>
      </c>
      <c r="BL796" s="1">
        <f>IF(BI796&lt;=BJ796,BI796,IF(BI796&lt;=BK796,BJ796,BJ796-(BI796-BK796)*(8+BH796)/(12*(2+BH796))))</f>
        <v>0.17952768170402517</v>
      </c>
      <c r="BM796" s="1">
        <f>IF(BL796&lt;1,IF(BL796&gt;0,BL796,0),1)</f>
        <v>0.17952768170402517</v>
      </c>
      <c r="BN796" s="1">
        <f>(BM796-AV796)^2</f>
        <v>3.223018849802177E-2</v>
      </c>
      <c r="BO796" s="1">
        <f t="shared" si="368"/>
        <v>0.16617112367241488</v>
      </c>
    </row>
    <row r="797" spans="1:67" x14ac:dyDescent="0.25">
      <c r="A797" s="3"/>
      <c r="B797" s="3"/>
      <c r="C797" t="s">
        <v>352</v>
      </c>
      <c r="D797" s="5" t="s">
        <v>458</v>
      </c>
      <c r="E797" s="9">
        <f>I797+L797+M797+N797+O797+V797+X797+AB797+AD797</f>
        <v>28.012502748014896</v>
      </c>
      <c r="F797" s="9">
        <f>Q797/(H797+P797+Q797+AC797)</f>
        <v>0.85273195089151577</v>
      </c>
      <c r="G797">
        <v>4.1257400063431131</v>
      </c>
      <c r="H797">
        <v>8.6740928506648203</v>
      </c>
      <c r="I797">
        <v>2.407784803017877</v>
      </c>
      <c r="J797">
        <v>8.9282676797017308E-3</v>
      </c>
      <c r="K797">
        <v>2.9657546841834028</v>
      </c>
      <c r="L797">
        <v>0.36015671648447012</v>
      </c>
      <c r="M797">
        <v>0</v>
      </c>
      <c r="N797">
        <v>3.3500731540004351</v>
      </c>
      <c r="O797">
        <v>21.894488074512111</v>
      </c>
      <c r="P797">
        <v>1.434024724400132E-2</v>
      </c>
      <c r="Q797">
        <v>50.308974354053383</v>
      </c>
      <c r="R797">
        <v>8.4752018959627917E-2</v>
      </c>
      <c r="S797">
        <v>1.6906197758571779</v>
      </c>
      <c r="T797">
        <v>2.467906640568053</v>
      </c>
      <c r="U797">
        <v>1.646388406431829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68</v>
      </c>
      <c r="AK797" t="s">
        <v>351</v>
      </c>
      <c r="AL797" t="s">
        <v>374</v>
      </c>
      <c r="AO797" t="s">
        <v>378</v>
      </c>
      <c r="AQ797" s="1">
        <f t="shared" ref="AQ797:AQ819" si="373">SUM(G797:AF797)</f>
        <v>100.00000000000001</v>
      </c>
      <c r="AR797" s="1">
        <f t="shared" ref="AR797:AR810" si="374">(L797+M797+O797+X797)/100</f>
        <v>0.22254644790996583</v>
      </c>
      <c r="AS797" s="1">
        <f t="shared" si="364"/>
        <v>4.1257400063431128E-2</v>
      </c>
      <c r="AT797" s="1">
        <f t="shared" si="365"/>
        <v>8.6740928506648204E-2</v>
      </c>
      <c r="AU797" s="1">
        <f t="shared" ref="AU797:AU810" si="375">Q797/100</f>
        <v>0.50308974354053382</v>
      </c>
      <c r="AV797" s="1">
        <f t="shared" ref="AV797:AV810" si="376">AJ797/100</f>
        <v>0.68</v>
      </c>
      <c r="AX797" s="1">
        <f t="shared" ref="AX797:AX810" si="377">AU797/(AT797+AS797)</f>
        <v>3.9304399452770289</v>
      </c>
      <c r="AY797" s="1">
        <f t="shared" ref="AY797:AY810" si="378">AR797/(AS797+AT797)</f>
        <v>1.7386668278884689</v>
      </c>
      <c r="AZ797" s="1">
        <f t="shared" ref="AZ797:AZ810" si="379">0.5+AX797/16</f>
        <v>0.74565249657981436</v>
      </c>
      <c r="BA797" s="1">
        <f t="shared" ref="BA797:BA810" si="380">0.5+AX797/4</f>
        <v>1.4826099863192572</v>
      </c>
      <c r="BB797" s="1">
        <f t="shared" ref="BB797:BB810" si="381">IF(AY797&lt;=AZ797,AY797,IF(AY797&lt;=BA797,AZ797,AZ797-(AY797-BA797)*(8+AX797)/(12*(2+AX797))))</f>
        <v>0.70272607516887453</v>
      </c>
      <c r="BC797" s="1">
        <f t="shared" ref="BC797:BC810" si="382">IF(BB797&lt;1,BB797,1)</f>
        <v>0.70272607516887453</v>
      </c>
      <c r="BD797" s="1">
        <f t="shared" ref="BD797:BD810" si="383">ABS(BC797-AV797)</f>
        <v>2.2726075168874482E-2</v>
      </c>
      <c r="BF797">
        <f t="shared" si="369"/>
        <v>30.135184536083262</v>
      </c>
      <c r="BG797">
        <f t="shared" si="370"/>
        <v>26.367527089789764</v>
      </c>
      <c r="BH797" s="1">
        <f t="shared" si="371"/>
        <v>1.6694430489985694</v>
      </c>
      <c r="BI797" s="1">
        <f t="shared" si="372"/>
        <v>0.87497480090814839</v>
      </c>
      <c r="BJ797" s="1">
        <f t="shared" si="366"/>
        <v>0.62171941793097274</v>
      </c>
      <c r="BK797" s="1">
        <f t="shared" si="367"/>
        <v>0.93406041059728184</v>
      </c>
      <c r="BL797" s="1">
        <f t="shared" ref="BL797:BL810" si="384">IF(BI797&lt;=BJ797,BI797,IF(BI797&lt;=BK797,BJ797,BJ797-(BI797-BK797)*(8+BH797)/(12*(2+BH797))))</f>
        <v>0.62171941793097274</v>
      </c>
      <c r="BM797" s="1">
        <f t="shared" ref="BM797:BM810" si="385">IF(BL797&lt;1,IF(BL797&gt;0,BL797,0),1)</f>
        <v>0.62171941793097274</v>
      </c>
      <c r="BN797" s="1">
        <f t="shared" ref="BN797:BN810" si="386">(BM797-AV797)^2</f>
        <v>3.3966262463046275E-3</v>
      </c>
      <c r="BO797" s="1">
        <f t="shared" si="368"/>
        <v>7.4179465776574485E-2</v>
      </c>
    </row>
    <row r="798" spans="1:67" x14ac:dyDescent="0.25">
      <c r="A798" s="3"/>
      <c r="B798" s="3"/>
      <c r="C798" t="s">
        <v>353</v>
      </c>
      <c r="D798" s="5" t="s">
        <v>458</v>
      </c>
      <c r="E798" s="9">
        <f>I798+L798+M798+N798+O798+V798+X798+AB798+AD798</f>
        <v>25.961735962321647</v>
      </c>
      <c r="F798" s="9">
        <f>Q798/(H798+P798+Q798+AC798)</f>
        <v>0.83935983159325356</v>
      </c>
      <c r="G798">
        <v>6.8657476751579569</v>
      </c>
      <c r="H798">
        <v>9.3015101524583255</v>
      </c>
      <c r="I798">
        <v>0</v>
      </c>
      <c r="J798">
        <v>9.2118079282578428E-3</v>
      </c>
      <c r="K798">
        <v>1.095967012975368</v>
      </c>
      <c r="L798">
        <v>1.635015470809257</v>
      </c>
      <c r="M798">
        <v>0</v>
      </c>
      <c r="N798">
        <v>1.7369162802798499</v>
      </c>
      <c r="O798">
        <v>22.58980421123254</v>
      </c>
      <c r="P798">
        <v>3.9455090429481733E-2</v>
      </c>
      <c r="Q798">
        <v>48.807412809332369</v>
      </c>
      <c r="R798">
        <v>8.7443538679189914E-2</v>
      </c>
      <c r="S798">
        <v>2.1825785721328961</v>
      </c>
      <c r="T798">
        <v>2.2365985300512121</v>
      </c>
      <c r="U798">
        <v>2.982621100469844</v>
      </c>
      <c r="V798">
        <v>0</v>
      </c>
      <c r="W798">
        <v>0</v>
      </c>
      <c r="X798">
        <v>0</v>
      </c>
      <c r="Y798">
        <v>0</v>
      </c>
      <c r="Z798">
        <v>0.42971774806347768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70</v>
      </c>
      <c r="AK798" t="s">
        <v>351</v>
      </c>
      <c r="AL798" t="s">
        <v>374</v>
      </c>
      <c r="AQ798" s="1">
        <f t="shared" si="373"/>
        <v>100.00000000000003</v>
      </c>
      <c r="AR798" s="1">
        <f t="shared" si="374"/>
        <v>0.24224819682041798</v>
      </c>
      <c r="AS798" s="1">
        <f t="shared" si="364"/>
        <v>6.8657476751579571E-2</v>
      </c>
      <c r="AT798" s="1">
        <f t="shared" si="365"/>
        <v>9.3015101524583255E-2</v>
      </c>
      <c r="AU798" s="1">
        <f t="shared" si="375"/>
        <v>0.48807412809332368</v>
      </c>
      <c r="AV798" s="1">
        <f t="shared" si="376"/>
        <v>0.7</v>
      </c>
      <c r="AX798" s="1">
        <f t="shared" si="377"/>
        <v>3.0189048340629192</v>
      </c>
      <c r="AY798" s="1">
        <f t="shared" si="378"/>
        <v>1.4983876635320246</v>
      </c>
      <c r="AZ798" s="1">
        <f t="shared" si="379"/>
        <v>0.68868155212893245</v>
      </c>
      <c r="BA798" s="1">
        <f t="shared" si="380"/>
        <v>1.2547262085157298</v>
      </c>
      <c r="BB798" s="1">
        <f t="shared" si="381"/>
        <v>0.64410206594415487</v>
      </c>
      <c r="BC798" s="1">
        <f t="shared" si="382"/>
        <v>0.64410206594415487</v>
      </c>
      <c r="BD798" s="1">
        <f t="shared" si="383"/>
        <v>5.5897934055845089E-2</v>
      </c>
      <c r="BF798">
        <f t="shared" si="369"/>
        <v>45.749194525728583</v>
      </c>
      <c r="BG798">
        <f t="shared" si="370"/>
        <v>26.354816336561822</v>
      </c>
      <c r="BH798" s="1">
        <f t="shared" si="371"/>
        <v>1.0668474781973243</v>
      </c>
      <c r="BI798" s="1">
        <f t="shared" si="372"/>
        <v>0.57607170158461074</v>
      </c>
      <c r="BJ798" s="1">
        <f t="shared" si="366"/>
        <v>0.61027010208574917</v>
      </c>
      <c r="BK798" s="1">
        <f t="shared" si="367"/>
        <v>0.63155743405505682</v>
      </c>
      <c r="BL798" s="1">
        <f t="shared" si="384"/>
        <v>0.57607170158461074</v>
      </c>
      <c r="BM798" s="1">
        <f t="shared" si="385"/>
        <v>0.57607170158461074</v>
      </c>
      <c r="BN798" s="1">
        <f t="shared" si="386"/>
        <v>1.5358223148133761E-2</v>
      </c>
      <c r="BO798" s="1">
        <f t="shared" si="368"/>
        <v>8.5473828779637939E-2</v>
      </c>
    </row>
    <row r="799" spans="1:67" x14ac:dyDescent="0.25">
      <c r="A799" s="3"/>
      <c r="B799" s="3"/>
      <c r="C799" t="s">
        <v>354</v>
      </c>
      <c r="D799" s="5" t="s">
        <v>458</v>
      </c>
      <c r="E799" s="9">
        <f>I799+L799+M799+N799+O799+V799+X799+AB799+AD799</f>
        <v>23.82045704185375</v>
      </c>
      <c r="F799" s="9">
        <f>Q799/(H799+P799+Q799+AC799)</f>
        <v>0.8221698278287477</v>
      </c>
      <c r="G799">
        <v>4.4825132559566212</v>
      </c>
      <c r="H799">
        <v>11.517828830034709</v>
      </c>
      <c r="I799">
        <v>1.191570949558236E-2</v>
      </c>
      <c r="J799">
        <v>3.0774468479208401E-2</v>
      </c>
      <c r="K799">
        <v>2.2512171677373201</v>
      </c>
      <c r="L799">
        <v>0.28375062004725188</v>
      </c>
      <c r="M799">
        <v>0</v>
      </c>
      <c r="N799">
        <v>2.4371028801958738</v>
      </c>
      <c r="O799">
        <v>21.087687832115041</v>
      </c>
      <c r="P799">
        <v>2.3537520039162631E-2</v>
      </c>
      <c r="Q799">
        <v>53.359691828958923</v>
      </c>
      <c r="R799">
        <v>5.8425630359448963E-2</v>
      </c>
      <c r="S799">
        <v>2.4514091495078612</v>
      </c>
      <c r="T799">
        <v>1.2070066538469939</v>
      </c>
      <c r="U799">
        <v>0.79713845322600274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66</v>
      </c>
      <c r="AK799" t="s">
        <v>351</v>
      </c>
      <c r="AL799" t="s">
        <v>374</v>
      </c>
      <c r="AQ799" s="1">
        <f t="shared" si="373"/>
        <v>100</v>
      </c>
      <c r="AR799" s="1">
        <f t="shared" si="374"/>
        <v>0.21371438452162292</v>
      </c>
      <c r="AS799" s="1">
        <f t="shared" si="364"/>
        <v>4.482513255956621E-2</v>
      </c>
      <c r="AT799" s="1">
        <f t="shared" si="365"/>
        <v>0.1151782883003471</v>
      </c>
      <c r="AU799" s="1">
        <f t="shared" si="375"/>
        <v>0.53359691828958922</v>
      </c>
      <c r="AV799" s="1">
        <f t="shared" si="376"/>
        <v>0.66</v>
      </c>
      <c r="AX799" s="1">
        <f t="shared" si="377"/>
        <v>3.3349094376973705</v>
      </c>
      <c r="AY799" s="1">
        <f t="shared" si="378"/>
        <v>1.3356863457859116</v>
      </c>
      <c r="AZ799" s="1">
        <f t="shared" si="379"/>
        <v>0.7084318398560856</v>
      </c>
      <c r="BA799" s="1">
        <f t="shared" si="380"/>
        <v>1.3337273594243426</v>
      </c>
      <c r="BB799" s="1">
        <f t="shared" si="381"/>
        <v>0.7080849902788281</v>
      </c>
      <c r="BC799" s="1">
        <f t="shared" si="382"/>
        <v>0.7080849902788281</v>
      </c>
      <c r="BD799" s="1">
        <f t="shared" si="383"/>
        <v>4.8084990278828066E-2</v>
      </c>
      <c r="BF799">
        <f t="shared" si="369"/>
        <v>31.886547946045823</v>
      </c>
      <c r="BG799">
        <f t="shared" si="370"/>
        <v>23.199451073931517</v>
      </c>
      <c r="BH799" s="1">
        <f t="shared" si="371"/>
        <v>1.6734232855575053</v>
      </c>
      <c r="BI799" s="1">
        <f t="shared" si="372"/>
        <v>0.72756232857776082</v>
      </c>
      <c r="BJ799" s="1">
        <f t="shared" si="366"/>
        <v>0.62179504242559258</v>
      </c>
      <c r="BK799" s="1">
        <f t="shared" si="367"/>
        <v>0.93605848934986768</v>
      </c>
      <c r="BL799" s="1">
        <f t="shared" si="384"/>
        <v>0.62179504242559258</v>
      </c>
      <c r="BM799" s="1">
        <f t="shared" si="385"/>
        <v>0.62179504242559258</v>
      </c>
      <c r="BN799" s="1">
        <f t="shared" si="386"/>
        <v>1.4596187832622732E-3</v>
      </c>
      <c r="BO799" s="1">
        <f t="shared" si="368"/>
        <v>6.3685102773510957E-2</v>
      </c>
    </row>
    <row r="800" spans="1:67" x14ac:dyDescent="0.25">
      <c r="A800" s="3"/>
      <c r="B800" s="3"/>
      <c r="C800" t="s">
        <v>361</v>
      </c>
      <c r="D800" s="5" t="s">
        <v>458</v>
      </c>
      <c r="E800" s="9">
        <f>I800+L800+M800+N800+O800+V800+X800+AB800+AD800</f>
        <v>28.725919914418519</v>
      </c>
      <c r="F800" s="9">
        <f>Q800/(H800+P800+Q800+AC800)</f>
        <v>0.83348596357870242</v>
      </c>
      <c r="G800">
        <v>4.0929581435630613</v>
      </c>
      <c r="H800">
        <v>9.8272354530327313</v>
      </c>
      <c r="I800">
        <v>2.476611767005318</v>
      </c>
      <c r="J800">
        <v>0</v>
      </c>
      <c r="K800">
        <v>2.356349970840323</v>
      </c>
      <c r="L800">
        <v>2.7091162869483498</v>
      </c>
      <c r="M800">
        <v>0</v>
      </c>
      <c r="N800">
        <v>2.5122348223253121</v>
      </c>
      <c r="O800">
        <v>21.02795703813954</v>
      </c>
      <c r="P800">
        <v>0</v>
      </c>
      <c r="Q800">
        <v>49.190224361398883</v>
      </c>
      <c r="R800">
        <v>0</v>
      </c>
      <c r="S800">
        <v>1.1992734123174</v>
      </c>
      <c r="T800">
        <v>2.9424044002362151</v>
      </c>
      <c r="U800">
        <v>1.66563434419287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67</v>
      </c>
      <c r="AK800" t="s">
        <v>1</v>
      </c>
      <c r="AL800" t="s">
        <v>374</v>
      </c>
      <c r="AO800" t="s">
        <v>378</v>
      </c>
      <c r="AQ800" s="1">
        <f t="shared" si="373"/>
        <v>99.999999999999986</v>
      </c>
      <c r="AR800" s="1">
        <f t="shared" si="374"/>
        <v>0.2373707332508789</v>
      </c>
      <c r="AS800" s="1">
        <f t="shared" si="364"/>
        <v>4.0929581435630615E-2</v>
      </c>
      <c r="AT800" s="1">
        <f t="shared" si="365"/>
        <v>9.8272354530327316E-2</v>
      </c>
      <c r="AU800" s="1">
        <f t="shared" si="375"/>
        <v>0.49190224361398882</v>
      </c>
      <c r="AV800" s="1">
        <f t="shared" si="376"/>
        <v>0.67</v>
      </c>
      <c r="AX800" s="1">
        <f t="shared" si="377"/>
        <v>3.5337313392989329</v>
      </c>
      <c r="AY800" s="1">
        <f t="shared" si="378"/>
        <v>1.7052258045385829</v>
      </c>
      <c r="AZ800" s="1">
        <f t="shared" si="379"/>
        <v>0.72085820870618333</v>
      </c>
      <c r="BA800" s="1">
        <f t="shared" si="380"/>
        <v>1.3834328348247333</v>
      </c>
      <c r="BB800" s="1">
        <f t="shared" si="381"/>
        <v>0.6649665412822382</v>
      </c>
      <c r="BC800" s="1">
        <f t="shared" si="382"/>
        <v>0.6649665412822382</v>
      </c>
      <c r="BD800" s="1">
        <f t="shared" si="383"/>
        <v>5.0334587177618406E-3</v>
      </c>
      <c r="BF800">
        <f t="shared" si="369"/>
        <v>31.195971059863588</v>
      </c>
      <c r="BG800">
        <f t="shared" si="370"/>
        <v>27.702698819871312</v>
      </c>
      <c r="BH800" s="1">
        <f t="shared" si="371"/>
        <v>1.5768133733361009</v>
      </c>
      <c r="BI800" s="1">
        <f t="shared" si="372"/>
        <v>0.88802168609244914</v>
      </c>
      <c r="BJ800" s="1">
        <f t="shared" si="366"/>
        <v>0.61995945409338593</v>
      </c>
      <c r="BK800" s="1">
        <f t="shared" si="367"/>
        <v>0.88756031341472263</v>
      </c>
      <c r="BL800" s="1">
        <f t="shared" si="384"/>
        <v>0.61985651143724307</v>
      </c>
      <c r="BM800" s="1">
        <f t="shared" si="385"/>
        <v>0.61985651143724307</v>
      </c>
      <c r="BN800" s="1">
        <f t="shared" si="386"/>
        <v>2.5143694452433385E-3</v>
      </c>
      <c r="BO800" s="1">
        <f t="shared" si="368"/>
        <v>6.8832284275042718E-2</v>
      </c>
    </row>
    <row r="801" spans="1:67" x14ac:dyDescent="0.25">
      <c r="A801" s="3"/>
      <c r="B801" s="3"/>
      <c r="C801" t="s">
        <v>362</v>
      </c>
      <c r="D801" s="5" t="s">
        <v>458</v>
      </c>
      <c r="E801" s="9">
        <f>I801+L801+M801+N801+O801+V801+X801+AB801+AD801</f>
        <v>28.922996003853953</v>
      </c>
      <c r="F801" s="9">
        <f>Q801/(H801+P801+Q801+AC801)</f>
        <v>0.84733009861073516</v>
      </c>
      <c r="G801">
        <v>3.7965701360148878</v>
      </c>
      <c r="H801">
        <v>9.1156047366981738</v>
      </c>
      <c r="I801">
        <v>7.853721349904121</v>
      </c>
      <c r="J801">
        <v>0</v>
      </c>
      <c r="K801">
        <v>2.1857169351612482</v>
      </c>
      <c r="L801">
        <v>0.1623640896481626</v>
      </c>
      <c r="M801">
        <v>8.8779156253914628</v>
      </c>
      <c r="N801">
        <v>4.0937940226336416</v>
      </c>
      <c r="O801">
        <v>7.9352009162765693</v>
      </c>
      <c r="P801">
        <v>0</v>
      </c>
      <c r="Q801">
        <v>50.592331495316373</v>
      </c>
      <c r="R801">
        <v>0</v>
      </c>
      <c r="S801">
        <v>1.1124290702267621</v>
      </c>
      <c r="T801">
        <v>2.729332742281803</v>
      </c>
      <c r="U801">
        <v>1.545018880446795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53</v>
      </c>
      <c r="AK801" t="s">
        <v>1</v>
      </c>
      <c r="AL801" t="s">
        <v>374</v>
      </c>
      <c r="AQ801" s="1">
        <f t="shared" si="373"/>
        <v>100</v>
      </c>
      <c r="AR801" s="1">
        <f t="shared" si="374"/>
        <v>0.16975480631316195</v>
      </c>
      <c r="AS801" s="1">
        <f t="shared" si="364"/>
        <v>3.796570136014888E-2</v>
      </c>
      <c r="AT801" s="1">
        <f t="shared" si="365"/>
        <v>9.1156047366981741E-2</v>
      </c>
      <c r="AU801" s="1">
        <f t="shared" si="375"/>
        <v>0.50592331495316367</v>
      </c>
      <c r="AV801" s="1">
        <f t="shared" si="376"/>
        <v>0.53</v>
      </c>
      <c r="AX801" s="1">
        <f t="shared" si="377"/>
        <v>3.9181882211208068</v>
      </c>
      <c r="AY801" s="1">
        <f t="shared" si="378"/>
        <v>1.3146879436391468</v>
      </c>
      <c r="AZ801" s="1">
        <f t="shared" si="379"/>
        <v>0.74488676382005048</v>
      </c>
      <c r="BA801" s="1">
        <f t="shared" si="380"/>
        <v>1.4795470552802017</v>
      </c>
      <c r="BB801" s="1">
        <f t="shared" si="381"/>
        <v>0.74488676382005048</v>
      </c>
      <c r="BC801" s="1">
        <f t="shared" si="382"/>
        <v>0.74488676382005048</v>
      </c>
      <c r="BD801" s="1">
        <f t="shared" si="383"/>
        <v>0.21488676382005045</v>
      </c>
      <c r="BF801">
        <f t="shared" si="369"/>
        <v>28.936941922098107</v>
      </c>
      <c r="BG801">
        <f t="shared" si="370"/>
        <v>24.313904688725973</v>
      </c>
      <c r="BH801" s="1">
        <f t="shared" si="371"/>
        <v>1.7483648283055377</v>
      </c>
      <c r="BI801" s="1">
        <f t="shared" si="372"/>
        <v>0.84023753284580205</v>
      </c>
      <c r="BJ801" s="1">
        <f t="shared" si="366"/>
        <v>0.62321893173780518</v>
      </c>
      <c r="BK801" s="1">
        <f t="shared" si="367"/>
        <v>0.97367914380937992</v>
      </c>
      <c r="BL801" s="1">
        <f t="shared" si="384"/>
        <v>0.62321893173780518</v>
      </c>
      <c r="BM801" s="1">
        <f t="shared" si="385"/>
        <v>0.62321893173780518</v>
      </c>
      <c r="BN801" s="1">
        <f t="shared" si="386"/>
        <v>8.6897692343375771E-3</v>
      </c>
      <c r="BO801" s="1">
        <f t="shared" si="368"/>
        <v>1.4971743253598084E-2</v>
      </c>
    </row>
    <row r="802" spans="1:67" x14ac:dyDescent="0.25">
      <c r="A802" s="3"/>
      <c r="B802" s="3"/>
      <c r="C802" t="s">
        <v>363</v>
      </c>
      <c r="D802" s="6" t="s">
        <v>458</v>
      </c>
      <c r="E802" s="1"/>
      <c r="F802" s="1"/>
      <c r="G802">
        <v>3.9061028193375029</v>
      </c>
      <c r="H802">
        <v>9.3785938587605759</v>
      </c>
      <c r="I802">
        <v>6.9043524835234331</v>
      </c>
      <c r="J802">
        <v>0</v>
      </c>
      <c r="K802">
        <v>2.2487758099653332</v>
      </c>
      <c r="L802">
        <v>6.0303766095741972E-2</v>
      </c>
      <c r="M802">
        <v>6.0092416541037892</v>
      </c>
      <c r="N802">
        <v>2.4137436912250618</v>
      </c>
      <c r="O802">
        <v>14.853458297457561</v>
      </c>
      <c r="P802">
        <v>0</v>
      </c>
      <c r="Q802">
        <v>48.683235983900623</v>
      </c>
      <c r="R802">
        <v>0</v>
      </c>
      <c r="S802">
        <v>1.1445231279427399</v>
      </c>
      <c r="T802">
        <v>2.8080751672159558</v>
      </c>
      <c r="U802">
        <v>1.5895933404716731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56</v>
      </c>
      <c r="AK802" t="s">
        <v>1</v>
      </c>
      <c r="AL802" t="s">
        <v>374</v>
      </c>
      <c r="AQ802" s="1">
        <f t="shared" si="373"/>
        <v>99.999999999999986</v>
      </c>
      <c r="AR802" s="1">
        <f t="shared" si="374"/>
        <v>0.20923003717657093</v>
      </c>
      <c r="AS802" s="1">
        <f t="shared" si="364"/>
        <v>3.9061028193375029E-2</v>
      </c>
      <c r="AT802" s="1">
        <f t="shared" si="365"/>
        <v>9.3785938587605755E-2</v>
      </c>
      <c r="AU802" s="1">
        <f t="shared" si="375"/>
        <v>0.48683235983900625</v>
      </c>
      <c r="AV802" s="1">
        <f t="shared" si="376"/>
        <v>0.56000000000000005</v>
      </c>
      <c r="AX802" s="1">
        <f t="shared" si="377"/>
        <v>3.6646102777914855</v>
      </c>
      <c r="AY802" s="1">
        <f t="shared" si="378"/>
        <v>1.5749703756617921</v>
      </c>
      <c r="AZ802" s="1">
        <f t="shared" si="379"/>
        <v>0.72903814236196784</v>
      </c>
      <c r="BA802" s="1">
        <f t="shared" si="380"/>
        <v>1.4161525694478714</v>
      </c>
      <c r="BB802" s="1">
        <f t="shared" si="381"/>
        <v>0.70178490215933875</v>
      </c>
      <c r="BC802" s="1">
        <f t="shared" si="382"/>
        <v>0.70178490215933875</v>
      </c>
      <c r="BD802" s="1">
        <f t="shared" si="383"/>
        <v>0.1417849021593387</v>
      </c>
      <c r="BF802">
        <f t="shared" si="369"/>
        <v>29.771785157525606</v>
      </c>
      <c r="BG802">
        <f t="shared" si="370"/>
        <v>26.986089388639318</v>
      </c>
      <c r="BH802" s="1">
        <f t="shared" si="371"/>
        <v>1.635213868644845</v>
      </c>
      <c r="BI802" s="1">
        <f t="shared" si="372"/>
        <v>0.90643168509557348</v>
      </c>
      <c r="BJ802" s="1">
        <f t="shared" si="366"/>
        <v>0.62106906350425206</v>
      </c>
      <c r="BK802" s="1">
        <f t="shared" si="367"/>
        <v>0.91687736205971215</v>
      </c>
      <c r="BL802" s="1">
        <f t="shared" si="384"/>
        <v>0.62106906350425206</v>
      </c>
      <c r="BM802" s="1">
        <f t="shared" si="385"/>
        <v>0.62106906350425206</v>
      </c>
      <c r="BN802" s="1">
        <f t="shared" si="386"/>
        <v>3.7294305172863645E-3</v>
      </c>
      <c r="BO802" s="1">
        <f t="shared" si="368"/>
        <v>2.3213287758193368E-2</v>
      </c>
    </row>
    <row r="803" spans="1:67" x14ac:dyDescent="0.25">
      <c r="A803" s="3"/>
      <c r="B803" s="3"/>
      <c r="C803" t="s">
        <v>364</v>
      </c>
      <c r="D803" s="6" t="s">
        <v>458</v>
      </c>
      <c r="E803" s="1"/>
      <c r="F803" s="1"/>
      <c r="G803">
        <v>20</v>
      </c>
      <c r="H803">
        <v>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25</v>
      </c>
      <c r="P803">
        <v>0</v>
      </c>
      <c r="Q803">
        <v>50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12.7</v>
      </c>
      <c r="AK803" t="s">
        <v>1</v>
      </c>
      <c r="AL803" t="s">
        <v>374</v>
      </c>
      <c r="AM803" t="s">
        <v>415</v>
      </c>
      <c r="AO803" t="s">
        <v>378</v>
      </c>
      <c r="AQ803" s="1">
        <f t="shared" si="373"/>
        <v>100</v>
      </c>
      <c r="AR803" s="1">
        <f t="shared" si="374"/>
        <v>0.25</v>
      </c>
      <c r="AS803" s="1">
        <f t="shared" si="364"/>
        <v>0.2</v>
      </c>
      <c r="AT803" s="1">
        <f t="shared" si="365"/>
        <v>0.05</v>
      </c>
      <c r="AU803" s="1">
        <f t="shared" si="375"/>
        <v>0.5</v>
      </c>
      <c r="AV803" s="1">
        <f t="shared" si="376"/>
        <v>0.127</v>
      </c>
      <c r="AX803" s="1">
        <f t="shared" si="377"/>
        <v>2</v>
      </c>
      <c r="AY803" s="1">
        <f t="shared" si="378"/>
        <v>1</v>
      </c>
      <c r="AZ803" s="1">
        <f t="shared" si="379"/>
        <v>0.625</v>
      </c>
      <c r="BA803" s="1">
        <f t="shared" si="380"/>
        <v>1</v>
      </c>
      <c r="BB803" s="1">
        <f t="shared" si="381"/>
        <v>0.625</v>
      </c>
      <c r="BC803" s="1">
        <f t="shared" si="382"/>
        <v>0.625</v>
      </c>
      <c r="BD803" s="1">
        <f t="shared" si="383"/>
        <v>0.498</v>
      </c>
      <c r="BF803">
        <f t="shared" si="369"/>
        <v>85</v>
      </c>
      <c r="BG803">
        <f t="shared" si="370"/>
        <v>25</v>
      </c>
      <c r="BH803" s="1">
        <f t="shared" si="371"/>
        <v>0.58823529411764708</v>
      </c>
      <c r="BI803" s="1">
        <f t="shared" si="372"/>
        <v>0.29411764705882354</v>
      </c>
      <c r="BJ803" s="1">
        <f t="shared" si="366"/>
        <v>0.60117647058823531</v>
      </c>
      <c r="BK803" s="1">
        <f t="shared" si="367"/>
        <v>0.39129411764705879</v>
      </c>
      <c r="BL803" s="1">
        <f t="shared" si="384"/>
        <v>0.29411764705882354</v>
      </c>
      <c r="BM803" s="1">
        <f t="shared" si="385"/>
        <v>0.29411764705882354</v>
      </c>
      <c r="BN803" s="1">
        <f t="shared" si="386"/>
        <v>2.7928307958477512E-2</v>
      </c>
      <c r="BO803" s="1">
        <f t="shared" si="368"/>
        <v>7.8759328741868223E-2</v>
      </c>
    </row>
    <row r="804" spans="1:67" x14ac:dyDescent="0.25">
      <c r="A804" s="3"/>
      <c r="B804" s="3"/>
      <c r="C804" t="s">
        <v>365</v>
      </c>
      <c r="D804" s="5" t="s">
        <v>458</v>
      </c>
      <c r="E804" s="9">
        <f>I804+L804+M804+N804+O804+V804+X804+AB804+AD804</f>
        <v>25</v>
      </c>
      <c r="F804" s="9">
        <f>Q804/(H804+P804+Q804+AC804)</f>
        <v>0.83333333333333337</v>
      </c>
      <c r="G804">
        <v>15</v>
      </c>
      <c r="H804">
        <v>10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25</v>
      </c>
      <c r="P804">
        <v>0</v>
      </c>
      <c r="Q804">
        <v>50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39.700000000000003</v>
      </c>
      <c r="AK804" t="s">
        <v>1</v>
      </c>
      <c r="AL804" t="s">
        <v>374</v>
      </c>
      <c r="AQ804" s="1">
        <f t="shared" si="373"/>
        <v>100</v>
      </c>
      <c r="AR804" s="1">
        <f t="shared" si="374"/>
        <v>0.25</v>
      </c>
      <c r="AS804" s="1">
        <f t="shared" si="364"/>
        <v>0.15</v>
      </c>
      <c r="AT804" s="1">
        <f t="shared" si="365"/>
        <v>0.1</v>
      </c>
      <c r="AU804" s="1">
        <f t="shared" si="375"/>
        <v>0.5</v>
      </c>
      <c r="AV804" s="1">
        <f t="shared" si="376"/>
        <v>0.39700000000000002</v>
      </c>
      <c r="AX804" s="1">
        <f t="shared" si="377"/>
        <v>2</v>
      </c>
      <c r="AY804" s="1">
        <f t="shared" si="378"/>
        <v>1</v>
      </c>
      <c r="AZ804" s="1">
        <f t="shared" si="379"/>
        <v>0.625</v>
      </c>
      <c r="BA804" s="1">
        <f t="shared" si="380"/>
        <v>1</v>
      </c>
      <c r="BB804" s="1">
        <f t="shared" si="381"/>
        <v>0.625</v>
      </c>
      <c r="BC804" s="1">
        <f t="shared" si="382"/>
        <v>0.625</v>
      </c>
      <c r="BD804" s="1">
        <f t="shared" si="383"/>
        <v>0.22799999999999998</v>
      </c>
      <c r="BF804">
        <f t="shared" si="369"/>
        <v>70</v>
      </c>
      <c r="BG804">
        <f t="shared" si="370"/>
        <v>25</v>
      </c>
      <c r="BH804" s="1">
        <f t="shared" si="371"/>
        <v>0.7142857142857143</v>
      </c>
      <c r="BI804" s="1">
        <f t="shared" si="372"/>
        <v>0.35714285714285715</v>
      </c>
      <c r="BJ804" s="1">
        <f t="shared" si="366"/>
        <v>0.60357142857142854</v>
      </c>
      <c r="BK804" s="1">
        <f t="shared" si="367"/>
        <v>0.45457142857142863</v>
      </c>
      <c r="BL804" s="1">
        <f t="shared" si="384"/>
        <v>0.35714285714285715</v>
      </c>
      <c r="BM804" s="1">
        <f t="shared" si="385"/>
        <v>0.35714285714285715</v>
      </c>
      <c r="BN804" s="1">
        <f t="shared" si="386"/>
        <v>1.5885918367346949E-3</v>
      </c>
      <c r="BO804" s="1">
        <f t="shared" si="368"/>
        <v>1.1322928322569207E-4</v>
      </c>
    </row>
    <row r="805" spans="1:67" x14ac:dyDescent="0.25">
      <c r="A805" s="3"/>
      <c r="B805" s="3"/>
      <c r="C805" t="s">
        <v>366</v>
      </c>
      <c r="D805" s="5" t="s">
        <v>458</v>
      </c>
      <c r="E805" s="9">
        <f>I805+L805+M805+N805+O805+V805+X805+AB805+AD805</f>
        <v>25</v>
      </c>
      <c r="F805" s="9">
        <f>Q805/(H805+P805+Q805+AC805)</f>
        <v>0.76923076923076927</v>
      </c>
      <c r="G805">
        <v>10</v>
      </c>
      <c r="H805">
        <v>15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25</v>
      </c>
      <c r="P805">
        <v>0</v>
      </c>
      <c r="Q805">
        <v>50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55.1</v>
      </c>
      <c r="AK805" t="s">
        <v>1</v>
      </c>
      <c r="AL805" t="s">
        <v>374</v>
      </c>
      <c r="AQ805" s="1">
        <f t="shared" si="373"/>
        <v>100</v>
      </c>
      <c r="AR805" s="1">
        <f t="shared" si="374"/>
        <v>0.25</v>
      </c>
      <c r="AS805" s="1">
        <f t="shared" si="364"/>
        <v>0.1</v>
      </c>
      <c r="AT805" s="1">
        <f t="shared" si="365"/>
        <v>0.15</v>
      </c>
      <c r="AU805" s="1">
        <f t="shared" si="375"/>
        <v>0.5</v>
      </c>
      <c r="AV805" s="1">
        <f t="shared" si="376"/>
        <v>0.55100000000000005</v>
      </c>
      <c r="AX805" s="1">
        <f t="shared" si="377"/>
        <v>2</v>
      </c>
      <c r="AY805" s="1">
        <f t="shared" si="378"/>
        <v>1</v>
      </c>
      <c r="AZ805" s="1">
        <f t="shared" si="379"/>
        <v>0.625</v>
      </c>
      <c r="BA805" s="1">
        <f t="shared" si="380"/>
        <v>1</v>
      </c>
      <c r="BB805" s="1">
        <f t="shared" si="381"/>
        <v>0.625</v>
      </c>
      <c r="BC805" s="1">
        <f t="shared" si="382"/>
        <v>0.625</v>
      </c>
      <c r="BD805" s="1">
        <f t="shared" si="383"/>
        <v>7.3999999999999955E-2</v>
      </c>
      <c r="BF805">
        <f t="shared" si="369"/>
        <v>55</v>
      </c>
      <c r="BG805">
        <f t="shared" si="370"/>
        <v>25</v>
      </c>
      <c r="BH805" s="1">
        <f t="shared" si="371"/>
        <v>0.90909090909090906</v>
      </c>
      <c r="BI805" s="1">
        <f t="shared" si="372"/>
        <v>0.45454545454545453</v>
      </c>
      <c r="BJ805" s="1">
        <f t="shared" si="366"/>
        <v>0.60727272727272719</v>
      </c>
      <c r="BK805" s="1">
        <f t="shared" si="367"/>
        <v>0.55236363636363639</v>
      </c>
      <c r="BL805" s="1">
        <f t="shared" si="384"/>
        <v>0.45454545454545453</v>
      </c>
      <c r="BM805" s="1">
        <f t="shared" si="385"/>
        <v>0.45454545454545453</v>
      </c>
      <c r="BN805" s="1">
        <f t="shared" si="386"/>
        <v>9.3034793388429866E-3</v>
      </c>
      <c r="BO805" s="1">
        <f t="shared" si="368"/>
        <v>2.0551824406814783E-2</v>
      </c>
    </row>
    <row r="806" spans="1:67" x14ac:dyDescent="0.25">
      <c r="A806" s="3"/>
      <c r="B806" s="3"/>
      <c r="C806" t="s">
        <v>367</v>
      </c>
      <c r="D806" s="5" t="s">
        <v>458</v>
      </c>
      <c r="E806" s="9">
        <f>I806+L806+M806+N806+O806+V806+X806+AB806+AD806</f>
        <v>25</v>
      </c>
      <c r="F806" s="9">
        <f>Q806/(H806+P806+Q806+AC806)</f>
        <v>0.7142857142857143</v>
      </c>
      <c r="G806">
        <v>5</v>
      </c>
      <c r="H806">
        <v>20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25</v>
      </c>
      <c r="P806">
        <v>0</v>
      </c>
      <c r="Q806">
        <v>50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62.2</v>
      </c>
      <c r="AK806" t="s">
        <v>1</v>
      </c>
      <c r="AL806" t="s">
        <v>374</v>
      </c>
      <c r="AQ806" s="1">
        <f t="shared" si="373"/>
        <v>100</v>
      </c>
      <c r="AR806" s="1">
        <f t="shared" si="374"/>
        <v>0.25</v>
      </c>
      <c r="AS806" s="1">
        <f t="shared" si="364"/>
        <v>0.05</v>
      </c>
      <c r="AT806" s="1">
        <f t="shared" si="365"/>
        <v>0.2</v>
      </c>
      <c r="AU806" s="1">
        <f t="shared" si="375"/>
        <v>0.5</v>
      </c>
      <c r="AV806" s="1">
        <f t="shared" si="376"/>
        <v>0.622</v>
      </c>
      <c r="AX806" s="1">
        <f t="shared" si="377"/>
        <v>2</v>
      </c>
      <c r="AY806" s="1">
        <f t="shared" si="378"/>
        <v>1</v>
      </c>
      <c r="AZ806" s="1">
        <f t="shared" si="379"/>
        <v>0.625</v>
      </c>
      <c r="BA806" s="1">
        <f t="shared" si="380"/>
        <v>1</v>
      </c>
      <c r="BB806" s="1">
        <f t="shared" si="381"/>
        <v>0.625</v>
      </c>
      <c r="BC806" s="1">
        <f t="shared" si="382"/>
        <v>0.625</v>
      </c>
      <c r="BD806" s="1">
        <f t="shared" si="383"/>
        <v>3.0000000000000027E-3</v>
      </c>
      <c r="BF806">
        <f t="shared" si="369"/>
        <v>40</v>
      </c>
      <c r="BG806">
        <f t="shared" si="370"/>
        <v>25</v>
      </c>
      <c r="BH806" s="1">
        <f t="shared" si="371"/>
        <v>1.25</v>
      </c>
      <c r="BI806" s="1">
        <f t="shared" si="372"/>
        <v>0.625</v>
      </c>
      <c r="BJ806" s="1">
        <f t="shared" si="366"/>
        <v>0.61375000000000002</v>
      </c>
      <c r="BK806" s="1">
        <f t="shared" si="367"/>
        <v>0.72349999999999992</v>
      </c>
      <c r="BL806" s="1">
        <f t="shared" si="384"/>
        <v>0.61375000000000002</v>
      </c>
      <c r="BM806" s="1">
        <f t="shared" si="385"/>
        <v>0.61375000000000002</v>
      </c>
      <c r="BN806" s="1">
        <f t="shared" si="386"/>
        <v>6.8062499999999669E-5</v>
      </c>
      <c r="BO806" s="1">
        <f t="shared" si="368"/>
        <v>4.5949813067690255E-2</v>
      </c>
    </row>
    <row r="807" spans="1:67" x14ac:dyDescent="0.25">
      <c r="A807" s="3"/>
      <c r="B807" s="3"/>
      <c r="C807" t="s">
        <v>652</v>
      </c>
      <c r="D807" s="5" t="s">
        <v>458</v>
      </c>
      <c r="E807" s="9">
        <f>I807+L807+M807+N807+O807+V807+X807+AB807+AD807</f>
        <v>4.3</v>
      </c>
      <c r="F807" s="9">
        <f>Q807/(H807+P807+Q807+AC807)</f>
        <v>0.78141499472016895</v>
      </c>
      <c r="G807">
        <v>1</v>
      </c>
      <c r="H807">
        <v>20.7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4.3</v>
      </c>
      <c r="P807">
        <v>0</v>
      </c>
      <c r="Q807">
        <v>74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12</v>
      </c>
      <c r="AK807" t="s">
        <v>1</v>
      </c>
      <c r="AL807" t="s">
        <v>381</v>
      </c>
      <c r="AO807" t="s">
        <v>378</v>
      </c>
      <c r="AP807" t="s">
        <v>819</v>
      </c>
      <c r="AQ807" s="1">
        <f t="shared" si="373"/>
        <v>100</v>
      </c>
      <c r="AR807" s="1">
        <f t="shared" si="374"/>
        <v>4.2999999999999997E-2</v>
      </c>
      <c r="AS807" s="1">
        <f t="shared" si="364"/>
        <v>0.01</v>
      </c>
      <c r="AT807" s="1">
        <f t="shared" si="365"/>
        <v>0.20699999999999999</v>
      </c>
      <c r="AU807" s="1">
        <f t="shared" si="375"/>
        <v>0.74</v>
      </c>
      <c r="AV807" s="1">
        <f t="shared" si="376"/>
        <v>0.12</v>
      </c>
      <c r="AX807" s="1">
        <f t="shared" si="377"/>
        <v>3.4101382488479262</v>
      </c>
      <c r="AY807" s="1">
        <f t="shared" si="378"/>
        <v>0.19815668202764974</v>
      </c>
      <c r="AZ807" s="1">
        <f t="shared" si="379"/>
        <v>0.71313364055299533</v>
      </c>
      <c r="BA807" s="1">
        <f t="shared" si="380"/>
        <v>1.3525345622119815</v>
      </c>
      <c r="BB807" s="1">
        <f t="shared" si="381"/>
        <v>0.19815668202764974</v>
      </c>
      <c r="BC807" s="1">
        <f t="shared" si="382"/>
        <v>0.19815668202764974</v>
      </c>
      <c r="BD807" s="1">
        <f t="shared" si="383"/>
        <v>7.8156682027649749E-2</v>
      </c>
      <c r="BF807">
        <f t="shared" si="369"/>
        <v>24.7</v>
      </c>
      <c r="BG807">
        <f t="shared" si="370"/>
        <v>4.3</v>
      </c>
      <c r="BH807" s="1">
        <f t="shared" si="371"/>
        <v>2.9959514170040489</v>
      </c>
      <c r="BI807" s="1">
        <f t="shared" si="372"/>
        <v>0.17408906882591094</v>
      </c>
      <c r="BJ807" s="1">
        <f t="shared" si="366"/>
        <v>0.64692307692307693</v>
      </c>
      <c r="BK807" s="1">
        <f t="shared" si="367"/>
        <v>1.5999676113360326</v>
      </c>
      <c r="BL807" s="1">
        <f t="shared" si="384"/>
        <v>0.17408906882591094</v>
      </c>
      <c r="BM807" s="1">
        <f t="shared" si="385"/>
        <v>0.17408906882591094</v>
      </c>
      <c r="BN807" s="1">
        <f t="shared" si="386"/>
        <v>2.9256273664541306E-3</v>
      </c>
      <c r="BO807" s="1">
        <f t="shared" si="368"/>
        <v>8.2737301690795989E-2</v>
      </c>
    </row>
    <row r="808" spans="1:67" x14ac:dyDescent="0.25">
      <c r="A808" s="3"/>
      <c r="B808" s="3"/>
      <c r="C808" t="s">
        <v>653</v>
      </c>
      <c r="D808" s="6" t="s">
        <v>455</v>
      </c>
      <c r="E808" s="1"/>
      <c r="F808" s="1"/>
      <c r="G808">
        <v>1.5</v>
      </c>
      <c r="H808">
        <v>20.6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4.28</v>
      </c>
      <c r="P808">
        <v>0</v>
      </c>
      <c r="Q808">
        <v>73.62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11</v>
      </c>
      <c r="AK808" t="s">
        <v>1</v>
      </c>
      <c r="AL808" t="s">
        <v>381</v>
      </c>
      <c r="AQ808" s="1">
        <f t="shared" si="373"/>
        <v>100</v>
      </c>
      <c r="AR808" s="1">
        <f t="shared" si="374"/>
        <v>4.2800000000000005E-2</v>
      </c>
      <c r="AS808" s="1">
        <f t="shared" si="364"/>
        <v>1.4999999999999999E-2</v>
      </c>
      <c r="AT808" s="1">
        <f t="shared" si="365"/>
        <v>0.20600000000000002</v>
      </c>
      <c r="AU808" s="1">
        <f t="shared" si="375"/>
        <v>0.73620000000000008</v>
      </c>
      <c r="AV808" s="1">
        <f t="shared" si="376"/>
        <v>0.11</v>
      </c>
      <c r="AX808" s="1">
        <f t="shared" si="377"/>
        <v>3.3312217194570133</v>
      </c>
      <c r="AY808" s="1">
        <f t="shared" si="378"/>
        <v>0.19366515837104073</v>
      </c>
      <c r="AZ808" s="1">
        <f t="shared" si="379"/>
        <v>0.70820135746606327</v>
      </c>
      <c r="BA808" s="1">
        <f t="shared" si="380"/>
        <v>1.3328054298642533</v>
      </c>
      <c r="BB808" s="1">
        <f t="shared" si="381"/>
        <v>0.19366515837104073</v>
      </c>
      <c r="BC808" s="1">
        <f t="shared" si="382"/>
        <v>0.19366515837104073</v>
      </c>
      <c r="BD808" s="1">
        <f t="shared" si="383"/>
        <v>8.3665158371040729E-2</v>
      </c>
      <c r="BF808">
        <f t="shared" si="369"/>
        <v>26.6</v>
      </c>
      <c r="BG808">
        <f t="shared" si="370"/>
        <v>4.28</v>
      </c>
      <c r="BH808" s="1">
        <f t="shared" si="371"/>
        <v>2.7676691729323308</v>
      </c>
      <c r="BI808" s="1">
        <f t="shared" si="372"/>
        <v>0.16090225563909774</v>
      </c>
      <c r="BJ808" s="1">
        <f t="shared" si="366"/>
        <v>0.6425857142857142</v>
      </c>
      <c r="BK808" s="1">
        <f t="shared" si="367"/>
        <v>1.4853699248120302</v>
      </c>
      <c r="BL808" s="1">
        <f t="shared" si="384"/>
        <v>0.16090225563909774</v>
      </c>
      <c r="BM808" s="1">
        <f t="shared" si="385"/>
        <v>0.16090225563909774</v>
      </c>
      <c r="BN808" s="1">
        <f t="shared" si="386"/>
        <v>2.5910396291480577E-3</v>
      </c>
      <c r="BO808" s="1">
        <f t="shared" si="368"/>
        <v>8.8590120189264238E-2</v>
      </c>
    </row>
    <row r="809" spans="1:67" x14ac:dyDescent="0.25">
      <c r="A809" s="3"/>
      <c r="B809" s="3"/>
      <c r="C809" t="s">
        <v>654</v>
      </c>
      <c r="D809" s="6" t="s">
        <v>455</v>
      </c>
      <c r="E809" s="1"/>
      <c r="F809" s="1"/>
      <c r="G809">
        <v>2</v>
      </c>
      <c r="H809">
        <v>20.49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4.26</v>
      </c>
      <c r="P809">
        <v>0</v>
      </c>
      <c r="Q809">
        <v>73.25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7</v>
      </c>
      <c r="AK809" t="s">
        <v>1</v>
      </c>
      <c r="AL809" t="s">
        <v>381</v>
      </c>
      <c r="AQ809" s="1">
        <f t="shared" si="373"/>
        <v>100</v>
      </c>
      <c r="AR809" s="1">
        <f t="shared" si="374"/>
        <v>4.2599999999999999E-2</v>
      </c>
      <c r="AS809" s="1">
        <f t="shared" si="364"/>
        <v>0.02</v>
      </c>
      <c r="AT809" s="1">
        <f t="shared" si="365"/>
        <v>0.20489999999999997</v>
      </c>
      <c r="AU809" s="1">
        <f t="shared" si="375"/>
        <v>0.73250000000000004</v>
      </c>
      <c r="AV809" s="1">
        <f t="shared" si="376"/>
        <v>7.0000000000000007E-2</v>
      </c>
      <c r="AX809" s="1">
        <f t="shared" si="377"/>
        <v>3.2570031124944427</v>
      </c>
      <c r="AY809" s="1">
        <f t="shared" si="378"/>
        <v>0.18941751889728772</v>
      </c>
      <c r="AZ809" s="1">
        <f t="shared" si="379"/>
        <v>0.7035626945309027</v>
      </c>
      <c r="BA809" s="1">
        <f t="shared" si="380"/>
        <v>1.3142507781236108</v>
      </c>
      <c r="BB809" s="1">
        <f t="shared" si="381"/>
        <v>0.18941751889728772</v>
      </c>
      <c r="BC809" s="1">
        <f t="shared" si="382"/>
        <v>0.18941751889728772</v>
      </c>
      <c r="BD809" s="1">
        <f t="shared" si="383"/>
        <v>0.11941751889728772</v>
      </c>
      <c r="BF809">
        <f t="shared" si="369"/>
        <v>28.49</v>
      </c>
      <c r="BG809">
        <f t="shared" si="370"/>
        <v>4.26</v>
      </c>
      <c r="BH809" s="1">
        <f t="shared" si="371"/>
        <v>2.5710775710775713</v>
      </c>
      <c r="BI809" s="1">
        <f t="shared" si="372"/>
        <v>0.14952614952614954</v>
      </c>
      <c r="BJ809" s="1">
        <f t="shared" si="366"/>
        <v>0.63885047385047378</v>
      </c>
      <c r="BK809" s="1">
        <f t="shared" si="367"/>
        <v>1.3866809406809408</v>
      </c>
      <c r="BL809" s="1">
        <f t="shared" si="384"/>
        <v>0.14952614952614954</v>
      </c>
      <c r="BM809" s="1">
        <f t="shared" si="385"/>
        <v>0.14952614952614954</v>
      </c>
      <c r="BN809" s="1">
        <f t="shared" si="386"/>
        <v>6.3244084584554933E-3</v>
      </c>
      <c r="BO809" s="1">
        <f t="shared" si="368"/>
        <v>0.11400139418313719</v>
      </c>
    </row>
    <row r="810" spans="1:67" x14ac:dyDescent="0.25">
      <c r="A810" s="3"/>
      <c r="B810" s="3"/>
      <c r="C810" t="s">
        <v>655</v>
      </c>
      <c r="D810" s="6" t="s">
        <v>455</v>
      </c>
      <c r="E810" s="1"/>
      <c r="F810" s="1"/>
      <c r="G810">
        <v>4</v>
      </c>
      <c r="H810">
        <v>20.07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4.17</v>
      </c>
      <c r="P810">
        <v>0</v>
      </c>
      <c r="Q810">
        <v>71.760000000000005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2</v>
      </c>
      <c r="AK810" t="s">
        <v>1</v>
      </c>
      <c r="AL810" t="s">
        <v>381</v>
      </c>
      <c r="AQ810" s="1">
        <f t="shared" si="373"/>
        <v>100</v>
      </c>
      <c r="AR810" s="1">
        <f t="shared" si="374"/>
        <v>4.1700000000000001E-2</v>
      </c>
      <c r="AS810" s="1">
        <f t="shared" si="364"/>
        <v>0.04</v>
      </c>
      <c r="AT810" s="1">
        <f t="shared" si="365"/>
        <v>0.20069999999999999</v>
      </c>
      <c r="AU810" s="1">
        <f t="shared" si="375"/>
        <v>0.71760000000000002</v>
      </c>
      <c r="AV810" s="1">
        <f t="shared" si="376"/>
        <v>0.02</v>
      </c>
      <c r="AX810" s="1">
        <f t="shared" si="377"/>
        <v>2.9813045284586623</v>
      </c>
      <c r="AY810" s="1">
        <f t="shared" si="378"/>
        <v>0.17324470294972996</v>
      </c>
      <c r="AZ810" s="1">
        <f t="shared" si="379"/>
        <v>0.68633153302866634</v>
      </c>
      <c r="BA810" s="1">
        <f t="shared" si="380"/>
        <v>1.2453261321146656</v>
      </c>
      <c r="BB810" s="1">
        <f t="shared" si="381"/>
        <v>0.17324470294972996</v>
      </c>
      <c r="BC810" s="1">
        <f t="shared" si="382"/>
        <v>0.17324470294972996</v>
      </c>
      <c r="BD810" s="1">
        <f t="shared" si="383"/>
        <v>0.15324470294972997</v>
      </c>
      <c r="BF810">
        <f t="shared" si="369"/>
        <v>36.07</v>
      </c>
      <c r="BG810">
        <f t="shared" si="370"/>
        <v>4.17</v>
      </c>
      <c r="BH810" s="1">
        <f t="shared" si="371"/>
        <v>1.9894649293041309</v>
      </c>
      <c r="BI810" s="1">
        <f t="shared" si="372"/>
        <v>0.1156085389520377</v>
      </c>
      <c r="BJ810" s="1">
        <f t="shared" si="366"/>
        <v>0.62779983365677849</v>
      </c>
      <c r="BK810" s="1">
        <f t="shared" si="367"/>
        <v>1.0947113945106737</v>
      </c>
      <c r="BL810" s="1">
        <f t="shared" si="384"/>
        <v>0.1156085389520377</v>
      </c>
      <c r="BM810" s="1">
        <f t="shared" si="385"/>
        <v>0.1156085389520377</v>
      </c>
      <c r="BN810" s="1">
        <f t="shared" si="386"/>
        <v>9.1409927205433079E-3</v>
      </c>
      <c r="BO810" s="1">
        <f t="shared" si="368"/>
        <v>0.1502654866754784</v>
      </c>
    </row>
    <row r="811" spans="1:67" x14ac:dyDescent="0.25">
      <c r="A811" s="3"/>
      <c r="B811" s="3"/>
      <c r="C811" t="s">
        <v>656</v>
      </c>
      <c r="D811" s="6" t="s">
        <v>455</v>
      </c>
      <c r="E811" s="1"/>
      <c r="F811" s="1"/>
      <c r="G811">
        <v>25.009156875721651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24.983640870731978</v>
      </c>
      <c r="P811">
        <v>0</v>
      </c>
      <c r="Q811">
        <v>50.007202253546353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 t="s">
        <v>1</v>
      </c>
      <c r="AL811" t="s">
        <v>372</v>
      </c>
      <c r="AP811" t="s">
        <v>820</v>
      </c>
      <c r="AQ811" s="1">
        <f t="shared" si="373"/>
        <v>99.999999999999986</v>
      </c>
      <c r="AR811" s="1">
        <f t="shared" ref="AR811:AR832" si="387">(L811+M811+O811+X811)/100</f>
        <v>0.2498364087073198</v>
      </c>
      <c r="AS811" s="1">
        <f t="shared" si="364"/>
        <v>0.2500915687572165</v>
      </c>
      <c r="AT811" s="1">
        <f t="shared" si="365"/>
        <v>0</v>
      </c>
      <c r="AU811" s="1">
        <f t="shared" ref="AU811:AU832" si="388">Q811/100</f>
        <v>0.50007202253546357</v>
      </c>
      <c r="AV811" s="1">
        <f t="shared" ref="AV811:AV832" si="389">AJ811/100</f>
        <v>0</v>
      </c>
      <c r="AX811" s="1">
        <f t="shared" ref="AX811:AX832" si="390">AU811/(AT811+AS811)</f>
        <v>1.9995557028190851</v>
      </c>
      <c r="AY811" s="1">
        <f t="shared" ref="AY811:AY832" si="391">AR811/(AS811+AT811)</f>
        <v>0.99897973349855551</v>
      </c>
      <c r="AZ811" s="1">
        <f t="shared" ref="AZ811:AZ832" si="392">0.5+AX811/16</f>
        <v>0.62497223142619285</v>
      </c>
      <c r="BA811" s="1">
        <f t="shared" ref="BA811:BA832" si="393">0.5+AX811/4</f>
        <v>0.99988892570477128</v>
      </c>
      <c r="BB811" s="1">
        <f t="shared" ref="BB811:BB832" si="394">IF(AY811&lt;=AZ811,AY811,IF(AY811&lt;=BA811,AZ811,AZ811-(AY811-BA811)*(8+AX811)/(12*(2+AX811))))</f>
        <v>0.62497223142619285</v>
      </c>
      <c r="BC811" s="1">
        <f t="shared" ref="BC811:BC832" si="395">IF(BB811&lt;1,BB811,1)</f>
        <v>0.62497223142619285</v>
      </c>
      <c r="BD811" s="1">
        <f t="shared" ref="BD811:BD832" si="396">ABS(BC811-AV811)</f>
        <v>0.62497223142619285</v>
      </c>
      <c r="BF811">
        <f t="shared" si="369"/>
        <v>100.0366275028866</v>
      </c>
      <c r="BG811">
        <f t="shared" si="370"/>
        <v>24.983640870731978</v>
      </c>
      <c r="BH811" s="1">
        <f t="shared" si="371"/>
        <v>0.49988892570477123</v>
      </c>
      <c r="BI811" s="1">
        <f t="shared" si="372"/>
        <v>0.24974493337463885</v>
      </c>
      <c r="BJ811" s="1">
        <f t="shared" si="366"/>
        <v>0.59949788958839068</v>
      </c>
      <c r="BK811" s="1">
        <f t="shared" si="367"/>
        <v>0.34694424070379515</v>
      </c>
      <c r="BL811" s="1">
        <f t="shared" ref="BL811:BL832" si="397">IF(BI811&lt;=BJ811,BI811,IF(BI811&lt;=BK811,BJ811,BJ811-(BI811-BK811)*(8+BH811)/(12*(2+BH811))))</f>
        <v>0.24974493337463885</v>
      </c>
      <c r="BM811" s="1">
        <f t="shared" ref="BM811:BM832" si="398">IF(BL811&lt;1,IF(BL811&gt;0,BL811,0),1)</f>
        <v>0.24974493337463885</v>
      </c>
      <c r="BN811" s="1">
        <f t="shared" ref="BN811:BN832" si="399">(BM811-AV811)^2</f>
        <v>6.2372531746302799E-2</v>
      </c>
      <c r="BO811" s="1">
        <f t="shared" si="368"/>
        <v>0.16617112367241488</v>
      </c>
    </row>
    <row r="812" spans="1:67" x14ac:dyDescent="0.25">
      <c r="A812" s="3"/>
      <c r="B812" s="3"/>
      <c r="C812" t="s">
        <v>657</v>
      </c>
      <c r="D812" s="6" t="s">
        <v>455</v>
      </c>
      <c r="E812" s="1"/>
      <c r="F812" s="1"/>
      <c r="G812">
        <v>18.746297866778381</v>
      </c>
      <c r="H812">
        <v>6.2445361911932844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25.050297913250741</v>
      </c>
      <c r="P812">
        <v>0</v>
      </c>
      <c r="Q812">
        <v>49.958868028777587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12</v>
      </c>
      <c r="AK812" t="s">
        <v>1</v>
      </c>
      <c r="AL812" t="s">
        <v>372</v>
      </c>
      <c r="AQ812" s="1">
        <f t="shared" si="373"/>
        <v>100</v>
      </c>
      <c r="AR812" s="1">
        <f t="shared" si="387"/>
        <v>0.25050297913250741</v>
      </c>
      <c r="AS812" s="1">
        <f t="shared" si="364"/>
        <v>0.1874629786677838</v>
      </c>
      <c r="AT812" s="1">
        <f t="shared" si="365"/>
        <v>6.2445361911932847E-2</v>
      </c>
      <c r="AU812" s="1">
        <f t="shared" si="388"/>
        <v>0.49958868028777587</v>
      </c>
      <c r="AV812" s="1">
        <f t="shared" si="389"/>
        <v>0.12</v>
      </c>
      <c r="AX812" s="1">
        <f t="shared" si="390"/>
        <v>1.9990876620158875</v>
      </c>
      <c r="AY812" s="1">
        <f t="shared" si="391"/>
        <v>1.0023794265986137</v>
      </c>
      <c r="AZ812" s="1">
        <f t="shared" si="392"/>
        <v>0.62494297887599293</v>
      </c>
      <c r="BA812" s="1">
        <f t="shared" si="393"/>
        <v>0.99977191550397193</v>
      </c>
      <c r="BB812" s="1">
        <f t="shared" si="394"/>
        <v>0.62439967303937582</v>
      </c>
      <c r="BC812" s="1">
        <f t="shared" si="395"/>
        <v>0.62439967303937582</v>
      </c>
      <c r="BD812" s="1">
        <f t="shared" si="396"/>
        <v>0.50439967303937583</v>
      </c>
      <c r="BF812">
        <f t="shared" si="369"/>
        <v>81.229727658306814</v>
      </c>
      <c r="BG812">
        <f t="shared" si="370"/>
        <v>25.050297913250741</v>
      </c>
      <c r="BH812" s="1">
        <f t="shared" si="371"/>
        <v>0.61503182971300574</v>
      </c>
      <c r="BI812" s="1">
        <f t="shared" si="372"/>
        <v>0.30838830358541791</v>
      </c>
      <c r="BJ812" s="1">
        <f t="shared" si="366"/>
        <v>0.60168560476454713</v>
      </c>
      <c r="BK812" s="1">
        <f t="shared" si="367"/>
        <v>0.40474597851592886</v>
      </c>
      <c r="BL812" s="1">
        <f t="shared" si="397"/>
        <v>0.30838830358541791</v>
      </c>
      <c r="BM812" s="1">
        <f t="shared" si="398"/>
        <v>0.30838830358541791</v>
      </c>
      <c r="BN812" s="1">
        <f t="shared" si="399"/>
        <v>3.5490152927791584E-2</v>
      </c>
      <c r="BO812" s="1">
        <f t="shared" si="368"/>
        <v>8.2737301690795989E-2</v>
      </c>
    </row>
    <row r="813" spans="1:67" x14ac:dyDescent="0.25">
      <c r="A813" s="3"/>
      <c r="B813" s="3"/>
      <c r="C813" t="s">
        <v>658</v>
      </c>
      <c r="D813" s="6" t="s">
        <v>455</v>
      </c>
      <c r="E813" s="1"/>
      <c r="F813" s="1"/>
      <c r="G813">
        <v>12.48043074779279</v>
      </c>
      <c r="H813">
        <v>12.50671401941584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24.96218436077163</v>
      </c>
      <c r="P813">
        <v>0</v>
      </c>
      <c r="Q813">
        <v>50.05067087201973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38</v>
      </c>
      <c r="AK813" t="s">
        <v>1</v>
      </c>
      <c r="AL813" t="s">
        <v>372</v>
      </c>
      <c r="AQ813" s="1">
        <f t="shared" si="373"/>
        <v>100</v>
      </c>
      <c r="AR813" s="1">
        <f t="shared" si="387"/>
        <v>0.2496218436077163</v>
      </c>
      <c r="AS813" s="1">
        <f t="shared" si="364"/>
        <v>0.12480430747792789</v>
      </c>
      <c r="AT813" s="1">
        <f t="shared" si="365"/>
        <v>0.1250671401941584</v>
      </c>
      <c r="AU813" s="1">
        <f t="shared" si="388"/>
        <v>0.50050670872019731</v>
      </c>
      <c r="AV813" s="1">
        <f t="shared" si="389"/>
        <v>0.38</v>
      </c>
      <c r="AX813" s="1">
        <f t="shared" si="390"/>
        <v>2.003056825352159</v>
      </c>
      <c r="AY813" s="1">
        <f t="shared" si="391"/>
        <v>0.99900107008345529</v>
      </c>
      <c r="AZ813" s="1">
        <f t="shared" si="392"/>
        <v>0.62519105158450994</v>
      </c>
      <c r="BA813" s="1">
        <f t="shared" si="393"/>
        <v>1.0007642063380398</v>
      </c>
      <c r="BB813" s="1">
        <f t="shared" si="394"/>
        <v>0.62519105158450994</v>
      </c>
      <c r="BC813" s="1">
        <f t="shared" si="395"/>
        <v>0.62519105158450994</v>
      </c>
      <c r="BD813" s="1">
        <f t="shared" si="396"/>
        <v>0.24519105158450993</v>
      </c>
      <c r="BF813">
        <f t="shared" si="369"/>
        <v>62.428437010586997</v>
      </c>
      <c r="BG813">
        <f t="shared" si="370"/>
        <v>24.96218436077163</v>
      </c>
      <c r="BH813" s="1">
        <f t="shared" si="371"/>
        <v>0.80172871961429737</v>
      </c>
      <c r="BI813" s="1">
        <f t="shared" si="372"/>
        <v>0.39985278434150756</v>
      </c>
      <c r="BJ813" s="1">
        <f t="shared" si="366"/>
        <v>0.60523284567267166</v>
      </c>
      <c r="BK813" s="1">
        <f t="shared" si="367"/>
        <v>0.49846781724637723</v>
      </c>
      <c r="BL813" s="1">
        <f t="shared" si="397"/>
        <v>0.39985278434150756</v>
      </c>
      <c r="BM813" s="1">
        <f t="shared" si="398"/>
        <v>0.39985278434150756</v>
      </c>
      <c r="BN813" s="1">
        <f t="shared" si="399"/>
        <v>3.9413304611040761E-4</v>
      </c>
      <c r="BO813" s="1">
        <f t="shared" si="368"/>
        <v>7.6402073062170313E-4</v>
      </c>
    </row>
    <row r="814" spans="1:67" x14ac:dyDescent="0.25">
      <c r="A814" s="3"/>
      <c r="B814" s="3"/>
      <c r="C814" t="s">
        <v>659</v>
      </c>
      <c r="D814" s="6" t="s">
        <v>455</v>
      </c>
      <c r="E814" s="1"/>
      <c r="F814" s="1"/>
      <c r="G814">
        <v>6.2436556841545459</v>
      </c>
      <c r="H814">
        <v>18.755680246611622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25.049865776482179</v>
      </c>
      <c r="P814">
        <v>0</v>
      </c>
      <c r="Q814">
        <v>49.950798292751657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51</v>
      </c>
      <c r="AK814" t="s">
        <v>1</v>
      </c>
      <c r="AL814" t="s">
        <v>372</v>
      </c>
      <c r="AQ814" s="1">
        <f t="shared" si="373"/>
        <v>100</v>
      </c>
      <c r="AR814" s="1">
        <f t="shared" si="387"/>
        <v>0.25049865776482177</v>
      </c>
      <c r="AS814" s="1">
        <f t="shared" si="364"/>
        <v>6.2436556841545456E-2</v>
      </c>
      <c r="AT814" s="1">
        <f t="shared" si="365"/>
        <v>0.18755680246611622</v>
      </c>
      <c r="AU814" s="1">
        <f t="shared" si="388"/>
        <v>0.49950798292751658</v>
      </c>
      <c r="AV814" s="1">
        <f t="shared" si="389"/>
        <v>0.51</v>
      </c>
      <c r="AX814" s="1">
        <f t="shared" si="390"/>
        <v>1.9980850063812392</v>
      </c>
      <c r="AY814" s="1">
        <f t="shared" si="391"/>
        <v>1.0020212475185721</v>
      </c>
      <c r="AZ814" s="1">
        <f t="shared" si="392"/>
        <v>0.62488031289882739</v>
      </c>
      <c r="BA814" s="1">
        <f t="shared" si="393"/>
        <v>0.9995212515953098</v>
      </c>
      <c r="BB814" s="1">
        <f t="shared" si="394"/>
        <v>0.62435933073452266</v>
      </c>
      <c r="BC814" s="1">
        <f t="shared" si="395"/>
        <v>0.62435933073452266</v>
      </c>
      <c r="BD814" s="1">
        <f t="shared" si="396"/>
        <v>0.11435933073452265</v>
      </c>
      <c r="BF814">
        <f t="shared" si="369"/>
        <v>43.730302983229805</v>
      </c>
      <c r="BG814">
        <f t="shared" si="370"/>
        <v>25.049865776482179</v>
      </c>
      <c r="BH814" s="1">
        <f t="shared" si="371"/>
        <v>1.1422467919306976</v>
      </c>
      <c r="BI814" s="1">
        <f t="shared" si="372"/>
        <v>0.57282625702567358</v>
      </c>
      <c r="BJ814" s="1">
        <f t="shared" si="366"/>
        <v>0.61170268904668323</v>
      </c>
      <c r="BK814" s="1">
        <f t="shared" si="367"/>
        <v>0.66940788954921016</v>
      </c>
      <c r="BL814" s="1">
        <f t="shared" si="397"/>
        <v>0.57282625702567358</v>
      </c>
      <c r="BM814" s="1">
        <f t="shared" si="398"/>
        <v>0.57282625702567358</v>
      </c>
      <c r="BN814" s="1">
        <f t="shared" si="399"/>
        <v>3.9471385718559977E-3</v>
      </c>
      <c r="BO814" s="1">
        <f t="shared" si="368"/>
        <v>1.0477380250534563E-2</v>
      </c>
    </row>
    <row r="815" spans="1:67" x14ac:dyDescent="0.25">
      <c r="A815" s="3"/>
      <c r="B815" s="3"/>
      <c r="C815" t="s">
        <v>660</v>
      </c>
      <c r="D815" s="6" t="s">
        <v>455</v>
      </c>
      <c r="E815" s="1"/>
      <c r="F815" s="1"/>
      <c r="G815">
        <v>0</v>
      </c>
      <c r="H815">
        <v>25.045061312491839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24.983206447319969</v>
      </c>
      <c r="P815">
        <v>0</v>
      </c>
      <c r="Q815">
        <v>49.971732240188203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57</v>
      </c>
      <c r="AK815" t="s">
        <v>1</v>
      </c>
      <c r="AL815" t="s">
        <v>372</v>
      </c>
      <c r="AQ815" s="1">
        <f t="shared" si="373"/>
        <v>100.00000000000001</v>
      </c>
      <c r="AR815" s="1">
        <f t="shared" si="387"/>
        <v>0.24983206447319969</v>
      </c>
      <c r="AS815" s="1">
        <f t="shared" si="364"/>
        <v>0</v>
      </c>
      <c r="AT815" s="1">
        <f t="shared" si="365"/>
        <v>0.2504506131249184</v>
      </c>
      <c r="AU815" s="1">
        <f t="shared" si="388"/>
        <v>0.49971732240188205</v>
      </c>
      <c r="AV815" s="1">
        <f t="shared" si="389"/>
        <v>0.56999999999999995</v>
      </c>
      <c r="AX815" s="1">
        <f t="shared" si="390"/>
        <v>1.9952729049724296</v>
      </c>
      <c r="AY815" s="1">
        <f t="shared" si="391"/>
        <v>0.99753025698759146</v>
      </c>
      <c r="AZ815" s="1">
        <f t="shared" si="392"/>
        <v>0.62470455656077684</v>
      </c>
      <c r="BA815" s="1">
        <f t="shared" si="393"/>
        <v>0.99881822624310734</v>
      </c>
      <c r="BB815" s="1">
        <f t="shared" si="394"/>
        <v>0.62470455656077684</v>
      </c>
      <c r="BC815" s="1">
        <f t="shared" si="395"/>
        <v>0.62470455656077684</v>
      </c>
      <c r="BD815" s="1">
        <f t="shared" si="396"/>
        <v>5.4704556560776885E-2</v>
      </c>
      <c r="BF815">
        <f t="shared" si="369"/>
        <v>25.045061312491839</v>
      </c>
      <c r="BG815">
        <f t="shared" si="370"/>
        <v>24.983206447319969</v>
      </c>
      <c r="BH815" s="1">
        <f t="shared" si="371"/>
        <v>1.9952729049724296</v>
      </c>
      <c r="BI815" s="1">
        <f t="shared" si="372"/>
        <v>0.99753025698759146</v>
      </c>
      <c r="BJ815" s="1">
        <f t="shared" si="366"/>
        <v>0.62791018519447617</v>
      </c>
      <c r="BK815" s="1">
        <f t="shared" si="367"/>
        <v>1.0976269982961597</v>
      </c>
      <c r="BL815" s="1">
        <f t="shared" si="397"/>
        <v>0.62791018519447617</v>
      </c>
      <c r="BM815" s="1">
        <f t="shared" si="398"/>
        <v>0.62791018519447617</v>
      </c>
      <c r="BN815" s="1">
        <f t="shared" si="399"/>
        <v>3.3535895492585325E-3</v>
      </c>
      <c r="BO815" s="1">
        <f t="shared" si="368"/>
        <v>2.6360469259725097E-2</v>
      </c>
    </row>
    <row r="816" spans="1:67" x14ac:dyDescent="0.25">
      <c r="A816" s="3"/>
      <c r="B816" s="3"/>
      <c r="C816" t="s">
        <v>661</v>
      </c>
      <c r="D816" s="6" t="s">
        <v>455</v>
      </c>
      <c r="E816" s="1"/>
      <c r="F816" s="1"/>
      <c r="G816">
        <v>11.24494655806239</v>
      </c>
      <c r="H816">
        <v>1.216499608348347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12.507955343301189</v>
      </c>
      <c r="P816">
        <v>0</v>
      </c>
      <c r="Q816">
        <v>75.030598490288085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 t="s">
        <v>1</v>
      </c>
      <c r="AL816" t="s">
        <v>372</v>
      </c>
      <c r="AQ816" s="1">
        <f t="shared" si="373"/>
        <v>100.00000000000001</v>
      </c>
      <c r="AR816" s="1">
        <f t="shared" si="387"/>
        <v>0.12507955343301189</v>
      </c>
      <c r="AS816" s="1">
        <f t="shared" si="364"/>
        <v>0.11244946558062389</v>
      </c>
      <c r="AT816" s="1">
        <f t="shared" si="365"/>
        <v>1.2164996083483471E-2</v>
      </c>
      <c r="AU816" s="1">
        <f t="shared" si="388"/>
        <v>0.75030598490288081</v>
      </c>
      <c r="AV816" s="1">
        <f t="shared" si="389"/>
        <v>0</v>
      </c>
      <c r="AX816" s="1">
        <f t="shared" si="390"/>
        <v>6.0210185469909314</v>
      </c>
      <c r="AY816" s="1">
        <f t="shared" si="391"/>
        <v>1.0037322455411166</v>
      </c>
      <c r="AZ816" s="1">
        <f t="shared" si="392"/>
        <v>0.87631365918693316</v>
      </c>
      <c r="BA816" s="1">
        <f t="shared" si="393"/>
        <v>2.0052546367477326</v>
      </c>
      <c r="BB816" s="1">
        <f t="shared" si="394"/>
        <v>0.87631365918693316</v>
      </c>
      <c r="BC816" s="1">
        <f t="shared" si="395"/>
        <v>0.87631365918693316</v>
      </c>
      <c r="BD816" s="1">
        <f t="shared" si="396"/>
        <v>0.87631365918693316</v>
      </c>
      <c r="BF816">
        <f t="shared" si="369"/>
        <v>46.196285840597909</v>
      </c>
      <c r="BG816">
        <f t="shared" si="370"/>
        <v>12.507955343301189</v>
      </c>
      <c r="BH816" s="1">
        <f t="shared" si="371"/>
        <v>1.6241695003183612</v>
      </c>
      <c r="BI816" s="1">
        <f t="shared" si="372"/>
        <v>0.27075673110302367</v>
      </c>
      <c r="BJ816" s="1">
        <f t="shared" si="366"/>
        <v>0.6208592205060488</v>
      </c>
      <c r="BK816" s="1">
        <f t="shared" si="367"/>
        <v>0.91133308915981726</v>
      </c>
      <c r="BL816" s="1">
        <f t="shared" si="397"/>
        <v>0.27075673110302367</v>
      </c>
      <c r="BM816" s="1">
        <f t="shared" si="398"/>
        <v>0.27075673110302367</v>
      </c>
      <c r="BN816" s="1">
        <f t="shared" si="399"/>
        <v>7.3309207437595073E-2</v>
      </c>
      <c r="BO816" s="1">
        <f t="shared" si="368"/>
        <v>0.16617112367241488</v>
      </c>
    </row>
    <row r="817" spans="1:67" x14ac:dyDescent="0.25">
      <c r="A817" s="3"/>
      <c r="B817" s="3"/>
      <c r="C817" t="s">
        <v>662</v>
      </c>
      <c r="D817" s="6" t="s">
        <v>455</v>
      </c>
      <c r="E817" s="1"/>
      <c r="F817" s="1"/>
      <c r="G817">
        <v>9.3686795719200084</v>
      </c>
      <c r="H817">
        <v>3.1522414850163529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12.496619564447361</v>
      </c>
      <c r="P817">
        <v>0</v>
      </c>
      <c r="Q817">
        <v>74.982459378616269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28</v>
      </c>
      <c r="AK817" t="s">
        <v>1</v>
      </c>
      <c r="AL817" t="s">
        <v>372</v>
      </c>
      <c r="AQ817" s="1">
        <f t="shared" si="373"/>
        <v>100</v>
      </c>
      <c r="AR817" s="1">
        <f t="shared" si="387"/>
        <v>0.1249661956444736</v>
      </c>
      <c r="AS817" s="1">
        <f t="shared" si="364"/>
        <v>9.3686795719200078E-2</v>
      </c>
      <c r="AT817" s="1">
        <f t="shared" si="365"/>
        <v>3.1522414850163528E-2</v>
      </c>
      <c r="AU817" s="1">
        <f t="shared" si="388"/>
        <v>0.74982459378616273</v>
      </c>
      <c r="AV817" s="1">
        <f t="shared" si="389"/>
        <v>0.28000000000000003</v>
      </c>
      <c r="AX817" s="1">
        <f t="shared" si="390"/>
        <v>5.9885737668697603</v>
      </c>
      <c r="AY817" s="1">
        <f t="shared" si="391"/>
        <v>0.99805912900668459</v>
      </c>
      <c r="AZ817" s="1">
        <f t="shared" si="392"/>
        <v>0.87428586042935996</v>
      </c>
      <c r="BA817" s="1">
        <f t="shared" si="393"/>
        <v>1.9971434417174401</v>
      </c>
      <c r="BB817" s="1">
        <f t="shared" si="394"/>
        <v>0.87428586042935996</v>
      </c>
      <c r="BC817" s="1">
        <f t="shared" si="395"/>
        <v>0.87428586042935996</v>
      </c>
      <c r="BD817" s="1">
        <f t="shared" si="396"/>
        <v>0.59428586042935994</v>
      </c>
      <c r="BF817">
        <f t="shared" si="369"/>
        <v>40.626959772696388</v>
      </c>
      <c r="BG817">
        <f t="shared" si="370"/>
        <v>12.496619564447361</v>
      </c>
      <c r="BH817" s="1">
        <f t="shared" si="371"/>
        <v>1.8456330426429968</v>
      </c>
      <c r="BI817" s="1">
        <f t="shared" si="372"/>
        <v>0.30759425845213739</v>
      </c>
      <c r="BJ817" s="1">
        <f t="shared" si="366"/>
        <v>0.62506702781021695</v>
      </c>
      <c r="BK817" s="1">
        <f t="shared" si="367"/>
        <v>1.0225077874067845</v>
      </c>
      <c r="BL817" s="1">
        <f t="shared" si="397"/>
        <v>0.30759425845213739</v>
      </c>
      <c r="BM817" s="1">
        <f t="shared" si="398"/>
        <v>0.30759425845213739</v>
      </c>
      <c r="BN817" s="1">
        <f t="shared" si="399"/>
        <v>7.614430995233544E-4</v>
      </c>
      <c r="BO817" s="1">
        <f t="shared" si="368"/>
        <v>1.6292205715304115E-2</v>
      </c>
    </row>
    <row r="818" spans="1:67" x14ac:dyDescent="0.25">
      <c r="A818" s="3"/>
      <c r="B818" s="3"/>
      <c r="C818" t="s">
        <v>663</v>
      </c>
      <c r="D818" s="6" t="s">
        <v>455</v>
      </c>
      <c r="E818" s="1"/>
      <c r="F818" s="1"/>
      <c r="G818">
        <v>6.2307208751985099</v>
      </c>
      <c r="H818">
        <v>6.2966750295847893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12.505260972036041</v>
      </c>
      <c r="P818">
        <v>0</v>
      </c>
      <c r="Q818">
        <v>74.967343123180669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48</v>
      </c>
      <c r="AK818" t="s">
        <v>1</v>
      </c>
      <c r="AL818" t="s">
        <v>372</v>
      </c>
      <c r="AQ818" s="1">
        <f t="shared" si="373"/>
        <v>100</v>
      </c>
      <c r="AR818" s="1">
        <f t="shared" si="387"/>
        <v>0.12505260972036042</v>
      </c>
      <c r="AS818" s="1">
        <f t="shared" si="364"/>
        <v>6.2307208751985102E-2</v>
      </c>
      <c r="AT818" s="1">
        <f t="shared" si="365"/>
        <v>6.296675029584789E-2</v>
      </c>
      <c r="AU818" s="1">
        <f t="shared" si="388"/>
        <v>0.74967343123180674</v>
      </c>
      <c r="AV818" s="1">
        <f t="shared" si="389"/>
        <v>0.48</v>
      </c>
      <c r="AX818" s="1">
        <f t="shared" si="390"/>
        <v>5.9842718864306113</v>
      </c>
      <c r="AY818" s="1">
        <f t="shared" si="391"/>
        <v>0.99823307789460003</v>
      </c>
      <c r="AZ818" s="1">
        <f t="shared" si="392"/>
        <v>0.87401699290191326</v>
      </c>
      <c r="BA818" s="1">
        <f t="shared" si="393"/>
        <v>1.9960679716076528</v>
      </c>
      <c r="BB818" s="1">
        <f t="shared" si="394"/>
        <v>0.87401699290191326</v>
      </c>
      <c r="BC818" s="1">
        <f t="shared" si="395"/>
        <v>0.87401699290191326</v>
      </c>
      <c r="BD818" s="1">
        <f t="shared" si="396"/>
        <v>0.39401699290191328</v>
      </c>
      <c r="BF818">
        <f t="shared" si="369"/>
        <v>31.21955853037883</v>
      </c>
      <c r="BG818">
        <f t="shared" si="370"/>
        <v>12.505260972036041</v>
      </c>
      <c r="BH818" s="1">
        <f t="shared" si="371"/>
        <v>2.4012941454707684</v>
      </c>
      <c r="BI818" s="1">
        <f t="shared" si="372"/>
        <v>0.40055854601106999</v>
      </c>
      <c r="BJ818" s="1">
        <f t="shared" si="366"/>
        <v>0.63562458876394456</v>
      </c>
      <c r="BK818" s="1">
        <f t="shared" si="367"/>
        <v>1.3014496610263258</v>
      </c>
      <c r="BL818" s="1">
        <f t="shared" si="397"/>
        <v>0.40055854601106999</v>
      </c>
      <c r="BM818" s="1">
        <f t="shared" si="398"/>
        <v>0.40055854601106999</v>
      </c>
      <c r="BN818" s="1">
        <f t="shared" si="399"/>
        <v>6.3109446118752802E-3</v>
      </c>
      <c r="BO818" s="1">
        <f t="shared" si="368"/>
        <v>5.2358357459392837E-3</v>
      </c>
    </row>
    <row r="819" spans="1:67" x14ac:dyDescent="0.25">
      <c r="A819" s="3"/>
      <c r="B819" s="3"/>
      <c r="C819" t="s">
        <v>664</v>
      </c>
      <c r="D819" s="6" t="s">
        <v>455</v>
      </c>
      <c r="E819" s="1"/>
      <c r="F819" s="1"/>
      <c r="G819">
        <v>3.127171413589346</v>
      </c>
      <c r="H819">
        <v>9.3398251044425074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12.508286760388559</v>
      </c>
      <c r="P819">
        <v>0</v>
      </c>
      <c r="Q819">
        <v>75.024716721579594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52</v>
      </c>
      <c r="AK819" t="s">
        <v>1</v>
      </c>
      <c r="AL819" t="s">
        <v>372</v>
      </c>
      <c r="AQ819" s="1">
        <f t="shared" si="373"/>
        <v>100</v>
      </c>
      <c r="AR819" s="1">
        <f t="shared" si="387"/>
        <v>0.12508286760388559</v>
      </c>
      <c r="AS819" s="1">
        <f t="shared" si="364"/>
        <v>3.1271714135893462E-2</v>
      </c>
      <c r="AT819" s="1">
        <f t="shared" si="365"/>
        <v>9.3398251044425076E-2</v>
      </c>
      <c r="AU819" s="1">
        <f t="shared" si="388"/>
        <v>0.75024716721579598</v>
      </c>
      <c r="AV819" s="1">
        <f t="shared" si="389"/>
        <v>0.52</v>
      </c>
      <c r="AX819" s="1">
        <f t="shared" si="390"/>
        <v>6.017866180765056</v>
      </c>
      <c r="AY819" s="1">
        <f t="shared" si="391"/>
        <v>1.0033119638957937</v>
      </c>
      <c r="AZ819" s="1">
        <f t="shared" si="392"/>
        <v>0.876116636297816</v>
      </c>
      <c r="BA819" s="1">
        <f t="shared" si="393"/>
        <v>2.004466545191264</v>
      </c>
      <c r="BB819" s="1">
        <f t="shared" si="394"/>
        <v>0.876116636297816</v>
      </c>
      <c r="BC819" s="1">
        <f t="shared" si="395"/>
        <v>0.876116636297816</v>
      </c>
      <c r="BD819" s="1">
        <f t="shared" si="396"/>
        <v>0.35611663629781598</v>
      </c>
      <c r="BF819">
        <f t="shared" si="369"/>
        <v>21.84851075879989</v>
      </c>
      <c r="BG819">
        <f t="shared" si="370"/>
        <v>12.508286760388559</v>
      </c>
      <c r="BH819" s="1">
        <f t="shared" si="371"/>
        <v>3.4338595225014141</v>
      </c>
      <c r="BI819" s="1">
        <f t="shared" si="372"/>
        <v>0.57250065683999152</v>
      </c>
      <c r="BJ819" s="1">
        <f t="shared" si="366"/>
        <v>0.65524333092752685</v>
      </c>
      <c r="BK819" s="1">
        <f t="shared" si="367"/>
        <v>1.81979748029571</v>
      </c>
      <c r="BL819" s="1">
        <f t="shared" si="397"/>
        <v>0.57250065683999152</v>
      </c>
      <c r="BM819" s="1">
        <f t="shared" si="398"/>
        <v>0.57250065683999152</v>
      </c>
      <c r="BN819" s="1">
        <f t="shared" si="399"/>
        <v>2.7563189686305462E-3</v>
      </c>
      <c r="BO819" s="1">
        <f t="shared" si="368"/>
        <v>1.2624561752066324E-2</v>
      </c>
    </row>
    <row r="820" spans="1:67" x14ac:dyDescent="0.25">
      <c r="C820" t="s">
        <v>727</v>
      </c>
      <c r="G820">
        <v>12.92587171407583</v>
      </c>
      <c r="H820">
        <v>1.912267041596776</v>
      </c>
      <c r="I820">
        <v>6.884573968668863</v>
      </c>
      <c r="J820">
        <v>0</v>
      </c>
      <c r="K820">
        <v>0</v>
      </c>
      <c r="L820">
        <v>0</v>
      </c>
      <c r="M820">
        <v>0</v>
      </c>
      <c r="N820">
        <v>7.7621772626012397</v>
      </c>
      <c r="O820">
        <v>0</v>
      </c>
      <c r="P820">
        <v>0</v>
      </c>
      <c r="Q820">
        <v>64.477059632074358</v>
      </c>
      <c r="R820">
        <v>0</v>
      </c>
      <c r="S820">
        <v>0</v>
      </c>
      <c r="T820">
        <v>0.69524908415940434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5.139049044284862</v>
      </c>
      <c r="AC820">
        <v>0</v>
      </c>
      <c r="AD820">
        <v>0</v>
      </c>
      <c r="AE820">
        <v>0</v>
      </c>
      <c r="AF820">
        <v>0</v>
      </c>
      <c r="AG820">
        <v>8.8333458056094091E-2</v>
      </c>
      <c r="AH820">
        <v>0.115418794482569</v>
      </c>
      <c r="AI820">
        <v>0</v>
      </c>
      <c r="AJ820">
        <v>0</v>
      </c>
      <c r="AK820" t="s">
        <v>1</v>
      </c>
      <c r="AL820" t="s">
        <v>374</v>
      </c>
      <c r="AQ820" s="1">
        <f>SUM(G820:AF820)</f>
        <v>99.796247747461337</v>
      </c>
      <c r="AR820" s="1">
        <f t="shared" si="387"/>
        <v>0</v>
      </c>
      <c r="AS820" s="1">
        <f t="shared" si="364"/>
        <v>0.12925871714075832</v>
      </c>
      <c r="AT820" s="1">
        <f t="shared" si="365"/>
        <v>1.9122670415967758E-2</v>
      </c>
      <c r="AU820" s="1">
        <f t="shared" si="388"/>
        <v>0.64477059632074363</v>
      </c>
      <c r="AV820" s="1">
        <f t="shared" si="389"/>
        <v>0</v>
      </c>
      <c r="AX820" s="1">
        <f t="shared" si="390"/>
        <v>4.3453603375574872</v>
      </c>
      <c r="AY820" s="1">
        <f t="shared" si="391"/>
        <v>0</v>
      </c>
      <c r="AZ820" s="1">
        <f t="shared" si="392"/>
        <v>0.77158502109734295</v>
      </c>
      <c r="BA820" s="1">
        <f t="shared" si="393"/>
        <v>1.5863400843893718</v>
      </c>
      <c r="BB820" s="1">
        <f t="shared" si="394"/>
        <v>0</v>
      </c>
      <c r="BC820" s="1">
        <f t="shared" si="395"/>
        <v>0</v>
      </c>
      <c r="BD820" s="1">
        <f t="shared" si="396"/>
        <v>0</v>
      </c>
      <c r="BF820">
        <f t="shared" si="369"/>
        <v>53.731172692382671</v>
      </c>
      <c r="BG820">
        <f t="shared" si="370"/>
        <v>10.240524679857183</v>
      </c>
      <c r="BH820" s="1">
        <f t="shared" si="371"/>
        <v>1.1999935307798539</v>
      </c>
      <c r="BI820" s="1">
        <f t="shared" si="372"/>
        <v>0.19058814774963873</v>
      </c>
      <c r="BJ820" s="1">
        <f t="shared" si="366"/>
        <v>0.6127998770848172</v>
      </c>
      <c r="BK820" s="1">
        <f t="shared" si="367"/>
        <v>0.69839675245148669</v>
      </c>
      <c r="BL820" s="1">
        <f t="shared" si="397"/>
        <v>0.19058814774963873</v>
      </c>
      <c r="BM820" s="1">
        <f t="shared" si="398"/>
        <v>0.19058814774963873</v>
      </c>
      <c r="BN820" s="1">
        <f t="shared" si="399"/>
        <v>3.6323842062638119E-2</v>
      </c>
      <c r="BO820" s="1">
        <f t="shared" si="368"/>
        <v>0.16617112367241488</v>
      </c>
    </row>
    <row r="821" spans="1:67" x14ac:dyDescent="0.25">
      <c r="C821" t="s">
        <v>728</v>
      </c>
      <c r="G821">
        <v>11.550162116516439</v>
      </c>
      <c r="H821">
        <v>3.8014734543776592</v>
      </c>
      <c r="I821">
        <v>6.843062348849684</v>
      </c>
      <c r="J821">
        <v>0</v>
      </c>
      <c r="K821">
        <v>0</v>
      </c>
      <c r="L821">
        <v>0</v>
      </c>
      <c r="M821">
        <v>0</v>
      </c>
      <c r="N821">
        <v>7.7153739959124694</v>
      </c>
      <c r="O821">
        <v>0</v>
      </c>
      <c r="P821">
        <v>0</v>
      </c>
      <c r="Q821">
        <v>64.088285076279618</v>
      </c>
      <c r="R821">
        <v>0</v>
      </c>
      <c r="S821">
        <v>0</v>
      </c>
      <c r="T821">
        <v>0.69105697063246696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5.1080623410946124</v>
      </c>
      <c r="AC821">
        <v>0</v>
      </c>
      <c r="AD821">
        <v>0</v>
      </c>
      <c r="AE821">
        <v>0</v>
      </c>
      <c r="AF821">
        <v>0</v>
      </c>
      <c r="AG821">
        <v>8.7800837599864623E-2</v>
      </c>
      <c r="AH821">
        <v>0.1147228587371833</v>
      </c>
      <c r="AI821">
        <v>0</v>
      </c>
      <c r="AJ821">
        <v>0</v>
      </c>
      <c r="AK821" t="s">
        <v>1</v>
      </c>
      <c r="AL821" t="s">
        <v>374</v>
      </c>
      <c r="AQ821" s="1">
        <f>SUM(G821:AF821)</f>
        <v>99.797476303662947</v>
      </c>
      <c r="AR821" s="1">
        <f t="shared" si="387"/>
        <v>0</v>
      </c>
      <c r="AS821" s="1">
        <f t="shared" si="364"/>
        <v>0.11550162116516439</v>
      </c>
      <c r="AT821" s="1">
        <f t="shared" si="365"/>
        <v>3.8014734543776595E-2</v>
      </c>
      <c r="AU821" s="1">
        <f t="shared" si="388"/>
        <v>0.64088285076279616</v>
      </c>
      <c r="AV821" s="1">
        <f t="shared" si="389"/>
        <v>0</v>
      </c>
      <c r="AX821" s="1">
        <f t="shared" si="390"/>
        <v>4.1746877575564438</v>
      </c>
      <c r="AY821" s="1">
        <f t="shared" si="391"/>
        <v>0</v>
      </c>
      <c r="AZ821" s="1">
        <f t="shared" si="392"/>
        <v>0.7609179848472778</v>
      </c>
      <c r="BA821" s="1">
        <f t="shared" si="393"/>
        <v>1.543671939389111</v>
      </c>
      <c r="BB821" s="1">
        <f t="shared" si="394"/>
        <v>0</v>
      </c>
      <c r="BC821" s="1">
        <f t="shared" si="395"/>
        <v>0</v>
      </c>
      <c r="BD821" s="1">
        <f t="shared" si="396"/>
        <v>0</v>
      </c>
      <c r="BF821">
        <f t="shared" si="369"/>
        <v>50.116844779180596</v>
      </c>
      <c r="BG821">
        <f t="shared" si="370"/>
        <v>10.178777828244616</v>
      </c>
      <c r="BH821" s="1">
        <f t="shared" si="371"/>
        <v>1.2787773324250253</v>
      </c>
      <c r="BI821" s="1">
        <f t="shared" si="372"/>
        <v>0.20310093089645292</v>
      </c>
      <c r="BJ821" s="1">
        <f t="shared" si="366"/>
        <v>0.61429676931607546</v>
      </c>
      <c r="BK821" s="1">
        <f t="shared" si="367"/>
        <v>0.73794622087736272</v>
      </c>
      <c r="BL821" s="1">
        <f t="shared" si="397"/>
        <v>0.20310093089645292</v>
      </c>
      <c r="BM821" s="1">
        <f t="shared" si="398"/>
        <v>0.20310093089645292</v>
      </c>
      <c r="BN821" s="1">
        <f t="shared" si="399"/>
        <v>4.1249988131005749E-2</v>
      </c>
      <c r="BO821" s="1">
        <f t="shared" si="368"/>
        <v>0.16617112367241488</v>
      </c>
    </row>
    <row r="822" spans="1:67" x14ac:dyDescent="0.25">
      <c r="C822" t="s">
        <v>729</v>
      </c>
      <c r="G822">
        <v>10.190943199895321</v>
      </c>
      <c r="H822">
        <v>5.6680338812360862</v>
      </c>
      <c r="I822">
        <v>6.8020483303257802</v>
      </c>
      <c r="J822">
        <v>0</v>
      </c>
      <c r="K822">
        <v>0</v>
      </c>
      <c r="L822">
        <v>0</v>
      </c>
      <c r="M822">
        <v>0</v>
      </c>
      <c r="N822">
        <v>7.6691317616822952</v>
      </c>
      <c r="O822">
        <v>0</v>
      </c>
      <c r="P822">
        <v>0</v>
      </c>
      <c r="Q822">
        <v>63.704170775213001</v>
      </c>
      <c r="R822">
        <v>0</v>
      </c>
      <c r="S822">
        <v>0</v>
      </c>
      <c r="T822">
        <v>0.6869151081227155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5.0774470766415378</v>
      </c>
      <c r="AC822">
        <v>0</v>
      </c>
      <c r="AD822">
        <v>0</v>
      </c>
      <c r="AE822">
        <v>0</v>
      </c>
      <c r="AF822">
        <v>0</v>
      </c>
      <c r="AG822">
        <v>8.7274601684399017E-2</v>
      </c>
      <c r="AH822">
        <v>0.11403526519886741</v>
      </c>
      <c r="AI822">
        <v>0</v>
      </c>
      <c r="AJ822">
        <v>0</v>
      </c>
      <c r="AK822" t="s">
        <v>1</v>
      </c>
      <c r="AL822" t="s">
        <v>374</v>
      </c>
      <c r="AQ822" s="1">
        <f>SUM(G822:AF822)</f>
        <v>99.798690133116736</v>
      </c>
      <c r="AR822" s="1">
        <f t="shared" si="387"/>
        <v>0</v>
      </c>
      <c r="AS822" s="1">
        <f t="shared" si="364"/>
        <v>0.10190943199895321</v>
      </c>
      <c r="AT822" s="1">
        <f t="shared" si="365"/>
        <v>5.6680338812360863E-2</v>
      </c>
      <c r="AU822" s="1">
        <f t="shared" si="388"/>
        <v>0.63704170775212998</v>
      </c>
      <c r="AV822" s="1">
        <f t="shared" si="389"/>
        <v>0</v>
      </c>
      <c r="AX822" s="1">
        <f t="shared" si="390"/>
        <v>4.0169154951996582</v>
      </c>
      <c r="AY822" s="1">
        <f t="shared" si="391"/>
        <v>0</v>
      </c>
      <c r="AZ822" s="1">
        <f t="shared" si="392"/>
        <v>0.75105721844997864</v>
      </c>
      <c r="BA822" s="1">
        <f t="shared" si="393"/>
        <v>1.5042288737999145</v>
      </c>
      <c r="BB822" s="1">
        <f t="shared" si="394"/>
        <v>0</v>
      </c>
      <c r="BC822" s="1">
        <f t="shared" si="395"/>
        <v>0</v>
      </c>
      <c r="BD822" s="1">
        <f t="shared" si="396"/>
        <v>0</v>
      </c>
      <c r="BF822">
        <f t="shared" si="369"/>
        <v>46.545841946016232</v>
      </c>
      <c r="BG822">
        <f t="shared" si="370"/>
        <v>10.117771138386164</v>
      </c>
      <c r="BH822" s="1">
        <f t="shared" si="371"/>
        <v>1.3686329027863964</v>
      </c>
      <c r="BI822" s="1">
        <f t="shared" si="372"/>
        <v>0.21737218009979781</v>
      </c>
      <c r="BJ822" s="1">
        <f t="shared" si="366"/>
        <v>0.6160040251529415</v>
      </c>
      <c r="BK822" s="1">
        <f t="shared" si="367"/>
        <v>0.78305371719877093</v>
      </c>
      <c r="BL822" s="1">
        <f t="shared" si="397"/>
        <v>0.21737218009979781</v>
      </c>
      <c r="BM822" s="1">
        <f t="shared" si="398"/>
        <v>0.21737218009979781</v>
      </c>
      <c r="BN822" s="1">
        <f t="shared" si="399"/>
        <v>4.7250664681338934E-2</v>
      </c>
      <c r="BO822" s="1">
        <f t="shared" si="368"/>
        <v>0.16617112367241488</v>
      </c>
    </row>
    <row r="823" spans="1:67" x14ac:dyDescent="0.25">
      <c r="C823" t="s">
        <v>730</v>
      </c>
      <c r="G823">
        <v>8.84792021918466</v>
      </c>
      <c r="H823">
        <v>7.5123530836113037</v>
      </c>
      <c r="I823">
        <v>6.7615230192553426</v>
      </c>
      <c r="J823">
        <v>0</v>
      </c>
      <c r="K823">
        <v>0</v>
      </c>
      <c r="L823">
        <v>0</v>
      </c>
      <c r="M823">
        <v>0</v>
      </c>
      <c r="N823">
        <v>7.6234405323364633</v>
      </c>
      <c r="O823">
        <v>0</v>
      </c>
      <c r="P823">
        <v>0</v>
      </c>
      <c r="Q823">
        <v>63.324633434138832</v>
      </c>
      <c r="R823">
        <v>0</v>
      </c>
      <c r="S823">
        <v>0</v>
      </c>
      <c r="T823">
        <v>0.68282259847212279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5.0471966120414544</v>
      </c>
      <c r="AC823">
        <v>0</v>
      </c>
      <c r="AD823">
        <v>0</v>
      </c>
      <c r="AE823">
        <v>0</v>
      </c>
      <c r="AF823">
        <v>0</v>
      </c>
      <c r="AG823">
        <v>8.6754636196056278E-2</v>
      </c>
      <c r="AH823">
        <v>0.1133558647637689</v>
      </c>
      <c r="AI823">
        <v>0</v>
      </c>
      <c r="AJ823">
        <v>17</v>
      </c>
      <c r="AK823" t="s">
        <v>1</v>
      </c>
      <c r="AL823" t="s">
        <v>374</v>
      </c>
      <c r="AQ823" s="1">
        <f>SUM(G823:AF823)</f>
        <v>99.799889499040191</v>
      </c>
      <c r="AR823" s="1">
        <f t="shared" si="387"/>
        <v>0</v>
      </c>
      <c r="AS823" s="1">
        <f t="shared" si="364"/>
        <v>8.8479202191846601E-2</v>
      </c>
      <c r="AT823" s="1">
        <f t="shared" si="365"/>
        <v>7.5123530836113034E-2</v>
      </c>
      <c r="AU823" s="1">
        <f t="shared" si="388"/>
        <v>0.63324633434138833</v>
      </c>
      <c r="AV823" s="1">
        <f t="shared" si="389"/>
        <v>0.17</v>
      </c>
      <c r="AX823" s="1">
        <f t="shared" si="390"/>
        <v>3.8706342040946637</v>
      </c>
      <c r="AY823" s="1">
        <f t="shared" si="391"/>
        <v>0</v>
      </c>
      <c r="AZ823" s="1">
        <f t="shared" si="392"/>
        <v>0.74191463775591648</v>
      </c>
      <c r="BA823" s="1">
        <f t="shared" si="393"/>
        <v>1.4676585510236659</v>
      </c>
      <c r="BB823" s="1">
        <f t="shared" si="394"/>
        <v>0</v>
      </c>
      <c r="BC823" s="1">
        <f t="shared" si="395"/>
        <v>0</v>
      </c>
      <c r="BD823" s="1">
        <f t="shared" si="396"/>
        <v>0.17</v>
      </c>
      <c r="BF823">
        <f t="shared" si="369"/>
        <v>43.01738982511371</v>
      </c>
      <c r="BG823">
        <f t="shared" si="370"/>
        <v>10.05749138105269</v>
      </c>
      <c r="BH823" s="1">
        <f t="shared" si="371"/>
        <v>1.4720705670795879</v>
      </c>
      <c r="BI823" s="1">
        <f t="shared" si="372"/>
        <v>0.23380059603665423</v>
      </c>
      <c r="BJ823" s="1">
        <f t="shared" si="366"/>
        <v>0.61796934077451215</v>
      </c>
      <c r="BK823" s="1">
        <f t="shared" si="367"/>
        <v>0.83497942467395314</v>
      </c>
      <c r="BL823" s="1">
        <f t="shared" si="397"/>
        <v>0.23380059603665423</v>
      </c>
      <c r="BM823" s="1">
        <f t="shared" si="398"/>
        <v>0.23380059603665423</v>
      </c>
      <c r="BN823" s="1">
        <f t="shared" si="399"/>
        <v>4.0705160546323383E-3</v>
      </c>
      <c r="BO823" s="1">
        <f t="shared" si="368"/>
        <v>5.647320919845477E-2</v>
      </c>
    </row>
    <row r="824" spans="1:67" x14ac:dyDescent="0.25">
      <c r="A824" s="3"/>
      <c r="B824" s="3"/>
      <c r="C824" t="s">
        <v>588</v>
      </c>
      <c r="D824" s="5">
        <v>1</v>
      </c>
      <c r="E824" s="9">
        <f t="shared" ref="E824:E832" si="400">I824+L824+M824+N824+O824+V824+X824+AB824+AD824</f>
        <v>0</v>
      </c>
      <c r="F824" s="9">
        <f t="shared" ref="F824:F832" si="401">Q824/(H824+P824+Q824+AC824)</f>
        <v>0</v>
      </c>
      <c r="G824">
        <v>0</v>
      </c>
      <c r="H824">
        <v>4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36</v>
      </c>
      <c r="Q824">
        <v>0</v>
      </c>
      <c r="R824">
        <v>0</v>
      </c>
      <c r="S824">
        <v>0</v>
      </c>
      <c r="T824">
        <v>40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100</v>
      </c>
      <c r="AK824" t="s">
        <v>1</v>
      </c>
      <c r="AL824" t="s">
        <v>374</v>
      </c>
      <c r="AM824" t="s">
        <v>413</v>
      </c>
      <c r="AO824" t="s">
        <v>378</v>
      </c>
      <c r="AQ824" s="1">
        <f t="shared" ref="AQ824:AQ832" si="402">SUM(G824:AI824)</f>
        <v>100</v>
      </c>
      <c r="AR824" s="1">
        <f t="shared" si="387"/>
        <v>0</v>
      </c>
      <c r="AS824" s="1">
        <f t="shared" si="364"/>
        <v>0</v>
      </c>
      <c r="AT824" s="1">
        <f t="shared" si="365"/>
        <v>0.04</v>
      </c>
      <c r="AU824" s="1">
        <f t="shared" si="388"/>
        <v>0</v>
      </c>
      <c r="AV824" s="1">
        <f t="shared" si="389"/>
        <v>1</v>
      </c>
      <c r="AX824" s="1">
        <f t="shared" si="390"/>
        <v>0</v>
      </c>
      <c r="AY824" s="1">
        <f t="shared" si="391"/>
        <v>0</v>
      </c>
      <c r="AZ824" s="1">
        <f t="shared" si="392"/>
        <v>0.5</v>
      </c>
      <c r="BA824" s="1">
        <f t="shared" si="393"/>
        <v>0.5</v>
      </c>
      <c r="BB824" s="1">
        <f t="shared" si="394"/>
        <v>0</v>
      </c>
      <c r="BC824" s="1">
        <f t="shared" si="395"/>
        <v>0</v>
      </c>
      <c r="BD824" s="1">
        <f t="shared" si="396"/>
        <v>1</v>
      </c>
      <c r="BF824">
        <f t="shared" si="369"/>
        <v>29.2</v>
      </c>
      <c r="BG824">
        <f t="shared" si="370"/>
        <v>20</v>
      </c>
      <c r="BH824" s="1">
        <f t="shared" si="371"/>
        <v>0</v>
      </c>
      <c r="BI824" s="1">
        <f t="shared" si="372"/>
        <v>0.68493150684931503</v>
      </c>
      <c r="BJ824" s="1">
        <f t="shared" si="366"/>
        <v>0.59</v>
      </c>
      <c r="BK824" s="1">
        <f t="shared" si="367"/>
        <v>9.6000000000000002E-2</v>
      </c>
      <c r="BL824" s="1">
        <f t="shared" si="397"/>
        <v>0.39368949771689499</v>
      </c>
      <c r="BM824" s="1">
        <f t="shared" si="398"/>
        <v>0.39368949771689499</v>
      </c>
      <c r="BN824" s="1">
        <f t="shared" si="399"/>
        <v>0.36761242517879111</v>
      </c>
      <c r="BO824" s="1">
        <f t="shared" si="368"/>
        <v>0.35088927382559071</v>
      </c>
    </row>
    <row r="825" spans="1:67" x14ac:dyDescent="0.25">
      <c r="A825" s="3"/>
      <c r="B825" s="3"/>
      <c r="C825" t="s">
        <v>589</v>
      </c>
      <c r="D825" s="5">
        <v>1</v>
      </c>
      <c r="E825" s="9">
        <f t="shared" si="400"/>
        <v>0</v>
      </c>
      <c r="F825" s="9">
        <f t="shared" si="401"/>
        <v>0</v>
      </c>
      <c r="G825">
        <v>0</v>
      </c>
      <c r="H825">
        <v>8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32</v>
      </c>
      <c r="Q825">
        <v>0</v>
      </c>
      <c r="R825">
        <v>0</v>
      </c>
      <c r="S825">
        <v>0</v>
      </c>
      <c r="T825">
        <v>40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20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94.1</v>
      </c>
      <c r="AK825" t="s">
        <v>1</v>
      </c>
      <c r="AL825" t="s">
        <v>374</v>
      </c>
      <c r="AQ825" s="1">
        <f t="shared" si="402"/>
        <v>100</v>
      </c>
      <c r="AR825" s="1">
        <f t="shared" si="387"/>
        <v>0</v>
      </c>
      <c r="AS825" s="1">
        <f t="shared" si="364"/>
        <v>0</v>
      </c>
      <c r="AT825" s="1">
        <f t="shared" si="365"/>
        <v>0.08</v>
      </c>
      <c r="AU825" s="1">
        <f t="shared" si="388"/>
        <v>0</v>
      </c>
      <c r="AV825" s="1">
        <f t="shared" si="389"/>
        <v>0.94099999999999995</v>
      </c>
      <c r="AX825" s="1">
        <f t="shared" si="390"/>
        <v>0</v>
      </c>
      <c r="AY825" s="1">
        <f t="shared" si="391"/>
        <v>0</v>
      </c>
      <c r="AZ825" s="1">
        <f t="shared" si="392"/>
        <v>0.5</v>
      </c>
      <c r="BA825" s="1">
        <f t="shared" si="393"/>
        <v>0.5</v>
      </c>
      <c r="BB825" s="1">
        <f t="shared" si="394"/>
        <v>0</v>
      </c>
      <c r="BC825" s="1">
        <f t="shared" si="395"/>
        <v>0</v>
      </c>
      <c r="BD825" s="1">
        <f t="shared" si="396"/>
        <v>0.94099999999999995</v>
      </c>
      <c r="BF825">
        <f t="shared" si="369"/>
        <v>30.4</v>
      </c>
      <c r="BG825">
        <f t="shared" si="370"/>
        <v>20</v>
      </c>
      <c r="BH825" s="1">
        <f t="shared" si="371"/>
        <v>0</v>
      </c>
      <c r="BI825" s="1">
        <f t="shared" si="372"/>
        <v>0.65789473684210531</v>
      </c>
      <c r="BJ825" s="1">
        <f t="shared" si="366"/>
        <v>0.59</v>
      </c>
      <c r="BK825" s="1">
        <f t="shared" si="367"/>
        <v>9.6000000000000002E-2</v>
      </c>
      <c r="BL825" s="1">
        <f t="shared" si="397"/>
        <v>0.40270175438596489</v>
      </c>
      <c r="BM825" s="1">
        <f t="shared" si="398"/>
        <v>0.40270175438596489</v>
      </c>
      <c r="BN825" s="1">
        <f t="shared" si="399"/>
        <v>0.28976500123114801</v>
      </c>
      <c r="BO825" s="1">
        <f t="shared" si="368"/>
        <v>0.28447190296655328</v>
      </c>
    </row>
    <row r="826" spans="1:67" x14ac:dyDescent="0.25">
      <c r="A826" s="3"/>
      <c r="B826" s="3"/>
      <c r="C826" t="s">
        <v>590</v>
      </c>
      <c r="D826" s="5">
        <v>1</v>
      </c>
      <c r="E826" s="9">
        <f t="shared" si="400"/>
        <v>0</v>
      </c>
      <c r="F826" s="9">
        <f t="shared" si="401"/>
        <v>0</v>
      </c>
      <c r="G826">
        <v>0</v>
      </c>
      <c r="H826">
        <v>12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28</v>
      </c>
      <c r="Q826">
        <v>0</v>
      </c>
      <c r="R826">
        <v>0</v>
      </c>
      <c r="S826">
        <v>0</v>
      </c>
      <c r="T826">
        <v>40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90.5</v>
      </c>
      <c r="AK826" t="s">
        <v>1</v>
      </c>
      <c r="AL826" t="s">
        <v>374</v>
      </c>
      <c r="AQ826" s="1">
        <f t="shared" si="402"/>
        <v>100</v>
      </c>
      <c r="AR826" s="1">
        <f t="shared" si="387"/>
        <v>0</v>
      </c>
      <c r="AS826" s="1">
        <f t="shared" si="364"/>
        <v>0</v>
      </c>
      <c r="AT826" s="1">
        <f t="shared" si="365"/>
        <v>0.12</v>
      </c>
      <c r="AU826" s="1">
        <f t="shared" si="388"/>
        <v>0</v>
      </c>
      <c r="AV826" s="1">
        <f t="shared" si="389"/>
        <v>0.90500000000000003</v>
      </c>
      <c r="AX826" s="1">
        <f t="shared" si="390"/>
        <v>0</v>
      </c>
      <c r="AY826" s="1">
        <f t="shared" si="391"/>
        <v>0</v>
      </c>
      <c r="AZ826" s="1">
        <f t="shared" si="392"/>
        <v>0.5</v>
      </c>
      <c r="BA826" s="1">
        <f t="shared" si="393"/>
        <v>0.5</v>
      </c>
      <c r="BB826" s="1">
        <f t="shared" si="394"/>
        <v>0</v>
      </c>
      <c r="BC826" s="1">
        <f t="shared" si="395"/>
        <v>0</v>
      </c>
      <c r="BD826" s="1">
        <f t="shared" si="396"/>
        <v>0.90500000000000003</v>
      </c>
      <c r="BF826">
        <f t="shared" si="369"/>
        <v>31.599999999999998</v>
      </c>
      <c r="BG826">
        <f t="shared" si="370"/>
        <v>20</v>
      </c>
      <c r="BH826" s="1">
        <f t="shared" si="371"/>
        <v>0</v>
      </c>
      <c r="BI826" s="1">
        <f t="shared" si="372"/>
        <v>0.63291139240506333</v>
      </c>
      <c r="BJ826" s="1">
        <f t="shared" si="366"/>
        <v>0.59</v>
      </c>
      <c r="BK826" s="1">
        <f t="shared" si="367"/>
        <v>9.6000000000000002E-2</v>
      </c>
      <c r="BL826" s="1">
        <f t="shared" si="397"/>
        <v>0.41102953586497881</v>
      </c>
      <c r="BM826" s="1">
        <f t="shared" si="398"/>
        <v>0.41102953586497881</v>
      </c>
      <c r="BN826" s="1">
        <f t="shared" si="399"/>
        <v>0.24400681943776828</v>
      </c>
      <c r="BO826" s="1">
        <f t="shared" si="368"/>
        <v>0.24736604956103905</v>
      </c>
    </row>
    <row r="827" spans="1:67" x14ac:dyDescent="0.25">
      <c r="A827" s="3"/>
      <c r="B827" s="3"/>
      <c r="C827" t="s">
        <v>591</v>
      </c>
      <c r="D827" s="5">
        <v>1</v>
      </c>
      <c r="E827" s="9">
        <f t="shared" si="400"/>
        <v>0</v>
      </c>
      <c r="F827" s="9">
        <f t="shared" si="401"/>
        <v>0</v>
      </c>
      <c r="G827">
        <v>0</v>
      </c>
      <c r="H827">
        <v>3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27</v>
      </c>
      <c r="Q827">
        <v>0</v>
      </c>
      <c r="R827">
        <v>0</v>
      </c>
      <c r="S827">
        <v>0</v>
      </c>
      <c r="T827">
        <v>30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40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100</v>
      </c>
      <c r="AK827" t="s">
        <v>1</v>
      </c>
      <c r="AL827" t="s">
        <v>374</v>
      </c>
      <c r="AQ827" s="1">
        <f t="shared" si="402"/>
        <v>100</v>
      </c>
      <c r="AR827" s="1">
        <f t="shared" si="387"/>
        <v>0</v>
      </c>
      <c r="AS827" s="1">
        <f t="shared" si="364"/>
        <v>0</v>
      </c>
      <c r="AT827" s="1">
        <f t="shared" si="365"/>
        <v>0.03</v>
      </c>
      <c r="AU827" s="1">
        <f t="shared" si="388"/>
        <v>0</v>
      </c>
      <c r="AV827" s="1">
        <f t="shared" si="389"/>
        <v>1</v>
      </c>
      <c r="AX827" s="1">
        <f t="shared" si="390"/>
        <v>0</v>
      </c>
      <c r="AY827" s="1">
        <f t="shared" si="391"/>
        <v>0</v>
      </c>
      <c r="AZ827" s="1">
        <f t="shared" si="392"/>
        <v>0.5</v>
      </c>
      <c r="BA827" s="1">
        <f t="shared" si="393"/>
        <v>0.5</v>
      </c>
      <c r="BB827" s="1">
        <f t="shared" si="394"/>
        <v>0</v>
      </c>
      <c r="BC827" s="1">
        <f t="shared" si="395"/>
        <v>0</v>
      </c>
      <c r="BD827" s="1">
        <f t="shared" si="396"/>
        <v>1</v>
      </c>
      <c r="BF827">
        <f t="shared" si="369"/>
        <v>21.9</v>
      </c>
      <c r="BG827">
        <f t="shared" si="370"/>
        <v>15</v>
      </c>
      <c r="BH827" s="1">
        <f t="shared" si="371"/>
        <v>0</v>
      </c>
      <c r="BI827" s="1">
        <f t="shared" si="372"/>
        <v>0.68493150684931514</v>
      </c>
      <c r="BJ827" s="1">
        <f t="shared" si="366"/>
        <v>0.59</v>
      </c>
      <c r="BK827" s="1">
        <f t="shared" si="367"/>
        <v>9.6000000000000002E-2</v>
      </c>
      <c r="BL827" s="1">
        <f t="shared" si="397"/>
        <v>0.39368949771689488</v>
      </c>
      <c r="BM827" s="1">
        <f t="shared" si="398"/>
        <v>0.39368949771689488</v>
      </c>
      <c r="BN827" s="1">
        <f t="shared" si="399"/>
        <v>0.36761242517879122</v>
      </c>
      <c r="BO827" s="1">
        <f t="shared" si="368"/>
        <v>0.35088927382559071</v>
      </c>
    </row>
    <row r="828" spans="1:67" x14ac:dyDescent="0.25">
      <c r="A828" s="3"/>
      <c r="B828" s="3"/>
      <c r="C828" t="s">
        <v>592</v>
      </c>
      <c r="D828" s="5">
        <v>1</v>
      </c>
      <c r="E828" s="9">
        <f t="shared" si="400"/>
        <v>0</v>
      </c>
      <c r="F828" s="9">
        <f t="shared" si="401"/>
        <v>0</v>
      </c>
      <c r="G828">
        <v>0</v>
      </c>
      <c r="H828">
        <v>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24</v>
      </c>
      <c r="Q828">
        <v>0</v>
      </c>
      <c r="R828">
        <v>0</v>
      </c>
      <c r="S828">
        <v>0</v>
      </c>
      <c r="T828">
        <v>30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40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93</v>
      </c>
      <c r="AK828" t="s">
        <v>1</v>
      </c>
      <c r="AL828" t="s">
        <v>374</v>
      </c>
      <c r="AQ828" s="1">
        <f t="shared" si="402"/>
        <v>100</v>
      </c>
      <c r="AR828" s="1">
        <f t="shared" si="387"/>
        <v>0</v>
      </c>
      <c r="AS828" s="1">
        <f t="shared" si="364"/>
        <v>0</v>
      </c>
      <c r="AT828" s="1">
        <f t="shared" si="365"/>
        <v>0.06</v>
      </c>
      <c r="AU828" s="1">
        <f t="shared" si="388"/>
        <v>0</v>
      </c>
      <c r="AV828" s="1">
        <f t="shared" si="389"/>
        <v>0.93</v>
      </c>
      <c r="AX828" s="1">
        <f t="shared" si="390"/>
        <v>0</v>
      </c>
      <c r="AY828" s="1">
        <f t="shared" si="391"/>
        <v>0</v>
      </c>
      <c r="AZ828" s="1">
        <f t="shared" si="392"/>
        <v>0.5</v>
      </c>
      <c r="BA828" s="1">
        <f t="shared" si="393"/>
        <v>0.5</v>
      </c>
      <c r="BB828" s="1">
        <f t="shared" si="394"/>
        <v>0</v>
      </c>
      <c r="BC828" s="1">
        <f t="shared" si="395"/>
        <v>0</v>
      </c>
      <c r="BD828" s="1">
        <f t="shared" si="396"/>
        <v>0.93</v>
      </c>
      <c r="BF828">
        <f t="shared" si="369"/>
        <v>22.799999999999997</v>
      </c>
      <c r="BG828">
        <f t="shared" si="370"/>
        <v>15</v>
      </c>
      <c r="BH828" s="1">
        <f t="shared" si="371"/>
        <v>0</v>
      </c>
      <c r="BI828" s="1">
        <f t="shared" si="372"/>
        <v>0.65789473684210531</v>
      </c>
      <c r="BJ828" s="1">
        <f t="shared" si="366"/>
        <v>0.59</v>
      </c>
      <c r="BK828" s="1">
        <f t="shared" si="367"/>
        <v>9.6000000000000002E-2</v>
      </c>
      <c r="BL828" s="1">
        <f t="shared" si="397"/>
        <v>0.40270175438596489</v>
      </c>
      <c r="BM828" s="1">
        <f t="shared" si="398"/>
        <v>0.40270175438596489</v>
      </c>
      <c r="BN828" s="1">
        <f t="shared" si="399"/>
        <v>0.27804343982763935</v>
      </c>
      <c r="BO828" s="1">
        <f t="shared" si="368"/>
        <v>0.27285900331486845</v>
      </c>
    </row>
    <row r="829" spans="1:67" x14ac:dyDescent="0.25">
      <c r="A829" s="3"/>
      <c r="B829" s="3"/>
      <c r="C829" t="s">
        <v>593</v>
      </c>
      <c r="D829" s="5">
        <v>1</v>
      </c>
      <c r="E829" s="9">
        <f t="shared" si="400"/>
        <v>0</v>
      </c>
      <c r="F829" s="9">
        <f t="shared" si="401"/>
        <v>0</v>
      </c>
      <c r="G829">
        <v>0</v>
      </c>
      <c r="H829">
        <v>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21</v>
      </c>
      <c r="Q829">
        <v>0</v>
      </c>
      <c r="R829">
        <v>0</v>
      </c>
      <c r="S829">
        <v>0</v>
      </c>
      <c r="T829">
        <v>30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91.4</v>
      </c>
      <c r="AK829" t="s">
        <v>1</v>
      </c>
      <c r="AL829" t="s">
        <v>374</v>
      </c>
      <c r="AQ829" s="1">
        <f t="shared" si="402"/>
        <v>100</v>
      </c>
      <c r="AR829" s="1">
        <f t="shared" si="387"/>
        <v>0</v>
      </c>
      <c r="AS829" s="1">
        <f t="shared" si="364"/>
        <v>0</v>
      </c>
      <c r="AT829" s="1">
        <f t="shared" si="365"/>
        <v>0.09</v>
      </c>
      <c r="AU829" s="1">
        <f t="shared" si="388"/>
        <v>0</v>
      </c>
      <c r="AV829" s="1">
        <f t="shared" si="389"/>
        <v>0.91400000000000003</v>
      </c>
      <c r="AX829" s="1">
        <f t="shared" si="390"/>
        <v>0</v>
      </c>
      <c r="AY829" s="1">
        <f t="shared" si="391"/>
        <v>0</v>
      </c>
      <c r="AZ829" s="1">
        <f t="shared" si="392"/>
        <v>0.5</v>
      </c>
      <c r="BA829" s="1">
        <f t="shared" si="393"/>
        <v>0.5</v>
      </c>
      <c r="BB829" s="1">
        <f t="shared" si="394"/>
        <v>0</v>
      </c>
      <c r="BC829" s="1">
        <f t="shared" si="395"/>
        <v>0</v>
      </c>
      <c r="BD829" s="1">
        <f t="shared" si="396"/>
        <v>0.91400000000000003</v>
      </c>
      <c r="BF829">
        <f t="shared" si="369"/>
        <v>23.7</v>
      </c>
      <c r="BG829">
        <f t="shared" si="370"/>
        <v>15</v>
      </c>
      <c r="BH829" s="1">
        <f t="shared" si="371"/>
        <v>0</v>
      </c>
      <c r="BI829" s="1">
        <f t="shared" si="372"/>
        <v>0.63291139240506333</v>
      </c>
      <c r="BJ829" s="1">
        <f t="shared" si="366"/>
        <v>0.59</v>
      </c>
      <c r="BK829" s="1">
        <f t="shared" si="367"/>
        <v>9.6000000000000002E-2</v>
      </c>
      <c r="BL829" s="1">
        <f t="shared" si="397"/>
        <v>0.41102953586497881</v>
      </c>
      <c r="BM829" s="1">
        <f t="shared" si="398"/>
        <v>0.41102953586497881</v>
      </c>
      <c r="BN829" s="1">
        <f t="shared" si="399"/>
        <v>0.25297928779219869</v>
      </c>
      <c r="BO829" s="1">
        <f t="shared" si="368"/>
        <v>0.25639951291241764</v>
      </c>
    </row>
    <row r="830" spans="1:67" x14ac:dyDescent="0.25">
      <c r="A830" s="3"/>
      <c r="B830" s="3"/>
      <c r="C830" t="s">
        <v>594</v>
      </c>
      <c r="D830" s="5">
        <v>1</v>
      </c>
      <c r="E830" s="9">
        <f t="shared" si="400"/>
        <v>0</v>
      </c>
      <c r="F830" s="9">
        <f t="shared" si="401"/>
        <v>0</v>
      </c>
      <c r="G830">
        <v>0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18</v>
      </c>
      <c r="Q830">
        <v>0</v>
      </c>
      <c r="R830">
        <v>0</v>
      </c>
      <c r="S830">
        <v>0</v>
      </c>
      <c r="T830">
        <v>20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60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100</v>
      </c>
      <c r="AK830" t="s">
        <v>1</v>
      </c>
      <c r="AL830" t="s">
        <v>374</v>
      </c>
      <c r="AQ830" s="1">
        <f t="shared" si="402"/>
        <v>100</v>
      </c>
      <c r="AR830" s="1">
        <f t="shared" si="387"/>
        <v>0</v>
      </c>
      <c r="AS830" s="1">
        <f t="shared" si="364"/>
        <v>0</v>
      </c>
      <c r="AT830" s="1">
        <f t="shared" si="365"/>
        <v>0.02</v>
      </c>
      <c r="AU830" s="1">
        <f t="shared" si="388"/>
        <v>0</v>
      </c>
      <c r="AV830" s="1">
        <f t="shared" si="389"/>
        <v>1</v>
      </c>
      <c r="AX830" s="1">
        <f t="shared" si="390"/>
        <v>0</v>
      </c>
      <c r="AY830" s="1">
        <f t="shared" si="391"/>
        <v>0</v>
      </c>
      <c r="AZ830" s="1">
        <f t="shared" si="392"/>
        <v>0.5</v>
      </c>
      <c r="BA830" s="1">
        <f t="shared" si="393"/>
        <v>0.5</v>
      </c>
      <c r="BB830" s="1">
        <f t="shared" si="394"/>
        <v>0</v>
      </c>
      <c r="BC830" s="1">
        <f t="shared" si="395"/>
        <v>0</v>
      </c>
      <c r="BD830" s="1">
        <f t="shared" si="396"/>
        <v>1</v>
      </c>
      <c r="BF830">
        <f t="shared" si="369"/>
        <v>14.6</v>
      </c>
      <c r="BG830">
        <f t="shared" si="370"/>
        <v>10</v>
      </c>
      <c r="BH830" s="1">
        <f t="shared" si="371"/>
        <v>0</v>
      </c>
      <c r="BI830" s="1">
        <f t="shared" si="372"/>
        <v>0.68493150684931503</v>
      </c>
      <c r="BJ830" s="1">
        <f t="shared" si="366"/>
        <v>0.59</v>
      </c>
      <c r="BK830" s="1">
        <f t="shared" si="367"/>
        <v>9.6000000000000002E-2</v>
      </c>
      <c r="BL830" s="1">
        <f t="shared" si="397"/>
        <v>0.39368949771689499</v>
      </c>
      <c r="BM830" s="1">
        <f t="shared" si="398"/>
        <v>0.39368949771689499</v>
      </c>
      <c r="BN830" s="1">
        <f t="shared" si="399"/>
        <v>0.36761242517879111</v>
      </c>
      <c r="BO830" s="1">
        <f t="shared" si="368"/>
        <v>0.35088927382559071</v>
      </c>
    </row>
    <row r="831" spans="1:67" x14ac:dyDescent="0.25">
      <c r="A831" s="3"/>
      <c r="B831" s="3"/>
      <c r="C831" t="s">
        <v>595</v>
      </c>
      <c r="D831" s="5">
        <v>1</v>
      </c>
      <c r="E831" s="9">
        <f t="shared" si="400"/>
        <v>0</v>
      </c>
      <c r="F831" s="9">
        <f t="shared" si="401"/>
        <v>0</v>
      </c>
      <c r="G831">
        <v>0</v>
      </c>
      <c r="H831">
        <v>4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16</v>
      </c>
      <c r="Q831">
        <v>0</v>
      </c>
      <c r="R831">
        <v>0</v>
      </c>
      <c r="S831">
        <v>0</v>
      </c>
      <c r="T831">
        <v>20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94.8</v>
      </c>
      <c r="AK831" t="s">
        <v>1</v>
      </c>
      <c r="AL831" t="s">
        <v>374</v>
      </c>
      <c r="AQ831" s="1">
        <f t="shared" si="402"/>
        <v>100</v>
      </c>
      <c r="AR831" s="1">
        <f t="shared" si="387"/>
        <v>0</v>
      </c>
      <c r="AS831" s="1">
        <f t="shared" si="364"/>
        <v>0</v>
      </c>
      <c r="AT831" s="1">
        <f t="shared" si="365"/>
        <v>0.04</v>
      </c>
      <c r="AU831" s="1">
        <f t="shared" si="388"/>
        <v>0</v>
      </c>
      <c r="AV831" s="1">
        <f t="shared" si="389"/>
        <v>0.94799999999999995</v>
      </c>
      <c r="AX831" s="1">
        <f t="shared" si="390"/>
        <v>0</v>
      </c>
      <c r="AY831" s="1">
        <f t="shared" si="391"/>
        <v>0</v>
      </c>
      <c r="AZ831" s="1">
        <f t="shared" si="392"/>
        <v>0.5</v>
      </c>
      <c r="BA831" s="1">
        <f t="shared" si="393"/>
        <v>0.5</v>
      </c>
      <c r="BB831" s="1">
        <f t="shared" si="394"/>
        <v>0</v>
      </c>
      <c r="BC831" s="1">
        <f t="shared" si="395"/>
        <v>0</v>
      </c>
      <c r="BD831" s="1">
        <f t="shared" si="396"/>
        <v>0.94799999999999995</v>
      </c>
      <c r="BF831">
        <f t="shared" si="369"/>
        <v>15.2</v>
      </c>
      <c r="BG831">
        <f t="shared" si="370"/>
        <v>10</v>
      </c>
      <c r="BH831" s="1">
        <f t="shared" si="371"/>
        <v>0</v>
      </c>
      <c r="BI831" s="1">
        <f t="shared" si="372"/>
        <v>0.65789473684210531</v>
      </c>
      <c r="BJ831" s="1">
        <f t="shared" si="366"/>
        <v>0.59</v>
      </c>
      <c r="BK831" s="1">
        <f t="shared" si="367"/>
        <v>9.6000000000000002E-2</v>
      </c>
      <c r="BL831" s="1">
        <f t="shared" si="397"/>
        <v>0.40270175438596489</v>
      </c>
      <c r="BM831" s="1">
        <f t="shared" si="398"/>
        <v>0.40270175438596489</v>
      </c>
      <c r="BN831" s="1">
        <f t="shared" si="399"/>
        <v>0.2973501766697445</v>
      </c>
      <c r="BO831" s="1">
        <f t="shared" si="368"/>
        <v>0.29198793001762552</v>
      </c>
    </row>
    <row r="832" spans="1:67" x14ac:dyDescent="0.25">
      <c r="A832" s="3"/>
      <c r="B832" s="3"/>
      <c r="C832" t="s">
        <v>596</v>
      </c>
      <c r="D832" s="5">
        <v>1</v>
      </c>
      <c r="E832" s="9">
        <f t="shared" si="400"/>
        <v>0</v>
      </c>
      <c r="F832" s="9">
        <f t="shared" si="401"/>
        <v>0</v>
      </c>
      <c r="G832">
        <v>0</v>
      </c>
      <c r="H832">
        <v>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14</v>
      </c>
      <c r="Q832">
        <v>0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60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90.6</v>
      </c>
      <c r="AK832" t="s">
        <v>1</v>
      </c>
      <c r="AL832" t="s">
        <v>374</v>
      </c>
      <c r="AP832" t="s">
        <v>398</v>
      </c>
      <c r="AQ832" s="1">
        <f t="shared" si="402"/>
        <v>100</v>
      </c>
      <c r="AR832" s="1">
        <f t="shared" si="387"/>
        <v>0</v>
      </c>
      <c r="AS832" s="1">
        <f t="shared" si="364"/>
        <v>0</v>
      </c>
      <c r="AT832" s="1">
        <f t="shared" si="365"/>
        <v>0.06</v>
      </c>
      <c r="AU832" s="1">
        <f t="shared" si="388"/>
        <v>0</v>
      </c>
      <c r="AV832" s="1">
        <f t="shared" si="389"/>
        <v>0.90599999999999992</v>
      </c>
      <c r="AX832" s="1">
        <f t="shared" si="390"/>
        <v>0</v>
      </c>
      <c r="AY832" s="1">
        <f t="shared" si="391"/>
        <v>0</v>
      </c>
      <c r="AZ832" s="1">
        <f t="shared" si="392"/>
        <v>0.5</v>
      </c>
      <c r="BA832" s="1">
        <f t="shared" si="393"/>
        <v>0.5</v>
      </c>
      <c r="BB832" s="1">
        <f t="shared" si="394"/>
        <v>0</v>
      </c>
      <c r="BC832" s="1">
        <f t="shared" si="395"/>
        <v>0</v>
      </c>
      <c r="BD832" s="1">
        <f t="shared" si="396"/>
        <v>0.90599999999999992</v>
      </c>
      <c r="BF832">
        <f t="shared" si="369"/>
        <v>15.799999999999999</v>
      </c>
      <c r="BG832">
        <f t="shared" si="370"/>
        <v>10</v>
      </c>
      <c r="BH832" s="1">
        <f t="shared" si="371"/>
        <v>0</v>
      </c>
      <c r="BI832" s="1">
        <f t="shared" si="372"/>
        <v>0.63291139240506333</v>
      </c>
      <c r="BJ832" s="1">
        <f t="shared" si="366"/>
        <v>0.59</v>
      </c>
      <c r="BK832" s="1">
        <f t="shared" si="367"/>
        <v>9.6000000000000002E-2</v>
      </c>
      <c r="BL832" s="1">
        <f t="shared" si="397"/>
        <v>0.41102953586497881</v>
      </c>
      <c r="BM832" s="1">
        <f t="shared" si="398"/>
        <v>0.41102953586497881</v>
      </c>
      <c r="BN832" s="1">
        <f t="shared" si="399"/>
        <v>0.24499576036603821</v>
      </c>
      <c r="BO832" s="1">
        <f t="shared" si="368"/>
        <v>0.24836176771119212</v>
      </c>
    </row>
  </sheetData>
  <conditionalFormatting sqref="H2:H788 H796:H832">
    <cfRule type="cellIs" dxfId="1" priority="1" operator="equal">
      <formula>0</formula>
    </cfRule>
  </conditionalFormatting>
  <conditionalFormatting sqref="BN1:BN788 BN795:BN8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53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8291C-9196-4F50-A14E-C339610C61C8}">
  <dimension ref="A1:BU834"/>
  <sheetViews>
    <sheetView topLeftCell="BF20" zoomScale="80" zoomScaleNormal="80" workbookViewId="0">
      <pane xSplit="21012" ySplit="504" topLeftCell="BP1" activePane="bottomLeft"/>
      <selection activeCell="BJ20" sqref="BJ1:BN1048576"/>
      <selection pane="topRight" activeCell="D1" sqref="D1"/>
      <selection pane="bottomLeft" activeCell="BR16" sqref="BR16"/>
      <selection pane="bottomRight" activeCell="BP10" sqref="BP10"/>
    </sheetView>
  </sheetViews>
  <sheetFormatPr defaultColWidth="9.140625" defaultRowHeight="15.75" x14ac:dyDescent="0.25"/>
  <cols>
    <col min="1" max="1" width="5.85546875" style="4" bestFit="1" customWidth="1"/>
    <col min="2" max="2" width="13.140625" style="4" customWidth="1"/>
    <col min="3" max="3" width="15.7109375" customWidth="1"/>
    <col min="4" max="4" width="22.85546875" style="5" customWidth="1"/>
    <col min="5" max="6" width="9.140625" style="9"/>
    <col min="38" max="38" width="15" bestFit="1" customWidth="1"/>
    <col min="39" max="42" width="0.28515625" customWidth="1"/>
    <col min="43" max="48" width="10.85546875" style="1" customWidth="1"/>
    <col min="49" max="56" width="1.28515625" style="1" customWidth="1"/>
    <col min="57" max="59" width="10.85546875" customWidth="1"/>
    <col min="60" max="60" width="23.140625" style="1" customWidth="1"/>
    <col min="61" max="61" width="48.28515625" style="1" bestFit="1" customWidth="1"/>
    <col min="62" max="63" width="10.85546875" style="1" customWidth="1"/>
    <col min="64" max="64" width="10.85546875" style="22" customWidth="1"/>
    <col min="65" max="65" width="10.85546875" style="1" customWidth="1"/>
    <col min="66" max="67" width="9.85546875" style="1" customWidth="1"/>
    <col min="68" max="68" width="20.140625" style="6" customWidth="1"/>
    <col min="69" max="69" width="9.140625" style="1"/>
    <col min="70" max="70" width="12.85546875" style="1" customWidth="1"/>
    <col min="71" max="16384" width="9.140625" style="1"/>
  </cols>
  <sheetData>
    <row r="1" spans="1:73" x14ac:dyDescent="0.25">
      <c r="A1" s="3"/>
      <c r="B1" s="3"/>
      <c r="C1" s="14" t="s">
        <v>462</v>
      </c>
      <c r="D1" s="6" t="s">
        <v>454</v>
      </c>
      <c r="E1" s="1" t="s">
        <v>456</v>
      </c>
      <c r="F1" s="1" t="s">
        <v>457</v>
      </c>
      <c r="G1" s="15" t="s">
        <v>197</v>
      </c>
      <c r="H1" s="15" t="s">
        <v>143</v>
      </c>
      <c r="I1" s="16" t="s">
        <v>0</v>
      </c>
      <c r="J1" s="14" t="s">
        <v>356</v>
      </c>
      <c r="K1" s="15" t="s">
        <v>357</v>
      </c>
      <c r="L1" s="16" t="s">
        <v>344</v>
      </c>
      <c r="M1" s="16" t="s">
        <v>328</v>
      </c>
      <c r="N1" s="16" t="s">
        <v>41</v>
      </c>
      <c r="O1" s="16" t="s">
        <v>142</v>
      </c>
      <c r="P1" s="15" t="s">
        <v>301</v>
      </c>
      <c r="Q1" s="15" t="s">
        <v>141</v>
      </c>
      <c r="R1" s="14" t="s">
        <v>358</v>
      </c>
      <c r="S1" s="15" t="s">
        <v>359</v>
      </c>
      <c r="T1" s="16" t="s">
        <v>300</v>
      </c>
      <c r="U1" s="15" t="s">
        <v>360</v>
      </c>
      <c r="V1" s="16" t="s">
        <v>94</v>
      </c>
      <c r="W1" s="16" t="s">
        <v>221</v>
      </c>
      <c r="X1" s="16" t="s">
        <v>190</v>
      </c>
      <c r="Y1" s="15" t="s">
        <v>811</v>
      </c>
      <c r="Z1" s="16" t="s">
        <v>298</v>
      </c>
      <c r="AA1" s="16" t="s">
        <v>299</v>
      </c>
      <c r="AB1" s="16" t="s">
        <v>148</v>
      </c>
      <c r="AC1" s="14" t="s">
        <v>302</v>
      </c>
      <c r="AD1" s="16" t="s">
        <v>345</v>
      </c>
      <c r="AE1" s="14" t="s">
        <v>196</v>
      </c>
      <c r="AF1" s="16" t="s">
        <v>276</v>
      </c>
      <c r="AG1" s="14" t="s">
        <v>812</v>
      </c>
      <c r="AH1" s="14" t="s">
        <v>813</v>
      </c>
      <c r="AI1" s="14" t="s">
        <v>814</v>
      </c>
      <c r="AJ1" s="14" t="s">
        <v>815</v>
      </c>
      <c r="AK1" s="14" t="s">
        <v>350</v>
      </c>
      <c r="AL1" s="14" t="s">
        <v>368</v>
      </c>
      <c r="AM1" s="14" t="s">
        <v>369</v>
      </c>
      <c r="AN1" s="14" t="s">
        <v>370</v>
      </c>
      <c r="AO1" s="14" t="s">
        <v>371</v>
      </c>
      <c r="AP1" s="14" t="s">
        <v>402</v>
      </c>
      <c r="AQ1" s="2" t="s">
        <v>13</v>
      </c>
      <c r="AR1" s="2" t="s">
        <v>408</v>
      </c>
      <c r="AS1" s="2" t="s">
        <v>197</v>
      </c>
      <c r="AT1" s="2" t="s">
        <v>143</v>
      </c>
      <c r="AU1" s="2" t="s">
        <v>141</v>
      </c>
      <c r="AV1" s="2" t="s">
        <v>140</v>
      </c>
      <c r="AW1" s="1" t="s">
        <v>405</v>
      </c>
      <c r="AX1" s="1" t="s">
        <v>406</v>
      </c>
      <c r="AY1" s="1" t="s">
        <v>407</v>
      </c>
      <c r="AZ1" s="1" t="s">
        <v>409</v>
      </c>
      <c r="BA1" s="1" t="s">
        <v>410</v>
      </c>
      <c r="BB1" s="1" t="s">
        <v>411</v>
      </c>
      <c r="BC1" s="1" t="s">
        <v>416</v>
      </c>
      <c r="BD1" s="1" t="s">
        <v>417</v>
      </c>
      <c r="BE1" s="1" t="s">
        <v>418</v>
      </c>
      <c r="BF1" s="1" t="s">
        <v>857</v>
      </c>
      <c r="BG1" s="1" t="s">
        <v>858</v>
      </c>
      <c r="BH1" s="6" t="s">
        <v>860</v>
      </c>
      <c r="BI1" s="6" t="s">
        <v>433</v>
      </c>
      <c r="BJ1" s="6" t="s">
        <v>426</v>
      </c>
      <c r="BK1" s="6" t="s">
        <v>434</v>
      </c>
      <c r="BL1" s="21" t="s">
        <v>435</v>
      </c>
      <c r="BM1" s="1" t="s">
        <v>428</v>
      </c>
      <c r="BN1" s="1" t="s">
        <v>436</v>
      </c>
      <c r="BP1" s="6" t="s">
        <v>418</v>
      </c>
      <c r="BR1" s="1" t="s">
        <v>459</v>
      </c>
    </row>
    <row r="2" spans="1:73" x14ac:dyDescent="0.25">
      <c r="A2" s="3"/>
      <c r="B2" s="3"/>
      <c r="C2" t="s">
        <v>463</v>
      </c>
      <c r="D2" s="5">
        <v>1</v>
      </c>
      <c r="E2" s="9">
        <f t="shared" ref="E2:E65" si="0">I2+L2+M2+N2+O2+V2+X2+AB2+AD2</f>
        <v>51.3</v>
      </c>
      <c r="F2" s="9">
        <f t="shared" ref="F2:F65" si="1">Q2/(H2+P2+Q2+AC2)</f>
        <v>0.85215605749486645</v>
      </c>
      <c r="G2">
        <v>0</v>
      </c>
      <c r="H2">
        <v>4.5999999999999996</v>
      </c>
      <c r="I2">
        <v>26.7</v>
      </c>
      <c r="J2">
        <v>0</v>
      </c>
      <c r="K2">
        <v>0</v>
      </c>
      <c r="L2">
        <v>0</v>
      </c>
      <c r="M2">
        <v>0</v>
      </c>
      <c r="N2">
        <v>0</v>
      </c>
      <c r="O2">
        <v>24.6</v>
      </c>
      <c r="P2">
        <v>2.6</v>
      </c>
      <c r="Q2">
        <v>41.5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16.899999999999999</v>
      </c>
      <c r="AK2" t="s">
        <v>1</v>
      </c>
      <c r="AL2" t="s">
        <v>372</v>
      </c>
      <c r="AN2" t="s">
        <v>373</v>
      </c>
      <c r="AO2" t="s">
        <v>375</v>
      </c>
      <c r="AQ2" s="1">
        <f>SUM(G2:AI2)</f>
        <v>100</v>
      </c>
      <c r="AR2" s="1">
        <f>(L2+M2+O2+X2)/100</f>
        <v>0.24600000000000002</v>
      </c>
      <c r="AS2" s="1">
        <f t="shared" ref="AS2:AS65" si="2">G2/100</f>
        <v>0</v>
      </c>
      <c r="AT2" s="1">
        <f>H2/100</f>
        <v>4.5999999999999999E-2</v>
      </c>
      <c r="AU2" s="1">
        <f>Q2/100</f>
        <v>0.41499999999999998</v>
      </c>
      <c r="AV2" s="1">
        <f>AJ2/100</f>
        <v>0.16899999999999998</v>
      </c>
      <c r="AX2" s="1">
        <f>AU2/(AT2+AS2)</f>
        <v>9.0217391304347831</v>
      </c>
      <c r="AY2" s="1">
        <f t="shared" ref="AY2:AY65" si="3">AR2/(AS2+AT2)</f>
        <v>5.3478260869565224</v>
      </c>
      <c r="AZ2" s="1">
        <f t="shared" ref="AZ2:AZ65" si="4">0.5+AX2/16</f>
        <v>1.0638586956521738</v>
      </c>
      <c r="BA2" s="1">
        <f t="shared" ref="BA2:BA65" si="5">0.5+AX2/4</f>
        <v>2.7554347826086958</v>
      </c>
      <c r="BB2" s="1">
        <f t="shared" ref="BB2:BB65" si="6">IF(AY2&lt;=AZ2,AY2,IF(AY2&lt;=BA2,AZ2,AZ2-(AY2-BA2)*(8+AX2)/(12*(2+AX2))))</f>
        <v>0.73022253666066361</v>
      </c>
      <c r="BC2" s="1">
        <f t="shared" ref="BC2:BC65" si="7">IF(BB2&lt;1,BB2,1)</f>
        <v>0.73022253666066361</v>
      </c>
      <c r="BD2" s="1">
        <f>ABS(BC2-AV2)</f>
        <v>0.56122253666066357</v>
      </c>
      <c r="BF2">
        <f>$BQ$3*H2+$BQ$4*G2+$BQ$5*P2+$BQ$6*K2+$BQ$7*S2+$BQ$8*U2+$BQ$9*Y2+$BQ$10*J2+$BQ$11*AC2+$BQ$12*AG2+$BQ$13*AH2+$BQ$14*R2+$BQ$15*AE2</f>
        <v>7.1999999999999993</v>
      </c>
      <c r="BG2">
        <f t="shared" ref="BG2:BG65" si="8">O2+$BQ$17*M2+$BQ$18*L2+$BQ$19*X2+$BQ$20*AD2+$BQ$21*I2+$BQ$22*N2+$BQ$23*AB2+$BQ$24*V2+$BQ$25*T2+$BQ$26*AA2+$BQ$28*Z2+$BQ$29*AF2+$BQ$30*W2+$BQ$27*AI2</f>
        <v>37.950000000000003</v>
      </c>
      <c r="BH2" s="1">
        <f>(Q2)/BF2</f>
        <v>5.7638888888888893</v>
      </c>
      <c r="BI2" s="1">
        <f t="shared" ref="BI2:BI65" si="9">BG2/BF2</f>
        <v>5.2708333333333339</v>
      </c>
      <c r="BJ2" s="1">
        <f>$BQ$32+BH2*$BQ$33</f>
        <v>0.77583333333333337</v>
      </c>
      <c r="BK2" s="1">
        <f>IF(BI2&lt;BJ2,BI2,$BQ$35*($BQ$36+BI2)*($BQ$37-BI2/($BQ$38+BH2)*$BQ$39)^5)</f>
        <v>0.31896380136662705</v>
      </c>
      <c r="BL2" s="22">
        <f>IF(BK2&lt;1,IF(BK2&gt;0,BK2,0),1)</f>
        <v>0.31896380136662705</v>
      </c>
      <c r="BM2" s="1">
        <f t="shared" ref="BM2:BM65" si="10">(BL2-AV2)^2</f>
        <v>2.2489141720329179E-2</v>
      </c>
      <c r="BN2" s="1">
        <f t="shared" ref="BN2:BN65" si="11">(AV2-AVERAGE($AV$2:$AV$638))^2</f>
        <v>5.6949491048301611E-2</v>
      </c>
      <c r="BP2" s="19" t="s">
        <v>419</v>
      </c>
      <c r="BQ2" s="19"/>
    </row>
    <row r="3" spans="1:73" ht="18.75" x14ac:dyDescent="0.25">
      <c r="A3" s="3"/>
      <c r="B3" s="3"/>
      <c r="C3" t="s">
        <v>464</v>
      </c>
      <c r="D3" s="5">
        <v>1</v>
      </c>
      <c r="E3" s="9">
        <f t="shared" si="0"/>
        <v>51.3</v>
      </c>
      <c r="F3" s="9">
        <f t="shared" si="1"/>
        <v>0.75770020533880911</v>
      </c>
      <c r="G3">
        <v>0</v>
      </c>
      <c r="H3">
        <v>9.1999999999999993</v>
      </c>
      <c r="I3">
        <v>26.7</v>
      </c>
      <c r="J3">
        <v>0</v>
      </c>
      <c r="K3">
        <v>0</v>
      </c>
      <c r="L3">
        <v>0</v>
      </c>
      <c r="M3">
        <v>0</v>
      </c>
      <c r="N3">
        <v>0</v>
      </c>
      <c r="O3">
        <v>24.6</v>
      </c>
      <c r="P3">
        <v>2.6</v>
      </c>
      <c r="Q3">
        <v>36.9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26</v>
      </c>
      <c r="AK3" t="s">
        <v>1</v>
      </c>
      <c r="AL3" t="s">
        <v>372</v>
      </c>
      <c r="AQ3" s="1">
        <f t="shared" ref="AQ3:AQ66" si="12">SUM(G3:AI3)</f>
        <v>100</v>
      </c>
      <c r="AR3" s="1">
        <f t="shared" ref="AR3:AR65" si="13">(L3+M3+O3+X3)/100</f>
        <v>0.24600000000000002</v>
      </c>
      <c r="AS3" s="1">
        <f t="shared" si="2"/>
        <v>0</v>
      </c>
      <c r="AT3" s="1">
        <f t="shared" ref="AT3:AT65" si="14">H3/100</f>
        <v>9.1999999999999998E-2</v>
      </c>
      <c r="AU3" s="1">
        <f t="shared" ref="AU3:AU65" si="15">Q3/100</f>
        <v>0.36899999999999999</v>
      </c>
      <c r="AV3" s="1">
        <f t="shared" ref="AV3:AV66" si="16">AJ3/100</f>
        <v>0.26</v>
      </c>
      <c r="AX3" s="1">
        <f t="shared" ref="AX3:AX66" si="17">AU3/(AT3+AS3)</f>
        <v>4.0108695652173916</v>
      </c>
      <c r="AY3" s="1">
        <f t="shared" si="3"/>
        <v>2.6739130434782612</v>
      </c>
      <c r="AZ3" s="1">
        <f t="shared" si="4"/>
        <v>0.75067934782608692</v>
      </c>
      <c r="BA3" s="1">
        <f t="shared" si="5"/>
        <v>1.5027173913043479</v>
      </c>
      <c r="BB3" s="1">
        <f t="shared" si="6"/>
        <v>0.55565656367114813</v>
      </c>
      <c r="BC3" s="1">
        <f t="shared" si="7"/>
        <v>0.55565656367114813</v>
      </c>
      <c r="BD3" s="1">
        <f t="shared" ref="BD3:BD66" si="18">ABS(BC3-AV3)</f>
        <v>0.29565656367114812</v>
      </c>
      <c r="BF3">
        <f t="shared" ref="BF3:BF65" si="19">$BQ$3*H3+$BQ$4*G3+$BQ$5*P3+$BQ$6*K3+$BQ$7*S3+$BQ$8*U3+$BQ$9*Y3+$BQ$10*J3+$BQ$11*AC3+$BQ$12*AG3+$BQ$13*AH3+$BQ$14*R3+$BQ$15*AE3</f>
        <v>11.799999999999999</v>
      </c>
      <c r="BG3">
        <f t="shared" si="8"/>
        <v>37.950000000000003</v>
      </c>
      <c r="BH3" s="1">
        <f t="shared" ref="BH3:BH65" si="20">(Q3)/BF3</f>
        <v>3.1271186440677967</v>
      </c>
      <c r="BI3" s="1">
        <f t="shared" si="9"/>
        <v>3.2161016949152548</v>
      </c>
      <c r="BJ3" s="1">
        <f t="shared" ref="BJ3:BJ66" si="21">$BQ$32+BH3*$BQ$33</f>
        <v>0.61762711864406783</v>
      </c>
      <c r="BK3" s="1">
        <f t="shared" ref="BK3:BK66" si="22">IF(BI3&lt;BJ3,BI3,$BQ$35*($BQ$36+BI3)*($BQ$37-BI3/($BQ$38+BH3)*$BQ$39)^5)</f>
        <v>0.34381714877568376</v>
      </c>
      <c r="BL3" s="22">
        <f t="shared" ref="BL3:BL66" si="23">IF(BK3&lt;1,IF(BK3&gt;0,BK3,0),1)</f>
        <v>0.34381714877568376</v>
      </c>
      <c r="BM3" s="1">
        <f t="shared" si="10"/>
        <v>7.0253144288851032E-3</v>
      </c>
      <c r="BN3" s="1">
        <f t="shared" si="11"/>
        <v>2.1797842712240601E-2</v>
      </c>
      <c r="BO3" s="1" t="s">
        <v>451</v>
      </c>
      <c r="BP3" s="7" t="s">
        <v>437</v>
      </c>
      <c r="BQ3" s="1">
        <v>1</v>
      </c>
    </row>
    <row r="4" spans="1:73" ht="18.75" x14ac:dyDescent="0.25">
      <c r="A4" s="3"/>
      <c r="B4" s="3"/>
      <c r="C4" t="s">
        <v>465</v>
      </c>
      <c r="D4" s="5">
        <v>1</v>
      </c>
      <c r="E4" s="9">
        <f t="shared" si="0"/>
        <v>51.3</v>
      </c>
      <c r="F4" s="9">
        <f t="shared" si="1"/>
        <v>0.66255144032921809</v>
      </c>
      <c r="G4">
        <v>0</v>
      </c>
      <c r="H4">
        <v>13.8</v>
      </c>
      <c r="I4">
        <v>26.7</v>
      </c>
      <c r="J4">
        <v>0</v>
      </c>
      <c r="K4">
        <v>0</v>
      </c>
      <c r="L4">
        <v>0</v>
      </c>
      <c r="M4">
        <v>0</v>
      </c>
      <c r="N4">
        <v>0</v>
      </c>
      <c r="O4">
        <v>24.6</v>
      </c>
      <c r="P4">
        <v>2.6</v>
      </c>
      <c r="Q4">
        <v>32.200000000000003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29.5</v>
      </c>
      <c r="AK4" t="s">
        <v>1</v>
      </c>
      <c r="AL4" t="s">
        <v>372</v>
      </c>
      <c r="AQ4" s="1">
        <f t="shared" si="12"/>
        <v>99.899999999999991</v>
      </c>
      <c r="AR4" s="1">
        <f t="shared" si="13"/>
        <v>0.24600000000000002</v>
      </c>
      <c r="AS4" s="1">
        <f t="shared" si="2"/>
        <v>0</v>
      </c>
      <c r="AT4" s="1">
        <f t="shared" si="14"/>
        <v>0.13800000000000001</v>
      </c>
      <c r="AU4" s="1">
        <f t="shared" si="15"/>
        <v>0.32200000000000001</v>
      </c>
      <c r="AV4" s="1">
        <f t="shared" si="16"/>
        <v>0.29499999999999998</v>
      </c>
      <c r="AX4" s="1">
        <f t="shared" si="17"/>
        <v>2.333333333333333</v>
      </c>
      <c r="AY4" s="1">
        <f t="shared" si="3"/>
        <v>1.7826086956521738</v>
      </c>
      <c r="AZ4" s="1">
        <f t="shared" si="4"/>
        <v>0.64583333333333326</v>
      </c>
      <c r="BA4" s="1">
        <f t="shared" si="5"/>
        <v>1.0833333333333333</v>
      </c>
      <c r="BB4" s="1">
        <f t="shared" si="6"/>
        <v>0.50687476774433293</v>
      </c>
      <c r="BC4" s="1">
        <f t="shared" si="7"/>
        <v>0.50687476774433293</v>
      </c>
      <c r="BD4" s="1">
        <f t="shared" si="18"/>
        <v>0.21187476774433295</v>
      </c>
      <c r="BF4">
        <f t="shared" si="19"/>
        <v>16.400000000000002</v>
      </c>
      <c r="BG4">
        <f t="shared" si="8"/>
        <v>37.950000000000003</v>
      </c>
      <c r="BH4" s="1">
        <f t="shared" si="20"/>
        <v>1.9634146341463414</v>
      </c>
      <c r="BI4" s="1">
        <f t="shared" si="9"/>
        <v>2.3140243902439024</v>
      </c>
      <c r="BJ4" s="1">
        <f t="shared" si="21"/>
        <v>0.54780487804878053</v>
      </c>
      <c r="BK4" s="1">
        <f t="shared" si="22"/>
        <v>0.364703986289664</v>
      </c>
      <c r="BL4" s="22">
        <f t="shared" si="23"/>
        <v>0.364703986289664</v>
      </c>
      <c r="BM4" s="1">
        <f t="shared" si="10"/>
        <v>4.8586457046696681E-3</v>
      </c>
      <c r="BN4" s="1">
        <f t="shared" si="11"/>
        <v>1.268797796760176E-2</v>
      </c>
      <c r="BO4" s="1" t="s">
        <v>450</v>
      </c>
      <c r="BP4" s="7" t="s">
        <v>438</v>
      </c>
      <c r="BQ4" s="10">
        <v>4</v>
      </c>
    </row>
    <row r="5" spans="1:73" ht="18.75" x14ac:dyDescent="0.25">
      <c r="A5" s="3"/>
      <c r="B5" s="3"/>
      <c r="C5" t="s">
        <v>466</v>
      </c>
      <c r="D5" s="5">
        <v>1</v>
      </c>
      <c r="E5" s="9">
        <f t="shared" si="0"/>
        <v>51.3</v>
      </c>
      <c r="F5" s="9">
        <f t="shared" si="1"/>
        <v>0.56878850102669398</v>
      </c>
      <c r="G5">
        <v>0</v>
      </c>
      <c r="H5">
        <v>18.399999999999999</v>
      </c>
      <c r="I5">
        <v>26.7</v>
      </c>
      <c r="J5">
        <v>0</v>
      </c>
      <c r="K5">
        <v>0</v>
      </c>
      <c r="L5">
        <v>0</v>
      </c>
      <c r="M5">
        <v>0</v>
      </c>
      <c r="N5">
        <v>0</v>
      </c>
      <c r="O5">
        <v>24.6</v>
      </c>
      <c r="P5">
        <v>2.6</v>
      </c>
      <c r="Q5">
        <v>27.7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31.6</v>
      </c>
      <c r="AK5" t="s">
        <v>1</v>
      </c>
      <c r="AL5" t="s">
        <v>372</v>
      </c>
      <c r="AQ5" s="1">
        <f t="shared" si="12"/>
        <v>99.999999999999986</v>
      </c>
      <c r="AR5" s="1">
        <f t="shared" si="13"/>
        <v>0.24600000000000002</v>
      </c>
      <c r="AS5" s="1">
        <f t="shared" si="2"/>
        <v>0</v>
      </c>
      <c r="AT5" s="1">
        <f t="shared" si="14"/>
        <v>0.184</v>
      </c>
      <c r="AU5" s="1">
        <f t="shared" si="15"/>
        <v>0.27699999999999997</v>
      </c>
      <c r="AV5" s="1">
        <f t="shared" si="16"/>
        <v>0.316</v>
      </c>
      <c r="AX5" s="1">
        <f t="shared" si="17"/>
        <v>1.5054347826086956</v>
      </c>
      <c r="AY5" s="1">
        <f t="shared" si="3"/>
        <v>1.3369565217391306</v>
      </c>
      <c r="AZ5" s="1">
        <f t="shared" si="4"/>
        <v>0.59408967391304346</v>
      </c>
      <c r="BA5" s="1">
        <f t="shared" si="5"/>
        <v>0.87635869565217384</v>
      </c>
      <c r="BB5" s="1">
        <f t="shared" si="6"/>
        <v>0.49000884732052569</v>
      </c>
      <c r="BC5" s="1">
        <f t="shared" si="7"/>
        <v>0.49000884732052569</v>
      </c>
      <c r="BD5" s="1">
        <f t="shared" si="18"/>
        <v>0.17400884732052568</v>
      </c>
      <c r="BF5">
        <f t="shared" si="19"/>
        <v>21</v>
      </c>
      <c r="BG5">
        <f t="shared" si="8"/>
        <v>37.950000000000003</v>
      </c>
      <c r="BH5" s="1">
        <f t="shared" si="20"/>
        <v>1.319047619047619</v>
      </c>
      <c r="BI5" s="1">
        <f t="shared" si="9"/>
        <v>1.8071428571428574</v>
      </c>
      <c r="BJ5" s="1">
        <f t="shared" si="21"/>
        <v>0.50914285714285712</v>
      </c>
      <c r="BK5" s="1">
        <f t="shared" si="22"/>
        <v>0.38086783481475905</v>
      </c>
      <c r="BL5" s="22">
        <f t="shared" si="23"/>
        <v>0.38086783481475905</v>
      </c>
      <c r="BM5" s="1">
        <f t="shared" si="10"/>
        <v>4.207835993554866E-3</v>
      </c>
      <c r="BN5" s="1">
        <f t="shared" si="11"/>
        <v>8.3980591208184501E-3</v>
      </c>
      <c r="BO5" s="1" t="s">
        <v>452</v>
      </c>
      <c r="BP5" s="7" t="s">
        <v>439</v>
      </c>
      <c r="BQ5" s="10">
        <v>1</v>
      </c>
    </row>
    <row r="6" spans="1:73" ht="18.75" x14ac:dyDescent="0.25">
      <c r="A6" s="3"/>
      <c r="B6" s="3"/>
      <c r="C6" t="s">
        <v>467</v>
      </c>
      <c r="D6" s="5">
        <v>1</v>
      </c>
      <c r="E6" s="9">
        <f t="shared" si="0"/>
        <v>51.3</v>
      </c>
      <c r="F6" s="9">
        <f t="shared" si="1"/>
        <v>0.37782340862422992</v>
      </c>
      <c r="G6">
        <v>0</v>
      </c>
      <c r="H6">
        <v>27.7</v>
      </c>
      <c r="I6">
        <v>26.7</v>
      </c>
      <c r="J6">
        <v>0</v>
      </c>
      <c r="K6">
        <v>0</v>
      </c>
      <c r="L6">
        <v>0</v>
      </c>
      <c r="M6">
        <v>0</v>
      </c>
      <c r="N6">
        <v>0</v>
      </c>
      <c r="O6">
        <v>24.6</v>
      </c>
      <c r="P6">
        <v>2.6</v>
      </c>
      <c r="Q6">
        <v>18.399999999999999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33.5</v>
      </c>
      <c r="AK6" t="s">
        <v>1</v>
      </c>
      <c r="AL6" t="s">
        <v>372</v>
      </c>
      <c r="AQ6" s="1">
        <f t="shared" si="12"/>
        <v>100</v>
      </c>
      <c r="AR6" s="1">
        <f t="shared" si="13"/>
        <v>0.24600000000000002</v>
      </c>
      <c r="AS6" s="1">
        <f t="shared" si="2"/>
        <v>0</v>
      </c>
      <c r="AT6" s="1">
        <f t="shared" si="14"/>
        <v>0.27699999999999997</v>
      </c>
      <c r="AU6" s="1">
        <f t="shared" si="15"/>
        <v>0.184</v>
      </c>
      <c r="AV6" s="1">
        <f t="shared" si="16"/>
        <v>0.33500000000000002</v>
      </c>
      <c r="AX6" s="1">
        <f t="shared" si="17"/>
        <v>0.66425992779783405</v>
      </c>
      <c r="AY6" s="1">
        <f t="shared" si="3"/>
        <v>0.88808664259927816</v>
      </c>
      <c r="AZ6" s="1">
        <f t="shared" si="4"/>
        <v>0.54151624548736466</v>
      </c>
      <c r="BA6" s="1">
        <f t="shared" si="5"/>
        <v>0.66606498194945851</v>
      </c>
      <c r="BB6" s="1">
        <f t="shared" si="6"/>
        <v>0.48134777376654631</v>
      </c>
      <c r="BC6" s="1">
        <f t="shared" si="7"/>
        <v>0.48134777376654631</v>
      </c>
      <c r="BD6" s="1">
        <f t="shared" si="18"/>
        <v>0.14634777376654629</v>
      </c>
      <c r="BF6">
        <f t="shared" si="19"/>
        <v>30.3</v>
      </c>
      <c r="BG6">
        <f t="shared" si="8"/>
        <v>37.950000000000003</v>
      </c>
      <c r="BH6" s="1">
        <f t="shared" si="20"/>
        <v>0.60726072607260717</v>
      </c>
      <c r="BI6" s="1">
        <f t="shared" si="9"/>
        <v>1.2524752475247525</v>
      </c>
      <c r="BJ6" s="1">
        <f t="shared" si="21"/>
        <v>0.46643564356435641</v>
      </c>
      <c r="BK6" s="1">
        <f t="shared" si="22"/>
        <v>0.39659048883598741</v>
      </c>
      <c r="BL6" s="22">
        <f t="shared" si="23"/>
        <v>0.39659048883598741</v>
      </c>
      <c r="BM6" s="1">
        <f t="shared" si="10"/>
        <v>3.7933883150558872E-3</v>
      </c>
      <c r="BN6" s="1">
        <f t="shared" si="11"/>
        <v>5.2767039737287883E-3</v>
      </c>
      <c r="BO6" s="1" t="s">
        <v>862</v>
      </c>
      <c r="BP6" s="7" t="s">
        <v>440</v>
      </c>
      <c r="BQ6" s="1">
        <v>0</v>
      </c>
    </row>
    <row r="7" spans="1:73" ht="18.75" x14ac:dyDescent="0.25">
      <c r="A7" s="3"/>
      <c r="B7" s="3"/>
      <c r="C7" t="s">
        <v>468</v>
      </c>
      <c r="D7" s="5">
        <v>1</v>
      </c>
      <c r="E7" s="9">
        <f t="shared" si="0"/>
        <v>51.3</v>
      </c>
      <c r="F7" s="9">
        <f t="shared" si="1"/>
        <v>0.18891170431211496</v>
      </c>
      <c r="G7">
        <v>0</v>
      </c>
      <c r="H7">
        <v>36.9</v>
      </c>
      <c r="I7">
        <v>26.7</v>
      </c>
      <c r="J7">
        <v>0</v>
      </c>
      <c r="K7">
        <v>0</v>
      </c>
      <c r="L7">
        <v>0</v>
      </c>
      <c r="M7">
        <v>0</v>
      </c>
      <c r="N7">
        <v>0</v>
      </c>
      <c r="O7">
        <v>24.6</v>
      </c>
      <c r="P7">
        <v>2.6</v>
      </c>
      <c r="Q7">
        <v>9.1999999999999993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34</v>
      </c>
      <c r="AK7" t="s">
        <v>1</v>
      </c>
      <c r="AL7" t="s">
        <v>372</v>
      </c>
      <c r="AQ7" s="1">
        <f t="shared" si="12"/>
        <v>99.999999999999986</v>
      </c>
      <c r="AR7" s="1">
        <f t="shared" si="13"/>
        <v>0.24600000000000002</v>
      </c>
      <c r="AS7" s="1">
        <f t="shared" si="2"/>
        <v>0</v>
      </c>
      <c r="AT7" s="1">
        <f t="shared" si="14"/>
        <v>0.36899999999999999</v>
      </c>
      <c r="AU7" s="1">
        <f t="shared" si="15"/>
        <v>9.1999999999999998E-2</v>
      </c>
      <c r="AV7" s="1">
        <f t="shared" si="16"/>
        <v>0.34</v>
      </c>
      <c r="AX7" s="1">
        <f t="shared" si="17"/>
        <v>0.24932249322493225</v>
      </c>
      <c r="AY7" s="1">
        <f t="shared" si="3"/>
        <v>0.66666666666666674</v>
      </c>
      <c r="AZ7" s="1">
        <f t="shared" si="4"/>
        <v>0.51558265582655827</v>
      </c>
      <c r="BA7" s="1">
        <f t="shared" si="5"/>
        <v>0.56233062330623307</v>
      </c>
      <c r="BB7" s="1">
        <f t="shared" si="6"/>
        <v>0.48369521446218477</v>
      </c>
      <c r="BC7" s="1">
        <f t="shared" si="7"/>
        <v>0.48369521446218477</v>
      </c>
      <c r="BD7" s="1">
        <f t="shared" si="18"/>
        <v>0.14369521446218475</v>
      </c>
      <c r="BF7">
        <f t="shared" si="19"/>
        <v>39.5</v>
      </c>
      <c r="BG7">
        <f t="shared" si="8"/>
        <v>37.950000000000003</v>
      </c>
      <c r="BH7" s="1">
        <f t="shared" si="20"/>
        <v>0.23291139240506328</v>
      </c>
      <c r="BI7" s="1">
        <f t="shared" si="9"/>
        <v>0.9607594936708862</v>
      </c>
      <c r="BJ7" s="1">
        <f t="shared" si="21"/>
        <v>0.44397468354430381</v>
      </c>
      <c r="BK7" s="1">
        <f t="shared" si="22"/>
        <v>0.40040254223988436</v>
      </c>
      <c r="BL7" s="22">
        <f t="shared" si="23"/>
        <v>0.40040254223988436</v>
      </c>
      <c r="BM7" s="1">
        <f t="shared" si="10"/>
        <v>3.6484671090410118E-3</v>
      </c>
      <c r="BN7" s="1">
        <f t="shared" si="11"/>
        <v>4.5752947244946671E-3</v>
      </c>
      <c r="BO7" s="1" t="s">
        <v>863</v>
      </c>
      <c r="BP7" s="7" t="s">
        <v>441</v>
      </c>
      <c r="BQ7" s="1">
        <v>0</v>
      </c>
    </row>
    <row r="8" spans="1:73" ht="18.75" x14ac:dyDescent="0.25">
      <c r="A8" s="3"/>
      <c r="B8" s="3"/>
      <c r="C8" t="s">
        <v>469</v>
      </c>
      <c r="D8" s="5">
        <v>1</v>
      </c>
      <c r="E8" s="9">
        <f t="shared" si="0"/>
        <v>51.3</v>
      </c>
      <c r="F8" s="9">
        <f t="shared" si="1"/>
        <v>0</v>
      </c>
      <c r="G8">
        <v>0</v>
      </c>
      <c r="H8">
        <v>46.1</v>
      </c>
      <c r="I8">
        <v>26.7</v>
      </c>
      <c r="J8">
        <v>0</v>
      </c>
      <c r="K8">
        <v>0</v>
      </c>
      <c r="L8">
        <v>0</v>
      </c>
      <c r="M8">
        <v>0</v>
      </c>
      <c r="N8">
        <v>0</v>
      </c>
      <c r="O8">
        <v>24.6</v>
      </c>
      <c r="P8">
        <v>2.6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33.4</v>
      </c>
      <c r="AK8" t="s">
        <v>1</v>
      </c>
      <c r="AL8" t="s">
        <v>372</v>
      </c>
      <c r="AQ8" s="1">
        <f t="shared" si="12"/>
        <v>100</v>
      </c>
      <c r="AR8" s="1">
        <f t="shared" si="13"/>
        <v>0.24600000000000002</v>
      </c>
      <c r="AS8" s="1">
        <f t="shared" si="2"/>
        <v>0</v>
      </c>
      <c r="AT8" s="1">
        <f t="shared" si="14"/>
        <v>0.46100000000000002</v>
      </c>
      <c r="AU8" s="1">
        <f t="shared" si="15"/>
        <v>0</v>
      </c>
      <c r="AV8" s="1">
        <f t="shared" si="16"/>
        <v>0.33399999999999996</v>
      </c>
      <c r="AX8" s="1">
        <f t="shared" si="17"/>
        <v>0</v>
      </c>
      <c r="AY8" s="1">
        <f t="shared" si="3"/>
        <v>0.53362255965292849</v>
      </c>
      <c r="AZ8" s="1">
        <f t="shared" si="4"/>
        <v>0.5</v>
      </c>
      <c r="BA8" s="1">
        <f t="shared" si="5"/>
        <v>0.5</v>
      </c>
      <c r="BB8" s="1">
        <f t="shared" si="6"/>
        <v>0.48879248011569049</v>
      </c>
      <c r="BC8" s="1">
        <f t="shared" si="7"/>
        <v>0.48879248011569049</v>
      </c>
      <c r="BD8" s="1">
        <f t="shared" si="18"/>
        <v>0.15479248011569052</v>
      </c>
      <c r="BF8">
        <f t="shared" si="19"/>
        <v>48.7</v>
      </c>
      <c r="BG8">
        <f t="shared" si="8"/>
        <v>37.950000000000003</v>
      </c>
      <c r="BH8" s="1">
        <f t="shared" si="20"/>
        <v>0</v>
      </c>
      <c r="BI8" s="1">
        <f t="shared" si="9"/>
        <v>0.77926078028747436</v>
      </c>
      <c r="BJ8" s="1">
        <f t="shared" si="21"/>
        <v>0.43</v>
      </c>
      <c r="BK8" s="1">
        <f t="shared" si="22"/>
        <v>0.39850215525412247</v>
      </c>
      <c r="BL8" s="22">
        <f t="shared" si="23"/>
        <v>0.39850215525412247</v>
      </c>
      <c r="BM8" s="1">
        <f t="shared" si="10"/>
        <v>4.1605280324269233E-3</v>
      </c>
      <c r="BN8" s="1">
        <f t="shared" si="11"/>
        <v>5.4229858235756209E-3</v>
      </c>
      <c r="BO8" s="1" t="s">
        <v>864</v>
      </c>
      <c r="BP8" s="7" t="s">
        <v>442</v>
      </c>
      <c r="BQ8" s="10">
        <v>2</v>
      </c>
    </row>
    <row r="9" spans="1:73" ht="18.75" x14ac:dyDescent="0.25">
      <c r="A9" s="3"/>
      <c r="B9" s="3"/>
      <c r="C9" t="s">
        <v>470</v>
      </c>
      <c r="D9" s="5">
        <v>1</v>
      </c>
      <c r="E9" s="9">
        <f t="shared" si="0"/>
        <v>47.400000000000006</v>
      </c>
      <c r="F9" s="9">
        <f t="shared" si="1"/>
        <v>0.8783269961977187</v>
      </c>
      <c r="G9">
        <v>0</v>
      </c>
      <c r="H9">
        <v>2.4</v>
      </c>
      <c r="I9">
        <v>23.3</v>
      </c>
      <c r="J9">
        <v>0</v>
      </c>
      <c r="K9">
        <v>0</v>
      </c>
      <c r="L9">
        <v>0</v>
      </c>
      <c r="M9">
        <v>0</v>
      </c>
      <c r="N9">
        <v>0</v>
      </c>
      <c r="O9">
        <v>24.1</v>
      </c>
      <c r="P9">
        <v>4</v>
      </c>
      <c r="Q9">
        <v>46.2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36.5</v>
      </c>
      <c r="AK9" t="s">
        <v>1</v>
      </c>
      <c r="AL9" t="s">
        <v>372</v>
      </c>
      <c r="AQ9" s="1">
        <f t="shared" si="12"/>
        <v>100</v>
      </c>
      <c r="AR9" s="1">
        <f t="shared" si="13"/>
        <v>0.24100000000000002</v>
      </c>
      <c r="AS9" s="1">
        <f t="shared" si="2"/>
        <v>0</v>
      </c>
      <c r="AT9" s="1">
        <f t="shared" si="14"/>
        <v>2.4E-2</v>
      </c>
      <c r="AU9" s="1">
        <f t="shared" si="15"/>
        <v>0.46200000000000002</v>
      </c>
      <c r="AV9" s="1">
        <f t="shared" si="16"/>
        <v>0.36499999999999999</v>
      </c>
      <c r="AX9" s="1">
        <f t="shared" si="17"/>
        <v>19.25</v>
      </c>
      <c r="AY9" s="1">
        <f t="shared" si="3"/>
        <v>10.041666666666668</v>
      </c>
      <c r="AZ9" s="1">
        <f t="shared" si="4"/>
        <v>1.703125</v>
      </c>
      <c r="BA9" s="1">
        <f t="shared" si="5"/>
        <v>5.3125</v>
      </c>
      <c r="BB9" s="1">
        <f t="shared" si="6"/>
        <v>1.1977532679738561</v>
      </c>
      <c r="BC9" s="1">
        <f t="shared" si="7"/>
        <v>1</v>
      </c>
      <c r="BD9" s="1">
        <f t="shared" si="18"/>
        <v>0.63500000000000001</v>
      </c>
      <c r="BF9">
        <f t="shared" si="19"/>
        <v>6.4</v>
      </c>
      <c r="BG9">
        <f t="shared" si="8"/>
        <v>35.75</v>
      </c>
      <c r="BH9" s="1">
        <f t="shared" si="20"/>
        <v>7.21875</v>
      </c>
      <c r="BI9" s="1">
        <f t="shared" si="9"/>
        <v>5.5859375</v>
      </c>
      <c r="BJ9" s="1">
        <f t="shared" si="21"/>
        <v>0.86312499999999992</v>
      </c>
      <c r="BK9" s="1">
        <f t="shared" si="22"/>
        <v>0.45251907511997191</v>
      </c>
      <c r="BL9" s="22">
        <f t="shared" si="23"/>
        <v>0.45251907511997191</v>
      </c>
      <c r="BM9" s="1">
        <f t="shared" si="10"/>
        <v>7.6595885098552884E-3</v>
      </c>
      <c r="BN9" s="1">
        <f t="shared" si="11"/>
        <v>1.8182484783240667E-3</v>
      </c>
      <c r="BO9" s="1" t="s">
        <v>865</v>
      </c>
      <c r="BP9" s="7" t="s">
        <v>443</v>
      </c>
      <c r="BQ9" s="1">
        <v>0</v>
      </c>
    </row>
    <row r="10" spans="1:73" x14ac:dyDescent="0.25">
      <c r="A10" s="3"/>
      <c r="B10" s="3"/>
      <c r="C10" t="s">
        <v>471</v>
      </c>
      <c r="D10" s="5">
        <v>1</v>
      </c>
      <c r="E10" s="9">
        <f t="shared" si="0"/>
        <v>47.400000000000006</v>
      </c>
      <c r="F10" s="9">
        <f t="shared" si="1"/>
        <v>0.83079847908745252</v>
      </c>
      <c r="G10">
        <v>0</v>
      </c>
      <c r="H10">
        <v>4.9000000000000004</v>
      </c>
      <c r="I10">
        <v>23.3</v>
      </c>
      <c r="J10">
        <v>0</v>
      </c>
      <c r="K10">
        <v>0</v>
      </c>
      <c r="L10">
        <v>0</v>
      </c>
      <c r="M10">
        <v>0</v>
      </c>
      <c r="N10">
        <v>0</v>
      </c>
      <c r="O10">
        <v>24.1</v>
      </c>
      <c r="P10">
        <v>4</v>
      </c>
      <c r="Q10">
        <v>43.7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38.799999999999997</v>
      </c>
      <c r="AK10" t="s">
        <v>1</v>
      </c>
      <c r="AL10" t="s">
        <v>372</v>
      </c>
      <c r="AQ10" s="1">
        <f t="shared" si="12"/>
        <v>100</v>
      </c>
      <c r="AR10" s="1">
        <f t="shared" si="13"/>
        <v>0.24100000000000002</v>
      </c>
      <c r="AS10" s="1">
        <f t="shared" si="2"/>
        <v>0</v>
      </c>
      <c r="AT10" s="1">
        <f t="shared" si="14"/>
        <v>4.9000000000000002E-2</v>
      </c>
      <c r="AU10" s="1">
        <f t="shared" si="15"/>
        <v>0.43700000000000006</v>
      </c>
      <c r="AV10" s="1">
        <f t="shared" si="16"/>
        <v>0.38799999999999996</v>
      </c>
      <c r="AX10" s="1">
        <f t="shared" si="17"/>
        <v>8.9183673469387763</v>
      </c>
      <c r="AY10" s="1">
        <f t="shared" si="3"/>
        <v>4.9183673469387754</v>
      </c>
      <c r="AZ10" s="1">
        <f t="shared" si="4"/>
        <v>1.0573979591836735</v>
      </c>
      <c r="BA10" s="1">
        <f t="shared" si="5"/>
        <v>2.7295918367346941</v>
      </c>
      <c r="BB10" s="1">
        <f t="shared" si="6"/>
        <v>0.77476635514018699</v>
      </c>
      <c r="BC10" s="1">
        <f t="shared" si="7"/>
        <v>0.77476635514018699</v>
      </c>
      <c r="BD10" s="1">
        <f t="shared" si="18"/>
        <v>0.38676635514018703</v>
      </c>
      <c r="BF10">
        <f t="shared" si="19"/>
        <v>8.9</v>
      </c>
      <c r="BG10">
        <f t="shared" si="8"/>
        <v>35.75</v>
      </c>
      <c r="BH10" s="1">
        <f t="shared" si="20"/>
        <v>4.9101123595505616</v>
      </c>
      <c r="BI10" s="1">
        <f t="shared" si="9"/>
        <v>4.0168539325842696</v>
      </c>
      <c r="BJ10" s="1">
        <f t="shared" si="21"/>
        <v>0.72460674157303373</v>
      </c>
      <c r="BK10" s="1">
        <f t="shared" si="22"/>
        <v>0.43540380796757583</v>
      </c>
      <c r="BL10" s="22">
        <f t="shared" si="23"/>
        <v>0.43540380796757583</v>
      </c>
      <c r="BM10" s="1">
        <f t="shared" si="10"/>
        <v>2.2471210098268099E-3</v>
      </c>
      <c r="BN10" s="1">
        <f t="shared" si="11"/>
        <v>3.8576593184711173E-4</v>
      </c>
      <c r="BO10" s="1" t="s">
        <v>866</v>
      </c>
      <c r="BP10" s="17" t="s">
        <v>356</v>
      </c>
      <c r="BQ10" s="10">
        <v>0</v>
      </c>
    </row>
    <row r="11" spans="1:73" x14ac:dyDescent="0.25">
      <c r="A11" s="3"/>
      <c r="B11" s="3"/>
      <c r="C11" t="s">
        <v>472</v>
      </c>
      <c r="D11" s="5">
        <v>1</v>
      </c>
      <c r="E11" s="9">
        <f t="shared" si="0"/>
        <v>47.400000000000006</v>
      </c>
      <c r="F11" s="9">
        <f t="shared" si="1"/>
        <v>0.78517110266159695</v>
      </c>
      <c r="G11">
        <v>0</v>
      </c>
      <c r="H11">
        <v>7.3</v>
      </c>
      <c r="I11">
        <v>23.3</v>
      </c>
      <c r="J11">
        <v>0</v>
      </c>
      <c r="K11">
        <v>0</v>
      </c>
      <c r="L11">
        <v>0</v>
      </c>
      <c r="M11">
        <v>0</v>
      </c>
      <c r="N11">
        <v>0</v>
      </c>
      <c r="O11">
        <v>24.1</v>
      </c>
      <c r="P11">
        <v>4</v>
      </c>
      <c r="Q11">
        <v>41.3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41.1</v>
      </c>
      <c r="AK11" t="s">
        <v>1</v>
      </c>
      <c r="AL11" t="s">
        <v>372</v>
      </c>
      <c r="AQ11" s="1">
        <f t="shared" si="12"/>
        <v>100</v>
      </c>
      <c r="AR11" s="1">
        <f t="shared" si="13"/>
        <v>0.24100000000000002</v>
      </c>
      <c r="AS11" s="1">
        <f t="shared" si="2"/>
        <v>0</v>
      </c>
      <c r="AT11" s="1">
        <f t="shared" si="14"/>
        <v>7.2999999999999995E-2</v>
      </c>
      <c r="AU11" s="1">
        <f t="shared" si="15"/>
        <v>0.41299999999999998</v>
      </c>
      <c r="AV11" s="1">
        <f t="shared" si="16"/>
        <v>0.41100000000000003</v>
      </c>
      <c r="AX11" s="1">
        <f t="shared" si="17"/>
        <v>5.6575342465753424</v>
      </c>
      <c r="AY11" s="1">
        <f t="shared" si="3"/>
        <v>3.3013698630136989</v>
      </c>
      <c r="AZ11" s="1">
        <f t="shared" si="4"/>
        <v>0.85359589041095885</v>
      </c>
      <c r="BA11" s="1">
        <f t="shared" si="5"/>
        <v>1.9143835616438356</v>
      </c>
      <c r="BB11" s="1">
        <f t="shared" si="6"/>
        <v>0.64745019236895618</v>
      </c>
      <c r="BC11" s="1">
        <f t="shared" si="7"/>
        <v>0.64745019236895618</v>
      </c>
      <c r="BD11" s="1">
        <f t="shared" si="18"/>
        <v>0.23645019236895615</v>
      </c>
      <c r="BF11">
        <f t="shared" si="19"/>
        <v>11.3</v>
      </c>
      <c r="BG11">
        <f t="shared" si="8"/>
        <v>35.75</v>
      </c>
      <c r="BH11" s="1">
        <f t="shared" si="20"/>
        <v>3.6548672566371678</v>
      </c>
      <c r="BI11" s="1">
        <f t="shared" si="9"/>
        <v>3.163716814159292</v>
      </c>
      <c r="BJ11" s="1">
        <f t="shared" si="21"/>
        <v>0.64929203539823011</v>
      </c>
      <c r="BK11" s="1">
        <f t="shared" si="22"/>
        <v>0.43037662696155116</v>
      </c>
      <c r="BL11" s="22">
        <f t="shared" si="23"/>
        <v>0.43037662696155116</v>
      </c>
      <c r="BM11" s="1">
        <f t="shared" si="10"/>
        <v>3.7545367240710996E-4</v>
      </c>
      <c r="BN11" s="1">
        <f t="shared" si="11"/>
        <v>1.1283385370154325E-5</v>
      </c>
      <c r="BO11" s="1" t="s">
        <v>861</v>
      </c>
      <c r="BP11" s="17" t="s">
        <v>302</v>
      </c>
      <c r="BQ11" s="1">
        <v>0</v>
      </c>
      <c r="BU11" s="1">
        <v>0</v>
      </c>
    </row>
    <row r="12" spans="1:73" x14ac:dyDescent="0.25">
      <c r="A12" s="3"/>
      <c r="B12" s="3"/>
      <c r="C12" t="s">
        <v>473</v>
      </c>
      <c r="D12" s="5">
        <v>1</v>
      </c>
      <c r="E12" s="9">
        <f t="shared" si="0"/>
        <v>47.400000000000006</v>
      </c>
      <c r="F12" s="9">
        <f t="shared" si="1"/>
        <v>0.73954372623574149</v>
      </c>
      <c r="G12">
        <v>0</v>
      </c>
      <c r="H12">
        <v>9.6999999999999993</v>
      </c>
      <c r="I12">
        <v>23.3</v>
      </c>
      <c r="J12">
        <v>0</v>
      </c>
      <c r="K12">
        <v>0</v>
      </c>
      <c r="L12">
        <v>0</v>
      </c>
      <c r="M12">
        <v>0</v>
      </c>
      <c r="N12">
        <v>0</v>
      </c>
      <c r="O12">
        <v>24.1</v>
      </c>
      <c r="P12">
        <v>4</v>
      </c>
      <c r="Q12">
        <v>38.9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42.4</v>
      </c>
      <c r="AK12" t="s">
        <v>1</v>
      </c>
      <c r="AL12" t="s">
        <v>372</v>
      </c>
      <c r="AQ12" s="1">
        <f t="shared" si="12"/>
        <v>100</v>
      </c>
      <c r="AR12" s="1">
        <f t="shared" si="13"/>
        <v>0.24100000000000002</v>
      </c>
      <c r="AS12" s="1">
        <f t="shared" si="2"/>
        <v>0</v>
      </c>
      <c r="AT12" s="1">
        <f t="shared" si="14"/>
        <v>9.6999999999999989E-2</v>
      </c>
      <c r="AU12" s="1">
        <f t="shared" si="15"/>
        <v>0.38900000000000001</v>
      </c>
      <c r="AV12" s="1">
        <f t="shared" si="16"/>
        <v>0.42399999999999999</v>
      </c>
      <c r="AX12" s="1">
        <f t="shared" si="17"/>
        <v>4.0103092783505163</v>
      </c>
      <c r="AY12" s="1">
        <f t="shared" si="3"/>
        <v>2.4845360824742273</v>
      </c>
      <c r="AZ12" s="1">
        <f t="shared" si="4"/>
        <v>0.75064432989690721</v>
      </c>
      <c r="BA12" s="1">
        <f t="shared" si="5"/>
        <v>1.5025773195876291</v>
      </c>
      <c r="BB12" s="1">
        <f t="shared" si="6"/>
        <v>0.58712489611147456</v>
      </c>
      <c r="BC12" s="1">
        <f t="shared" si="7"/>
        <v>0.58712489611147456</v>
      </c>
      <c r="BD12" s="1">
        <f t="shared" si="18"/>
        <v>0.16312489611147457</v>
      </c>
      <c r="BF12">
        <f t="shared" si="19"/>
        <v>13.7</v>
      </c>
      <c r="BG12">
        <f t="shared" si="8"/>
        <v>35.75</v>
      </c>
      <c r="BH12" s="1">
        <f t="shared" si="20"/>
        <v>2.8394160583941606</v>
      </c>
      <c r="BI12" s="1">
        <f t="shared" si="9"/>
        <v>2.6094890510948905</v>
      </c>
      <c r="BJ12" s="1">
        <f t="shared" si="21"/>
        <v>0.60036496350364965</v>
      </c>
      <c r="BK12" s="1">
        <f t="shared" si="22"/>
        <v>0.42913325262451218</v>
      </c>
      <c r="BL12" s="22">
        <f t="shared" si="23"/>
        <v>0.42913325262451218</v>
      </c>
      <c r="BM12" s="1">
        <f t="shared" si="10"/>
        <v>2.6350282507061357E-5</v>
      </c>
      <c r="BN12" s="1">
        <f t="shared" si="11"/>
        <v>2.6761933736143954E-4</v>
      </c>
      <c r="BO12" s="1" t="s">
        <v>867</v>
      </c>
      <c r="BP12" s="17" t="s">
        <v>812</v>
      </c>
      <c r="BQ12" s="1">
        <v>0</v>
      </c>
      <c r="BU12" s="1">
        <v>1</v>
      </c>
    </row>
    <row r="13" spans="1:73" x14ac:dyDescent="0.25">
      <c r="A13" s="3"/>
      <c r="B13" s="3"/>
      <c r="C13" t="s">
        <v>474</v>
      </c>
      <c r="D13" s="5">
        <v>1</v>
      </c>
      <c r="E13" s="9">
        <f t="shared" si="0"/>
        <v>47.400000000000006</v>
      </c>
      <c r="F13" s="9">
        <f t="shared" si="1"/>
        <v>0.64638783269961975</v>
      </c>
      <c r="G13">
        <v>0</v>
      </c>
      <c r="H13">
        <v>14.6</v>
      </c>
      <c r="I13">
        <v>23.3</v>
      </c>
      <c r="J13">
        <v>0</v>
      </c>
      <c r="K13">
        <v>0</v>
      </c>
      <c r="L13">
        <v>0</v>
      </c>
      <c r="M13">
        <v>0</v>
      </c>
      <c r="N13">
        <v>0</v>
      </c>
      <c r="O13">
        <v>24.1</v>
      </c>
      <c r="P13">
        <v>4</v>
      </c>
      <c r="Q13">
        <v>34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43.2</v>
      </c>
      <c r="AK13" t="s">
        <v>1</v>
      </c>
      <c r="AL13" t="s">
        <v>372</v>
      </c>
      <c r="AQ13" s="1">
        <f t="shared" si="12"/>
        <v>100</v>
      </c>
      <c r="AR13" s="1">
        <f t="shared" si="13"/>
        <v>0.24100000000000002</v>
      </c>
      <c r="AS13" s="1">
        <f t="shared" si="2"/>
        <v>0</v>
      </c>
      <c r="AT13" s="1">
        <f t="shared" si="14"/>
        <v>0.14599999999999999</v>
      </c>
      <c r="AU13" s="1">
        <f t="shared" si="15"/>
        <v>0.34</v>
      </c>
      <c r="AV13" s="1">
        <f t="shared" si="16"/>
        <v>0.43200000000000005</v>
      </c>
      <c r="AX13" s="1">
        <f t="shared" si="17"/>
        <v>2.3287671232876717</v>
      </c>
      <c r="AY13" s="1">
        <f t="shared" si="3"/>
        <v>1.6506849315068495</v>
      </c>
      <c r="AZ13" s="1">
        <f t="shared" si="4"/>
        <v>0.64554794520547953</v>
      </c>
      <c r="BA13" s="1">
        <f t="shared" si="5"/>
        <v>1.0821917808219179</v>
      </c>
      <c r="BB13" s="1">
        <f t="shared" si="6"/>
        <v>0.53250895901970996</v>
      </c>
      <c r="BC13" s="1">
        <f t="shared" si="7"/>
        <v>0.53250895901970996</v>
      </c>
      <c r="BD13" s="1">
        <f t="shared" si="18"/>
        <v>0.10050895901970991</v>
      </c>
      <c r="BF13">
        <f t="shared" si="19"/>
        <v>18.600000000000001</v>
      </c>
      <c r="BG13">
        <f t="shared" si="8"/>
        <v>35.75</v>
      </c>
      <c r="BH13" s="1">
        <f t="shared" si="20"/>
        <v>1.8279569892473118</v>
      </c>
      <c r="BI13" s="1">
        <f t="shared" si="9"/>
        <v>1.922043010752688</v>
      </c>
      <c r="BJ13" s="1">
        <f t="shared" si="21"/>
        <v>0.53967741935483871</v>
      </c>
      <c r="BK13" s="1">
        <f t="shared" si="22"/>
        <v>0.42932627921426564</v>
      </c>
      <c r="BL13" s="22">
        <f t="shared" si="23"/>
        <v>0.42932627921426564</v>
      </c>
      <c r="BM13" s="1">
        <f t="shared" si="10"/>
        <v>7.1487828400682442E-6</v>
      </c>
      <c r="BN13" s="1">
        <f t="shared" si="11"/>
        <v>5.9336453858684904E-4</v>
      </c>
      <c r="BO13" s="1" t="s">
        <v>868</v>
      </c>
      <c r="BP13" s="17" t="s">
        <v>813</v>
      </c>
      <c r="BQ13" s="1">
        <v>0</v>
      </c>
    </row>
    <row r="14" spans="1:73" x14ac:dyDescent="0.25">
      <c r="A14" s="3"/>
      <c r="B14" s="3"/>
      <c r="C14" t="s">
        <v>475</v>
      </c>
      <c r="D14" s="5">
        <v>1</v>
      </c>
      <c r="E14" s="9">
        <f t="shared" si="0"/>
        <v>47.400000000000006</v>
      </c>
      <c r="F14" s="9">
        <f t="shared" si="1"/>
        <v>0.55513307984790883</v>
      </c>
      <c r="G14">
        <v>0</v>
      </c>
      <c r="H14">
        <v>19.399999999999999</v>
      </c>
      <c r="I14">
        <v>23.3</v>
      </c>
      <c r="J14">
        <v>0</v>
      </c>
      <c r="K14">
        <v>0</v>
      </c>
      <c r="L14">
        <v>0</v>
      </c>
      <c r="M14">
        <v>0</v>
      </c>
      <c r="N14">
        <v>0</v>
      </c>
      <c r="O14">
        <v>24.1</v>
      </c>
      <c r="P14">
        <v>4</v>
      </c>
      <c r="Q14">
        <v>29.2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43.3</v>
      </c>
      <c r="AK14" t="s">
        <v>1</v>
      </c>
      <c r="AL14" t="s">
        <v>372</v>
      </c>
      <c r="AQ14" s="1">
        <f t="shared" si="12"/>
        <v>100.00000000000001</v>
      </c>
      <c r="AR14" s="1">
        <f t="shared" si="13"/>
        <v>0.24100000000000002</v>
      </c>
      <c r="AS14" s="1">
        <f t="shared" si="2"/>
        <v>0</v>
      </c>
      <c r="AT14" s="1">
        <f t="shared" si="14"/>
        <v>0.19399999999999998</v>
      </c>
      <c r="AU14" s="1">
        <f t="shared" si="15"/>
        <v>0.29199999999999998</v>
      </c>
      <c r="AV14" s="1">
        <f t="shared" si="16"/>
        <v>0.433</v>
      </c>
      <c r="AX14" s="1">
        <f t="shared" si="17"/>
        <v>1.5051546391752577</v>
      </c>
      <c r="AY14" s="1">
        <f t="shared" si="3"/>
        <v>1.2422680412371137</v>
      </c>
      <c r="AZ14" s="1">
        <f t="shared" si="4"/>
        <v>0.59407216494845361</v>
      </c>
      <c r="BA14" s="1">
        <f t="shared" si="5"/>
        <v>0.87628865979381443</v>
      </c>
      <c r="BB14" s="1">
        <f t="shared" si="6"/>
        <v>0.51136800080857081</v>
      </c>
      <c r="BC14" s="1">
        <f t="shared" si="7"/>
        <v>0.51136800080857081</v>
      </c>
      <c r="BD14" s="1">
        <f t="shared" si="18"/>
        <v>7.8368000808570815E-2</v>
      </c>
      <c r="BF14">
        <f t="shared" si="19"/>
        <v>23.4</v>
      </c>
      <c r="BG14">
        <f t="shared" si="8"/>
        <v>35.75</v>
      </c>
      <c r="BH14" s="1">
        <f t="shared" si="20"/>
        <v>1.2478632478632479</v>
      </c>
      <c r="BI14" s="1">
        <f t="shared" si="9"/>
        <v>1.5277777777777779</v>
      </c>
      <c r="BJ14" s="1">
        <f t="shared" si="21"/>
        <v>0.5048717948717949</v>
      </c>
      <c r="BK14" s="1">
        <f t="shared" si="22"/>
        <v>0.42900564705870475</v>
      </c>
      <c r="BL14" s="22">
        <f t="shared" si="23"/>
        <v>0.42900564705870475</v>
      </c>
      <c r="BM14" s="1">
        <f t="shared" si="10"/>
        <v>1.5954855419633958E-5</v>
      </c>
      <c r="BN14" s="1">
        <f t="shared" si="11"/>
        <v>6.4308268874002216E-4</v>
      </c>
      <c r="BO14" s="1" t="s">
        <v>869</v>
      </c>
      <c r="BP14" s="17" t="s">
        <v>358</v>
      </c>
      <c r="BQ14" s="1">
        <v>0</v>
      </c>
    </row>
    <row r="15" spans="1:73" x14ac:dyDescent="0.25">
      <c r="A15" s="3"/>
      <c r="B15" s="3"/>
      <c r="C15" t="s">
        <v>476</v>
      </c>
      <c r="D15" s="5">
        <v>1</v>
      </c>
      <c r="E15" s="9">
        <f t="shared" si="0"/>
        <v>47.400000000000006</v>
      </c>
      <c r="F15" s="9">
        <f t="shared" si="1"/>
        <v>0.46197718631178708</v>
      </c>
      <c r="G15">
        <v>0</v>
      </c>
      <c r="H15">
        <v>24.3</v>
      </c>
      <c r="I15">
        <v>23.3</v>
      </c>
      <c r="J15">
        <v>0</v>
      </c>
      <c r="K15">
        <v>0</v>
      </c>
      <c r="L15">
        <v>0</v>
      </c>
      <c r="M15">
        <v>0</v>
      </c>
      <c r="N15">
        <v>0</v>
      </c>
      <c r="O15">
        <v>24.1</v>
      </c>
      <c r="P15">
        <v>4</v>
      </c>
      <c r="Q15">
        <v>24.3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43.3</v>
      </c>
      <c r="AK15" t="s">
        <v>1</v>
      </c>
      <c r="AL15" t="s">
        <v>372</v>
      </c>
      <c r="AQ15" s="1">
        <f t="shared" si="12"/>
        <v>100</v>
      </c>
      <c r="AR15" s="1">
        <f t="shared" si="13"/>
        <v>0.24100000000000002</v>
      </c>
      <c r="AS15" s="1">
        <f t="shared" si="2"/>
        <v>0</v>
      </c>
      <c r="AT15" s="1">
        <f t="shared" si="14"/>
        <v>0.24299999999999999</v>
      </c>
      <c r="AU15" s="1">
        <f t="shared" si="15"/>
        <v>0.24299999999999999</v>
      </c>
      <c r="AV15" s="1">
        <f t="shared" si="16"/>
        <v>0.433</v>
      </c>
      <c r="AX15" s="1">
        <f t="shared" si="17"/>
        <v>1</v>
      </c>
      <c r="AY15" s="1">
        <f t="shared" si="3"/>
        <v>0.99176954732510303</v>
      </c>
      <c r="AZ15" s="1">
        <f t="shared" si="4"/>
        <v>0.5625</v>
      </c>
      <c r="BA15" s="1">
        <f t="shared" si="5"/>
        <v>0.75</v>
      </c>
      <c r="BB15" s="1">
        <f t="shared" si="6"/>
        <v>0.50205761316872421</v>
      </c>
      <c r="BC15" s="1">
        <f t="shared" si="7"/>
        <v>0.50205761316872421</v>
      </c>
      <c r="BD15" s="1">
        <f t="shared" si="18"/>
        <v>6.9057613168724219E-2</v>
      </c>
      <c r="BF15">
        <f t="shared" si="19"/>
        <v>28.3</v>
      </c>
      <c r="BG15">
        <f t="shared" si="8"/>
        <v>35.75</v>
      </c>
      <c r="BH15" s="1">
        <f t="shared" si="20"/>
        <v>0.85865724381625441</v>
      </c>
      <c r="BI15" s="1">
        <f t="shared" si="9"/>
        <v>1.263250883392226</v>
      </c>
      <c r="BJ15" s="1">
        <f t="shared" si="21"/>
        <v>0.48151943462897528</v>
      </c>
      <c r="BK15" s="1">
        <f t="shared" si="22"/>
        <v>0.42725161763182756</v>
      </c>
      <c r="BL15" s="22">
        <f t="shared" si="23"/>
        <v>0.42725161763182756</v>
      </c>
      <c r="BM15" s="1">
        <f t="shared" si="10"/>
        <v>3.3043899850715712E-5</v>
      </c>
      <c r="BN15" s="1">
        <f t="shared" si="11"/>
        <v>6.4308268874002216E-4</v>
      </c>
      <c r="BO15" s="1" t="s">
        <v>870</v>
      </c>
      <c r="BP15" s="17" t="s">
        <v>196</v>
      </c>
      <c r="BQ15" s="1">
        <f>1/BR15</f>
        <v>0.2</v>
      </c>
      <c r="BR15" s="1">
        <v>5</v>
      </c>
    </row>
    <row r="16" spans="1:73" x14ac:dyDescent="0.25">
      <c r="A16" s="3"/>
      <c r="B16" s="3"/>
      <c r="C16" t="s">
        <v>477</v>
      </c>
      <c r="D16" s="5">
        <v>1</v>
      </c>
      <c r="E16" s="9">
        <f t="shared" si="0"/>
        <v>47.400000000000006</v>
      </c>
      <c r="F16" s="9">
        <f t="shared" si="1"/>
        <v>0.18441064638783269</v>
      </c>
      <c r="G16">
        <v>0</v>
      </c>
      <c r="H16">
        <v>38.9</v>
      </c>
      <c r="I16">
        <v>23.3</v>
      </c>
      <c r="J16">
        <v>0</v>
      </c>
      <c r="K16">
        <v>0</v>
      </c>
      <c r="L16">
        <v>0</v>
      </c>
      <c r="M16">
        <v>0</v>
      </c>
      <c r="N16">
        <v>0</v>
      </c>
      <c r="O16">
        <v>24.1</v>
      </c>
      <c r="P16">
        <v>4</v>
      </c>
      <c r="Q16">
        <v>9.6999999999999993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41.9</v>
      </c>
      <c r="AK16" t="s">
        <v>1</v>
      </c>
      <c r="AL16" t="s">
        <v>372</v>
      </c>
      <c r="AQ16" s="1">
        <f t="shared" si="12"/>
        <v>100.00000000000001</v>
      </c>
      <c r="AR16" s="1">
        <f t="shared" si="13"/>
        <v>0.24100000000000002</v>
      </c>
      <c r="AS16" s="1">
        <f t="shared" si="2"/>
        <v>0</v>
      </c>
      <c r="AT16" s="1">
        <f t="shared" si="14"/>
        <v>0.38900000000000001</v>
      </c>
      <c r="AU16" s="1">
        <f t="shared" si="15"/>
        <v>9.6999999999999989E-2</v>
      </c>
      <c r="AV16" s="1">
        <f t="shared" si="16"/>
        <v>0.41899999999999998</v>
      </c>
      <c r="AX16" s="1">
        <f t="shared" si="17"/>
        <v>0.24935732647814907</v>
      </c>
      <c r="AY16" s="1">
        <f t="shared" si="3"/>
        <v>0.61953727506426737</v>
      </c>
      <c r="AZ16" s="1">
        <f t="shared" si="4"/>
        <v>0.51558483290488433</v>
      </c>
      <c r="BA16" s="1">
        <f t="shared" si="5"/>
        <v>0.56233933161953731</v>
      </c>
      <c r="BB16" s="1">
        <f t="shared" si="6"/>
        <v>0.49810405190353779</v>
      </c>
      <c r="BC16" s="1">
        <f t="shared" si="7"/>
        <v>0.49810405190353779</v>
      </c>
      <c r="BD16" s="1">
        <f t="shared" si="18"/>
        <v>7.9104051903537809E-2</v>
      </c>
      <c r="BF16">
        <f t="shared" si="19"/>
        <v>42.9</v>
      </c>
      <c r="BG16">
        <f t="shared" si="8"/>
        <v>35.75</v>
      </c>
      <c r="BH16" s="1">
        <f t="shared" si="20"/>
        <v>0.22610722610722611</v>
      </c>
      <c r="BI16" s="1">
        <f t="shared" si="9"/>
        <v>0.83333333333333337</v>
      </c>
      <c r="BJ16" s="1">
        <f t="shared" si="21"/>
        <v>0.44356643356643355</v>
      </c>
      <c r="BK16" s="1">
        <f t="shared" si="22"/>
        <v>0.4162187177527632</v>
      </c>
      <c r="BL16" s="22">
        <f t="shared" si="23"/>
        <v>0.4162187177527632</v>
      </c>
      <c r="BM16" s="1">
        <f t="shared" si="10"/>
        <v>7.7355309387944873E-6</v>
      </c>
      <c r="BN16" s="1">
        <f t="shared" si="11"/>
        <v>1.2902858659556037E-4</v>
      </c>
      <c r="BP16" s="18" t="s">
        <v>420</v>
      </c>
      <c r="BQ16" s="18"/>
    </row>
    <row r="17" spans="1:70" ht="18.75" x14ac:dyDescent="0.25">
      <c r="A17" s="3"/>
      <c r="B17" s="3"/>
      <c r="C17" t="s">
        <v>2</v>
      </c>
      <c r="D17" s="5">
        <v>1</v>
      </c>
      <c r="E17" s="9">
        <f t="shared" si="0"/>
        <v>10</v>
      </c>
      <c r="F17" s="9">
        <f t="shared" si="1"/>
        <v>0</v>
      </c>
      <c r="G17">
        <v>0</v>
      </c>
      <c r="H17">
        <v>90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11.6</v>
      </c>
      <c r="AK17" t="s">
        <v>1</v>
      </c>
      <c r="AL17" t="s">
        <v>372</v>
      </c>
      <c r="AN17" t="s">
        <v>373</v>
      </c>
      <c r="AO17" t="s">
        <v>375</v>
      </c>
      <c r="AQ17" s="1">
        <f t="shared" si="12"/>
        <v>100</v>
      </c>
      <c r="AR17" s="1">
        <f t="shared" si="13"/>
        <v>0.1</v>
      </c>
      <c r="AS17" s="1">
        <f t="shared" si="2"/>
        <v>0</v>
      </c>
      <c r="AT17" s="1">
        <f t="shared" si="14"/>
        <v>0.9</v>
      </c>
      <c r="AU17" s="1">
        <f t="shared" si="15"/>
        <v>0</v>
      </c>
      <c r="AV17" s="1">
        <f t="shared" si="16"/>
        <v>0.11599999999999999</v>
      </c>
      <c r="AX17" s="1">
        <f t="shared" si="17"/>
        <v>0</v>
      </c>
      <c r="AY17" s="1">
        <f t="shared" si="3"/>
        <v>0.11111111111111112</v>
      </c>
      <c r="AZ17" s="1">
        <f t="shared" si="4"/>
        <v>0.5</v>
      </c>
      <c r="BA17" s="1">
        <f t="shared" si="5"/>
        <v>0.5</v>
      </c>
      <c r="BB17" s="1">
        <f t="shared" si="6"/>
        <v>0.11111111111111112</v>
      </c>
      <c r="BC17" s="1">
        <f t="shared" si="7"/>
        <v>0.11111111111111112</v>
      </c>
      <c r="BD17" s="1">
        <f t="shared" si="18"/>
        <v>4.8888888888888732E-3</v>
      </c>
      <c r="BF17">
        <f t="shared" si="19"/>
        <v>90</v>
      </c>
      <c r="BG17">
        <f t="shared" si="8"/>
        <v>10</v>
      </c>
      <c r="BH17" s="1">
        <f t="shared" si="20"/>
        <v>0</v>
      </c>
      <c r="BI17" s="1">
        <f t="shared" si="9"/>
        <v>0.1111111111111111</v>
      </c>
      <c r="BJ17" s="1">
        <f t="shared" si="21"/>
        <v>0.43</v>
      </c>
      <c r="BK17" s="1">
        <f t="shared" si="22"/>
        <v>0.1111111111111111</v>
      </c>
      <c r="BL17" s="22">
        <f t="shared" si="23"/>
        <v>0.1111111111111111</v>
      </c>
      <c r="BM17" s="1">
        <f t="shared" si="10"/>
        <v>2.3901234567901216E-5</v>
      </c>
      <c r="BN17" s="1">
        <f t="shared" si="11"/>
        <v>8.5054429090183292E-2</v>
      </c>
      <c r="BO17" s="1" t="s">
        <v>871</v>
      </c>
      <c r="BP17" s="7" t="s">
        <v>444</v>
      </c>
      <c r="BQ17" s="1">
        <f>1/BR17</f>
        <v>1</v>
      </c>
      <c r="BR17" s="1">
        <v>1</v>
      </c>
    </row>
    <row r="18" spans="1:70" ht="18.75" x14ac:dyDescent="0.25">
      <c r="A18" s="3"/>
      <c r="B18" s="3"/>
      <c r="C18" t="s">
        <v>3</v>
      </c>
      <c r="D18" s="5">
        <v>1</v>
      </c>
      <c r="E18" s="9">
        <f t="shared" si="0"/>
        <v>20</v>
      </c>
      <c r="F18" s="9">
        <f t="shared" si="1"/>
        <v>0</v>
      </c>
      <c r="G18">
        <v>0</v>
      </c>
      <c r="H18">
        <v>80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32</v>
      </c>
      <c r="AK18" t="s">
        <v>1</v>
      </c>
      <c r="AL18" t="s">
        <v>372</v>
      </c>
      <c r="AQ18" s="1">
        <f t="shared" si="12"/>
        <v>100</v>
      </c>
      <c r="AR18" s="1">
        <f t="shared" si="13"/>
        <v>0.2</v>
      </c>
      <c r="AS18" s="1">
        <f t="shared" si="2"/>
        <v>0</v>
      </c>
      <c r="AT18" s="1">
        <f t="shared" si="14"/>
        <v>0.8</v>
      </c>
      <c r="AU18" s="1">
        <f t="shared" si="15"/>
        <v>0</v>
      </c>
      <c r="AV18" s="1">
        <f t="shared" si="16"/>
        <v>0.32</v>
      </c>
      <c r="AX18" s="1">
        <f t="shared" si="17"/>
        <v>0</v>
      </c>
      <c r="AY18" s="1">
        <f t="shared" si="3"/>
        <v>0.25</v>
      </c>
      <c r="AZ18" s="1">
        <f t="shared" si="4"/>
        <v>0.5</v>
      </c>
      <c r="BA18" s="1">
        <f t="shared" si="5"/>
        <v>0.5</v>
      </c>
      <c r="BB18" s="1">
        <f t="shared" si="6"/>
        <v>0.25</v>
      </c>
      <c r="BC18" s="1">
        <f t="shared" si="7"/>
        <v>0.25</v>
      </c>
      <c r="BD18" s="1">
        <f t="shared" si="18"/>
        <v>7.0000000000000007E-2</v>
      </c>
      <c r="BF18">
        <f t="shared" si="19"/>
        <v>80</v>
      </c>
      <c r="BG18">
        <f t="shared" si="8"/>
        <v>20</v>
      </c>
      <c r="BH18" s="1">
        <f t="shared" si="20"/>
        <v>0</v>
      </c>
      <c r="BI18" s="1">
        <f t="shared" si="9"/>
        <v>0.25</v>
      </c>
      <c r="BJ18" s="1">
        <f t="shared" si="21"/>
        <v>0.43</v>
      </c>
      <c r="BK18" s="1">
        <f t="shared" si="22"/>
        <v>0.25</v>
      </c>
      <c r="BL18" s="22">
        <f t="shared" si="23"/>
        <v>0.25</v>
      </c>
      <c r="BM18" s="1">
        <f t="shared" si="10"/>
        <v>4.9000000000000007E-3</v>
      </c>
      <c r="BN18" s="1">
        <f t="shared" si="11"/>
        <v>7.680931721431152E-3</v>
      </c>
      <c r="BO18" s="1" t="s">
        <v>872</v>
      </c>
      <c r="BP18" s="7" t="s">
        <v>445</v>
      </c>
      <c r="BQ18" s="1">
        <f t="shared" ref="BQ18:BQ30" si="24">1/BR18</f>
        <v>1</v>
      </c>
      <c r="BR18" s="1">
        <v>1</v>
      </c>
    </row>
    <row r="19" spans="1:70" ht="18.75" x14ac:dyDescent="0.25">
      <c r="A19" s="3"/>
      <c r="B19" s="3"/>
      <c r="C19" t="s">
        <v>4</v>
      </c>
      <c r="D19" s="5">
        <v>1</v>
      </c>
      <c r="E19" s="9">
        <f t="shared" si="0"/>
        <v>33.299999999999997</v>
      </c>
      <c r="F19" s="9">
        <f t="shared" si="1"/>
        <v>0</v>
      </c>
      <c r="G19">
        <v>0</v>
      </c>
      <c r="H19">
        <v>66.7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33.299999999999997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43</v>
      </c>
      <c r="AK19" t="s">
        <v>1</v>
      </c>
      <c r="AL19" t="s">
        <v>372</v>
      </c>
      <c r="AQ19" s="1">
        <f t="shared" si="12"/>
        <v>100</v>
      </c>
      <c r="AR19" s="1">
        <f t="shared" si="13"/>
        <v>0.33299999999999996</v>
      </c>
      <c r="AS19" s="1">
        <f t="shared" si="2"/>
        <v>0</v>
      </c>
      <c r="AT19" s="1">
        <f t="shared" si="14"/>
        <v>0.66700000000000004</v>
      </c>
      <c r="AU19" s="1">
        <f t="shared" si="15"/>
        <v>0</v>
      </c>
      <c r="AV19" s="1">
        <f t="shared" si="16"/>
        <v>0.43</v>
      </c>
      <c r="AX19" s="1">
        <f t="shared" si="17"/>
        <v>0</v>
      </c>
      <c r="AY19" s="1">
        <f t="shared" si="3"/>
        <v>0.4992503748125936</v>
      </c>
      <c r="AZ19" s="1">
        <f t="shared" si="4"/>
        <v>0.5</v>
      </c>
      <c r="BA19" s="1">
        <f t="shared" si="5"/>
        <v>0.5</v>
      </c>
      <c r="BB19" s="1">
        <f t="shared" si="6"/>
        <v>0.4992503748125936</v>
      </c>
      <c r="BC19" s="1">
        <f t="shared" si="7"/>
        <v>0.4992503748125936</v>
      </c>
      <c r="BD19" s="1">
        <f t="shared" si="18"/>
        <v>6.9250374812593607E-2</v>
      </c>
      <c r="BF19">
        <f t="shared" si="19"/>
        <v>66.7</v>
      </c>
      <c r="BG19">
        <f t="shared" si="8"/>
        <v>33.299999999999997</v>
      </c>
      <c r="BH19" s="1">
        <f t="shared" si="20"/>
        <v>0</v>
      </c>
      <c r="BI19" s="1">
        <f t="shared" si="9"/>
        <v>0.49925037481259366</v>
      </c>
      <c r="BJ19" s="1">
        <f t="shared" si="21"/>
        <v>0.43</v>
      </c>
      <c r="BK19" s="1">
        <f t="shared" si="22"/>
        <v>0.40696277461178726</v>
      </c>
      <c r="BL19" s="22">
        <f t="shared" si="23"/>
        <v>0.40696277461178726</v>
      </c>
      <c r="BM19" s="1">
        <f t="shared" si="10"/>
        <v>5.3071375358731336E-4</v>
      </c>
      <c r="BN19" s="1">
        <f t="shared" si="11"/>
        <v>4.9992823828049458E-4</v>
      </c>
      <c r="BO19" s="1" t="s">
        <v>873</v>
      </c>
      <c r="BP19" s="7" t="s">
        <v>446</v>
      </c>
      <c r="BQ19" s="1">
        <f t="shared" si="24"/>
        <v>1</v>
      </c>
      <c r="BR19" s="1">
        <v>1</v>
      </c>
    </row>
    <row r="20" spans="1:70" ht="18.75" x14ac:dyDescent="0.25">
      <c r="A20" s="3"/>
      <c r="B20" s="3"/>
      <c r="C20" t="s">
        <v>5</v>
      </c>
      <c r="D20" s="5">
        <v>1</v>
      </c>
      <c r="E20" s="9">
        <f t="shared" si="0"/>
        <v>40</v>
      </c>
      <c r="F20" s="9">
        <f t="shared" si="1"/>
        <v>0</v>
      </c>
      <c r="G20">
        <v>0</v>
      </c>
      <c r="H20">
        <v>60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43.8</v>
      </c>
      <c r="AK20" t="s">
        <v>1</v>
      </c>
      <c r="AL20" t="s">
        <v>372</v>
      </c>
      <c r="AQ20" s="1">
        <f t="shared" si="12"/>
        <v>100</v>
      </c>
      <c r="AR20" s="1">
        <f t="shared" si="13"/>
        <v>0.4</v>
      </c>
      <c r="AS20" s="1">
        <f t="shared" si="2"/>
        <v>0</v>
      </c>
      <c r="AT20" s="1">
        <f t="shared" si="14"/>
        <v>0.6</v>
      </c>
      <c r="AU20" s="1">
        <f t="shared" si="15"/>
        <v>0</v>
      </c>
      <c r="AV20" s="1">
        <f t="shared" si="16"/>
        <v>0.43799999999999994</v>
      </c>
      <c r="AX20" s="1">
        <f t="shared" si="17"/>
        <v>0</v>
      </c>
      <c r="AY20" s="1">
        <f t="shared" si="3"/>
        <v>0.66666666666666674</v>
      </c>
      <c r="AZ20" s="1">
        <f t="shared" si="4"/>
        <v>0.5</v>
      </c>
      <c r="BA20" s="1">
        <f t="shared" si="5"/>
        <v>0.5</v>
      </c>
      <c r="BB20" s="1">
        <f t="shared" si="6"/>
        <v>0.44444444444444442</v>
      </c>
      <c r="BC20" s="1">
        <f t="shared" si="7"/>
        <v>0.44444444444444442</v>
      </c>
      <c r="BD20" s="1">
        <f t="shared" si="18"/>
        <v>6.4444444444444748E-3</v>
      </c>
      <c r="BF20">
        <f t="shared" si="19"/>
        <v>60</v>
      </c>
      <c r="BG20">
        <f t="shared" si="8"/>
        <v>40</v>
      </c>
      <c r="BH20" s="1">
        <f t="shared" si="20"/>
        <v>0</v>
      </c>
      <c r="BI20" s="1">
        <f t="shared" si="9"/>
        <v>0.66666666666666663</v>
      </c>
      <c r="BJ20" s="1">
        <f t="shared" si="21"/>
        <v>0.43</v>
      </c>
      <c r="BK20" s="1">
        <f t="shared" si="22"/>
        <v>0.40765976371781826</v>
      </c>
      <c r="BL20" s="22">
        <f t="shared" si="23"/>
        <v>0.40765976371781826</v>
      </c>
      <c r="BM20" s="1">
        <f t="shared" si="10"/>
        <v>9.2052993765861406E-4</v>
      </c>
      <c r="BN20" s="1">
        <f t="shared" si="11"/>
        <v>9.2167343950589817E-4</v>
      </c>
      <c r="BP20" s="7" t="s">
        <v>447</v>
      </c>
      <c r="BQ20" s="1">
        <f t="shared" si="24"/>
        <v>1</v>
      </c>
      <c r="BR20" s="1">
        <v>1</v>
      </c>
    </row>
    <row r="21" spans="1:70" x14ac:dyDescent="0.25">
      <c r="A21" s="3"/>
      <c r="B21" s="3"/>
      <c r="C21" t="s">
        <v>6</v>
      </c>
      <c r="D21" s="5">
        <v>1</v>
      </c>
      <c r="E21" s="9">
        <f t="shared" si="0"/>
        <v>7.7</v>
      </c>
      <c r="F21" s="9">
        <f t="shared" si="1"/>
        <v>0.66630552546045507</v>
      </c>
      <c r="G21">
        <v>0</v>
      </c>
      <c r="H21">
        <v>30.8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7.7</v>
      </c>
      <c r="P21">
        <v>0</v>
      </c>
      <c r="Q21">
        <v>61.5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23</v>
      </c>
      <c r="AK21" t="s">
        <v>1</v>
      </c>
      <c r="AL21" t="s">
        <v>372</v>
      </c>
      <c r="AQ21" s="1">
        <f t="shared" si="12"/>
        <v>100</v>
      </c>
      <c r="AR21" s="1">
        <f t="shared" si="13"/>
        <v>7.6999999999999999E-2</v>
      </c>
      <c r="AS21" s="1">
        <f t="shared" si="2"/>
        <v>0</v>
      </c>
      <c r="AT21" s="1">
        <f t="shared" si="14"/>
        <v>0.308</v>
      </c>
      <c r="AU21" s="1">
        <f t="shared" si="15"/>
        <v>0.61499999999999999</v>
      </c>
      <c r="AV21" s="1">
        <f t="shared" si="16"/>
        <v>0.23</v>
      </c>
      <c r="AX21" s="1">
        <f t="shared" si="17"/>
        <v>1.9967532467532467</v>
      </c>
      <c r="AY21" s="1">
        <f t="shared" si="3"/>
        <v>0.25</v>
      </c>
      <c r="AZ21" s="1">
        <f t="shared" si="4"/>
        <v>0.62479707792207795</v>
      </c>
      <c r="BA21" s="1">
        <f t="shared" si="5"/>
        <v>0.99918831168831168</v>
      </c>
      <c r="BB21" s="1">
        <f t="shared" si="6"/>
        <v>0.25</v>
      </c>
      <c r="BC21" s="1">
        <f t="shared" si="7"/>
        <v>0.25</v>
      </c>
      <c r="BD21" s="1">
        <f t="shared" si="18"/>
        <v>1.999999999999999E-2</v>
      </c>
      <c r="BF21">
        <f t="shared" si="19"/>
        <v>30.8</v>
      </c>
      <c r="BG21">
        <f t="shared" si="8"/>
        <v>7.7</v>
      </c>
      <c r="BH21" s="1">
        <f t="shared" si="20"/>
        <v>1.9967532467532467</v>
      </c>
      <c r="BI21" s="1">
        <f t="shared" si="9"/>
        <v>0.25</v>
      </c>
      <c r="BJ21" s="1">
        <f t="shared" si="21"/>
        <v>0.54980519480519474</v>
      </c>
      <c r="BK21" s="1">
        <f t="shared" si="22"/>
        <v>0.25</v>
      </c>
      <c r="BL21" s="22">
        <f t="shared" si="23"/>
        <v>0.25</v>
      </c>
      <c r="BM21" s="1">
        <f t="shared" si="10"/>
        <v>3.9999999999999959E-4</v>
      </c>
      <c r="BN21" s="1">
        <f t="shared" si="11"/>
        <v>3.1556298207645328E-2</v>
      </c>
      <c r="BP21" s="7" t="s">
        <v>0</v>
      </c>
      <c r="BQ21" s="1">
        <f t="shared" si="24"/>
        <v>0.5</v>
      </c>
      <c r="BR21" s="1">
        <v>2</v>
      </c>
    </row>
    <row r="22" spans="1:70" x14ac:dyDescent="0.25">
      <c r="A22" s="3"/>
      <c r="B22" s="3"/>
      <c r="C22" t="s">
        <v>7</v>
      </c>
      <c r="D22" s="5">
        <v>1</v>
      </c>
      <c r="E22" s="9">
        <f t="shared" si="0"/>
        <v>14.3</v>
      </c>
      <c r="F22" s="9">
        <f t="shared" si="1"/>
        <v>0.66627771295215865</v>
      </c>
      <c r="G22">
        <v>0</v>
      </c>
      <c r="H22">
        <v>28.6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14.3</v>
      </c>
      <c r="P22">
        <v>0</v>
      </c>
      <c r="Q22">
        <v>57.1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45</v>
      </c>
      <c r="AK22" t="s">
        <v>1</v>
      </c>
      <c r="AL22" t="s">
        <v>372</v>
      </c>
      <c r="AQ22" s="1">
        <f t="shared" si="12"/>
        <v>100</v>
      </c>
      <c r="AR22" s="1">
        <f t="shared" si="13"/>
        <v>0.14300000000000002</v>
      </c>
      <c r="AS22" s="1">
        <f t="shared" si="2"/>
        <v>0</v>
      </c>
      <c r="AT22" s="1">
        <f t="shared" si="14"/>
        <v>0.28600000000000003</v>
      </c>
      <c r="AU22" s="1">
        <f t="shared" si="15"/>
        <v>0.57100000000000006</v>
      </c>
      <c r="AV22" s="1">
        <f t="shared" si="16"/>
        <v>0.45</v>
      </c>
      <c r="AX22" s="1">
        <f t="shared" si="17"/>
        <v>1.9965034965034965</v>
      </c>
      <c r="AY22" s="1">
        <f t="shared" si="3"/>
        <v>0.5</v>
      </c>
      <c r="AZ22" s="1">
        <f t="shared" si="4"/>
        <v>0.62478146853146854</v>
      </c>
      <c r="BA22" s="1">
        <f t="shared" si="5"/>
        <v>0.99912587412587417</v>
      </c>
      <c r="BB22" s="1">
        <f t="shared" si="6"/>
        <v>0.5</v>
      </c>
      <c r="BC22" s="1">
        <f t="shared" si="7"/>
        <v>0.5</v>
      </c>
      <c r="BD22" s="1">
        <f t="shared" si="18"/>
        <v>4.9999999999999989E-2</v>
      </c>
      <c r="BF22">
        <f t="shared" si="19"/>
        <v>28.6</v>
      </c>
      <c r="BG22">
        <f t="shared" si="8"/>
        <v>14.3</v>
      </c>
      <c r="BH22" s="1">
        <f t="shared" si="20"/>
        <v>1.9965034965034965</v>
      </c>
      <c r="BI22" s="1">
        <f t="shared" si="9"/>
        <v>0.5</v>
      </c>
      <c r="BJ22" s="1">
        <f t="shared" si="21"/>
        <v>0.54979020979020976</v>
      </c>
      <c r="BK22" s="1">
        <f t="shared" si="22"/>
        <v>0.5</v>
      </c>
      <c r="BL22" s="22">
        <f t="shared" si="23"/>
        <v>0.5</v>
      </c>
      <c r="BM22" s="1">
        <f t="shared" si="10"/>
        <v>2.4999999999999988E-3</v>
      </c>
      <c r="BN22" s="1">
        <f t="shared" si="11"/>
        <v>1.7942912413440124E-3</v>
      </c>
      <c r="BP22" s="7" t="s">
        <v>41</v>
      </c>
      <c r="BQ22" s="1">
        <f t="shared" si="24"/>
        <v>0.5</v>
      </c>
      <c r="BR22" s="1">
        <v>2</v>
      </c>
    </row>
    <row r="23" spans="1:70" x14ac:dyDescent="0.25">
      <c r="A23" s="3"/>
      <c r="B23" s="3"/>
      <c r="C23" t="s">
        <v>8</v>
      </c>
      <c r="D23" s="5">
        <v>1</v>
      </c>
      <c r="E23" s="9">
        <f t="shared" si="0"/>
        <v>20</v>
      </c>
      <c r="F23" s="9">
        <f t="shared" si="1"/>
        <v>0.66625000000000001</v>
      </c>
      <c r="G23">
        <v>0</v>
      </c>
      <c r="H23">
        <v>26.7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20</v>
      </c>
      <c r="P23">
        <v>0</v>
      </c>
      <c r="Q23">
        <v>53.3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58.1</v>
      </c>
      <c r="AK23" t="s">
        <v>1</v>
      </c>
      <c r="AL23" t="s">
        <v>372</v>
      </c>
      <c r="AQ23" s="1">
        <f t="shared" si="12"/>
        <v>100</v>
      </c>
      <c r="AR23" s="1">
        <f t="shared" si="13"/>
        <v>0.2</v>
      </c>
      <c r="AS23" s="1">
        <f t="shared" si="2"/>
        <v>0</v>
      </c>
      <c r="AT23" s="1">
        <f t="shared" si="14"/>
        <v>0.26700000000000002</v>
      </c>
      <c r="AU23" s="1">
        <f t="shared" si="15"/>
        <v>0.53299999999999992</v>
      </c>
      <c r="AV23" s="1">
        <f t="shared" si="16"/>
        <v>0.58099999999999996</v>
      </c>
      <c r="AX23" s="1">
        <f t="shared" si="17"/>
        <v>1.9962546816479396</v>
      </c>
      <c r="AY23" s="1">
        <f t="shared" si="3"/>
        <v>0.74906367041198507</v>
      </c>
      <c r="AZ23" s="1">
        <f t="shared" si="4"/>
        <v>0.62476591760299627</v>
      </c>
      <c r="BA23" s="1">
        <f t="shared" si="5"/>
        <v>0.99906367041198485</v>
      </c>
      <c r="BB23" s="1">
        <f t="shared" si="6"/>
        <v>0.62476591760299627</v>
      </c>
      <c r="BC23" s="1">
        <f t="shared" si="7"/>
        <v>0.62476591760299627</v>
      </c>
      <c r="BD23" s="1">
        <f t="shared" si="18"/>
        <v>4.3765917602996307E-2</v>
      </c>
      <c r="BF23">
        <f t="shared" si="19"/>
        <v>26.7</v>
      </c>
      <c r="BG23">
        <f t="shared" si="8"/>
        <v>20</v>
      </c>
      <c r="BH23" s="1">
        <f t="shared" si="20"/>
        <v>1.9962546816479401</v>
      </c>
      <c r="BI23" s="1">
        <f t="shared" si="9"/>
        <v>0.74906367041198507</v>
      </c>
      <c r="BJ23" s="1">
        <f t="shared" si="21"/>
        <v>0.5497752808988764</v>
      </c>
      <c r="BK23" s="1">
        <f t="shared" si="22"/>
        <v>0.54944198891805596</v>
      </c>
      <c r="BL23" s="22">
        <f t="shared" si="23"/>
        <v>0.54944198891805596</v>
      </c>
      <c r="BM23" s="1">
        <f t="shared" si="10"/>
        <v>9.959080634481005E-4</v>
      </c>
      <c r="BN23" s="1">
        <f t="shared" si="11"/>
        <v>3.0053368911410031E-2</v>
      </c>
      <c r="BP23" s="7" t="s">
        <v>148</v>
      </c>
      <c r="BQ23" s="1">
        <f>1/BR23</f>
        <v>0.5</v>
      </c>
      <c r="BR23" s="1">
        <v>2</v>
      </c>
    </row>
    <row r="24" spans="1:70" x14ac:dyDescent="0.25">
      <c r="A24" s="3"/>
      <c r="B24" s="3"/>
      <c r="C24" t="s">
        <v>9</v>
      </c>
      <c r="D24" s="5">
        <v>1</v>
      </c>
      <c r="E24" s="9">
        <f t="shared" si="0"/>
        <v>45.4</v>
      </c>
      <c r="F24" s="9">
        <f t="shared" si="1"/>
        <v>0.66666666666666674</v>
      </c>
      <c r="G24">
        <v>0</v>
      </c>
      <c r="H24">
        <v>18.2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45.4</v>
      </c>
      <c r="P24">
        <v>0</v>
      </c>
      <c r="Q24">
        <v>36.4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35</v>
      </c>
      <c r="AK24" t="s">
        <v>1</v>
      </c>
      <c r="AL24" t="s">
        <v>372</v>
      </c>
      <c r="AQ24" s="1">
        <f t="shared" si="12"/>
        <v>100</v>
      </c>
      <c r="AR24" s="1">
        <f t="shared" si="13"/>
        <v>0.45399999999999996</v>
      </c>
      <c r="AS24" s="1">
        <f t="shared" si="2"/>
        <v>0</v>
      </c>
      <c r="AT24" s="1">
        <f t="shared" si="14"/>
        <v>0.182</v>
      </c>
      <c r="AU24" s="1">
        <f t="shared" si="15"/>
        <v>0.36399999999999999</v>
      </c>
      <c r="AV24" s="1">
        <f t="shared" si="16"/>
        <v>0.35</v>
      </c>
      <c r="AX24" s="1">
        <f t="shared" si="17"/>
        <v>2</v>
      </c>
      <c r="AY24" s="1">
        <f t="shared" si="3"/>
        <v>2.4945054945054945</v>
      </c>
      <c r="AZ24" s="1">
        <f t="shared" si="4"/>
        <v>0.625</v>
      </c>
      <c r="BA24" s="1">
        <f t="shared" si="5"/>
        <v>1</v>
      </c>
      <c r="BB24" s="1">
        <f t="shared" si="6"/>
        <v>0.31364468864468864</v>
      </c>
      <c r="BC24" s="1">
        <f t="shared" si="7"/>
        <v>0.31364468864468864</v>
      </c>
      <c r="BD24" s="1">
        <f t="shared" si="18"/>
        <v>3.6355311355311337E-2</v>
      </c>
      <c r="BF24">
        <f t="shared" si="19"/>
        <v>18.2</v>
      </c>
      <c r="BG24">
        <f t="shared" si="8"/>
        <v>45.4</v>
      </c>
      <c r="BH24" s="1">
        <f t="shared" si="20"/>
        <v>2</v>
      </c>
      <c r="BI24" s="1">
        <f t="shared" si="9"/>
        <v>2.4945054945054945</v>
      </c>
      <c r="BJ24" s="1">
        <f t="shared" si="21"/>
        <v>0.55000000000000004</v>
      </c>
      <c r="BK24" s="1">
        <f t="shared" si="22"/>
        <v>0.3310648408026266</v>
      </c>
      <c r="BL24" s="22">
        <f t="shared" si="23"/>
        <v>0.3310648408026266</v>
      </c>
      <c r="BM24" s="1">
        <f t="shared" si="10"/>
        <v>3.5854025382987348E-4</v>
      </c>
      <c r="BN24" s="1">
        <f t="shared" si="11"/>
        <v>3.3224762260264311E-3</v>
      </c>
      <c r="BP24" s="7" t="s">
        <v>94</v>
      </c>
      <c r="BQ24" s="1">
        <f t="shared" si="24"/>
        <v>0.5</v>
      </c>
      <c r="BR24" s="1">
        <v>2</v>
      </c>
    </row>
    <row r="25" spans="1:70" x14ac:dyDescent="0.25">
      <c r="A25" s="3"/>
      <c r="B25" s="3"/>
      <c r="C25" t="s">
        <v>10</v>
      </c>
      <c r="D25" s="5">
        <v>1</v>
      </c>
      <c r="E25" s="9">
        <f t="shared" si="0"/>
        <v>25</v>
      </c>
      <c r="F25" s="9">
        <f t="shared" si="1"/>
        <v>0.33333333333333331</v>
      </c>
      <c r="G25">
        <v>0</v>
      </c>
      <c r="H25">
        <v>50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25</v>
      </c>
      <c r="P25">
        <v>0</v>
      </c>
      <c r="Q25">
        <v>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42</v>
      </c>
      <c r="AK25" t="s">
        <v>1</v>
      </c>
      <c r="AL25" t="s">
        <v>372</v>
      </c>
      <c r="AQ25" s="1">
        <f t="shared" si="12"/>
        <v>100</v>
      </c>
      <c r="AR25" s="1">
        <f t="shared" si="13"/>
        <v>0.25</v>
      </c>
      <c r="AS25" s="1">
        <f t="shared" si="2"/>
        <v>0</v>
      </c>
      <c r="AT25" s="1">
        <f t="shared" si="14"/>
        <v>0.5</v>
      </c>
      <c r="AU25" s="1">
        <f t="shared" si="15"/>
        <v>0.25</v>
      </c>
      <c r="AV25" s="1">
        <f t="shared" si="16"/>
        <v>0.42</v>
      </c>
      <c r="AX25" s="1">
        <f t="shared" si="17"/>
        <v>0.5</v>
      </c>
      <c r="AY25" s="1">
        <f t="shared" si="3"/>
        <v>0.5</v>
      </c>
      <c r="AZ25" s="1">
        <f t="shared" si="4"/>
        <v>0.53125</v>
      </c>
      <c r="BA25" s="1">
        <f t="shared" si="5"/>
        <v>0.625</v>
      </c>
      <c r="BB25" s="1">
        <f t="shared" si="6"/>
        <v>0.5</v>
      </c>
      <c r="BC25" s="1">
        <f t="shared" si="7"/>
        <v>0.5</v>
      </c>
      <c r="BD25" s="1">
        <f t="shared" si="18"/>
        <v>8.0000000000000016E-2</v>
      </c>
      <c r="BF25">
        <f t="shared" si="19"/>
        <v>50</v>
      </c>
      <c r="BG25">
        <f t="shared" si="8"/>
        <v>25</v>
      </c>
      <c r="BH25" s="1">
        <f t="shared" si="20"/>
        <v>0.5</v>
      </c>
      <c r="BI25" s="1">
        <f t="shared" si="9"/>
        <v>0.5</v>
      </c>
      <c r="BJ25" s="1">
        <f t="shared" si="21"/>
        <v>0.45999999999999996</v>
      </c>
      <c r="BK25" s="1">
        <f t="shared" si="22"/>
        <v>0.43597140375156029</v>
      </c>
      <c r="BL25" s="22">
        <f t="shared" si="23"/>
        <v>0.43597140375156029</v>
      </c>
      <c r="BM25" s="1">
        <f t="shared" si="10"/>
        <v>2.5508573779535471E-4</v>
      </c>
      <c r="BN25" s="1">
        <f t="shared" si="11"/>
        <v>1.527467367487362E-4</v>
      </c>
      <c r="BP25" s="7" t="s">
        <v>300</v>
      </c>
      <c r="BQ25" s="1">
        <f t="shared" si="24"/>
        <v>0.5</v>
      </c>
      <c r="BR25" s="1">
        <v>2</v>
      </c>
    </row>
    <row r="26" spans="1:70" x14ac:dyDescent="0.25">
      <c r="A26" s="3"/>
      <c r="B26" s="3"/>
      <c r="C26" t="s">
        <v>12</v>
      </c>
      <c r="D26" s="5">
        <v>1</v>
      </c>
      <c r="E26" s="9">
        <f t="shared" si="0"/>
        <v>17.7</v>
      </c>
      <c r="F26" s="9">
        <f t="shared" si="1"/>
        <v>0.83596597812879703</v>
      </c>
      <c r="G26">
        <v>0</v>
      </c>
      <c r="H26">
        <v>13.5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17.7</v>
      </c>
      <c r="P26">
        <v>0</v>
      </c>
      <c r="Q26">
        <v>68.8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83</v>
      </c>
      <c r="AK26" t="s">
        <v>1</v>
      </c>
      <c r="AL26" t="s">
        <v>372</v>
      </c>
      <c r="AQ26" s="1">
        <f t="shared" si="12"/>
        <v>100</v>
      </c>
      <c r="AR26" s="1">
        <f t="shared" si="13"/>
        <v>0.17699999999999999</v>
      </c>
      <c r="AS26" s="1">
        <f t="shared" si="2"/>
        <v>0</v>
      </c>
      <c r="AT26" s="1">
        <f t="shared" si="14"/>
        <v>0.13500000000000001</v>
      </c>
      <c r="AU26" s="1">
        <f t="shared" si="15"/>
        <v>0.68799999999999994</v>
      </c>
      <c r="AV26" s="1">
        <f t="shared" si="16"/>
        <v>0.83</v>
      </c>
      <c r="AX26" s="1">
        <f t="shared" si="17"/>
        <v>5.0962962962962957</v>
      </c>
      <c r="AY26" s="1">
        <f t="shared" si="3"/>
        <v>1.3111111111111109</v>
      </c>
      <c r="AZ26" s="1">
        <f t="shared" si="4"/>
        <v>0.81851851851851842</v>
      </c>
      <c r="BA26" s="1">
        <f t="shared" si="5"/>
        <v>1.7740740740740739</v>
      </c>
      <c r="BB26" s="1">
        <f t="shared" si="6"/>
        <v>0.81851851851851842</v>
      </c>
      <c r="BC26" s="1">
        <f t="shared" si="7"/>
        <v>0.81851851851851842</v>
      </c>
      <c r="BD26" s="1">
        <f t="shared" si="18"/>
        <v>1.1481481481481537E-2</v>
      </c>
      <c r="BF26">
        <f t="shared" si="19"/>
        <v>13.5</v>
      </c>
      <c r="BG26">
        <f t="shared" si="8"/>
        <v>17.7</v>
      </c>
      <c r="BH26" s="1">
        <f t="shared" si="20"/>
        <v>5.0962962962962957</v>
      </c>
      <c r="BI26" s="1">
        <f t="shared" si="9"/>
        <v>1.3111111111111111</v>
      </c>
      <c r="BJ26" s="1">
        <f t="shared" si="21"/>
        <v>0.73577777777777764</v>
      </c>
      <c r="BK26" s="1">
        <f t="shared" si="22"/>
        <v>0.79404547425615246</v>
      </c>
      <c r="BL26" s="22">
        <f t="shared" si="23"/>
        <v>0.79404547425615246</v>
      </c>
      <c r="BM26" s="1">
        <f t="shared" si="10"/>
        <v>1.2927279214649924E-3</v>
      </c>
      <c r="BN26" s="1">
        <f t="shared" si="11"/>
        <v>0.1783871882995508</v>
      </c>
      <c r="BP26" s="7" t="s">
        <v>299</v>
      </c>
      <c r="BQ26" s="1">
        <f>1/BR26</f>
        <v>0.5</v>
      </c>
      <c r="BR26" s="1">
        <v>2</v>
      </c>
    </row>
    <row r="27" spans="1:70" x14ac:dyDescent="0.25">
      <c r="A27" s="3"/>
      <c r="B27" s="3"/>
      <c r="C27" t="s">
        <v>11</v>
      </c>
      <c r="D27" s="5">
        <v>1</v>
      </c>
      <c r="E27" s="9">
        <f t="shared" si="0"/>
        <v>44.5</v>
      </c>
      <c r="F27" s="9">
        <f t="shared" si="1"/>
        <v>0.80180180180180183</v>
      </c>
      <c r="G27">
        <v>0</v>
      </c>
      <c r="H27">
        <v>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44.5</v>
      </c>
      <c r="P27">
        <v>0</v>
      </c>
      <c r="Q27">
        <v>44.5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38</v>
      </c>
      <c r="AK27" t="s">
        <v>1</v>
      </c>
      <c r="AL27" t="s">
        <v>372</v>
      </c>
      <c r="AQ27" s="1">
        <f t="shared" si="12"/>
        <v>100</v>
      </c>
      <c r="AR27" s="1">
        <f t="shared" si="13"/>
        <v>0.44500000000000001</v>
      </c>
      <c r="AS27" s="1">
        <f t="shared" si="2"/>
        <v>0</v>
      </c>
      <c r="AT27" s="1">
        <f t="shared" si="14"/>
        <v>0.11</v>
      </c>
      <c r="AU27" s="1">
        <f t="shared" si="15"/>
        <v>0.44500000000000001</v>
      </c>
      <c r="AV27" s="1">
        <f t="shared" si="16"/>
        <v>0.38</v>
      </c>
      <c r="AX27" s="1">
        <f t="shared" si="17"/>
        <v>4.0454545454545459</v>
      </c>
      <c r="AY27" s="1">
        <f t="shared" si="3"/>
        <v>4.0454545454545459</v>
      </c>
      <c r="AZ27" s="1">
        <f t="shared" si="4"/>
        <v>0.75284090909090917</v>
      </c>
      <c r="BA27" s="1">
        <f t="shared" si="5"/>
        <v>1.5113636363636365</v>
      </c>
      <c r="BB27" s="1">
        <f t="shared" si="6"/>
        <v>0.33208020050125314</v>
      </c>
      <c r="BC27" s="1">
        <f t="shared" si="7"/>
        <v>0.33208020050125314</v>
      </c>
      <c r="BD27" s="1">
        <f t="shared" si="18"/>
        <v>4.7919799498746862E-2</v>
      </c>
      <c r="BF27">
        <f t="shared" si="19"/>
        <v>11</v>
      </c>
      <c r="BG27">
        <f t="shared" si="8"/>
        <v>44.5</v>
      </c>
      <c r="BH27" s="1">
        <f t="shared" si="20"/>
        <v>4.0454545454545459</v>
      </c>
      <c r="BI27" s="1">
        <f t="shared" si="9"/>
        <v>4.0454545454545459</v>
      </c>
      <c r="BJ27" s="1">
        <f t="shared" si="21"/>
        <v>0.67272727272727273</v>
      </c>
      <c r="BK27" s="1">
        <f t="shared" si="22"/>
        <v>0.31067224760451145</v>
      </c>
      <c r="BL27" s="22">
        <f t="shared" si="23"/>
        <v>0.31067224760451145</v>
      </c>
      <c r="BM27" s="1">
        <f t="shared" si="10"/>
        <v>4.8063372522101685E-3</v>
      </c>
      <c r="BN27" s="1">
        <f t="shared" si="11"/>
        <v>7.6402073062170313E-4</v>
      </c>
      <c r="BP27" s="17" t="s">
        <v>814</v>
      </c>
      <c r="BQ27" s="1">
        <f t="shared" si="24"/>
        <v>0.5</v>
      </c>
      <c r="BR27" s="1">
        <v>2</v>
      </c>
    </row>
    <row r="28" spans="1:70" x14ac:dyDescent="0.25">
      <c r="A28" s="3"/>
      <c r="B28" s="3"/>
      <c r="C28" t="s">
        <v>14</v>
      </c>
      <c r="D28" s="5">
        <v>1</v>
      </c>
      <c r="E28" s="9">
        <f t="shared" si="0"/>
        <v>14</v>
      </c>
      <c r="F28" s="9">
        <f t="shared" si="1"/>
        <v>0.80232558139534882</v>
      </c>
      <c r="G28">
        <v>0</v>
      </c>
      <c r="H28">
        <v>17</v>
      </c>
      <c r="I28">
        <v>4</v>
      </c>
      <c r="J28">
        <v>0</v>
      </c>
      <c r="K28">
        <v>0</v>
      </c>
      <c r="L28">
        <v>0</v>
      </c>
      <c r="M28">
        <v>0</v>
      </c>
      <c r="N28">
        <v>0</v>
      </c>
      <c r="O28">
        <v>10</v>
      </c>
      <c r="P28">
        <v>0</v>
      </c>
      <c r="Q28">
        <v>69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61</v>
      </c>
      <c r="AK28" t="s">
        <v>1</v>
      </c>
      <c r="AL28" t="s">
        <v>374</v>
      </c>
      <c r="AN28" t="s">
        <v>373</v>
      </c>
      <c r="AO28" t="s">
        <v>375</v>
      </c>
      <c r="AQ28" s="1">
        <f t="shared" si="12"/>
        <v>100</v>
      </c>
      <c r="AR28" s="1">
        <f t="shared" si="13"/>
        <v>0.1</v>
      </c>
      <c r="AS28" s="1">
        <f t="shared" si="2"/>
        <v>0</v>
      </c>
      <c r="AT28" s="1">
        <f t="shared" si="14"/>
        <v>0.17</v>
      </c>
      <c r="AU28" s="1">
        <f t="shared" si="15"/>
        <v>0.69</v>
      </c>
      <c r="AV28" s="1">
        <f t="shared" si="16"/>
        <v>0.61</v>
      </c>
      <c r="AX28" s="1">
        <f t="shared" si="17"/>
        <v>4.0588235294117645</v>
      </c>
      <c r="AY28" s="1">
        <f t="shared" si="3"/>
        <v>0.58823529411764708</v>
      </c>
      <c r="AZ28" s="1">
        <f t="shared" si="4"/>
        <v>0.75367647058823528</v>
      </c>
      <c r="BA28" s="1">
        <f t="shared" si="5"/>
        <v>1.5147058823529411</v>
      </c>
      <c r="BB28" s="1">
        <f t="shared" si="6"/>
        <v>0.58823529411764708</v>
      </c>
      <c r="BC28" s="1">
        <f t="shared" si="7"/>
        <v>0.58823529411764708</v>
      </c>
      <c r="BD28" s="1">
        <f t="shared" si="18"/>
        <v>2.1764705882352908E-2</v>
      </c>
      <c r="BF28">
        <f t="shared" si="19"/>
        <v>17</v>
      </c>
      <c r="BG28">
        <f t="shared" si="8"/>
        <v>12</v>
      </c>
      <c r="BH28" s="1">
        <f t="shared" si="20"/>
        <v>4.0588235294117645</v>
      </c>
      <c r="BI28" s="1">
        <f t="shared" si="9"/>
        <v>0.70588235294117652</v>
      </c>
      <c r="BJ28" s="1">
        <f t="shared" si="21"/>
        <v>0.67352941176470582</v>
      </c>
      <c r="BK28" s="1">
        <f t="shared" si="22"/>
        <v>0.62341076785100624</v>
      </c>
      <c r="BL28" s="22">
        <f t="shared" si="23"/>
        <v>0.62341076785100624</v>
      </c>
      <c r="BM28" s="1">
        <f t="shared" si="10"/>
        <v>1.7984869435358293E-4</v>
      </c>
      <c r="BN28" s="1">
        <f t="shared" si="11"/>
        <v>4.094919526585214E-2</v>
      </c>
      <c r="BP28" s="7" t="s">
        <v>298</v>
      </c>
      <c r="BQ28" s="1">
        <f t="shared" si="24"/>
        <v>0.33333333333333331</v>
      </c>
      <c r="BR28" s="1">
        <v>3</v>
      </c>
    </row>
    <row r="29" spans="1:70" x14ac:dyDescent="0.25">
      <c r="A29" s="3"/>
      <c r="B29" s="3"/>
      <c r="C29" t="s">
        <v>15</v>
      </c>
      <c r="D29" s="5">
        <v>1</v>
      </c>
      <c r="E29" s="9">
        <f t="shared" si="0"/>
        <v>14</v>
      </c>
      <c r="F29" s="9">
        <f t="shared" si="1"/>
        <v>0.7831325301204819</v>
      </c>
      <c r="G29">
        <v>0</v>
      </c>
      <c r="H29">
        <v>18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>
        <v>10</v>
      </c>
      <c r="P29">
        <v>0</v>
      </c>
      <c r="Q29">
        <v>65</v>
      </c>
      <c r="R29">
        <v>0</v>
      </c>
      <c r="S29">
        <v>0</v>
      </c>
      <c r="T29">
        <v>0</v>
      </c>
      <c r="U29">
        <v>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47</v>
      </c>
      <c r="AK29" t="s">
        <v>1</v>
      </c>
      <c r="AL29" t="s">
        <v>374</v>
      </c>
      <c r="AQ29" s="1">
        <f t="shared" si="12"/>
        <v>101</v>
      </c>
      <c r="AR29" s="1">
        <f t="shared" si="13"/>
        <v>0.1</v>
      </c>
      <c r="AS29" s="1">
        <f t="shared" si="2"/>
        <v>0</v>
      </c>
      <c r="AT29" s="1">
        <f t="shared" si="14"/>
        <v>0.18</v>
      </c>
      <c r="AU29" s="1">
        <f t="shared" si="15"/>
        <v>0.65</v>
      </c>
      <c r="AV29" s="1">
        <f t="shared" si="16"/>
        <v>0.47</v>
      </c>
      <c r="AX29" s="1">
        <f t="shared" si="17"/>
        <v>3.6111111111111112</v>
      </c>
      <c r="AY29" s="1">
        <f t="shared" si="3"/>
        <v>0.55555555555555558</v>
      </c>
      <c r="AZ29" s="1">
        <f t="shared" si="4"/>
        <v>0.72569444444444442</v>
      </c>
      <c r="BA29" s="1">
        <f t="shared" si="5"/>
        <v>1.4027777777777777</v>
      </c>
      <c r="BB29" s="1">
        <f t="shared" si="6"/>
        <v>0.55555555555555558</v>
      </c>
      <c r="BC29" s="1">
        <f t="shared" si="7"/>
        <v>0.55555555555555558</v>
      </c>
      <c r="BD29" s="1">
        <f t="shared" si="18"/>
        <v>8.5555555555555607E-2</v>
      </c>
      <c r="BF29">
        <f t="shared" si="19"/>
        <v>26</v>
      </c>
      <c r="BG29">
        <f t="shared" si="8"/>
        <v>12</v>
      </c>
      <c r="BH29" s="1">
        <f t="shared" si="20"/>
        <v>2.5</v>
      </c>
      <c r="BI29" s="1">
        <f t="shared" si="9"/>
        <v>0.46153846153846156</v>
      </c>
      <c r="BJ29" s="1">
        <f t="shared" si="21"/>
        <v>0.57999999999999996</v>
      </c>
      <c r="BK29" s="1">
        <f t="shared" si="22"/>
        <v>0.46153846153846156</v>
      </c>
      <c r="BL29" s="22">
        <f t="shared" si="23"/>
        <v>0.46153846153846156</v>
      </c>
      <c r="BM29" s="1">
        <f t="shared" si="10"/>
        <v>7.1597633136093791E-5</v>
      </c>
      <c r="BN29" s="1">
        <f t="shared" si="11"/>
        <v>3.8886542444075247E-3</v>
      </c>
      <c r="BP29" s="7" t="s">
        <v>276</v>
      </c>
      <c r="BQ29" s="1">
        <f t="shared" si="24"/>
        <v>0.33333333333333331</v>
      </c>
      <c r="BR29" s="1">
        <v>3</v>
      </c>
    </row>
    <row r="30" spans="1:70" ht="18.75" x14ac:dyDescent="0.25">
      <c r="A30" s="3"/>
      <c r="B30" s="3"/>
      <c r="C30" t="s">
        <v>16</v>
      </c>
      <c r="D30" s="5">
        <v>1</v>
      </c>
      <c r="E30" s="9">
        <f t="shared" si="0"/>
        <v>18</v>
      </c>
      <c r="F30" s="9">
        <f t="shared" si="1"/>
        <v>0.78749999999999998</v>
      </c>
      <c r="G30">
        <v>0</v>
      </c>
      <c r="H30">
        <v>17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18</v>
      </c>
      <c r="P30">
        <v>0</v>
      </c>
      <c r="Q30">
        <v>63</v>
      </c>
      <c r="R30">
        <v>0</v>
      </c>
      <c r="S30">
        <v>0</v>
      </c>
      <c r="T30">
        <v>0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73</v>
      </c>
      <c r="AK30" t="s">
        <v>1</v>
      </c>
      <c r="AL30" t="s">
        <v>374</v>
      </c>
      <c r="AQ30" s="1">
        <f t="shared" si="12"/>
        <v>100</v>
      </c>
      <c r="AR30" s="1">
        <f t="shared" si="13"/>
        <v>0.18</v>
      </c>
      <c r="AS30" s="1">
        <f t="shared" si="2"/>
        <v>0</v>
      </c>
      <c r="AT30" s="1">
        <f t="shared" si="14"/>
        <v>0.17</v>
      </c>
      <c r="AU30" s="1">
        <f t="shared" si="15"/>
        <v>0.63</v>
      </c>
      <c r="AV30" s="1">
        <f t="shared" si="16"/>
        <v>0.73</v>
      </c>
      <c r="AX30" s="1">
        <f t="shared" si="17"/>
        <v>3.7058823529411762</v>
      </c>
      <c r="AY30" s="1">
        <f t="shared" si="3"/>
        <v>1.0588235294117645</v>
      </c>
      <c r="AZ30" s="1">
        <f t="shared" si="4"/>
        <v>0.73161764705882348</v>
      </c>
      <c r="BA30" s="1">
        <f t="shared" si="5"/>
        <v>1.4264705882352939</v>
      </c>
      <c r="BB30" s="1">
        <f t="shared" si="6"/>
        <v>0.73161764705882348</v>
      </c>
      <c r="BC30" s="1">
        <f t="shared" si="7"/>
        <v>0.73161764705882348</v>
      </c>
      <c r="BD30" s="1">
        <f t="shared" si="18"/>
        <v>1.6176470588235015E-3</v>
      </c>
      <c r="BF30">
        <f t="shared" si="19"/>
        <v>21</v>
      </c>
      <c r="BG30">
        <f t="shared" si="8"/>
        <v>18</v>
      </c>
      <c r="BH30" s="1">
        <f t="shared" si="20"/>
        <v>3</v>
      </c>
      <c r="BI30" s="1">
        <f t="shared" si="9"/>
        <v>0.8571428571428571</v>
      </c>
      <c r="BJ30" s="1">
        <f t="shared" si="21"/>
        <v>0.61</v>
      </c>
      <c r="BK30" s="1">
        <f t="shared" si="22"/>
        <v>0.61777302063178363</v>
      </c>
      <c r="BL30" s="22">
        <f t="shared" si="23"/>
        <v>0.61777302063178363</v>
      </c>
      <c r="BM30" s="1">
        <f t="shared" si="10"/>
        <v>1.2594894898114058E-2</v>
      </c>
      <c r="BN30" s="1">
        <f t="shared" si="11"/>
        <v>0.10391537328423324</v>
      </c>
      <c r="BP30" s="7" t="s">
        <v>448</v>
      </c>
      <c r="BQ30" s="1">
        <f t="shared" si="24"/>
        <v>0.33333333333333331</v>
      </c>
      <c r="BR30" s="1">
        <v>3</v>
      </c>
    </row>
    <row r="31" spans="1:70" x14ac:dyDescent="0.25">
      <c r="A31" s="3"/>
      <c r="B31" s="3"/>
      <c r="C31" t="s">
        <v>17</v>
      </c>
      <c r="D31" s="5">
        <v>1</v>
      </c>
      <c r="E31" s="9">
        <f t="shared" si="0"/>
        <v>19</v>
      </c>
      <c r="F31" s="9">
        <f t="shared" si="1"/>
        <v>0.79746835443037978</v>
      </c>
      <c r="G31">
        <v>0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0</v>
      </c>
      <c r="O31">
        <v>16</v>
      </c>
      <c r="P31">
        <v>0</v>
      </c>
      <c r="Q31">
        <v>63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67</v>
      </c>
      <c r="AK31" t="s">
        <v>1</v>
      </c>
      <c r="AL31" t="s">
        <v>374</v>
      </c>
      <c r="AQ31" s="1">
        <f t="shared" si="12"/>
        <v>100</v>
      </c>
      <c r="AR31" s="1">
        <f t="shared" si="13"/>
        <v>0.16</v>
      </c>
      <c r="AS31" s="1">
        <f t="shared" si="2"/>
        <v>0</v>
      </c>
      <c r="AT31" s="1">
        <f t="shared" si="14"/>
        <v>0.16</v>
      </c>
      <c r="AU31" s="1">
        <f t="shared" si="15"/>
        <v>0.63</v>
      </c>
      <c r="AV31" s="1">
        <f t="shared" si="16"/>
        <v>0.67</v>
      </c>
      <c r="AX31" s="1">
        <f t="shared" si="17"/>
        <v>3.9375</v>
      </c>
      <c r="AY31" s="1">
        <f t="shared" si="3"/>
        <v>1</v>
      </c>
      <c r="AZ31" s="1">
        <f t="shared" si="4"/>
        <v>0.74609375</v>
      </c>
      <c r="BA31" s="1">
        <f t="shared" si="5"/>
        <v>1.484375</v>
      </c>
      <c r="BB31" s="1">
        <f t="shared" si="6"/>
        <v>0.74609375</v>
      </c>
      <c r="BC31" s="1">
        <f t="shared" si="7"/>
        <v>0.74609375</v>
      </c>
      <c r="BD31" s="1">
        <f t="shared" si="18"/>
        <v>7.609374999999996E-2</v>
      </c>
      <c r="BF31">
        <f t="shared" si="19"/>
        <v>20</v>
      </c>
      <c r="BG31">
        <f t="shared" si="8"/>
        <v>17.5</v>
      </c>
      <c r="BH31" s="1">
        <f t="shared" si="20"/>
        <v>3.15</v>
      </c>
      <c r="BI31" s="1">
        <f t="shared" si="9"/>
        <v>0.875</v>
      </c>
      <c r="BJ31" s="1">
        <f t="shared" si="21"/>
        <v>0.61899999999999999</v>
      </c>
      <c r="BK31" s="1">
        <f t="shared" si="22"/>
        <v>0.62818860368392504</v>
      </c>
      <c r="BL31" s="22">
        <f t="shared" si="23"/>
        <v>0.62818860368392504</v>
      </c>
      <c r="BM31" s="1">
        <f t="shared" si="10"/>
        <v>1.7481928618998902E-3</v>
      </c>
      <c r="BN31" s="1">
        <f t="shared" si="11"/>
        <v>6.8832284275042718E-2</v>
      </c>
      <c r="BP31" s="6" t="s">
        <v>421</v>
      </c>
      <c r="BQ31" s="1" t="s">
        <v>874</v>
      </c>
      <c r="BR31" s="1" t="s">
        <v>875</v>
      </c>
    </row>
    <row r="32" spans="1:70" x14ac:dyDescent="0.25">
      <c r="A32" s="3"/>
      <c r="B32" s="3"/>
      <c r="C32" t="s">
        <v>18</v>
      </c>
      <c r="D32" s="5">
        <v>1</v>
      </c>
      <c r="E32" s="9">
        <f t="shared" si="0"/>
        <v>19</v>
      </c>
      <c r="F32" s="9">
        <f t="shared" si="1"/>
        <v>0.78481012658227844</v>
      </c>
      <c r="G32">
        <v>0</v>
      </c>
      <c r="H32">
        <v>17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13</v>
      </c>
      <c r="P32">
        <v>0</v>
      </c>
      <c r="Q32">
        <v>62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61</v>
      </c>
      <c r="AK32" t="s">
        <v>1</v>
      </c>
      <c r="AL32" t="s">
        <v>374</v>
      </c>
      <c r="AQ32" s="1">
        <f t="shared" si="12"/>
        <v>100</v>
      </c>
      <c r="AR32" s="1">
        <f t="shared" si="13"/>
        <v>0.13</v>
      </c>
      <c r="AS32" s="1">
        <f t="shared" si="2"/>
        <v>0</v>
      </c>
      <c r="AT32" s="1">
        <f t="shared" si="14"/>
        <v>0.17</v>
      </c>
      <c r="AU32" s="1">
        <f t="shared" si="15"/>
        <v>0.62</v>
      </c>
      <c r="AV32" s="1">
        <f t="shared" si="16"/>
        <v>0.61</v>
      </c>
      <c r="AX32" s="1">
        <f t="shared" si="17"/>
        <v>3.6470588235294117</v>
      </c>
      <c r="AY32" s="1">
        <f t="shared" si="3"/>
        <v>0.76470588235294112</v>
      </c>
      <c r="AZ32" s="1">
        <f t="shared" si="4"/>
        <v>0.7279411764705882</v>
      </c>
      <c r="BA32" s="1">
        <f t="shared" si="5"/>
        <v>1.4117647058823528</v>
      </c>
      <c r="BB32" s="1">
        <f t="shared" si="6"/>
        <v>0.7279411764705882</v>
      </c>
      <c r="BC32" s="1">
        <f t="shared" si="7"/>
        <v>0.7279411764705882</v>
      </c>
      <c r="BD32" s="1">
        <f t="shared" si="18"/>
        <v>0.11794117647058822</v>
      </c>
      <c r="BF32">
        <f t="shared" si="19"/>
        <v>21</v>
      </c>
      <c r="BG32">
        <f t="shared" si="8"/>
        <v>16</v>
      </c>
      <c r="BH32" s="1">
        <f t="shared" si="20"/>
        <v>2.9523809523809526</v>
      </c>
      <c r="BI32" s="1">
        <f t="shared" si="9"/>
        <v>0.76190476190476186</v>
      </c>
      <c r="BJ32" s="1">
        <f t="shared" si="21"/>
        <v>0.60714285714285721</v>
      </c>
      <c r="BK32" s="1">
        <f t="shared" si="22"/>
        <v>0.59797851606915409</v>
      </c>
      <c r="BL32" s="22">
        <f t="shared" si="23"/>
        <v>0.59797851606915409</v>
      </c>
      <c r="BM32" s="1">
        <f t="shared" si="10"/>
        <v>1.445160758995862E-4</v>
      </c>
      <c r="BN32" s="1">
        <f t="shared" si="11"/>
        <v>4.094919526585214E-2</v>
      </c>
      <c r="BP32" s="7" t="s">
        <v>422</v>
      </c>
      <c r="BQ32" s="13">
        <v>0.43</v>
      </c>
      <c r="BR32" s="13">
        <v>0.42820706860831093</v>
      </c>
    </row>
    <row r="33" spans="1:70" x14ac:dyDescent="0.25">
      <c r="A33" s="3"/>
      <c r="B33" s="3"/>
      <c r="C33" t="s">
        <v>19</v>
      </c>
      <c r="D33" s="5">
        <v>1</v>
      </c>
      <c r="E33" s="9">
        <f t="shared" si="0"/>
        <v>19</v>
      </c>
      <c r="F33" s="9">
        <f t="shared" si="1"/>
        <v>0.78481012658227844</v>
      </c>
      <c r="G33">
        <v>0</v>
      </c>
      <c r="H33">
        <v>17</v>
      </c>
      <c r="I33">
        <v>9</v>
      </c>
      <c r="J33">
        <v>0</v>
      </c>
      <c r="K33">
        <v>0</v>
      </c>
      <c r="L33">
        <v>0</v>
      </c>
      <c r="M33">
        <v>0</v>
      </c>
      <c r="N33">
        <v>0</v>
      </c>
      <c r="O33">
        <v>10</v>
      </c>
      <c r="P33">
        <v>0</v>
      </c>
      <c r="Q33">
        <v>62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51</v>
      </c>
      <c r="AK33" t="s">
        <v>1</v>
      </c>
      <c r="AL33" t="s">
        <v>374</v>
      </c>
      <c r="AQ33" s="1">
        <f t="shared" si="12"/>
        <v>100</v>
      </c>
      <c r="AR33" s="1">
        <f t="shared" si="13"/>
        <v>0.1</v>
      </c>
      <c r="AS33" s="1">
        <f t="shared" si="2"/>
        <v>0</v>
      </c>
      <c r="AT33" s="1">
        <f t="shared" si="14"/>
        <v>0.17</v>
      </c>
      <c r="AU33" s="1">
        <f t="shared" si="15"/>
        <v>0.62</v>
      </c>
      <c r="AV33" s="1">
        <f t="shared" si="16"/>
        <v>0.51</v>
      </c>
      <c r="AX33" s="1">
        <f t="shared" si="17"/>
        <v>3.6470588235294117</v>
      </c>
      <c r="AY33" s="1">
        <f t="shared" si="3"/>
        <v>0.58823529411764708</v>
      </c>
      <c r="AZ33" s="1">
        <f t="shared" si="4"/>
        <v>0.7279411764705882</v>
      </c>
      <c r="BA33" s="1">
        <f t="shared" si="5"/>
        <v>1.4117647058823528</v>
      </c>
      <c r="BB33" s="1">
        <f t="shared" si="6"/>
        <v>0.58823529411764708</v>
      </c>
      <c r="BC33" s="1">
        <f t="shared" si="7"/>
        <v>0.58823529411764708</v>
      </c>
      <c r="BD33" s="1">
        <f t="shared" si="18"/>
        <v>7.823529411764707E-2</v>
      </c>
      <c r="BF33">
        <f t="shared" si="19"/>
        <v>21</v>
      </c>
      <c r="BG33">
        <f t="shared" si="8"/>
        <v>14.5</v>
      </c>
      <c r="BH33" s="1">
        <f t="shared" si="20"/>
        <v>2.9523809523809526</v>
      </c>
      <c r="BI33" s="1">
        <f t="shared" si="9"/>
        <v>0.69047619047619047</v>
      </c>
      <c r="BJ33" s="1">
        <f t="shared" si="21"/>
        <v>0.60714285714285721</v>
      </c>
      <c r="BK33" s="1">
        <f t="shared" si="22"/>
        <v>0.58169676906196932</v>
      </c>
      <c r="BL33" s="22">
        <f t="shared" si="23"/>
        <v>0.58169676906196932</v>
      </c>
      <c r="BM33" s="1">
        <f t="shared" si="10"/>
        <v>5.1404266939253599E-3</v>
      </c>
      <c r="BN33" s="1">
        <f t="shared" si="11"/>
        <v>1.0477380250534563E-2</v>
      </c>
      <c r="BP33" s="7" t="s">
        <v>423</v>
      </c>
      <c r="BQ33" s="13">
        <v>0.06</v>
      </c>
      <c r="BR33" s="13">
        <v>5.8774063645378689E-2</v>
      </c>
    </row>
    <row r="34" spans="1:70" x14ac:dyDescent="0.25">
      <c r="A34" s="3"/>
      <c r="B34" s="3"/>
      <c r="C34" t="s">
        <v>20</v>
      </c>
      <c r="D34" s="5">
        <v>1</v>
      </c>
      <c r="E34" s="9">
        <f t="shared" si="0"/>
        <v>22</v>
      </c>
      <c r="F34" s="9">
        <f t="shared" si="1"/>
        <v>0.78205128205128205</v>
      </c>
      <c r="G34">
        <v>0</v>
      </c>
      <c r="H34">
        <v>17</v>
      </c>
      <c r="I34">
        <v>4</v>
      </c>
      <c r="J34">
        <v>0</v>
      </c>
      <c r="K34">
        <v>0</v>
      </c>
      <c r="L34">
        <v>0</v>
      </c>
      <c r="M34">
        <v>0</v>
      </c>
      <c r="N34">
        <v>0</v>
      </c>
      <c r="O34">
        <v>18</v>
      </c>
      <c r="P34">
        <v>0</v>
      </c>
      <c r="Q34">
        <v>61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73</v>
      </c>
      <c r="AK34" t="s">
        <v>1</v>
      </c>
      <c r="AL34" t="s">
        <v>374</v>
      </c>
      <c r="AQ34" s="1">
        <f t="shared" si="12"/>
        <v>100</v>
      </c>
      <c r="AR34" s="1">
        <f t="shared" si="13"/>
        <v>0.18</v>
      </c>
      <c r="AS34" s="1">
        <f t="shared" si="2"/>
        <v>0</v>
      </c>
      <c r="AT34" s="1">
        <f t="shared" si="14"/>
        <v>0.17</v>
      </c>
      <c r="AU34" s="1">
        <f t="shared" si="15"/>
        <v>0.61</v>
      </c>
      <c r="AV34" s="1">
        <f t="shared" si="16"/>
        <v>0.73</v>
      </c>
      <c r="AX34" s="1">
        <f t="shared" si="17"/>
        <v>3.5882352941176467</v>
      </c>
      <c r="AY34" s="1">
        <f t="shared" si="3"/>
        <v>1.0588235294117645</v>
      </c>
      <c r="AZ34" s="1">
        <f t="shared" si="4"/>
        <v>0.72426470588235292</v>
      </c>
      <c r="BA34" s="1">
        <f t="shared" si="5"/>
        <v>1.3970588235294117</v>
      </c>
      <c r="BB34" s="1">
        <f t="shared" si="6"/>
        <v>0.72426470588235292</v>
      </c>
      <c r="BC34" s="1">
        <f t="shared" si="7"/>
        <v>0.72426470588235292</v>
      </c>
      <c r="BD34" s="1">
        <f t="shared" si="18"/>
        <v>5.7352941176470607E-3</v>
      </c>
      <c r="BF34">
        <f t="shared" si="19"/>
        <v>17</v>
      </c>
      <c r="BG34">
        <f t="shared" si="8"/>
        <v>20</v>
      </c>
      <c r="BH34" s="1">
        <f t="shared" si="20"/>
        <v>3.5882352941176472</v>
      </c>
      <c r="BI34" s="1">
        <f t="shared" si="9"/>
        <v>1.1764705882352942</v>
      </c>
      <c r="BJ34" s="1">
        <f t="shared" si="21"/>
        <v>0.6452941176470588</v>
      </c>
      <c r="BK34" s="1">
        <f t="shared" si="22"/>
        <v>0.68781772665016538</v>
      </c>
      <c r="BL34" s="22">
        <f t="shared" si="23"/>
        <v>0.68781772665016538</v>
      </c>
      <c r="BM34" s="1">
        <f t="shared" si="10"/>
        <v>1.7793441849601661E-3</v>
      </c>
      <c r="BN34" s="1">
        <f t="shared" si="11"/>
        <v>0.10391537328423324</v>
      </c>
      <c r="BP34" s="8" t="s">
        <v>449</v>
      </c>
      <c r="BQ34" s="11"/>
      <c r="BR34" s="11"/>
    </row>
    <row r="35" spans="1:70" x14ac:dyDescent="0.25">
      <c r="A35" s="3"/>
      <c r="B35" s="3"/>
      <c r="C35" t="s">
        <v>21</v>
      </c>
      <c r="D35" s="5">
        <v>1</v>
      </c>
      <c r="E35" s="9">
        <f t="shared" si="0"/>
        <v>22</v>
      </c>
      <c r="F35" s="9">
        <f t="shared" si="1"/>
        <v>0.77922077922077926</v>
      </c>
      <c r="G35">
        <v>0</v>
      </c>
      <c r="H35">
        <v>17</v>
      </c>
      <c r="I35">
        <v>4</v>
      </c>
      <c r="J35">
        <v>0</v>
      </c>
      <c r="K35">
        <v>0</v>
      </c>
      <c r="L35">
        <v>0</v>
      </c>
      <c r="M35">
        <v>0</v>
      </c>
      <c r="N35">
        <v>0</v>
      </c>
      <c r="O35">
        <v>18</v>
      </c>
      <c r="P35">
        <v>0</v>
      </c>
      <c r="Q35">
        <v>60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71</v>
      </c>
      <c r="AK35" t="s">
        <v>1</v>
      </c>
      <c r="AL35" t="s">
        <v>374</v>
      </c>
      <c r="AQ35" s="1">
        <f t="shared" si="12"/>
        <v>100</v>
      </c>
      <c r="AR35" s="1">
        <f t="shared" si="13"/>
        <v>0.18</v>
      </c>
      <c r="AS35" s="1">
        <f t="shared" si="2"/>
        <v>0</v>
      </c>
      <c r="AT35" s="1">
        <f t="shared" si="14"/>
        <v>0.17</v>
      </c>
      <c r="AU35" s="1">
        <f t="shared" si="15"/>
        <v>0.6</v>
      </c>
      <c r="AV35" s="1">
        <f t="shared" si="16"/>
        <v>0.71</v>
      </c>
      <c r="AX35" s="1">
        <f t="shared" si="17"/>
        <v>3.5294117647058818</v>
      </c>
      <c r="AY35" s="1">
        <f t="shared" si="3"/>
        <v>1.0588235294117645</v>
      </c>
      <c r="AZ35" s="1">
        <f t="shared" si="4"/>
        <v>0.72058823529411764</v>
      </c>
      <c r="BA35" s="1">
        <f t="shared" si="5"/>
        <v>1.3823529411764706</v>
      </c>
      <c r="BB35" s="1">
        <f t="shared" si="6"/>
        <v>0.72058823529411764</v>
      </c>
      <c r="BC35" s="1">
        <f t="shared" si="7"/>
        <v>0.72058823529411764</v>
      </c>
      <c r="BD35" s="1">
        <f t="shared" si="18"/>
        <v>1.0588235294117676E-2</v>
      </c>
      <c r="BF35">
        <f t="shared" si="19"/>
        <v>19</v>
      </c>
      <c r="BG35">
        <f t="shared" si="8"/>
        <v>20</v>
      </c>
      <c r="BH35" s="1">
        <f t="shared" si="20"/>
        <v>3.1578947368421053</v>
      </c>
      <c r="BI35" s="1">
        <f t="shared" si="9"/>
        <v>1.0526315789473684</v>
      </c>
      <c r="BJ35" s="1">
        <f t="shared" si="21"/>
        <v>0.61947368421052629</v>
      </c>
      <c r="BK35" s="1">
        <f t="shared" si="22"/>
        <v>0.65051048065046324</v>
      </c>
      <c r="BL35" s="22">
        <f t="shared" si="23"/>
        <v>0.65051048065046324</v>
      </c>
      <c r="BM35" s="1">
        <f t="shared" si="10"/>
        <v>3.5390029124389042E-3</v>
      </c>
      <c r="BN35" s="1">
        <f t="shared" si="11"/>
        <v>9.142101028116971E-2</v>
      </c>
      <c r="BP35" s="1" t="s">
        <v>451</v>
      </c>
      <c r="BQ35" s="13">
        <v>0.24</v>
      </c>
      <c r="BR35" s="13">
        <v>0.24173823374416328</v>
      </c>
    </row>
    <row r="36" spans="1:70" x14ac:dyDescent="0.25">
      <c r="A36" s="3"/>
      <c r="B36" s="3"/>
      <c r="C36" t="s">
        <v>22</v>
      </c>
      <c r="D36" s="5">
        <v>1</v>
      </c>
      <c r="E36" s="9">
        <f t="shared" si="0"/>
        <v>22</v>
      </c>
      <c r="F36" s="9">
        <f t="shared" si="1"/>
        <v>0.76623376623376627</v>
      </c>
      <c r="G36">
        <v>0</v>
      </c>
      <c r="H36">
        <v>18</v>
      </c>
      <c r="I36">
        <v>4</v>
      </c>
      <c r="J36">
        <v>0</v>
      </c>
      <c r="K36">
        <v>0</v>
      </c>
      <c r="L36">
        <v>0</v>
      </c>
      <c r="M36">
        <v>0</v>
      </c>
      <c r="N36">
        <v>0</v>
      </c>
      <c r="O36">
        <v>18</v>
      </c>
      <c r="P36">
        <v>0</v>
      </c>
      <c r="Q36">
        <v>59</v>
      </c>
      <c r="R36">
        <v>0</v>
      </c>
      <c r="S36">
        <v>0</v>
      </c>
      <c r="T36">
        <v>0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68</v>
      </c>
      <c r="AK36" t="s">
        <v>1</v>
      </c>
      <c r="AL36" t="s">
        <v>374</v>
      </c>
      <c r="AQ36" s="1">
        <f t="shared" si="12"/>
        <v>101</v>
      </c>
      <c r="AR36" s="1">
        <f t="shared" si="13"/>
        <v>0.18</v>
      </c>
      <c r="AS36" s="1">
        <f t="shared" si="2"/>
        <v>0</v>
      </c>
      <c r="AT36" s="1">
        <f t="shared" si="14"/>
        <v>0.18</v>
      </c>
      <c r="AU36" s="1">
        <f t="shared" si="15"/>
        <v>0.59</v>
      </c>
      <c r="AV36" s="1">
        <f t="shared" si="16"/>
        <v>0.68</v>
      </c>
      <c r="AX36" s="1">
        <f t="shared" si="17"/>
        <v>3.2777777777777777</v>
      </c>
      <c r="AY36" s="1">
        <f t="shared" si="3"/>
        <v>1</v>
      </c>
      <c r="AZ36" s="1">
        <f t="shared" si="4"/>
        <v>0.70486111111111116</v>
      </c>
      <c r="BA36" s="1">
        <f t="shared" si="5"/>
        <v>1.3194444444444444</v>
      </c>
      <c r="BB36" s="1">
        <f t="shared" si="6"/>
        <v>0.70486111111111116</v>
      </c>
      <c r="BC36" s="1">
        <f t="shared" si="7"/>
        <v>0.70486111111111116</v>
      </c>
      <c r="BD36" s="1">
        <f t="shared" si="18"/>
        <v>2.4861111111111112E-2</v>
      </c>
      <c r="BF36">
        <f t="shared" si="19"/>
        <v>22</v>
      </c>
      <c r="BG36">
        <f t="shared" si="8"/>
        <v>20</v>
      </c>
      <c r="BH36" s="1">
        <f t="shared" si="20"/>
        <v>2.6818181818181817</v>
      </c>
      <c r="BI36" s="1">
        <f t="shared" si="9"/>
        <v>0.90909090909090906</v>
      </c>
      <c r="BJ36" s="1">
        <f t="shared" si="21"/>
        <v>0.59090909090909083</v>
      </c>
      <c r="BK36" s="1">
        <f t="shared" si="22"/>
        <v>0.60758024659990695</v>
      </c>
      <c r="BL36" s="22">
        <f t="shared" si="23"/>
        <v>0.60758024659990695</v>
      </c>
      <c r="BM36" s="1">
        <f t="shared" si="10"/>
        <v>5.2446206825302964E-3</v>
      </c>
      <c r="BN36" s="1">
        <f t="shared" si="11"/>
        <v>7.4179465776574485E-2</v>
      </c>
      <c r="BP36" s="1" t="s">
        <v>450</v>
      </c>
      <c r="BQ36" s="13">
        <v>0.26</v>
      </c>
      <c r="BR36" s="13">
        <v>0.25532755812961694</v>
      </c>
    </row>
    <row r="37" spans="1:70" x14ac:dyDescent="0.25">
      <c r="A37" s="3"/>
      <c r="B37" s="3"/>
      <c r="C37" t="s">
        <v>25</v>
      </c>
      <c r="D37" s="5">
        <v>1</v>
      </c>
      <c r="E37" s="9">
        <f t="shared" si="0"/>
        <v>22</v>
      </c>
      <c r="F37" s="9">
        <f t="shared" si="1"/>
        <v>0.76</v>
      </c>
      <c r="G37">
        <v>0</v>
      </c>
      <c r="H37">
        <v>18</v>
      </c>
      <c r="I37">
        <v>4</v>
      </c>
      <c r="J37">
        <v>0</v>
      </c>
      <c r="K37">
        <v>0</v>
      </c>
      <c r="L37">
        <v>0</v>
      </c>
      <c r="M37">
        <v>0</v>
      </c>
      <c r="N37">
        <v>0</v>
      </c>
      <c r="O37">
        <v>18</v>
      </c>
      <c r="P37">
        <v>0</v>
      </c>
      <c r="Q37">
        <v>57</v>
      </c>
      <c r="R37">
        <v>0</v>
      </c>
      <c r="S37">
        <v>0</v>
      </c>
      <c r="T37">
        <v>0</v>
      </c>
      <c r="U37">
        <v>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64</v>
      </c>
      <c r="AK37" t="s">
        <v>1</v>
      </c>
      <c r="AL37" t="s">
        <v>374</v>
      </c>
      <c r="AQ37" s="1">
        <f t="shared" si="12"/>
        <v>101</v>
      </c>
      <c r="AR37" s="1">
        <f t="shared" si="13"/>
        <v>0.18</v>
      </c>
      <c r="AS37" s="1">
        <f t="shared" si="2"/>
        <v>0</v>
      </c>
      <c r="AT37" s="1">
        <f t="shared" si="14"/>
        <v>0.18</v>
      </c>
      <c r="AU37" s="1">
        <f t="shared" si="15"/>
        <v>0.56999999999999995</v>
      </c>
      <c r="AV37" s="1">
        <f t="shared" si="16"/>
        <v>0.64</v>
      </c>
      <c r="AX37" s="1">
        <f t="shared" si="17"/>
        <v>3.1666666666666665</v>
      </c>
      <c r="AY37" s="1">
        <f t="shared" si="3"/>
        <v>1</v>
      </c>
      <c r="AZ37" s="1">
        <f t="shared" si="4"/>
        <v>0.69791666666666663</v>
      </c>
      <c r="BA37" s="1">
        <f t="shared" si="5"/>
        <v>1.2916666666666665</v>
      </c>
      <c r="BB37" s="1">
        <f t="shared" si="6"/>
        <v>0.69791666666666663</v>
      </c>
      <c r="BC37" s="1">
        <f t="shared" si="7"/>
        <v>0.69791666666666663</v>
      </c>
      <c r="BD37" s="1">
        <f t="shared" si="18"/>
        <v>5.7916666666666616E-2</v>
      </c>
      <c r="BF37">
        <f t="shared" si="19"/>
        <v>26</v>
      </c>
      <c r="BG37">
        <f t="shared" si="8"/>
        <v>20</v>
      </c>
      <c r="BH37" s="1">
        <f t="shared" si="20"/>
        <v>2.1923076923076925</v>
      </c>
      <c r="BI37" s="1">
        <f t="shared" si="9"/>
        <v>0.76923076923076927</v>
      </c>
      <c r="BJ37" s="1">
        <f t="shared" si="21"/>
        <v>0.56153846153846154</v>
      </c>
      <c r="BK37" s="1">
        <f t="shared" si="22"/>
        <v>0.56273775855358943</v>
      </c>
      <c r="BL37" s="22">
        <f t="shared" si="23"/>
        <v>0.56273775855358943</v>
      </c>
      <c r="BM37" s="1">
        <f t="shared" si="10"/>
        <v>5.9694539533234458E-3</v>
      </c>
      <c r="BN37" s="1">
        <f t="shared" si="11"/>
        <v>5.3990739770447424E-2</v>
      </c>
      <c r="BP37" s="1" t="s">
        <v>452</v>
      </c>
      <c r="BQ37" s="13">
        <v>1.31</v>
      </c>
      <c r="BR37" s="13">
        <v>1.3113162362075572</v>
      </c>
    </row>
    <row r="38" spans="1:70" x14ac:dyDescent="0.25">
      <c r="A38" s="3"/>
      <c r="B38" s="3"/>
      <c r="C38" t="s">
        <v>23</v>
      </c>
      <c r="D38" s="5">
        <v>1</v>
      </c>
      <c r="E38" s="9">
        <f t="shared" si="0"/>
        <v>22</v>
      </c>
      <c r="F38" s="9">
        <f t="shared" si="1"/>
        <v>0.76388888888888884</v>
      </c>
      <c r="G38">
        <v>0</v>
      </c>
      <c r="H38">
        <v>17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  <c r="O38">
        <v>18</v>
      </c>
      <c r="P38">
        <v>0</v>
      </c>
      <c r="Q38">
        <v>55</v>
      </c>
      <c r="R38">
        <v>0</v>
      </c>
      <c r="S38">
        <v>0</v>
      </c>
      <c r="T38">
        <v>0</v>
      </c>
      <c r="U38">
        <v>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56</v>
      </c>
      <c r="AK38" t="s">
        <v>1</v>
      </c>
      <c r="AL38" t="s">
        <v>374</v>
      </c>
      <c r="AQ38" s="1">
        <f t="shared" si="12"/>
        <v>100</v>
      </c>
      <c r="AR38" s="1">
        <f t="shared" si="13"/>
        <v>0.18</v>
      </c>
      <c r="AS38" s="1">
        <f t="shared" si="2"/>
        <v>0</v>
      </c>
      <c r="AT38" s="1">
        <f t="shared" si="14"/>
        <v>0.17</v>
      </c>
      <c r="AU38" s="1">
        <f t="shared" si="15"/>
        <v>0.55000000000000004</v>
      </c>
      <c r="AV38" s="1">
        <f t="shared" si="16"/>
        <v>0.56000000000000005</v>
      </c>
      <c r="AX38" s="1">
        <f t="shared" si="17"/>
        <v>3.2352941176470589</v>
      </c>
      <c r="AY38" s="1">
        <f t="shared" si="3"/>
        <v>1.0588235294117645</v>
      </c>
      <c r="AZ38" s="1">
        <f t="shared" si="4"/>
        <v>0.70220588235294112</v>
      </c>
      <c r="BA38" s="1">
        <f t="shared" si="5"/>
        <v>1.3088235294117647</v>
      </c>
      <c r="BB38" s="1">
        <f t="shared" si="6"/>
        <v>0.70220588235294112</v>
      </c>
      <c r="BC38" s="1">
        <f t="shared" si="7"/>
        <v>0.70220588235294112</v>
      </c>
      <c r="BD38" s="1">
        <f t="shared" si="18"/>
        <v>0.14220588235294107</v>
      </c>
      <c r="BF38">
        <f t="shared" si="19"/>
        <v>29</v>
      </c>
      <c r="BG38">
        <f t="shared" si="8"/>
        <v>20</v>
      </c>
      <c r="BH38" s="1">
        <f t="shared" si="20"/>
        <v>1.896551724137931</v>
      </c>
      <c r="BI38" s="1">
        <f t="shared" si="9"/>
        <v>0.68965517241379315</v>
      </c>
      <c r="BJ38" s="1">
        <f t="shared" si="21"/>
        <v>0.54379310344827581</v>
      </c>
      <c r="BK38" s="1">
        <f t="shared" si="22"/>
        <v>0.53555459923758031</v>
      </c>
      <c r="BL38" s="22">
        <f t="shared" si="23"/>
        <v>0.53555459923758031</v>
      </c>
      <c r="BM38" s="1">
        <f t="shared" si="10"/>
        <v>5.9757761843531182E-4</v>
      </c>
      <c r="BN38" s="1">
        <f t="shared" si="11"/>
        <v>2.3213287758193368E-2</v>
      </c>
      <c r="BP38" s="1" t="s">
        <v>453</v>
      </c>
      <c r="BQ38" s="13">
        <v>3.68</v>
      </c>
      <c r="BR38" s="13">
        <v>3.6849606760656917</v>
      </c>
    </row>
    <row r="39" spans="1:70" x14ac:dyDescent="0.25">
      <c r="A39" s="3"/>
      <c r="B39" s="3"/>
      <c r="C39" t="s">
        <v>24</v>
      </c>
      <c r="D39" s="5">
        <v>1</v>
      </c>
      <c r="E39" s="9">
        <f t="shared" si="0"/>
        <v>23</v>
      </c>
      <c r="F39" s="9">
        <f t="shared" si="1"/>
        <v>0.73913043478260865</v>
      </c>
      <c r="G39">
        <v>0</v>
      </c>
      <c r="H39">
        <v>18</v>
      </c>
      <c r="I39">
        <v>4</v>
      </c>
      <c r="J39">
        <v>0</v>
      </c>
      <c r="K39">
        <v>0</v>
      </c>
      <c r="L39">
        <v>0</v>
      </c>
      <c r="M39">
        <v>0</v>
      </c>
      <c r="N39">
        <v>0</v>
      </c>
      <c r="O39">
        <v>19</v>
      </c>
      <c r="P39">
        <v>0</v>
      </c>
      <c r="Q39">
        <v>51</v>
      </c>
      <c r="R39">
        <v>0</v>
      </c>
      <c r="S39">
        <v>0</v>
      </c>
      <c r="T39">
        <v>0</v>
      </c>
      <c r="U39">
        <v>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53</v>
      </c>
      <c r="AK39" t="s">
        <v>1</v>
      </c>
      <c r="AL39" t="s">
        <v>374</v>
      </c>
      <c r="AQ39" s="1">
        <f t="shared" si="12"/>
        <v>100</v>
      </c>
      <c r="AR39" s="1">
        <f t="shared" si="13"/>
        <v>0.19</v>
      </c>
      <c r="AS39" s="1">
        <f t="shared" si="2"/>
        <v>0</v>
      </c>
      <c r="AT39" s="1">
        <f t="shared" si="14"/>
        <v>0.18</v>
      </c>
      <c r="AU39" s="1">
        <f t="shared" si="15"/>
        <v>0.51</v>
      </c>
      <c r="AV39" s="1">
        <f t="shared" si="16"/>
        <v>0.53</v>
      </c>
      <c r="AX39" s="1">
        <f t="shared" si="17"/>
        <v>2.8333333333333335</v>
      </c>
      <c r="AY39" s="1">
        <f t="shared" si="3"/>
        <v>1.0555555555555556</v>
      </c>
      <c r="AZ39" s="1">
        <f t="shared" si="4"/>
        <v>0.67708333333333337</v>
      </c>
      <c r="BA39" s="1">
        <f t="shared" si="5"/>
        <v>1.2083333333333335</v>
      </c>
      <c r="BB39" s="1">
        <f t="shared" si="6"/>
        <v>0.67708333333333337</v>
      </c>
      <c r="BC39" s="1">
        <f t="shared" si="7"/>
        <v>0.67708333333333337</v>
      </c>
      <c r="BD39" s="1">
        <f t="shared" si="18"/>
        <v>0.14708333333333334</v>
      </c>
      <c r="BF39">
        <f t="shared" si="19"/>
        <v>34</v>
      </c>
      <c r="BG39">
        <f t="shared" si="8"/>
        <v>21</v>
      </c>
      <c r="BH39" s="1">
        <f t="shared" si="20"/>
        <v>1.5</v>
      </c>
      <c r="BI39" s="1">
        <f t="shared" si="9"/>
        <v>0.61764705882352944</v>
      </c>
      <c r="BJ39" s="1">
        <f t="shared" si="21"/>
        <v>0.52</v>
      </c>
      <c r="BK39" s="1">
        <f t="shared" si="22"/>
        <v>0.50426405626101978</v>
      </c>
      <c r="BL39" s="22">
        <f t="shared" si="23"/>
        <v>0.50426405626101978</v>
      </c>
      <c r="BM39" s="1">
        <f t="shared" si="10"/>
        <v>6.6233880013595668E-4</v>
      </c>
      <c r="BN39" s="1">
        <f t="shared" si="11"/>
        <v>1.4971743253598084E-2</v>
      </c>
      <c r="BP39" s="1" t="s">
        <v>461</v>
      </c>
      <c r="BQ39" s="13">
        <v>1</v>
      </c>
      <c r="BR39" s="13">
        <v>1.0085814733035303</v>
      </c>
    </row>
    <row r="40" spans="1:70" x14ac:dyDescent="0.25">
      <c r="A40" s="3"/>
      <c r="B40" s="3"/>
      <c r="C40" t="s">
        <v>26</v>
      </c>
      <c r="D40" s="5">
        <v>1</v>
      </c>
      <c r="E40" s="9">
        <f t="shared" si="0"/>
        <v>20</v>
      </c>
      <c r="F40" s="9">
        <f t="shared" si="1"/>
        <v>0.77500000000000002</v>
      </c>
      <c r="G40">
        <v>0</v>
      </c>
      <c r="H40">
        <v>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20</v>
      </c>
      <c r="P40">
        <v>0</v>
      </c>
      <c r="Q40">
        <v>62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71</v>
      </c>
      <c r="AK40" t="s">
        <v>1</v>
      </c>
      <c r="AL40" t="s">
        <v>374</v>
      </c>
      <c r="AO40" t="s">
        <v>375</v>
      </c>
      <c r="AQ40" s="1">
        <f t="shared" si="12"/>
        <v>100</v>
      </c>
      <c r="AR40" s="1">
        <f t="shared" si="13"/>
        <v>0.2</v>
      </c>
      <c r="AS40" s="1">
        <f t="shared" si="2"/>
        <v>0</v>
      </c>
      <c r="AT40" s="1">
        <f t="shared" si="14"/>
        <v>0.18</v>
      </c>
      <c r="AU40" s="1">
        <f t="shared" si="15"/>
        <v>0.62</v>
      </c>
      <c r="AV40" s="1">
        <f t="shared" si="16"/>
        <v>0.71</v>
      </c>
      <c r="AX40" s="1">
        <f t="shared" si="17"/>
        <v>3.4444444444444446</v>
      </c>
      <c r="AY40" s="1">
        <f t="shared" si="3"/>
        <v>1.1111111111111112</v>
      </c>
      <c r="AZ40" s="1">
        <f t="shared" si="4"/>
        <v>0.71527777777777779</v>
      </c>
      <c r="BA40" s="1">
        <f t="shared" si="5"/>
        <v>1.3611111111111112</v>
      </c>
      <c r="BB40" s="1">
        <f t="shared" si="6"/>
        <v>0.71527777777777779</v>
      </c>
      <c r="BC40" s="1">
        <f t="shared" si="7"/>
        <v>0.71527777777777779</v>
      </c>
      <c r="BD40" s="1">
        <f t="shared" si="18"/>
        <v>5.2777777777778256E-3</v>
      </c>
      <c r="BF40">
        <f t="shared" si="19"/>
        <v>18</v>
      </c>
      <c r="BG40">
        <f t="shared" si="8"/>
        <v>20</v>
      </c>
      <c r="BH40" s="1">
        <f t="shared" si="20"/>
        <v>3.4444444444444446</v>
      </c>
      <c r="BI40" s="1">
        <f t="shared" si="9"/>
        <v>1.1111111111111112</v>
      </c>
      <c r="BJ40" s="1">
        <f t="shared" si="21"/>
        <v>0.63666666666666671</v>
      </c>
      <c r="BK40" s="1">
        <f t="shared" si="22"/>
        <v>0.67358554207242538</v>
      </c>
      <c r="BL40" s="22">
        <f t="shared" si="23"/>
        <v>0.67358554207242538</v>
      </c>
      <c r="BM40" s="1">
        <f t="shared" si="10"/>
        <v>1.3260127461590995E-3</v>
      </c>
      <c r="BN40" s="1">
        <f t="shared" si="11"/>
        <v>9.142101028116971E-2</v>
      </c>
      <c r="BP40" s="6" t="s">
        <v>429</v>
      </c>
    </row>
    <row r="41" spans="1:70" x14ac:dyDescent="0.25">
      <c r="A41" s="3"/>
      <c r="B41" s="3"/>
      <c r="C41" t="s">
        <v>27</v>
      </c>
      <c r="D41" s="5">
        <v>1</v>
      </c>
      <c r="E41" s="9">
        <f t="shared" si="0"/>
        <v>20</v>
      </c>
      <c r="F41" s="9">
        <f t="shared" si="1"/>
        <v>0.78481012658227844</v>
      </c>
      <c r="G41">
        <v>0</v>
      </c>
      <c r="H41">
        <v>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20</v>
      </c>
      <c r="P41">
        <v>0</v>
      </c>
      <c r="Q41">
        <v>62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66</v>
      </c>
      <c r="AK41" t="s">
        <v>1</v>
      </c>
      <c r="AL41" t="s">
        <v>374</v>
      </c>
      <c r="AQ41" s="1">
        <f t="shared" si="12"/>
        <v>100</v>
      </c>
      <c r="AR41" s="1">
        <f t="shared" si="13"/>
        <v>0.2</v>
      </c>
      <c r="AS41" s="1">
        <f t="shared" si="2"/>
        <v>0</v>
      </c>
      <c r="AT41" s="1">
        <f t="shared" si="14"/>
        <v>0.17</v>
      </c>
      <c r="AU41" s="1">
        <f t="shared" si="15"/>
        <v>0.62</v>
      </c>
      <c r="AV41" s="1">
        <f t="shared" si="16"/>
        <v>0.66</v>
      </c>
      <c r="AX41" s="1">
        <f t="shared" si="17"/>
        <v>3.6470588235294117</v>
      </c>
      <c r="AY41" s="1">
        <f t="shared" si="3"/>
        <v>1.1764705882352942</v>
      </c>
      <c r="AZ41" s="1">
        <f t="shared" si="4"/>
        <v>0.7279411764705882</v>
      </c>
      <c r="BA41" s="1">
        <f t="shared" si="5"/>
        <v>1.4117647058823528</v>
      </c>
      <c r="BB41" s="1">
        <f t="shared" si="6"/>
        <v>0.7279411764705882</v>
      </c>
      <c r="BC41" s="1">
        <f t="shared" si="7"/>
        <v>0.7279411764705882</v>
      </c>
      <c r="BD41" s="1">
        <f t="shared" si="18"/>
        <v>6.7941176470588172E-2</v>
      </c>
      <c r="BF41">
        <f t="shared" si="19"/>
        <v>17</v>
      </c>
      <c r="BG41">
        <f t="shared" si="8"/>
        <v>20.333333333333332</v>
      </c>
      <c r="BH41" s="1">
        <f t="shared" si="20"/>
        <v>3.6470588235294117</v>
      </c>
      <c r="BI41" s="1">
        <f t="shared" si="9"/>
        <v>1.196078431372549</v>
      </c>
      <c r="BJ41" s="1">
        <f t="shared" si="21"/>
        <v>0.64882352941176469</v>
      </c>
      <c r="BK41" s="1">
        <f t="shared" si="22"/>
        <v>0.69303676505761114</v>
      </c>
      <c r="BL41" s="22">
        <f t="shared" si="23"/>
        <v>0.69303676505761114</v>
      </c>
      <c r="BM41" s="1">
        <f t="shared" si="10"/>
        <v>1.0914278454717942E-3</v>
      </c>
      <c r="BN41" s="1">
        <f t="shared" si="11"/>
        <v>6.3685102773510957E-2</v>
      </c>
      <c r="BP41" s="7" t="s">
        <v>430</v>
      </c>
      <c r="BQ41" s="1">
        <f>SUM(BM9:BM637)</f>
        <v>6.1640248516068041</v>
      </c>
      <c r="BR41" s="1">
        <f>SUM(BM9:BM637)</f>
        <v>6.1640248516068041</v>
      </c>
    </row>
    <row r="42" spans="1:70" x14ac:dyDescent="0.25">
      <c r="A42" s="3"/>
      <c r="B42" s="3"/>
      <c r="C42" t="s">
        <v>28</v>
      </c>
      <c r="D42" s="5">
        <v>1</v>
      </c>
      <c r="E42" s="9">
        <f t="shared" si="0"/>
        <v>18</v>
      </c>
      <c r="F42" s="9">
        <f t="shared" si="1"/>
        <v>0.77500000000000002</v>
      </c>
      <c r="G42">
        <v>0</v>
      </c>
      <c r="H42">
        <v>18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18</v>
      </c>
      <c r="P42">
        <v>0</v>
      </c>
      <c r="Q42">
        <v>62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62</v>
      </c>
      <c r="AK42" t="s">
        <v>1</v>
      </c>
      <c r="AL42" t="s">
        <v>374</v>
      </c>
      <c r="AQ42" s="1">
        <f t="shared" si="12"/>
        <v>100</v>
      </c>
      <c r="AR42" s="1">
        <f t="shared" si="13"/>
        <v>0.18</v>
      </c>
      <c r="AS42" s="1">
        <f t="shared" si="2"/>
        <v>0</v>
      </c>
      <c r="AT42" s="1">
        <f t="shared" si="14"/>
        <v>0.18</v>
      </c>
      <c r="AU42" s="1">
        <f t="shared" si="15"/>
        <v>0.62</v>
      </c>
      <c r="AV42" s="1">
        <f t="shared" si="16"/>
        <v>0.62</v>
      </c>
      <c r="AX42" s="1">
        <f t="shared" si="17"/>
        <v>3.4444444444444446</v>
      </c>
      <c r="AY42" s="1">
        <f t="shared" si="3"/>
        <v>1</v>
      </c>
      <c r="AZ42" s="1">
        <f t="shared" si="4"/>
        <v>0.71527777777777779</v>
      </c>
      <c r="BA42" s="1">
        <f t="shared" si="5"/>
        <v>1.3611111111111112</v>
      </c>
      <c r="BB42" s="1">
        <f t="shared" si="6"/>
        <v>0.71527777777777779</v>
      </c>
      <c r="BC42" s="1">
        <f t="shared" si="7"/>
        <v>0.71527777777777779</v>
      </c>
      <c r="BD42" s="1">
        <f t="shared" si="18"/>
        <v>9.5277777777777795E-2</v>
      </c>
      <c r="BF42">
        <f t="shared" si="19"/>
        <v>18</v>
      </c>
      <c r="BG42">
        <f t="shared" si="8"/>
        <v>18.666666666666668</v>
      </c>
      <c r="BH42" s="1">
        <f t="shared" si="20"/>
        <v>3.4444444444444446</v>
      </c>
      <c r="BI42" s="1">
        <f t="shared" si="9"/>
        <v>1.0370370370370372</v>
      </c>
      <c r="BJ42" s="1">
        <f t="shared" si="21"/>
        <v>0.63666666666666671</v>
      </c>
      <c r="BK42" s="1">
        <f t="shared" si="22"/>
        <v>0.66642063676492169</v>
      </c>
      <c r="BL42" s="22">
        <f t="shared" si="23"/>
        <v>0.66642063676492169</v>
      </c>
      <c r="BM42" s="1">
        <f t="shared" si="10"/>
        <v>2.1548755176607997E-3</v>
      </c>
      <c r="BN42" s="1">
        <f t="shared" si="11"/>
        <v>4.50963767673839E-2</v>
      </c>
      <c r="BP42" s="7" t="s">
        <v>431</v>
      </c>
      <c r="BQ42" s="1">
        <f>SUM(BN9:BN637)</f>
        <v>27.756922005745906</v>
      </c>
      <c r="BR42" s="1">
        <f>SUM(BN9:BN637)</f>
        <v>27.756922005745906</v>
      </c>
    </row>
    <row r="43" spans="1:70" x14ac:dyDescent="0.25">
      <c r="A43" s="3"/>
      <c r="B43" s="3"/>
      <c r="C43" t="s">
        <v>29</v>
      </c>
      <c r="D43" s="5">
        <v>1</v>
      </c>
      <c r="E43" s="9">
        <f t="shared" si="0"/>
        <v>18</v>
      </c>
      <c r="F43" s="9">
        <f t="shared" si="1"/>
        <v>0.76923076923076927</v>
      </c>
      <c r="G43">
        <v>0</v>
      </c>
      <c r="H43">
        <v>18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18</v>
      </c>
      <c r="P43">
        <v>0</v>
      </c>
      <c r="Q43">
        <v>60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52</v>
      </c>
      <c r="AK43" t="s">
        <v>1</v>
      </c>
      <c r="AL43" t="s">
        <v>374</v>
      </c>
      <c r="AQ43" s="1">
        <f t="shared" si="12"/>
        <v>100</v>
      </c>
      <c r="AR43" s="1">
        <f t="shared" si="13"/>
        <v>0.18</v>
      </c>
      <c r="AS43" s="1">
        <f t="shared" si="2"/>
        <v>0</v>
      </c>
      <c r="AT43" s="1">
        <f t="shared" si="14"/>
        <v>0.18</v>
      </c>
      <c r="AU43" s="1">
        <f t="shared" si="15"/>
        <v>0.6</v>
      </c>
      <c r="AV43" s="1">
        <f t="shared" si="16"/>
        <v>0.52</v>
      </c>
      <c r="AX43" s="1">
        <f t="shared" si="17"/>
        <v>3.3333333333333335</v>
      </c>
      <c r="AY43" s="1">
        <f t="shared" si="3"/>
        <v>1</v>
      </c>
      <c r="AZ43" s="1">
        <f t="shared" si="4"/>
        <v>0.70833333333333337</v>
      </c>
      <c r="BA43" s="1">
        <f t="shared" si="5"/>
        <v>1.3333333333333335</v>
      </c>
      <c r="BB43" s="1">
        <f t="shared" si="6"/>
        <v>0.70833333333333337</v>
      </c>
      <c r="BC43" s="1">
        <f t="shared" si="7"/>
        <v>0.70833333333333337</v>
      </c>
      <c r="BD43" s="1">
        <f t="shared" si="18"/>
        <v>0.18833333333333335</v>
      </c>
      <c r="BF43">
        <f t="shared" si="19"/>
        <v>18</v>
      </c>
      <c r="BG43">
        <f t="shared" si="8"/>
        <v>19.333333333333332</v>
      </c>
      <c r="BH43" s="1">
        <f t="shared" si="20"/>
        <v>3.3333333333333335</v>
      </c>
      <c r="BI43" s="1">
        <f t="shared" si="9"/>
        <v>1.074074074074074</v>
      </c>
      <c r="BJ43" s="1">
        <f t="shared" si="21"/>
        <v>0.63</v>
      </c>
      <c r="BK43" s="1">
        <f t="shared" si="22"/>
        <v>0.66340881569159127</v>
      </c>
      <c r="BL43" s="22">
        <f t="shared" si="23"/>
        <v>0.66340881569159127</v>
      </c>
      <c r="BM43" s="1">
        <f t="shared" si="10"/>
        <v>2.0566088418064791E-2</v>
      </c>
      <c r="BN43" s="1">
        <f t="shared" si="11"/>
        <v>1.2624561752066324E-2</v>
      </c>
      <c r="BP43" s="7" t="s">
        <v>432</v>
      </c>
      <c r="BQ43" s="1">
        <f>1-BQ41/BQ42</f>
        <v>0.77792837223339095</v>
      </c>
      <c r="BR43" s="1">
        <f>1-BR41/BR42</f>
        <v>0.77792837223339095</v>
      </c>
    </row>
    <row r="44" spans="1:70" x14ac:dyDescent="0.25">
      <c r="A44" s="3"/>
      <c r="B44" s="3"/>
      <c r="C44" t="s">
        <v>30</v>
      </c>
      <c r="D44" s="5">
        <v>1</v>
      </c>
      <c r="E44" s="9">
        <f t="shared" si="0"/>
        <v>14</v>
      </c>
      <c r="F44" s="9">
        <f t="shared" si="1"/>
        <v>0.75641025641025639</v>
      </c>
      <c r="G44">
        <v>0</v>
      </c>
      <c r="H44">
        <v>19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14</v>
      </c>
      <c r="P44">
        <v>0</v>
      </c>
      <c r="Q44">
        <v>59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8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41</v>
      </c>
      <c r="AK44" t="s">
        <v>1</v>
      </c>
      <c r="AL44" t="s">
        <v>374</v>
      </c>
      <c r="AQ44" s="1">
        <f t="shared" si="12"/>
        <v>100</v>
      </c>
      <c r="AR44" s="1">
        <f t="shared" si="13"/>
        <v>0.14000000000000001</v>
      </c>
      <c r="AS44" s="1">
        <f t="shared" si="2"/>
        <v>0</v>
      </c>
      <c r="AT44" s="1">
        <f t="shared" si="14"/>
        <v>0.19</v>
      </c>
      <c r="AU44" s="1">
        <f t="shared" si="15"/>
        <v>0.59</v>
      </c>
      <c r="AV44" s="1">
        <f t="shared" si="16"/>
        <v>0.41</v>
      </c>
      <c r="AX44" s="1">
        <f t="shared" si="17"/>
        <v>3.1052631578947367</v>
      </c>
      <c r="AY44" s="1">
        <f t="shared" si="3"/>
        <v>0.73684210526315796</v>
      </c>
      <c r="AZ44" s="1">
        <f t="shared" si="4"/>
        <v>0.69407894736842102</v>
      </c>
      <c r="BA44" s="1">
        <f t="shared" si="5"/>
        <v>1.2763157894736841</v>
      </c>
      <c r="BB44" s="1">
        <f t="shared" si="6"/>
        <v>0.69407894736842102</v>
      </c>
      <c r="BC44" s="1">
        <f t="shared" si="7"/>
        <v>0.69407894736842102</v>
      </c>
      <c r="BD44" s="1">
        <f t="shared" si="18"/>
        <v>0.28407894736842104</v>
      </c>
      <c r="BF44">
        <f t="shared" si="19"/>
        <v>19</v>
      </c>
      <c r="BG44">
        <f t="shared" si="8"/>
        <v>16.666666666666668</v>
      </c>
      <c r="BH44" s="1">
        <f t="shared" si="20"/>
        <v>3.1052631578947367</v>
      </c>
      <c r="BI44" s="1">
        <f t="shared" si="9"/>
        <v>0.87719298245614041</v>
      </c>
      <c r="BJ44" s="1">
        <f t="shared" si="21"/>
        <v>0.61631578947368415</v>
      </c>
      <c r="BK44" s="1">
        <f t="shared" si="22"/>
        <v>0.62629882069802989</v>
      </c>
      <c r="BL44" s="22">
        <f t="shared" si="23"/>
        <v>0.62629882069802989</v>
      </c>
      <c r="BM44" s="1">
        <f t="shared" si="10"/>
        <v>4.6785179835358494E-2</v>
      </c>
      <c r="BN44" s="1">
        <f t="shared" si="11"/>
        <v>5.5652352169781633E-6</v>
      </c>
    </row>
    <row r="45" spans="1:70" x14ac:dyDescent="0.25">
      <c r="A45" s="3"/>
      <c r="B45" s="3"/>
      <c r="C45" t="s">
        <v>31</v>
      </c>
      <c r="D45" s="5">
        <v>1</v>
      </c>
      <c r="E45" s="9">
        <f t="shared" si="0"/>
        <v>12</v>
      </c>
      <c r="F45" s="9">
        <f t="shared" si="1"/>
        <v>0.74358974358974361</v>
      </c>
      <c r="G45">
        <v>0</v>
      </c>
      <c r="H45">
        <v>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12</v>
      </c>
      <c r="P45">
        <v>0</v>
      </c>
      <c r="Q45">
        <v>58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35</v>
      </c>
      <c r="AK45" t="s">
        <v>1</v>
      </c>
      <c r="AL45" t="s">
        <v>374</v>
      </c>
      <c r="AQ45" s="1">
        <f t="shared" si="12"/>
        <v>100</v>
      </c>
      <c r="AR45" s="1">
        <f t="shared" si="13"/>
        <v>0.12</v>
      </c>
      <c r="AS45" s="1">
        <f t="shared" si="2"/>
        <v>0</v>
      </c>
      <c r="AT45" s="1">
        <f t="shared" si="14"/>
        <v>0.2</v>
      </c>
      <c r="AU45" s="1">
        <f t="shared" si="15"/>
        <v>0.57999999999999996</v>
      </c>
      <c r="AV45" s="1">
        <f t="shared" si="16"/>
        <v>0.35</v>
      </c>
      <c r="AX45" s="1">
        <f t="shared" si="17"/>
        <v>2.8999999999999995</v>
      </c>
      <c r="AY45" s="1">
        <f t="shared" si="3"/>
        <v>0.6</v>
      </c>
      <c r="AZ45" s="1">
        <f t="shared" si="4"/>
        <v>0.68124999999999991</v>
      </c>
      <c r="BA45" s="1">
        <f t="shared" si="5"/>
        <v>1.2249999999999999</v>
      </c>
      <c r="BB45" s="1">
        <f t="shared" si="6"/>
        <v>0.6</v>
      </c>
      <c r="BC45" s="1">
        <f t="shared" si="7"/>
        <v>0.6</v>
      </c>
      <c r="BD45" s="1">
        <f t="shared" si="18"/>
        <v>0.25</v>
      </c>
      <c r="BF45">
        <f t="shared" si="19"/>
        <v>20</v>
      </c>
      <c r="BG45">
        <f t="shared" si="8"/>
        <v>15.333333333333332</v>
      </c>
      <c r="BH45" s="1">
        <f t="shared" si="20"/>
        <v>2.9</v>
      </c>
      <c r="BI45" s="1">
        <f t="shared" si="9"/>
        <v>0.76666666666666661</v>
      </c>
      <c r="BJ45" s="1">
        <f t="shared" si="21"/>
        <v>0.60399999999999998</v>
      </c>
      <c r="BK45" s="1">
        <f t="shared" si="22"/>
        <v>0.59665885593124779</v>
      </c>
      <c r="BL45" s="22">
        <f t="shared" si="23"/>
        <v>0.59665885593124779</v>
      </c>
      <c r="BM45" s="1">
        <f t="shared" si="10"/>
        <v>6.084059120931206E-2</v>
      </c>
      <c r="BN45" s="1">
        <f t="shared" si="11"/>
        <v>3.3224762260264311E-3</v>
      </c>
    </row>
    <row r="46" spans="1:70" x14ac:dyDescent="0.25">
      <c r="A46" s="3"/>
      <c r="B46" s="3"/>
      <c r="C46" t="s">
        <v>32</v>
      </c>
      <c r="D46" s="5">
        <v>1</v>
      </c>
      <c r="E46" s="9">
        <f t="shared" si="0"/>
        <v>20</v>
      </c>
      <c r="F46" s="9">
        <f t="shared" si="1"/>
        <v>0.77500000000000002</v>
      </c>
      <c r="G46">
        <v>0</v>
      </c>
      <c r="H46">
        <v>18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16</v>
      </c>
      <c r="P46">
        <v>0</v>
      </c>
      <c r="Q46">
        <v>62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64</v>
      </c>
      <c r="AK46" t="s">
        <v>1</v>
      </c>
      <c r="AL46" t="s">
        <v>374</v>
      </c>
      <c r="AQ46" s="1">
        <f t="shared" si="12"/>
        <v>100</v>
      </c>
      <c r="AR46" s="1">
        <f t="shared" si="13"/>
        <v>0.16</v>
      </c>
      <c r="AS46" s="1">
        <f t="shared" si="2"/>
        <v>0</v>
      </c>
      <c r="AT46" s="1">
        <f t="shared" si="14"/>
        <v>0.18</v>
      </c>
      <c r="AU46" s="1">
        <f t="shared" si="15"/>
        <v>0.62</v>
      </c>
      <c r="AV46" s="1">
        <f t="shared" si="16"/>
        <v>0.64</v>
      </c>
      <c r="AX46" s="1">
        <f t="shared" si="17"/>
        <v>3.4444444444444446</v>
      </c>
      <c r="AY46" s="1">
        <f t="shared" si="3"/>
        <v>0.88888888888888895</v>
      </c>
      <c r="AZ46" s="1">
        <f t="shared" si="4"/>
        <v>0.71527777777777779</v>
      </c>
      <c r="BA46" s="1">
        <f t="shared" si="5"/>
        <v>1.3611111111111112</v>
      </c>
      <c r="BB46" s="1">
        <f t="shared" si="6"/>
        <v>0.71527777777777779</v>
      </c>
      <c r="BC46" s="1">
        <f t="shared" si="7"/>
        <v>0.71527777777777779</v>
      </c>
      <c r="BD46" s="1">
        <f t="shared" si="18"/>
        <v>7.5277777777777777E-2</v>
      </c>
      <c r="BF46">
        <f t="shared" si="19"/>
        <v>18</v>
      </c>
      <c r="BG46">
        <f t="shared" si="8"/>
        <v>18</v>
      </c>
      <c r="BH46" s="1">
        <f t="shared" si="20"/>
        <v>3.4444444444444446</v>
      </c>
      <c r="BI46" s="1">
        <f t="shared" si="9"/>
        <v>1</v>
      </c>
      <c r="BJ46" s="1">
        <f t="shared" si="21"/>
        <v>0.63666666666666671</v>
      </c>
      <c r="BK46" s="1">
        <f t="shared" si="22"/>
        <v>0.6619717644432469</v>
      </c>
      <c r="BL46" s="22">
        <f t="shared" si="23"/>
        <v>0.6619717644432469</v>
      </c>
      <c r="BM46" s="1">
        <f t="shared" si="10"/>
        <v>4.8275843274952823E-4</v>
      </c>
      <c r="BN46" s="1">
        <f t="shared" si="11"/>
        <v>5.3990739770447424E-2</v>
      </c>
    </row>
    <row r="47" spans="1:70" x14ac:dyDescent="0.25">
      <c r="A47" s="3"/>
      <c r="B47" s="3"/>
      <c r="C47" t="s">
        <v>33</v>
      </c>
      <c r="D47" s="5">
        <v>1</v>
      </c>
      <c r="E47" s="9">
        <f t="shared" si="0"/>
        <v>20</v>
      </c>
      <c r="F47" s="9">
        <f t="shared" si="1"/>
        <v>0.78749999999999998</v>
      </c>
      <c r="G47">
        <v>0</v>
      </c>
      <c r="H47">
        <v>17</v>
      </c>
      <c r="I47">
        <v>8</v>
      </c>
      <c r="J47">
        <v>0</v>
      </c>
      <c r="K47">
        <v>0</v>
      </c>
      <c r="L47">
        <v>0</v>
      </c>
      <c r="M47">
        <v>0</v>
      </c>
      <c r="N47">
        <v>0</v>
      </c>
      <c r="O47">
        <v>12</v>
      </c>
      <c r="P47">
        <v>0</v>
      </c>
      <c r="Q47">
        <v>63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57</v>
      </c>
      <c r="AK47" t="s">
        <v>1</v>
      </c>
      <c r="AL47" t="s">
        <v>374</v>
      </c>
      <c r="AQ47" s="1">
        <f t="shared" si="12"/>
        <v>100</v>
      </c>
      <c r="AR47" s="1">
        <f t="shared" si="13"/>
        <v>0.12</v>
      </c>
      <c r="AS47" s="1">
        <f t="shared" si="2"/>
        <v>0</v>
      </c>
      <c r="AT47" s="1">
        <f t="shared" si="14"/>
        <v>0.17</v>
      </c>
      <c r="AU47" s="1">
        <f t="shared" si="15"/>
        <v>0.63</v>
      </c>
      <c r="AV47" s="1">
        <f t="shared" si="16"/>
        <v>0.56999999999999995</v>
      </c>
      <c r="AX47" s="1">
        <f t="shared" si="17"/>
        <v>3.7058823529411762</v>
      </c>
      <c r="AY47" s="1">
        <f t="shared" si="3"/>
        <v>0.70588235294117641</v>
      </c>
      <c r="AZ47" s="1">
        <f t="shared" si="4"/>
        <v>0.73161764705882348</v>
      </c>
      <c r="BA47" s="1">
        <f t="shared" si="5"/>
        <v>1.4264705882352939</v>
      </c>
      <c r="BB47" s="1">
        <f t="shared" si="6"/>
        <v>0.70588235294117641</v>
      </c>
      <c r="BC47" s="1">
        <f t="shared" si="7"/>
        <v>0.70588235294117641</v>
      </c>
      <c r="BD47" s="1">
        <f t="shared" si="18"/>
        <v>0.13588235294117645</v>
      </c>
      <c r="BF47">
        <f t="shared" si="19"/>
        <v>17</v>
      </c>
      <c r="BG47">
        <f t="shared" si="8"/>
        <v>16</v>
      </c>
      <c r="BH47" s="1">
        <f t="shared" si="20"/>
        <v>3.7058823529411766</v>
      </c>
      <c r="BI47" s="1">
        <f t="shared" si="9"/>
        <v>0.94117647058823528</v>
      </c>
      <c r="BJ47" s="1">
        <f t="shared" si="21"/>
        <v>0.65235294117647058</v>
      </c>
      <c r="BK47" s="1">
        <f t="shared" si="22"/>
        <v>0.66673609257983502</v>
      </c>
      <c r="BL47" s="22">
        <f t="shared" si="23"/>
        <v>0.66673609257983502</v>
      </c>
      <c r="BM47" s="1">
        <f t="shared" si="10"/>
        <v>9.3578716076144208E-3</v>
      </c>
      <c r="BN47" s="1">
        <f t="shared" si="11"/>
        <v>2.6360469259725097E-2</v>
      </c>
    </row>
    <row r="48" spans="1:70" x14ac:dyDescent="0.25">
      <c r="A48" s="3"/>
      <c r="B48" s="3"/>
      <c r="C48" t="s">
        <v>34</v>
      </c>
      <c r="D48" s="5">
        <v>1</v>
      </c>
      <c r="E48" s="9">
        <f t="shared" si="0"/>
        <v>20</v>
      </c>
      <c r="F48" s="9">
        <f t="shared" si="1"/>
        <v>0.77500000000000002</v>
      </c>
      <c r="G48">
        <v>0</v>
      </c>
      <c r="H48">
        <v>18</v>
      </c>
      <c r="I48">
        <v>10</v>
      </c>
      <c r="J48">
        <v>0</v>
      </c>
      <c r="K48">
        <v>0</v>
      </c>
      <c r="L48">
        <v>0</v>
      </c>
      <c r="M48">
        <v>0</v>
      </c>
      <c r="N48">
        <v>0</v>
      </c>
      <c r="O48">
        <v>10</v>
      </c>
      <c r="P48">
        <v>0</v>
      </c>
      <c r="Q48">
        <v>62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53</v>
      </c>
      <c r="AK48" t="s">
        <v>1</v>
      </c>
      <c r="AL48" t="s">
        <v>374</v>
      </c>
      <c r="AQ48" s="1">
        <f t="shared" si="12"/>
        <v>100</v>
      </c>
      <c r="AR48" s="1">
        <f t="shared" si="13"/>
        <v>0.1</v>
      </c>
      <c r="AS48" s="1">
        <f t="shared" si="2"/>
        <v>0</v>
      </c>
      <c r="AT48" s="1">
        <f t="shared" si="14"/>
        <v>0.18</v>
      </c>
      <c r="AU48" s="1">
        <f t="shared" si="15"/>
        <v>0.62</v>
      </c>
      <c r="AV48" s="1">
        <f t="shared" si="16"/>
        <v>0.53</v>
      </c>
      <c r="AX48" s="1">
        <f t="shared" si="17"/>
        <v>3.4444444444444446</v>
      </c>
      <c r="AY48" s="1">
        <f t="shared" si="3"/>
        <v>0.55555555555555558</v>
      </c>
      <c r="AZ48" s="1">
        <f t="shared" si="4"/>
        <v>0.71527777777777779</v>
      </c>
      <c r="BA48" s="1">
        <f t="shared" si="5"/>
        <v>1.3611111111111112</v>
      </c>
      <c r="BB48" s="1">
        <f t="shared" si="6"/>
        <v>0.55555555555555558</v>
      </c>
      <c r="BC48" s="1">
        <f t="shared" si="7"/>
        <v>0.55555555555555558</v>
      </c>
      <c r="BD48" s="1">
        <f t="shared" si="18"/>
        <v>2.5555555555555554E-2</v>
      </c>
      <c r="BF48">
        <f t="shared" si="19"/>
        <v>18</v>
      </c>
      <c r="BG48">
        <f t="shared" si="8"/>
        <v>15</v>
      </c>
      <c r="BH48" s="1">
        <f t="shared" si="20"/>
        <v>3.4444444444444446</v>
      </c>
      <c r="BI48" s="1">
        <f t="shared" si="9"/>
        <v>0.83333333333333337</v>
      </c>
      <c r="BJ48" s="1">
        <f t="shared" si="21"/>
        <v>0.63666666666666671</v>
      </c>
      <c r="BK48" s="1">
        <f t="shared" si="22"/>
        <v>0.63419667079880149</v>
      </c>
      <c r="BL48" s="22">
        <f t="shared" si="23"/>
        <v>0.63419667079880149</v>
      </c>
      <c r="BM48" s="1">
        <f t="shared" si="10"/>
        <v>1.0856946205553806E-2</v>
      </c>
      <c r="BN48" s="1">
        <f t="shared" si="11"/>
        <v>1.4971743253598084E-2</v>
      </c>
    </row>
    <row r="49" spans="1:66" x14ac:dyDescent="0.25">
      <c r="A49" s="3"/>
      <c r="B49" s="3"/>
      <c r="C49" t="s">
        <v>35</v>
      </c>
      <c r="D49" s="5">
        <v>1</v>
      </c>
      <c r="E49" s="9">
        <f t="shared" si="0"/>
        <v>26</v>
      </c>
      <c r="F49" s="9">
        <f t="shared" si="1"/>
        <v>0.7567567567567568</v>
      </c>
      <c r="G49">
        <v>0</v>
      </c>
      <c r="H49">
        <v>18</v>
      </c>
      <c r="I49">
        <v>12</v>
      </c>
      <c r="J49">
        <v>0</v>
      </c>
      <c r="K49">
        <v>0</v>
      </c>
      <c r="L49">
        <v>0</v>
      </c>
      <c r="M49">
        <v>0</v>
      </c>
      <c r="N49">
        <v>0</v>
      </c>
      <c r="O49">
        <v>14</v>
      </c>
      <c r="P49">
        <v>0</v>
      </c>
      <c r="Q49">
        <v>56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57</v>
      </c>
      <c r="AK49" t="s">
        <v>1</v>
      </c>
      <c r="AL49" t="s">
        <v>374</v>
      </c>
      <c r="AQ49" s="1">
        <f t="shared" si="12"/>
        <v>100</v>
      </c>
      <c r="AR49" s="1">
        <f t="shared" si="13"/>
        <v>0.14000000000000001</v>
      </c>
      <c r="AS49" s="1">
        <f t="shared" si="2"/>
        <v>0</v>
      </c>
      <c r="AT49" s="1">
        <f t="shared" si="14"/>
        <v>0.18</v>
      </c>
      <c r="AU49" s="1">
        <f t="shared" si="15"/>
        <v>0.56000000000000005</v>
      </c>
      <c r="AV49" s="1">
        <f t="shared" si="16"/>
        <v>0.56999999999999995</v>
      </c>
      <c r="AX49" s="1">
        <f t="shared" si="17"/>
        <v>3.1111111111111116</v>
      </c>
      <c r="AY49" s="1">
        <f t="shared" si="3"/>
        <v>0.7777777777777779</v>
      </c>
      <c r="AZ49" s="1">
        <f t="shared" si="4"/>
        <v>0.69444444444444442</v>
      </c>
      <c r="BA49" s="1">
        <f t="shared" si="5"/>
        <v>1.2777777777777779</v>
      </c>
      <c r="BB49" s="1">
        <f t="shared" si="6"/>
        <v>0.69444444444444442</v>
      </c>
      <c r="BC49" s="1">
        <f t="shared" si="7"/>
        <v>0.69444444444444442</v>
      </c>
      <c r="BD49" s="1">
        <f t="shared" si="18"/>
        <v>0.12444444444444447</v>
      </c>
      <c r="BF49">
        <f t="shared" si="19"/>
        <v>18</v>
      </c>
      <c r="BG49">
        <f t="shared" si="8"/>
        <v>20</v>
      </c>
      <c r="BH49" s="1">
        <f t="shared" si="20"/>
        <v>3.1111111111111112</v>
      </c>
      <c r="BI49" s="1">
        <f t="shared" si="9"/>
        <v>1.1111111111111112</v>
      </c>
      <c r="BJ49" s="1">
        <f t="shared" si="21"/>
        <v>0.6166666666666667</v>
      </c>
      <c r="BK49" s="1">
        <f t="shared" si="22"/>
        <v>0.65153984132078713</v>
      </c>
      <c r="BL49" s="22">
        <f t="shared" si="23"/>
        <v>0.65153984132078713</v>
      </c>
      <c r="BM49" s="1">
        <f t="shared" si="10"/>
        <v>6.6487457226191522E-3</v>
      </c>
      <c r="BN49" s="1">
        <f t="shared" si="11"/>
        <v>2.6360469259725097E-2</v>
      </c>
    </row>
    <row r="50" spans="1:66" x14ac:dyDescent="0.25">
      <c r="A50" s="3"/>
      <c r="B50" s="3"/>
      <c r="C50" t="s">
        <v>36</v>
      </c>
      <c r="D50" s="5">
        <v>1</v>
      </c>
      <c r="E50" s="9">
        <f t="shared" si="0"/>
        <v>25</v>
      </c>
      <c r="F50" s="9">
        <f t="shared" si="1"/>
        <v>0.76388888888888884</v>
      </c>
      <c r="G50">
        <v>0</v>
      </c>
      <c r="H50">
        <v>17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20</v>
      </c>
      <c r="P50">
        <v>0</v>
      </c>
      <c r="Q50">
        <v>55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54</v>
      </c>
      <c r="AK50" t="s">
        <v>1</v>
      </c>
      <c r="AL50" t="s">
        <v>374</v>
      </c>
      <c r="AQ50" s="1">
        <f t="shared" si="12"/>
        <v>101</v>
      </c>
      <c r="AR50" s="1">
        <f t="shared" si="13"/>
        <v>0.2</v>
      </c>
      <c r="AS50" s="1">
        <f t="shared" si="2"/>
        <v>0</v>
      </c>
      <c r="AT50" s="1">
        <f t="shared" si="14"/>
        <v>0.17</v>
      </c>
      <c r="AU50" s="1">
        <f t="shared" si="15"/>
        <v>0.55000000000000004</v>
      </c>
      <c r="AV50" s="1">
        <f t="shared" si="16"/>
        <v>0.54</v>
      </c>
      <c r="AX50" s="1">
        <f t="shared" si="17"/>
        <v>3.2352941176470589</v>
      </c>
      <c r="AY50" s="1">
        <f t="shared" si="3"/>
        <v>1.1764705882352942</v>
      </c>
      <c r="AZ50" s="1">
        <f t="shared" si="4"/>
        <v>0.70220588235294112</v>
      </c>
      <c r="BA50" s="1">
        <f t="shared" si="5"/>
        <v>1.3088235294117647</v>
      </c>
      <c r="BB50" s="1">
        <f t="shared" si="6"/>
        <v>0.70220588235294112</v>
      </c>
      <c r="BC50" s="1">
        <f t="shared" si="7"/>
        <v>0.70220588235294112</v>
      </c>
      <c r="BD50" s="1">
        <f t="shared" si="18"/>
        <v>0.16220588235294109</v>
      </c>
      <c r="BF50">
        <f t="shared" si="19"/>
        <v>17</v>
      </c>
      <c r="BG50">
        <f t="shared" si="8"/>
        <v>23.833333333333332</v>
      </c>
      <c r="BH50" s="1">
        <f t="shared" si="20"/>
        <v>3.2352941176470589</v>
      </c>
      <c r="BI50" s="1">
        <f t="shared" si="9"/>
        <v>1.4019607843137254</v>
      </c>
      <c r="BJ50" s="1">
        <f t="shared" si="21"/>
        <v>0.62411764705882355</v>
      </c>
      <c r="BK50" s="1">
        <f t="shared" si="22"/>
        <v>0.66388537174604745</v>
      </c>
      <c r="BL50" s="22">
        <f t="shared" si="23"/>
        <v>0.66388537174604745</v>
      </c>
      <c r="BM50" s="1">
        <f t="shared" si="10"/>
        <v>1.5347585332656363E-2</v>
      </c>
      <c r="BN50" s="1">
        <f t="shared" si="11"/>
        <v>1.7518924755129846E-2</v>
      </c>
    </row>
    <row r="51" spans="1:66" x14ac:dyDescent="0.25">
      <c r="A51" s="3"/>
      <c r="B51" s="3"/>
      <c r="C51" t="s">
        <v>37</v>
      </c>
      <c r="D51" s="5">
        <v>1</v>
      </c>
      <c r="E51" s="9">
        <f t="shared" si="0"/>
        <v>15.29</v>
      </c>
      <c r="F51" s="9">
        <f t="shared" si="1"/>
        <v>0.9285920786354438</v>
      </c>
      <c r="G51">
        <v>15.09</v>
      </c>
      <c r="H51">
        <v>4.9400000000000004</v>
      </c>
      <c r="I51">
        <v>15.29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64.239999999999995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</v>
      </c>
      <c r="AK51" t="s">
        <v>1</v>
      </c>
      <c r="AL51" t="s">
        <v>374</v>
      </c>
      <c r="AO51" t="s">
        <v>376</v>
      </c>
      <c r="AQ51" s="1">
        <f t="shared" si="12"/>
        <v>99.56</v>
      </c>
      <c r="AR51" s="1">
        <f t="shared" si="13"/>
        <v>0</v>
      </c>
      <c r="AS51" s="1">
        <f t="shared" si="2"/>
        <v>0.15090000000000001</v>
      </c>
      <c r="AT51" s="1">
        <f t="shared" si="14"/>
        <v>4.9400000000000006E-2</v>
      </c>
      <c r="AU51" s="1">
        <f t="shared" si="15"/>
        <v>0.64239999999999997</v>
      </c>
      <c r="AV51" s="1">
        <f t="shared" si="16"/>
        <v>0.04</v>
      </c>
      <c r="AX51" s="1">
        <f t="shared" si="17"/>
        <v>3.207189216175736</v>
      </c>
      <c r="AY51" s="1">
        <f t="shared" si="3"/>
        <v>0</v>
      </c>
      <c r="AZ51" s="1">
        <f t="shared" si="4"/>
        <v>0.70044932601098353</v>
      </c>
      <c r="BA51" s="1">
        <f t="shared" si="5"/>
        <v>1.3017973040439341</v>
      </c>
      <c r="BB51" s="1">
        <f t="shared" si="6"/>
        <v>0</v>
      </c>
      <c r="BC51" s="1">
        <f t="shared" si="7"/>
        <v>0</v>
      </c>
      <c r="BD51" s="1">
        <f t="shared" si="18"/>
        <v>0.04</v>
      </c>
      <c r="BF51">
        <f t="shared" si="19"/>
        <v>65.3</v>
      </c>
      <c r="BG51">
        <f t="shared" si="8"/>
        <v>7.6449999999999996</v>
      </c>
      <c r="BH51" s="1">
        <f t="shared" si="20"/>
        <v>0.98376722817764162</v>
      </c>
      <c r="BI51" s="1">
        <f t="shared" si="9"/>
        <v>0.1170750382848392</v>
      </c>
      <c r="BJ51" s="1">
        <f t="shared" si="21"/>
        <v>0.4890260336906585</v>
      </c>
      <c r="BK51" s="1">
        <f t="shared" si="22"/>
        <v>0.1170750382848392</v>
      </c>
      <c r="BL51" s="22">
        <f t="shared" si="23"/>
        <v>0.1170750382848392</v>
      </c>
      <c r="BM51" s="1">
        <f t="shared" si="10"/>
        <v>5.9405615266094275E-3</v>
      </c>
      <c r="BN51" s="1">
        <f t="shared" si="11"/>
        <v>0.13515984967854194</v>
      </c>
    </row>
    <row r="52" spans="1:66" x14ac:dyDescent="0.25">
      <c r="A52" s="3"/>
      <c r="B52" s="3"/>
      <c r="C52" t="s">
        <v>38</v>
      </c>
      <c r="D52" s="5">
        <v>1</v>
      </c>
      <c r="E52" s="9">
        <f t="shared" si="0"/>
        <v>15.38</v>
      </c>
      <c r="F52" s="9">
        <f t="shared" si="1"/>
        <v>0.85873498335504406</v>
      </c>
      <c r="G52">
        <v>15.11</v>
      </c>
      <c r="H52">
        <v>9.76</v>
      </c>
      <c r="I52">
        <v>15.38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59.33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</v>
      </c>
      <c r="AK52" t="s">
        <v>1</v>
      </c>
      <c r="AL52" t="s">
        <v>374</v>
      </c>
      <c r="AQ52" s="1">
        <f t="shared" si="12"/>
        <v>99.58</v>
      </c>
      <c r="AR52" s="1">
        <f t="shared" si="13"/>
        <v>0</v>
      </c>
      <c r="AS52" s="1">
        <f t="shared" si="2"/>
        <v>0.15109999999999998</v>
      </c>
      <c r="AT52" s="1">
        <f t="shared" si="14"/>
        <v>9.7599999999999992E-2</v>
      </c>
      <c r="AU52" s="1">
        <f t="shared" si="15"/>
        <v>0.59329999999999994</v>
      </c>
      <c r="AV52" s="1">
        <f t="shared" si="16"/>
        <v>0.04</v>
      </c>
      <c r="AX52" s="1">
        <f t="shared" si="17"/>
        <v>2.3856051467631683</v>
      </c>
      <c r="AY52" s="1">
        <f t="shared" si="3"/>
        <v>0</v>
      </c>
      <c r="AZ52" s="1">
        <f t="shared" si="4"/>
        <v>0.64910032167269804</v>
      </c>
      <c r="BA52" s="1">
        <f t="shared" si="5"/>
        <v>1.0964012866907922</v>
      </c>
      <c r="BB52" s="1">
        <f t="shared" si="6"/>
        <v>0</v>
      </c>
      <c r="BC52" s="1">
        <f t="shared" si="7"/>
        <v>0</v>
      </c>
      <c r="BD52" s="1">
        <f t="shared" si="18"/>
        <v>0.04</v>
      </c>
      <c r="BF52">
        <f t="shared" si="19"/>
        <v>70.2</v>
      </c>
      <c r="BG52">
        <f t="shared" si="8"/>
        <v>7.69</v>
      </c>
      <c r="BH52" s="1">
        <f t="shared" si="20"/>
        <v>0.84515669515669511</v>
      </c>
      <c r="BI52" s="1">
        <f t="shared" si="9"/>
        <v>0.10954415954415954</v>
      </c>
      <c r="BJ52" s="1">
        <f t="shared" si="21"/>
        <v>0.48070940170940168</v>
      </c>
      <c r="BK52" s="1">
        <f t="shared" si="22"/>
        <v>0.10954415954415954</v>
      </c>
      <c r="BL52" s="22">
        <f t="shared" si="23"/>
        <v>0.10954415954415954</v>
      </c>
      <c r="BM52" s="1">
        <f t="shared" si="10"/>
        <v>4.8363901267035169E-3</v>
      </c>
      <c r="BN52" s="1">
        <f t="shared" si="11"/>
        <v>0.13515984967854194</v>
      </c>
    </row>
    <row r="53" spans="1:66" x14ac:dyDescent="0.25">
      <c r="A53" s="3"/>
      <c r="B53" s="3"/>
      <c r="C53" t="s">
        <v>39</v>
      </c>
      <c r="D53" s="5">
        <v>1</v>
      </c>
      <c r="E53" s="9">
        <f t="shared" si="0"/>
        <v>15.28</v>
      </c>
      <c r="F53" s="9">
        <f t="shared" si="1"/>
        <v>0.7238246322468993</v>
      </c>
      <c r="G53">
        <v>14.96</v>
      </c>
      <c r="H53">
        <v>19.149999999999999</v>
      </c>
      <c r="I53">
        <v>15.28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50.19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</v>
      </c>
      <c r="AK53" t="s">
        <v>1</v>
      </c>
      <c r="AL53" t="s">
        <v>374</v>
      </c>
      <c r="AQ53" s="1">
        <f t="shared" si="12"/>
        <v>99.58</v>
      </c>
      <c r="AR53" s="1">
        <f t="shared" si="13"/>
        <v>0</v>
      </c>
      <c r="AS53" s="1">
        <f t="shared" si="2"/>
        <v>0.14960000000000001</v>
      </c>
      <c r="AT53" s="1">
        <f t="shared" si="14"/>
        <v>0.19149999999999998</v>
      </c>
      <c r="AU53" s="1">
        <f t="shared" si="15"/>
        <v>0.50190000000000001</v>
      </c>
      <c r="AV53" s="1">
        <f t="shared" si="16"/>
        <v>0.06</v>
      </c>
      <c r="AX53" s="1">
        <f t="shared" si="17"/>
        <v>1.47141600703606</v>
      </c>
      <c r="AY53" s="1">
        <f t="shared" si="3"/>
        <v>0</v>
      </c>
      <c r="AZ53" s="1">
        <f t="shared" si="4"/>
        <v>0.59196350043975376</v>
      </c>
      <c r="BA53" s="1">
        <f t="shared" si="5"/>
        <v>0.86785400175901506</v>
      </c>
      <c r="BB53" s="1">
        <f t="shared" si="6"/>
        <v>0</v>
      </c>
      <c r="BC53" s="1">
        <f t="shared" si="7"/>
        <v>0</v>
      </c>
      <c r="BD53" s="1">
        <f t="shared" si="18"/>
        <v>0.06</v>
      </c>
      <c r="BF53">
        <f t="shared" si="19"/>
        <v>78.990000000000009</v>
      </c>
      <c r="BG53">
        <f t="shared" si="8"/>
        <v>7.64</v>
      </c>
      <c r="BH53" s="1">
        <f t="shared" si="20"/>
        <v>0.6353968856817318</v>
      </c>
      <c r="BI53" s="1">
        <f t="shared" si="9"/>
        <v>9.6721103937207231E-2</v>
      </c>
      <c r="BJ53" s="1">
        <f t="shared" si="21"/>
        <v>0.4681238131409039</v>
      </c>
      <c r="BK53" s="1">
        <f t="shared" si="22"/>
        <v>9.6721103937207231E-2</v>
      </c>
      <c r="BL53" s="22">
        <f t="shared" si="23"/>
        <v>9.6721103937207231E-2</v>
      </c>
      <c r="BM53" s="1">
        <f t="shared" si="10"/>
        <v>1.3484394743671765E-3</v>
      </c>
      <c r="BN53" s="1">
        <f t="shared" si="11"/>
        <v>0.12085421268160544</v>
      </c>
    </row>
    <row r="54" spans="1:66" x14ac:dyDescent="0.25">
      <c r="A54" s="3"/>
      <c r="B54" s="3"/>
      <c r="C54" t="s">
        <v>40</v>
      </c>
      <c r="D54" s="5">
        <v>1</v>
      </c>
      <c r="E54" s="9">
        <f t="shared" si="0"/>
        <v>15.38</v>
      </c>
      <c r="F54" s="9">
        <f t="shared" si="1"/>
        <v>0.66020821283979181</v>
      </c>
      <c r="G54">
        <v>15.04</v>
      </c>
      <c r="H54">
        <v>23.5</v>
      </c>
      <c r="I54">
        <v>15.38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45.66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</v>
      </c>
      <c r="AK54" t="s">
        <v>1</v>
      </c>
      <c r="AL54" t="s">
        <v>374</v>
      </c>
      <c r="AQ54" s="1">
        <f t="shared" si="12"/>
        <v>99.58</v>
      </c>
      <c r="AR54" s="1">
        <f t="shared" si="13"/>
        <v>0</v>
      </c>
      <c r="AS54" s="1">
        <f t="shared" si="2"/>
        <v>0.15039999999999998</v>
      </c>
      <c r="AT54" s="1">
        <f t="shared" si="14"/>
        <v>0.23499999999999999</v>
      </c>
      <c r="AU54" s="1">
        <f t="shared" si="15"/>
        <v>0.45659999999999995</v>
      </c>
      <c r="AV54" s="1">
        <f t="shared" si="16"/>
        <v>7.0000000000000007E-2</v>
      </c>
      <c r="AX54" s="1">
        <f t="shared" si="17"/>
        <v>1.184743124026985</v>
      </c>
      <c r="AY54" s="1">
        <f t="shared" si="3"/>
        <v>0</v>
      </c>
      <c r="AZ54" s="1">
        <f t="shared" si="4"/>
        <v>0.57404644525168658</v>
      </c>
      <c r="BA54" s="1">
        <f t="shared" si="5"/>
        <v>0.79618578100674631</v>
      </c>
      <c r="BB54" s="1">
        <f t="shared" si="6"/>
        <v>0</v>
      </c>
      <c r="BC54" s="1">
        <f t="shared" si="7"/>
        <v>0</v>
      </c>
      <c r="BD54" s="1">
        <f t="shared" si="18"/>
        <v>7.0000000000000007E-2</v>
      </c>
      <c r="BF54">
        <f t="shared" si="19"/>
        <v>83.66</v>
      </c>
      <c r="BG54">
        <f t="shared" si="8"/>
        <v>7.69</v>
      </c>
      <c r="BH54" s="1">
        <f t="shared" si="20"/>
        <v>0.54578054028209422</v>
      </c>
      <c r="BI54" s="1">
        <f t="shared" si="9"/>
        <v>9.1919674874491999E-2</v>
      </c>
      <c r="BJ54" s="1">
        <f t="shared" si="21"/>
        <v>0.46274683241692566</v>
      </c>
      <c r="BK54" s="1">
        <f t="shared" si="22"/>
        <v>9.1919674874491999E-2</v>
      </c>
      <c r="BL54" s="22">
        <f t="shared" si="23"/>
        <v>9.1919674874491999E-2</v>
      </c>
      <c r="BM54" s="1">
        <f t="shared" si="10"/>
        <v>4.8047214660343557E-4</v>
      </c>
      <c r="BN54" s="1">
        <f t="shared" si="11"/>
        <v>0.11400139418313719</v>
      </c>
    </row>
    <row r="55" spans="1:66" x14ac:dyDescent="0.25">
      <c r="A55" s="3"/>
      <c r="B55" s="3"/>
      <c r="C55" t="s">
        <v>42</v>
      </c>
      <c r="D55" s="5">
        <v>1</v>
      </c>
      <c r="E55" s="9">
        <f t="shared" si="0"/>
        <v>20</v>
      </c>
      <c r="F55" s="9">
        <f t="shared" si="1"/>
        <v>0</v>
      </c>
      <c r="G55">
        <v>30</v>
      </c>
      <c r="H55">
        <v>50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2.6</v>
      </c>
      <c r="AK55" t="s">
        <v>1</v>
      </c>
      <c r="AL55" t="s">
        <v>372</v>
      </c>
      <c r="AO55" t="s">
        <v>375</v>
      </c>
      <c r="AQ55" s="1">
        <f t="shared" si="12"/>
        <v>100</v>
      </c>
      <c r="AR55" s="1">
        <f t="shared" si="13"/>
        <v>0.2</v>
      </c>
      <c r="AS55" s="1">
        <f t="shared" si="2"/>
        <v>0.3</v>
      </c>
      <c r="AT55" s="1">
        <f t="shared" si="14"/>
        <v>0.5</v>
      </c>
      <c r="AU55" s="1">
        <f t="shared" si="15"/>
        <v>0</v>
      </c>
      <c r="AV55" s="1">
        <f t="shared" si="16"/>
        <v>2.6000000000000002E-2</v>
      </c>
      <c r="AX55" s="1">
        <f t="shared" si="17"/>
        <v>0</v>
      </c>
      <c r="AY55" s="1">
        <f t="shared" si="3"/>
        <v>0.25</v>
      </c>
      <c r="AZ55" s="1">
        <f t="shared" si="4"/>
        <v>0.5</v>
      </c>
      <c r="BA55" s="1">
        <f t="shared" si="5"/>
        <v>0.5</v>
      </c>
      <c r="BB55" s="1">
        <f t="shared" si="6"/>
        <v>0.25</v>
      </c>
      <c r="BC55" s="1">
        <f t="shared" si="7"/>
        <v>0.25</v>
      </c>
      <c r="BD55" s="1">
        <f t="shared" si="18"/>
        <v>0.224</v>
      </c>
      <c r="BF55">
        <f t="shared" si="19"/>
        <v>170</v>
      </c>
      <c r="BG55">
        <f t="shared" si="8"/>
        <v>20</v>
      </c>
      <c r="BH55" s="1">
        <f t="shared" si="20"/>
        <v>0</v>
      </c>
      <c r="BI55" s="1">
        <f t="shared" si="9"/>
        <v>0.11764705882352941</v>
      </c>
      <c r="BJ55" s="1">
        <f t="shared" si="21"/>
        <v>0.43</v>
      </c>
      <c r="BK55" s="1">
        <f t="shared" si="22"/>
        <v>0.11764705882352941</v>
      </c>
      <c r="BL55" s="22">
        <f t="shared" si="23"/>
        <v>0.11764705882352941</v>
      </c>
      <c r="BM55" s="1">
        <f t="shared" si="10"/>
        <v>8.3991833910034615E-3</v>
      </c>
      <c r="BN55" s="1">
        <f t="shared" si="11"/>
        <v>0.14564979557639743</v>
      </c>
    </row>
    <row r="56" spans="1:66" x14ac:dyDescent="0.25">
      <c r="A56" s="3"/>
      <c r="B56" s="3"/>
      <c r="C56" t="s">
        <v>43</v>
      </c>
      <c r="D56" s="5">
        <v>1</v>
      </c>
      <c r="E56" s="9">
        <f t="shared" si="0"/>
        <v>25</v>
      </c>
      <c r="F56" s="9">
        <f t="shared" si="1"/>
        <v>0</v>
      </c>
      <c r="G56">
        <v>25</v>
      </c>
      <c r="H56">
        <v>50</v>
      </c>
      <c r="I56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10.8</v>
      </c>
      <c r="AK56" t="s">
        <v>1</v>
      </c>
      <c r="AL56" t="s">
        <v>372</v>
      </c>
      <c r="AQ56" s="1">
        <f t="shared" si="12"/>
        <v>100</v>
      </c>
      <c r="AR56" s="1">
        <f t="shared" si="13"/>
        <v>0</v>
      </c>
      <c r="AS56" s="1">
        <f t="shared" si="2"/>
        <v>0.25</v>
      </c>
      <c r="AT56" s="1">
        <f t="shared" si="14"/>
        <v>0.5</v>
      </c>
      <c r="AU56" s="1">
        <f t="shared" si="15"/>
        <v>0</v>
      </c>
      <c r="AV56" s="1">
        <f t="shared" si="16"/>
        <v>0.10800000000000001</v>
      </c>
      <c r="AX56" s="1">
        <f t="shared" si="17"/>
        <v>0</v>
      </c>
      <c r="AY56" s="1">
        <f t="shared" si="3"/>
        <v>0</v>
      </c>
      <c r="AZ56" s="1">
        <f t="shared" si="4"/>
        <v>0.5</v>
      </c>
      <c r="BA56" s="1">
        <f t="shared" si="5"/>
        <v>0.5</v>
      </c>
      <c r="BB56" s="1">
        <f t="shared" si="6"/>
        <v>0</v>
      </c>
      <c r="BC56" s="1">
        <f t="shared" si="7"/>
        <v>0</v>
      </c>
      <c r="BD56" s="1">
        <f t="shared" si="18"/>
        <v>0.10800000000000001</v>
      </c>
      <c r="BF56">
        <f t="shared" si="19"/>
        <v>150</v>
      </c>
      <c r="BG56">
        <f t="shared" si="8"/>
        <v>12.5</v>
      </c>
      <c r="BH56" s="1">
        <f t="shared" si="20"/>
        <v>0</v>
      </c>
      <c r="BI56" s="1">
        <f t="shared" si="9"/>
        <v>8.3333333333333329E-2</v>
      </c>
      <c r="BJ56" s="1">
        <f t="shared" si="21"/>
        <v>0.43</v>
      </c>
      <c r="BK56" s="1">
        <f t="shared" si="22"/>
        <v>8.3333333333333329E-2</v>
      </c>
      <c r="BL56" s="22">
        <f t="shared" si="23"/>
        <v>8.3333333333333329E-2</v>
      </c>
      <c r="BM56" s="1">
        <f t="shared" si="10"/>
        <v>6.0844444444444531E-4</v>
      </c>
      <c r="BN56" s="1">
        <f t="shared" si="11"/>
        <v>8.9784683888957884E-2</v>
      </c>
    </row>
    <row r="57" spans="1:66" x14ac:dyDescent="0.25">
      <c r="A57" s="3"/>
      <c r="B57" s="3"/>
      <c r="C57" t="s">
        <v>44</v>
      </c>
      <c r="D57" s="5">
        <v>1</v>
      </c>
      <c r="E57" s="9">
        <f t="shared" si="0"/>
        <v>25</v>
      </c>
      <c r="F57" s="9">
        <f t="shared" si="1"/>
        <v>0</v>
      </c>
      <c r="G57">
        <v>30</v>
      </c>
      <c r="H57">
        <v>45</v>
      </c>
      <c r="I57">
        <v>0</v>
      </c>
      <c r="J57">
        <v>0</v>
      </c>
      <c r="K57">
        <v>0</v>
      </c>
      <c r="L57">
        <v>0</v>
      </c>
      <c r="M57">
        <v>0</v>
      </c>
      <c r="N57">
        <v>25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</v>
      </c>
      <c r="AK57" t="s">
        <v>1</v>
      </c>
      <c r="AL57" t="s">
        <v>372</v>
      </c>
      <c r="AQ57" s="1">
        <f t="shared" si="12"/>
        <v>100</v>
      </c>
      <c r="AR57" s="1">
        <f t="shared" si="13"/>
        <v>0</v>
      </c>
      <c r="AS57" s="1">
        <f t="shared" si="2"/>
        <v>0.3</v>
      </c>
      <c r="AT57" s="1">
        <f t="shared" si="14"/>
        <v>0.45</v>
      </c>
      <c r="AU57" s="1">
        <f t="shared" si="15"/>
        <v>0</v>
      </c>
      <c r="AV57" s="1">
        <f t="shared" si="16"/>
        <v>0.08</v>
      </c>
      <c r="AX57" s="1">
        <f t="shared" si="17"/>
        <v>0</v>
      </c>
      <c r="AY57" s="1">
        <f t="shared" si="3"/>
        <v>0</v>
      </c>
      <c r="AZ57" s="1">
        <f t="shared" si="4"/>
        <v>0.5</v>
      </c>
      <c r="BA57" s="1">
        <f t="shared" si="5"/>
        <v>0.5</v>
      </c>
      <c r="BB57" s="1">
        <f t="shared" si="6"/>
        <v>0</v>
      </c>
      <c r="BC57" s="1">
        <f t="shared" si="7"/>
        <v>0</v>
      </c>
      <c r="BD57" s="1">
        <f t="shared" si="18"/>
        <v>0.08</v>
      </c>
      <c r="BF57">
        <f t="shared" si="19"/>
        <v>165</v>
      </c>
      <c r="BG57">
        <f t="shared" si="8"/>
        <v>12.5</v>
      </c>
      <c r="BH57" s="1">
        <f t="shared" si="20"/>
        <v>0</v>
      </c>
      <c r="BI57" s="1">
        <f t="shared" si="9"/>
        <v>7.575757575757576E-2</v>
      </c>
      <c r="BJ57" s="1">
        <f t="shared" si="21"/>
        <v>0.43</v>
      </c>
      <c r="BK57" s="1">
        <f t="shared" si="22"/>
        <v>7.575757575757576E-2</v>
      </c>
      <c r="BL57" s="22">
        <f t="shared" si="23"/>
        <v>7.575757575757576E-2</v>
      </c>
      <c r="BM57" s="1">
        <f t="shared" si="10"/>
        <v>1.7998163452708904E-5</v>
      </c>
      <c r="BN57" s="1">
        <f t="shared" si="11"/>
        <v>0.10734857568466895</v>
      </c>
    </row>
    <row r="58" spans="1:66" x14ac:dyDescent="0.25">
      <c r="A58" s="3"/>
      <c r="B58" s="3"/>
      <c r="C58" t="s">
        <v>45</v>
      </c>
      <c r="D58" s="5">
        <v>1</v>
      </c>
      <c r="E58" s="9">
        <f t="shared" si="0"/>
        <v>40</v>
      </c>
      <c r="F58" s="9">
        <f t="shared" si="1"/>
        <v>0</v>
      </c>
      <c r="G58">
        <v>20</v>
      </c>
      <c r="H58">
        <v>40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13.7</v>
      </c>
      <c r="AK58" t="s">
        <v>1</v>
      </c>
      <c r="AL58" t="s">
        <v>372</v>
      </c>
      <c r="AQ58" s="1">
        <f t="shared" si="12"/>
        <v>100</v>
      </c>
      <c r="AR58" s="1">
        <f t="shared" si="13"/>
        <v>0.4</v>
      </c>
      <c r="AS58" s="1">
        <f t="shared" si="2"/>
        <v>0.2</v>
      </c>
      <c r="AT58" s="1">
        <f t="shared" si="14"/>
        <v>0.4</v>
      </c>
      <c r="AU58" s="1">
        <f t="shared" si="15"/>
        <v>0</v>
      </c>
      <c r="AV58" s="1">
        <f t="shared" si="16"/>
        <v>0.13699999999999998</v>
      </c>
      <c r="AX58" s="1">
        <f t="shared" si="17"/>
        <v>0</v>
      </c>
      <c r="AY58" s="1">
        <f t="shared" si="3"/>
        <v>0.66666666666666663</v>
      </c>
      <c r="AZ58" s="1">
        <f t="shared" si="4"/>
        <v>0.5</v>
      </c>
      <c r="BA58" s="1">
        <f t="shared" si="5"/>
        <v>0.5</v>
      </c>
      <c r="BB58" s="1">
        <f t="shared" si="6"/>
        <v>0.44444444444444448</v>
      </c>
      <c r="BC58" s="1">
        <f t="shared" si="7"/>
        <v>0.44444444444444448</v>
      </c>
      <c r="BD58" s="1">
        <f t="shared" si="18"/>
        <v>0.30744444444444452</v>
      </c>
      <c r="BF58">
        <f t="shared" si="19"/>
        <v>120</v>
      </c>
      <c r="BG58">
        <f t="shared" si="8"/>
        <v>40</v>
      </c>
      <c r="BH58" s="1">
        <f t="shared" si="20"/>
        <v>0</v>
      </c>
      <c r="BI58" s="1">
        <f t="shared" si="9"/>
        <v>0.33333333333333331</v>
      </c>
      <c r="BJ58" s="1">
        <f t="shared" si="21"/>
        <v>0.43</v>
      </c>
      <c r="BK58" s="1">
        <f t="shared" si="22"/>
        <v>0.33333333333333331</v>
      </c>
      <c r="BL58" s="22">
        <f t="shared" si="23"/>
        <v>0.33333333333333331</v>
      </c>
      <c r="BM58" s="1">
        <f t="shared" si="10"/>
        <v>3.8546777777777777E-2</v>
      </c>
      <c r="BN58" s="1">
        <f t="shared" si="11"/>
        <v>7.3246510243399968E-2</v>
      </c>
    </row>
    <row r="59" spans="1:66" x14ac:dyDescent="0.25">
      <c r="A59" s="3"/>
      <c r="B59" s="3"/>
      <c r="C59" t="s">
        <v>46</v>
      </c>
      <c r="D59" s="5">
        <v>1</v>
      </c>
      <c r="E59" s="9">
        <f t="shared" si="0"/>
        <v>40</v>
      </c>
      <c r="F59" s="9">
        <f t="shared" si="1"/>
        <v>0</v>
      </c>
      <c r="G59">
        <v>20</v>
      </c>
      <c r="H59">
        <v>40</v>
      </c>
      <c r="I59">
        <v>40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12</v>
      </c>
      <c r="AK59" t="s">
        <v>1</v>
      </c>
      <c r="AL59" t="s">
        <v>372</v>
      </c>
      <c r="AQ59" s="1">
        <f t="shared" si="12"/>
        <v>100</v>
      </c>
      <c r="AR59" s="1">
        <f t="shared" si="13"/>
        <v>0</v>
      </c>
      <c r="AS59" s="1">
        <f t="shared" si="2"/>
        <v>0.2</v>
      </c>
      <c r="AT59" s="1">
        <f t="shared" si="14"/>
        <v>0.4</v>
      </c>
      <c r="AU59" s="1">
        <f t="shared" si="15"/>
        <v>0</v>
      </c>
      <c r="AV59" s="1">
        <f t="shared" si="16"/>
        <v>0.12</v>
      </c>
      <c r="AX59" s="1">
        <f t="shared" si="17"/>
        <v>0</v>
      </c>
      <c r="AY59" s="1">
        <f t="shared" si="3"/>
        <v>0</v>
      </c>
      <c r="AZ59" s="1">
        <f t="shared" si="4"/>
        <v>0.5</v>
      </c>
      <c r="BA59" s="1">
        <f t="shared" si="5"/>
        <v>0.5</v>
      </c>
      <c r="BB59" s="1">
        <f t="shared" si="6"/>
        <v>0</v>
      </c>
      <c r="BC59" s="1">
        <f t="shared" si="7"/>
        <v>0</v>
      </c>
      <c r="BD59" s="1">
        <f t="shared" si="18"/>
        <v>0.12</v>
      </c>
      <c r="BF59">
        <f t="shared" si="19"/>
        <v>120</v>
      </c>
      <c r="BG59">
        <f t="shared" si="8"/>
        <v>20</v>
      </c>
      <c r="BH59" s="1">
        <f t="shared" si="20"/>
        <v>0</v>
      </c>
      <c r="BI59" s="1">
        <f t="shared" si="9"/>
        <v>0.16666666666666666</v>
      </c>
      <c r="BJ59" s="1">
        <f t="shared" si="21"/>
        <v>0.43</v>
      </c>
      <c r="BK59" s="1">
        <f t="shared" si="22"/>
        <v>0.16666666666666666</v>
      </c>
      <c r="BL59" s="22">
        <f t="shared" si="23"/>
        <v>0.16666666666666666</v>
      </c>
      <c r="BM59" s="1">
        <f t="shared" si="10"/>
        <v>2.1777777777777772E-3</v>
      </c>
      <c r="BN59" s="1">
        <f t="shared" si="11"/>
        <v>8.2737301690795989E-2</v>
      </c>
    </row>
    <row r="60" spans="1:66" x14ac:dyDescent="0.25">
      <c r="A60" s="3"/>
      <c r="B60" s="3"/>
      <c r="C60" t="s">
        <v>47</v>
      </c>
      <c r="D60" s="5">
        <v>1</v>
      </c>
      <c r="E60" s="9">
        <f t="shared" si="0"/>
        <v>40</v>
      </c>
      <c r="F60" s="9">
        <f t="shared" si="1"/>
        <v>0</v>
      </c>
      <c r="G60">
        <v>20</v>
      </c>
      <c r="H60">
        <v>40</v>
      </c>
      <c r="I60">
        <v>0</v>
      </c>
      <c r="J60">
        <v>0</v>
      </c>
      <c r="K60">
        <v>0</v>
      </c>
      <c r="L60">
        <v>0</v>
      </c>
      <c r="M60">
        <v>0</v>
      </c>
      <c r="N60">
        <v>40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8.9</v>
      </c>
      <c r="AK60" t="s">
        <v>1</v>
      </c>
      <c r="AL60" t="s">
        <v>372</v>
      </c>
      <c r="AQ60" s="1">
        <f t="shared" si="12"/>
        <v>100</v>
      </c>
      <c r="AR60" s="1">
        <f t="shared" si="13"/>
        <v>0</v>
      </c>
      <c r="AS60" s="1">
        <f t="shared" si="2"/>
        <v>0.2</v>
      </c>
      <c r="AT60" s="1">
        <f t="shared" si="14"/>
        <v>0.4</v>
      </c>
      <c r="AU60" s="1">
        <f t="shared" si="15"/>
        <v>0</v>
      </c>
      <c r="AV60" s="1">
        <f t="shared" si="16"/>
        <v>8.900000000000001E-2</v>
      </c>
      <c r="AX60" s="1">
        <f t="shared" si="17"/>
        <v>0</v>
      </c>
      <c r="AY60" s="1">
        <f t="shared" si="3"/>
        <v>0</v>
      </c>
      <c r="AZ60" s="1">
        <f t="shared" si="4"/>
        <v>0.5</v>
      </c>
      <c r="BA60" s="1">
        <f t="shared" si="5"/>
        <v>0.5</v>
      </c>
      <c r="BB60" s="1">
        <f t="shared" si="6"/>
        <v>0</v>
      </c>
      <c r="BC60" s="1">
        <f t="shared" si="7"/>
        <v>0</v>
      </c>
      <c r="BD60" s="1">
        <f t="shared" si="18"/>
        <v>8.900000000000001E-2</v>
      </c>
      <c r="BF60">
        <f t="shared" si="19"/>
        <v>120</v>
      </c>
      <c r="BG60">
        <f t="shared" si="8"/>
        <v>20</v>
      </c>
      <c r="BH60" s="1">
        <f t="shared" si="20"/>
        <v>0</v>
      </c>
      <c r="BI60" s="1">
        <f t="shared" si="9"/>
        <v>0.16666666666666666</v>
      </c>
      <c r="BJ60" s="1">
        <f t="shared" si="21"/>
        <v>0.43</v>
      </c>
      <c r="BK60" s="1">
        <f t="shared" si="22"/>
        <v>0.16666666666666666</v>
      </c>
      <c r="BL60" s="22">
        <f t="shared" si="23"/>
        <v>0.16666666666666666</v>
      </c>
      <c r="BM60" s="1">
        <f t="shared" si="10"/>
        <v>6.0321111111111079E-3</v>
      </c>
      <c r="BN60" s="1">
        <f t="shared" si="11"/>
        <v>0.10153203903604752</v>
      </c>
    </row>
    <row r="61" spans="1:66" x14ac:dyDescent="0.25">
      <c r="A61" s="3"/>
      <c r="B61" s="3"/>
      <c r="C61" t="s">
        <v>48</v>
      </c>
      <c r="D61" s="5">
        <v>1</v>
      </c>
      <c r="E61" s="9">
        <f t="shared" si="0"/>
        <v>20</v>
      </c>
      <c r="F61" s="9">
        <f t="shared" si="1"/>
        <v>0.66625000000000001</v>
      </c>
      <c r="G61">
        <v>0</v>
      </c>
      <c r="H61">
        <v>26.7</v>
      </c>
      <c r="I61">
        <v>0</v>
      </c>
      <c r="J61">
        <v>0</v>
      </c>
      <c r="K61">
        <v>0</v>
      </c>
      <c r="L61">
        <v>0</v>
      </c>
      <c r="M61">
        <v>20</v>
      </c>
      <c r="N61">
        <v>0</v>
      </c>
      <c r="O61">
        <v>0</v>
      </c>
      <c r="P61">
        <v>0</v>
      </c>
      <c r="Q61">
        <v>53.3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45</v>
      </c>
      <c r="AK61" t="s">
        <v>1</v>
      </c>
      <c r="AL61" t="s">
        <v>372</v>
      </c>
      <c r="AO61" t="s">
        <v>375</v>
      </c>
      <c r="AQ61" s="1">
        <f t="shared" si="12"/>
        <v>100</v>
      </c>
      <c r="AR61" s="1">
        <f t="shared" si="13"/>
        <v>0.2</v>
      </c>
      <c r="AS61" s="1">
        <f t="shared" si="2"/>
        <v>0</v>
      </c>
      <c r="AT61" s="1">
        <f t="shared" si="14"/>
        <v>0.26700000000000002</v>
      </c>
      <c r="AU61" s="1">
        <f t="shared" si="15"/>
        <v>0.53299999999999992</v>
      </c>
      <c r="AV61" s="1">
        <f t="shared" si="16"/>
        <v>0.45</v>
      </c>
      <c r="AX61" s="1">
        <f t="shared" si="17"/>
        <v>1.9962546816479396</v>
      </c>
      <c r="AY61" s="1">
        <f t="shared" si="3"/>
        <v>0.74906367041198507</v>
      </c>
      <c r="AZ61" s="1">
        <f t="shared" si="4"/>
        <v>0.62476591760299627</v>
      </c>
      <c r="BA61" s="1">
        <f t="shared" si="5"/>
        <v>0.99906367041198485</v>
      </c>
      <c r="BB61" s="1">
        <f t="shared" si="6"/>
        <v>0.62476591760299627</v>
      </c>
      <c r="BC61" s="1">
        <f t="shared" si="7"/>
        <v>0.62476591760299627</v>
      </c>
      <c r="BD61" s="1">
        <f t="shared" si="18"/>
        <v>0.17476591760299626</v>
      </c>
      <c r="BF61">
        <f t="shared" si="19"/>
        <v>26.7</v>
      </c>
      <c r="BG61">
        <f t="shared" si="8"/>
        <v>20</v>
      </c>
      <c r="BH61" s="1">
        <f t="shared" si="20"/>
        <v>1.9962546816479401</v>
      </c>
      <c r="BI61" s="1">
        <f t="shared" si="9"/>
        <v>0.74906367041198507</v>
      </c>
      <c r="BJ61" s="1">
        <f t="shared" si="21"/>
        <v>0.5497752808988764</v>
      </c>
      <c r="BK61" s="1">
        <f t="shared" si="22"/>
        <v>0.54944198891805596</v>
      </c>
      <c r="BL61" s="22">
        <f t="shared" si="23"/>
        <v>0.54944198891805596</v>
      </c>
      <c r="BM61" s="1">
        <f t="shared" si="10"/>
        <v>9.8887091599787619E-3</v>
      </c>
      <c r="BN61" s="1">
        <f t="shared" si="11"/>
        <v>1.7942912413440124E-3</v>
      </c>
    </row>
    <row r="62" spans="1:66" x14ac:dyDescent="0.25">
      <c r="A62" s="3"/>
      <c r="B62" s="3"/>
      <c r="C62" t="s">
        <v>49</v>
      </c>
      <c r="D62" s="5">
        <v>1</v>
      </c>
      <c r="E62" s="9">
        <f t="shared" si="0"/>
        <v>17.5</v>
      </c>
      <c r="F62" s="9">
        <f t="shared" si="1"/>
        <v>0.66666666666666663</v>
      </c>
      <c r="G62">
        <v>0</v>
      </c>
      <c r="H62">
        <v>27.5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17.5</v>
      </c>
      <c r="P62">
        <v>0</v>
      </c>
      <c r="Q62">
        <v>55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56.7</v>
      </c>
      <c r="AK62" t="s">
        <v>1</v>
      </c>
      <c r="AL62" t="s">
        <v>372</v>
      </c>
      <c r="AQ62" s="1">
        <f t="shared" si="12"/>
        <v>100</v>
      </c>
      <c r="AR62" s="1">
        <f t="shared" si="13"/>
        <v>0.17499999999999999</v>
      </c>
      <c r="AS62" s="1">
        <f t="shared" si="2"/>
        <v>0</v>
      </c>
      <c r="AT62" s="1">
        <f t="shared" si="14"/>
        <v>0.27500000000000002</v>
      </c>
      <c r="AU62" s="1">
        <f t="shared" si="15"/>
        <v>0.55000000000000004</v>
      </c>
      <c r="AV62" s="1">
        <f t="shared" si="16"/>
        <v>0.56700000000000006</v>
      </c>
      <c r="AX62" s="1">
        <f t="shared" si="17"/>
        <v>2</v>
      </c>
      <c r="AY62" s="1">
        <f t="shared" si="3"/>
        <v>0.63636363636363624</v>
      </c>
      <c r="AZ62" s="1">
        <f t="shared" si="4"/>
        <v>0.625</v>
      </c>
      <c r="BA62" s="1">
        <f t="shared" si="5"/>
        <v>1</v>
      </c>
      <c r="BB62" s="1">
        <f t="shared" si="6"/>
        <v>0.625</v>
      </c>
      <c r="BC62" s="1">
        <f t="shared" si="7"/>
        <v>0.625</v>
      </c>
      <c r="BD62" s="1">
        <f t="shared" si="18"/>
        <v>5.799999999999994E-2</v>
      </c>
      <c r="BF62">
        <f t="shared" si="19"/>
        <v>27.5</v>
      </c>
      <c r="BG62">
        <f t="shared" si="8"/>
        <v>17.5</v>
      </c>
      <c r="BH62" s="1">
        <f t="shared" si="20"/>
        <v>2</v>
      </c>
      <c r="BI62" s="1">
        <f t="shared" si="9"/>
        <v>0.63636363636363635</v>
      </c>
      <c r="BJ62" s="1">
        <f t="shared" si="21"/>
        <v>0.55000000000000004</v>
      </c>
      <c r="BK62" s="1">
        <f t="shared" si="22"/>
        <v>0.53078003295768783</v>
      </c>
      <c r="BL62" s="22">
        <f t="shared" si="23"/>
        <v>0.53078003295768783</v>
      </c>
      <c r="BM62" s="1">
        <f t="shared" si="10"/>
        <v>1.3118860125461841E-3</v>
      </c>
      <c r="BN62" s="1">
        <f t="shared" si="11"/>
        <v>2.5395314809265601E-2</v>
      </c>
    </row>
    <row r="63" spans="1:66" x14ac:dyDescent="0.25">
      <c r="A63" s="3"/>
      <c r="B63" s="3"/>
      <c r="C63" t="s">
        <v>204</v>
      </c>
      <c r="D63" s="5">
        <v>1</v>
      </c>
      <c r="E63" s="9">
        <f t="shared" si="0"/>
        <v>20</v>
      </c>
      <c r="F63" s="9">
        <f t="shared" si="1"/>
        <v>0.66625000000000001</v>
      </c>
      <c r="G63">
        <v>0</v>
      </c>
      <c r="H63">
        <v>26.7</v>
      </c>
      <c r="I63">
        <v>0</v>
      </c>
      <c r="J63">
        <v>0</v>
      </c>
      <c r="K63">
        <v>0</v>
      </c>
      <c r="L63">
        <v>20</v>
      </c>
      <c r="M63">
        <v>0</v>
      </c>
      <c r="N63">
        <v>0</v>
      </c>
      <c r="O63">
        <v>0</v>
      </c>
      <c r="P63">
        <v>0</v>
      </c>
      <c r="Q63">
        <v>53.3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60</v>
      </c>
      <c r="AK63" t="s">
        <v>1</v>
      </c>
      <c r="AL63" t="s">
        <v>372</v>
      </c>
      <c r="AQ63" s="1">
        <f t="shared" si="12"/>
        <v>100</v>
      </c>
      <c r="AR63" s="1">
        <f t="shared" si="13"/>
        <v>0.2</v>
      </c>
      <c r="AS63" s="1">
        <f t="shared" si="2"/>
        <v>0</v>
      </c>
      <c r="AT63" s="1">
        <f t="shared" si="14"/>
        <v>0.26700000000000002</v>
      </c>
      <c r="AU63" s="1">
        <f t="shared" si="15"/>
        <v>0.53299999999999992</v>
      </c>
      <c r="AV63" s="1">
        <f t="shared" si="16"/>
        <v>0.6</v>
      </c>
      <c r="AX63" s="1">
        <f t="shared" si="17"/>
        <v>1.9962546816479396</v>
      </c>
      <c r="AY63" s="1">
        <f t="shared" si="3"/>
        <v>0.74906367041198507</v>
      </c>
      <c r="AZ63" s="1">
        <f t="shared" si="4"/>
        <v>0.62476591760299627</v>
      </c>
      <c r="BA63" s="1">
        <f t="shared" si="5"/>
        <v>0.99906367041198485</v>
      </c>
      <c r="BB63" s="1">
        <f t="shared" si="6"/>
        <v>0.62476591760299627</v>
      </c>
      <c r="BC63" s="1">
        <f t="shared" si="7"/>
        <v>0.62476591760299627</v>
      </c>
      <c r="BD63" s="1">
        <f t="shared" si="18"/>
        <v>2.476591760299629E-2</v>
      </c>
      <c r="BF63">
        <f t="shared" si="19"/>
        <v>26.7</v>
      </c>
      <c r="BG63">
        <f t="shared" si="8"/>
        <v>20</v>
      </c>
      <c r="BH63" s="1">
        <f t="shared" si="20"/>
        <v>1.9962546816479401</v>
      </c>
      <c r="BI63" s="1">
        <f t="shared" si="9"/>
        <v>0.74906367041198507</v>
      </c>
      <c r="BJ63" s="1">
        <f t="shared" si="21"/>
        <v>0.5497752808988764</v>
      </c>
      <c r="BK63" s="1">
        <f t="shared" si="22"/>
        <v>0.54944198891805596</v>
      </c>
      <c r="BL63" s="22">
        <f t="shared" si="23"/>
        <v>0.54944198891805596</v>
      </c>
      <c r="BM63" s="1">
        <f t="shared" si="10"/>
        <v>2.5561124845619745E-3</v>
      </c>
      <c r="BN63" s="1">
        <f t="shared" si="11"/>
        <v>3.7002013764320378E-2</v>
      </c>
    </row>
    <row r="64" spans="1:66" x14ac:dyDescent="0.25">
      <c r="A64" s="3"/>
      <c r="B64" s="3"/>
      <c r="C64" t="s">
        <v>50</v>
      </c>
      <c r="D64" s="5">
        <v>1</v>
      </c>
      <c r="E64" s="9">
        <f t="shared" si="0"/>
        <v>18.799999999999997</v>
      </c>
      <c r="F64" s="9">
        <f t="shared" si="1"/>
        <v>0.66625615763546797</v>
      </c>
      <c r="G64">
        <v>0</v>
      </c>
      <c r="H64">
        <v>27.1</v>
      </c>
      <c r="I64">
        <v>0</v>
      </c>
      <c r="J64">
        <v>0</v>
      </c>
      <c r="K64">
        <v>0</v>
      </c>
      <c r="L64">
        <v>0</v>
      </c>
      <c r="M64">
        <v>10.199999999999999</v>
      </c>
      <c r="N64">
        <v>0</v>
      </c>
      <c r="O64">
        <v>8.6</v>
      </c>
      <c r="P64">
        <v>0</v>
      </c>
      <c r="Q64">
        <v>54.1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55.2</v>
      </c>
      <c r="AK64" t="s">
        <v>1</v>
      </c>
      <c r="AL64" t="s">
        <v>372</v>
      </c>
      <c r="AQ64" s="1">
        <f t="shared" si="12"/>
        <v>100</v>
      </c>
      <c r="AR64" s="1">
        <f t="shared" si="13"/>
        <v>0.18799999999999997</v>
      </c>
      <c r="AS64" s="1">
        <f t="shared" si="2"/>
        <v>0</v>
      </c>
      <c r="AT64" s="1">
        <f t="shared" si="14"/>
        <v>0.27100000000000002</v>
      </c>
      <c r="AU64" s="1">
        <f t="shared" si="15"/>
        <v>0.54100000000000004</v>
      </c>
      <c r="AV64" s="1">
        <f t="shared" si="16"/>
        <v>0.55200000000000005</v>
      </c>
      <c r="AX64" s="1">
        <f t="shared" si="17"/>
        <v>1.996309963099631</v>
      </c>
      <c r="AY64" s="1">
        <f t="shared" si="3"/>
        <v>0.69372693726937251</v>
      </c>
      <c r="AZ64" s="1">
        <f t="shared" si="4"/>
        <v>0.6247693726937269</v>
      </c>
      <c r="BA64" s="1">
        <f t="shared" si="5"/>
        <v>0.99907749077490782</v>
      </c>
      <c r="BB64" s="1">
        <f t="shared" si="6"/>
        <v>0.6247693726937269</v>
      </c>
      <c r="BC64" s="1">
        <f t="shared" si="7"/>
        <v>0.6247693726937269</v>
      </c>
      <c r="BD64" s="1">
        <f t="shared" si="18"/>
        <v>7.2769372693726853E-2</v>
      </c>
      <c r="BF64">
        <f t="shared" si="19"/>
        <v>27.1</v>
      </c>
      <c r="BG64">
        <f t="shared" si="8"/>
        <v>18.799999999999997</v>
      </c>
      <c r="BH64" s="1">
        <f t="shared" si="20"/>
        <v>1.996309963099631</v>
      </c>
      <c r="BI64" s="1">
        <f t="shared" si="9"/>
        <v>0.69372693726937251</v>
      </c>
      <c r="BJ64" s="1">
        <f t="shared" si="21"/>
        <v>0.54977859778597782</v>
      </c>
      <c r="BK64" s="1">
        <f t="shared" si="22"/>
        <v>0.54115980438131783</v>
      </c>
      <c r="BL64" s="22">
        <f t="shared" si="23"/>
        <v>0.54115980438131783</v>
      </c>
      <c r="BM64" s="1">
        <f t="shared" si="10"/>
        <v>1.1750984105129706E-4</v>
      </c>
      <c r="BN64" s="1">
        <f t="shared" si="11"/>
        <v>2.083954255696796E-2</v>
      </c>
    </row>
    <row r="65" spans="1:66" x14ac:dyDescent="0.25">
      <c r="A65" s="3"/>
      <c r="B65" s="3"/>
      <c r="C65" t="s">
        <v>51</v>
      </c>
      <c r="D65" s="5">
        <v>1</v>
      </c>
      <c r="E65" s="9">
        <f t="shared" si="0"/>
        <v>20</v>
      </c>
      <c r="F65" s="9">
        <f t="shared" si="1"/>
        <v>0.66625000000000001</v>
      </c>
      <c r="G65">
        <v>0</v>
      </c>
      <c r="H65">
        <v>26.7</v>
      </c>
      <c r="I65">
        <v>0</v>
      </c>
      <c r="J65">
        <v>0</v>
      </c>
      <c r="K65">
        <v>0</v>
      </c>
      <c r="L65">
        <v>10</v>
      </c>
      <c r="M65">
        <v>10</v>
      </c>
      <c r="N65">
        <v>0</v>
      </c>
      <c r="O65">
        <v>0</v>
      </c>
      <c r="P65">
        <v>0</v>
      </c>
      <c r="Q65">
        <v>53.3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52.3</v>
      </c>
      <c r="AK65" t="s">
        <v>1</v>
      </c>
      <c r="AL65" t="s">
        <v>372</v>
      </c>
      <c r="AQ65" s="1">
        <f t="shared" si="12"/>
        <v>100</v>
      </c>
      <c r="AR65" s="1">
        <f t="shared" si="13"/>
        <v>0.2</v>
      </c>
      <c r="AS65" s="1">
        <f t="shared" si="2"/>
        <v>0</v>
      </c>
      <c r="AT65" s="1">
        <f t="shared" si="14"/>
        <v>0.26700000000000002</v>
      </c>
      <c r="AU65" s="1">
        <f t="shared" si="15"/>
        <v>0.53299999999999992</v>
      </c>
      <c r="AV65" s="1">
        <f t="shared" si="16"/>
        <v>0.52300000000000002</v>
      </c>
      <c r="AX65" s="1">
        <f t="shared" si="17"/>
        <v>1.9962546816479396</v>
      </c>
      <c r="AY65" s="1">
        <f t="shared" si="3"/>
        <v>0.74906367041198507</v>
      </c>
      <c r="AZ65" s="1">
        <f t="shared" si="4"/>
        <v>0.62476591760299627</v>
      </c>
      <c r="BA65" s="1">
        <f t="shared" si="5"/>
        <v>0.99906367041198485</v>
      </c>
      <c r="BB65" s="1">
        <f t="shared" si="6"/>
        <v>0.62476591760299627</v>
      </c>
      <c r="BC65" s="1">
        <f t="shared" si="7"/>
        <v>0.62476591760299627</v>
      </c>
      <c r="BD65" s="1">
        <f t="shared" si="18"/>
        <v>0.10176591760299625</v>
      </c>
      <c r="BF65">
        <f t="shared" si="19"/>
        <v>26.7</v>
      </c>
      <c r="BG65">
        <f t="shared" si="8"/>
        <v>20</v>
      </c>
      <c r="BH65" s="1">
        <f t="shared" si="20"/>
        <v>1.9962546816479401</v>
      </c>
      <c r="BI65" s="1">
        <f t="shared" si="9"/>
        <v>0.74906367041198507</v>
      </c>
      <c r="BJ65" s="1">
        <f t="shared" si="21"/>
        <v>0.5497752808988764</v>
      </c>
      <c r="BK65" s="1">
        <f t="shared" si="22"/>
        <v>0.54944198891805596</v>
      </c>
      <c r="BL65" s="22">
        <f t="shared" si="23"/>
        <v>0.54944198891805596</v>
      </c>
      <c r="BM65" s="1">
        <f t="shared" si="10"/>
        <v>6.99178777942593E-4</v>
      </c>
      <c r="BN65" s="1">
        <f t="shared" si="11"/>
        <v>1.3307716202525853E-2</v>
      </c>
    </row>
    <row r="66" spans="1:66" x14ac:dyDescent="0.25">
      <c r="A66" s="3"/>
      <c r="B66" s="3"/>
      <c r="C66" t="s">
        <v>52</v>
      </c>
      <c r="D66" s="5">
        <v>1</v>
      </c>
      <c r="E66" s="9">
        <f t="shared" ref="E66:E129" si="25">I66+L66+M66+N66+O66+V66+X66+AB66+AD66</f>
        <v>18.799999999999997</v>
      </c>
      <c r="F66" s="9">
        <f t="shared" ref="F66:F129" si="26">Q66/(H66+P66+Q66+AC66)</f>
        <v>0.66625615763546797</v>
      </c>
      <c r="G66">
        <v>0</v>
      </c>
      <c r="H66">
        <v>27.1</v>
      </c>
      <c r="I66">
        <v>0</v>
      </c>
      <c r="J66">
        <v>0</v>
      </c>
      <c r="K66">
        <v>0</v>
      </c>
      <c r="L66">
        <v>10.199999999999999</v>
      </c>
      <c r="M66">
        <v>0</v>
      </c>
      <c r="N66">
        <v>0</v>
      </c>
      <c r="O66">
        <v>8.6</v>
      </c>
      <c r="P66">
        <v>0</v>
      </c>
      <c r="Q66">
        <v>54.1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55.7</v>
      </c>
      <c r="AK66" t="s">
        <v>1</v>
      </c>
      <c r="AL66" t="s">
        <v>372</v>
      </c>
      <c r="AQ66" s="1">
        <f t="shared" si="12"/>
        <v>100</v>
      </c>
      <c r="AR66" s="1">
        <f t="shared" ref="AR66:AR129" si="27">(L66+M66+O66+X66)/100</f>
        <v>0.18799999999999997</v>
      </c>
      <c r="AS66" s="1">
        <f t="shared" ref="AS66:AS129" si="28">G66/100</f>
        <v>0</v>
      </c>
      <c r="AT66" s="1">
        <f t="shared" ref="AT66:AT129" si="29">H66/100</f>
        <v>0.27100000000000002</v>
      </c>
      <c r="AU66" s="1">
        <f t="shared" ref="AU66:AU129" si="30">Q66/100</f>
        <v>0.54100000000000004</v>
      </c>
      <c r="AV66" s="1">
        <f t="shared" si="16"/>
        <v>0.55700000000000005</v>
      </c>
      <c r="AX66" s="1">
        <f t="shared" si="17"/>
        <v>1.996309963099631</v>
      </c>
      <c r="AY66" s="1">
        <f t="shared" ref="AY66:AY129" si="31">AR66/(AS66+AT66)</f>
        <v>0.69372693726937251</v>
      </c>
      <c r="AZ66" s="1">
        <f t="shared" ref="AZ66:AZ129" si="32">0.5+AX66/16</f>
        <v>0.6247693726937269</v>
      </c>
      <c r="BA66" s="1">
        <f t="shared" ref="BA66:BA129" si="33">0.5+AX66/4</f>
        <v>0.99907749077490782</v>
      </c>
      <c r="BB66" s="1">
        <f t="shared" ref="BB66:BB129" si="34">IF(AY66&lt;=AZ66,AY66,IF(AY66&lt;=BA66,AZ66,AZ66-(AY66-BA66)*(8+AX66)/(12*(2+AX66))))</f>
        <v>0.6247693726937269</v>
      </c>
      <c r="BC66" s="1">
        <f t="shared" ref="BC66:BC129" si="35">IF(BB66&lt;1,BB66,1)</f>
        <v>0.6247693726937269</v>
      </c>
      <c r="BD66" s="1">
        <f t="shared" si="18"/>
        <v>6.7769372693726848E-2</v>
      </c>
      <c r="BF66">
        <f t="shared" ref="BF66:BF129" si="36">$BQ$3*H66+$BQ$4*G66+$BQ$5*P66+$BQ$6*K66+$BQ$7*S66+$BQ$8*U66+$BQ$9*Y66+$BQ$10*J66+$BQ$11*AC66+$BQ$12*AG66+$BQ$13*AH66+$BQ$14*R66+$BQ$15*AE66</f>
        <v>27.1</v>
      </c>
      <c r="BG66">
        <f t="shared" ref="BG66:BG129" si="37">O66+$BQ$17*M66+$BQ$18*L66+$BQ$19*X66+$BQ$20*AD66+$BQ$21*I66+$BQ$22*N66+$BQ$23*AB66+$BQ$24*V66+$BQ$25*T66+$BQ$26*AA66+$BQ$28*Z66+$BQ$29*AF66+$BQ$30*W66+$BQ$27*AI66</f>
        <v>18.799999999999997</v>
      </c>
      <c r="BH66" s="1">
        <f t="shared" ref="BH66:BH129" si="38">(Q66)/BF66</f>
        <v>1.996309963099631</v>
      </c>
      <c r="BI66" s="1">
        <f t="shared" ref="BI66:BI129" si="39">BG66/BF66</f>
        <v>0.69372693726937251</v>
      </c>
      <c r="BJ66" s="1">
        <f t="shared" si="21"/>
        <v>0.54977859778597782</v>
      </c>
      <c r="BK66" s="1">
        <f t="shared" si="22"/>
        <v>0.54115980438131783</v>
      </c>
      <c r="BL66" s="22">
        <f t="shared" si="23"/>
        <v>0.54115980438131783</v>
      </c>
      <c r="BM66" s="1">
        <f t="shared" ref="BM66:BM129" si="40">(BL66-AV66)^2</f>
        <v>2.5091179723811931E-4</v>
      </c>
      <c r="BN66" s="1">
        <f t="shared" ref="BN66:BN129" si="41">(AV66-AVERAGE($AV$2:$AV$638))^2</f>
        <v>2.2308133307733839E-2</v>
      </c>
    </row>
    <row r="67" spans="1:66" x14ac:dyDescent="0.25">
      <c r="A67" s="3"/>
      <c r="B67" s="3"/>
      <c r="C67" t="s">
        <v>53</v>
      </c>
      <c r="D67" s="5">
        <v>1</v>
      </c>
      <c r="E67" s="9">
        <f t="shared" si="25"/>
        <v>19.399999999999999</v>
      </c>
      <c r="F67" s="9">
        <f t="shared" si="26"/>
        <v>0.77548209366391185</v>
      </c>
      <c r="G67">
        <v>8</v>
      </c>
      <c r="H67">
        <v>16.3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19.399999999999999</v>
      </c>
      <c r="P67">
        <v>0</v>
      </c>
      <c r="Q67">
        <v>56.3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75.5</v>
      </c>
      <c r="AK67" t="s">
        <v>1</v>
      </c>
      <c r="AL67" t="s">
        <v>374</v>
      </c>
      <c r="AM67" t="s">
        <v>395</v>
      </c>
      <c r="AN67" t="s">
        <v>373</v>
      </c>
      <c r="AO67" t="s">
        <v>375</v>
      </c>
      <c r="AQ67" s="1">
        <f t="shared" ref="AQ67:AQ130" si="42">SUM(G67:AI67)</f>
        <v>100</v>
      </c>
      <c r="AR67" s="1">
        <f t="shared" si="27"/>
        <v>0.19399999999999998</v>
      </c>
      <c r="AS67" s="1">
        <f t="shared" si="28"/>
        <v>0.08</v>
      </c>
      <c r="AT67" s="1">
        <f t="shared" si="29"/>
        <v>0.16300000000000001</v>
      </c>
      <c r="AU67" s="1">
        <f t="shared" si="30"/>
        <v>0.56299999999999994</v>
      </c>
      <c r="AV67" s="1">
        <f t="shared" ref="AV67:AV130" si="43">AJ67/100</f>
        <v>0.755</v>
      </c>
      <c r="AX67" s="1">
        <f t="shared" ref="AX67:AX130" si="44">AU67/(AT67+AS67)</f>
        <v>2.3168724279835389</v>
      </c>
      <c r="AY67" s="1">
        <f t="shared" si="31"/>
        <v>0.79835390946502049</v>
      </c>
      <c r="AZ67" s="1">
        <f t="shared" si="32"/>
        <v>0.64480452674897115</v>
      </c>
      <c r="BA67" s="1">
        <f t="shared" si="33"/>
        <v>1.0792181069958846</v>
      </c>
      <c r="BB67" s="1">
        <f t="shared" si="34"/>
        <v>0.64480452674897115</v>
      </c>
      <c r="BC67" s="1">
        <f t="shared" si="35"/>
        <v>0.64480452674897115</v>
      </c>
      <c r="BD67" s="1">
        <f t="shared" ref="BD67:BD130" si="45">ABS(BC67-AV67)</f>
        <v>0.11019547325102885</v>
      </c>
      <c r="BF67">
        <f t="shared" si="36"/>
        <v>48.3</v>
      </c>
      <c r="BG67">
        <f t="shared" si="37"/>
        <v>19.399999999999999</v>
      </c>
      <c r="BH67" s="1">
        <f t="shared" si="38"/>
        <v>1.165631469979296</v>
      </c>
      <c r="BI67" s="1">
        <f t="shared" si="39"/>
        <v>0.40165631469979296</v>
      </c>
      <c r="BJ67" s="1">
        <f t="shared" ref="BJ67:BJ130" si="46">$BQ$32+BH67*$BQ$33</f>
        <v>0.49993788819875773</v>
      </c>
      <c r="BK67" s="1">
        <f t="shared" ref="BK67:BK130" si="47">IF(BI67&lt;BJ67,BI67,$BQ$35*($BQ$36+BI67)*($BQ$37-BI67/($BQ$38+BH67)*$BQ$39)^5)</f>
        <v>0.40165631469979296</v>
      </c>
      <c r="BL67" s="22">
        <f t="shared" ref="BL67:BL130" si="48">IF(BK67&lt;1,IF(BK67&gt;0,BK67,0),1)</f>
        <v>0.40165631469979296</v>
      </c>
      <c r="BM67" s="1">
        <f t="shared" si="40"/>
        <v>0.12485175994153175</v>
      </c>
      <c r="BN67" s="1">
        <f t="shared" si="41"/>
        <v>0.12065832703806265</v>
      </c>
    </row>
    <row r="68" spans="1:66" x14ac:dyDescent="0.25">
      <c r="A68" s="3"/>
      <c r="B68" s="3"/>
      <c r="C68" t="s">
        <v>54</v>
      </c>
      <c r="D68" s="5">
        <v>1</v>
      </c>
      <c r="E68" s="9">
        <f t="shared" si="25"/>
        <v>16.5</v>
      </c>
      <c r="F68" s="9">
        <f t="shared" si="26"/>
        <v>0.7754442649434572</v>
      </c>
      <c r="G68">
        <v>6.8</v>
      </c>
      <c r="H68">
        <v>13.9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16.5</v>
      </c>
      <c r="P68">
        <v>0</v>
      </c>
      <c r="Q68">
        <v>48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14.8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72.400000000000006</v>
      </c>
      <c r="AK68" t="s">
        <v>1</v>
      </c>
      <c r="AL68" t="s">
        <v>374</v>
      </c>
      <c r="AQ68" s="1">
        <f t="shared" si="42"/>
        <v>100</v>
      </c>
      <c r="AR68" s="1">
        <f t="shared" si="27"/>
        <v>0.16500000000000001</v>
      </c>
      <c r="AS68" s="1">
        <f t="shared" si="28"/>
        <v>6.8000000000000005E-2</v>
      </c>
      <c r="AT68" s="1">
        <f t="shared" si="29"/>
        <v>0.13900000000000001</v>
      </c>
      <c r="AU68" s="1">
        <f t="shared" si="30"/>
        <v>0.48</v>
      </c>
      <c r="AV68" s="1">
        <f t="shared" si="43"/>
        <v>0.72400000000000009</v>
      </c>
      <c r="AX68" s="1">
        <f t="shared" si="44"/>
        <v>2.3188405797101446</v>
      </c>
      <c r="AY68" s="1">
        <f t="shared" si="31"/>
        <v>0.79710144927536231</v>
      </c>
      <c r="AZ68" s="1">
        <f t="shared" si="32"/>
        <v>0.64492753623188404</v>
      </c>
      <c r="BA68" s="1">
        <f t="shared" si="33"/>
        <v>1.0797101449275361</v>
      </c>
      <c r="BB68" s="1">
        <f t="shared" si="34"/>
        <v>0.64492753623188404</v>
      </c>
      <c r="BC68" s="1">
        <f t="shared" si="35"/>
        <v>0.64492753623188404</v>
      </c>
      <c r="BD68" s="1">
        <f t="shared" si="45"/>
        <v>7.9072463768116052E-2</v>
      </c>
      <c r="BF68">
        <f t="shared" si="36"/>
        <v>41.1</v>
      </c>
      <c r="BG68">
        <f t="shared" si="37"/>
        <v>16.5</v>
      </c>
      <c r="BH68" s="1">
        <f t="shared" si="38"/>
        <v>1.167883211678832</v>
      </c>
      <c r="BI68" s="1">
        <f t="shared" si="39"/>
        <v>0.40145985401459855</v>
      </c>
      <c r="BJ68" s="1">
        <f t="shared" si="46"/>
        <v>0.50007299270072991</v>
      </c>
      <c r="BK68" s="1">
        <f t="shared" si="47"/>
        <v>0.40145985401459855</v>
      </c>
      <c r="BL68" s="22">
        <f t="shared" si="48"/>
        <v>0.40145985401459855</v>
      </c>
      <c r="BM68" s="1">
        <f t="shared" si="40"/>
        <v>0.10403214577228413</v>
      </c>
      <c r="BN68" s="1">
        <f t="shared" si="41"/>
        <v>0.10008306438331424</v>
      </c>
    </row>
    <row r="69" spans="1:66" x14ac:dyDescent="0.25">
      <c r="A69" s="3"/>
      <c r="B69" s="3"/>
      <c r="C69" t="s">
        <v>55</v>
      </c>
      <c r="D69" s="5">
        <v>1</v>
      </c>
      <c r="E69" s="9">
        <f t="shared" si="25"/>
        <v>14.2</v>
      </c>
      <c r="F69" s="9">
        <f t="shared" si="26"/>
        <v>0.77443609022556392</v>
      </c>
      <c r="G69">
        <v>5.8</v>
      </c>
      <c r="H69">
        <v>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14.2</v>
      </c>
      <c r="P69">
        <v>0</v>
      </c>
      <c r="Q69">
        <v>41.2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26.8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69.7</v>
      </c>
      <c r="AK69" t="s">
        <v>1</v>
      </c>
      <c r="AL69" t="s">
        <v>374</v>
      </c>
      <c r="AQ69" s="1">
        <f t="shared" si="42"/>
        <v>100</v>
      </c>
      <c r="AR69" s="1">
        <f t="shared" si="27"/>
        <v>0.14199999999999999</v>
      </c>
      <c r="AS69" s="1">
        <f t="shared" si="28"/>
        <v>5.7999999999999996E-2</v>
      </c>
      <c r="AT69" s="1">
        <f t="shared" si="29"/>
        <v>0.12</v>
      </c>
      <c r="AU69" s="1">
        <f t="shared" si="30"/>
        <v>0.41200000000000003</v>
      </c>
      <c r="AV69" s="1">
        <f t="shared" si="43"/>
        <v>0.69700000000000006</v>
      </c>
      <c r="AX69" s="1">
        <f t="shared" si="44"/>
        <v>2.314606741573034</v>
      </c>
      <c r="AY69" s="1">
        <f t="shared" si="31"/>
        <v>0.797752808988764</v>
      </c>
      <c r="AZ69" s="1">
        <f t="shared" si="32"/>
        <v>0.6446629213483146</v>
      </c>
      <c r="BA69" s="1">
        <f t="shared" si="33"/>
        <v>1.0786516853932584</v>
      </c>
      <c r="BB69" s="1">
        <f t="shared" si="34"/>
        <v>0.6446629213483146</v>
      </c>
      <c r="BC69" s="1">
        <f t="shared" si="35"/>
        <v>0.6446629213483146</v>
      </c>
      <c r="BD69" s="1">
        <f t="shared" si="45"/>
        <v>5.2337078651685465E-2</v>
      </c>
      <c r="BF69">
        <f t="shared" si="36"/>
        <v>35.200000000000003</v>
      </c>
      <c r="BG69">
        <f t="shared" si="37"/>
        <v>14.2</v>
      </c>
      <c r="BH69" s="1">
        <f t="shared" si="38"/>
        <v>1.1704545454545454</v>
      </c>
      <c r="BI69" s="1">
        <f t="shared" si="39"/>
        <v>0.40340909090909088</v>
      </c>
      <c r="BJ69" s="1">
        <f t="shared" si="46"/>
        <v>0.50022727272727274</v>
      </c>
      <c r="BK69" s="1">
        <f t="shared" si="47"/>
        <v>0.40340909090909088</v>
      </c>
      <c r="BL69" s="22">
        <f t="shared" si="48"/>
        <v>0.40340909090909088</v>
      </c>
      <c r="BM69" s="1">
        <f t="shared" si="40"/>
        <v>8.6195621900826497E-2</v>
      </c>
      <c r="BN69" s="1">
        <f t="shared" si="41"/>
        <v>8.3728674329178479E-2</v>
      </c>
    </row>
    <row r="70" spans="1:66" x14ac:dyDescent="0.25">
      <c r="A70" s="3"/>
      <c r="B70" s="3"/>
      <c r="C70" t="s">
        <v>56</v>
      </c>
      <c r="D70" s="5">
        <v>1</v>
      </c>
      <c r="E70" s="9">
        <f t="shared" si="25"/>
        <v>12.3</v>
      </c>
      <c r="F70" s="9">
        <f t="shared" si="26"/>
        <v>0.7760869565217392</v>
      </c>
      <c r="G70">
        <v>5</v>
      </c>
      <c r="H70">
        <v>10.3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12.3</v>
      </c>
      <c r="P70">
        <v>0</v>
      </c>
      <c r="Q70">
        <v>35.700000000000003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36.700000000000003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65.400000000000006</v>
      </c>
      <c r="AK70" t="s">
        <v>1</v>
      </c>
      <c r="AL70" t="s">
        <v>374</v>
      </c>
      <c r="AQ70" s="1">
        <f t="shared" si="42"/>
        <v>100</v>
      </c>
      <c r="AR70" s="1">
        <f t="shared" si="27"/>
        <v>0.12300000000000001</v>
      </c>
      <c r="AS70" s="1">
        <f t="shared" si="28"/>
        <v>0.05</v>
      </c>
      <c r="AT70" s="1">
        <f t="shared" si="29"/>
        <v>0.10300000000000001</v>
      </c>
      <c r="AU70" s="1">
        <f t="shared" si="30"/>
        <v>0.35700000000000004</v>
      </c>
      <c r="AV70" s="1">
        <f t="shared" si="43"/>
        <v>0.65400000000000003</v>
      </c>
      <c r="AX70" s="1">
        <f t="shared" si="44"/>
        <v>2.333333333333333</v>
      </c>
      <c r="AY70" s="1">
        <f t="shared" si="31"/>
        <v>0.8039215686274509</v>
      </c>
      <c r="AZ70" s="1">
        <f t="shared" si="32"/>
        <v>0.64583333333333326</v>
      </c>
      <c r="BA70" s="1">
        <f t="shared" si="33"/>
        <v>1.0833333333333333</v>
      </c>
      <c r="BB70" s="1">
        <f t="shared" si="34"/>
        <v>0.64583333333333326</v>
      </c>
      <c r="BC70" s="1">
        <f t="shared" si="35"/>
        <v>0.64583333333333326</v>
      </c>
      <c r="BD70" s="1">
        <f t="shared" si="45"/>
        <v>8.1666666666667664E-3</v>
      </c>
      <c r="BF70">
        <f t="shared" si="36"/>
        <v>30.3</v>
      </c>
      <c r="BG70">
        <f t="shared" si="37"/>
        <v>12.3</v>
      </c>
      <c r="BH70" s="1">
        <f t="shared" si="38"/>
        <v>1.1782178217821784</v>
      </c>
      <c r="BI70" s="1">
        <f t="shared" si="39"/>
        <v>0.40594059405940597</v>
      </c>
      <c r="BJ70" s="1">
        <f t="shared" si="46"/>
        <v>0.50069306930693069</v>
      </c>
      <c r="BK70" s="1">
        <f t="shared" si="47"/>
        <v>0.40594059405940597</v>
      </c>
      <c r="BL70" s="22">
        <f t="shared" si="48"/>
        <v>0.40594059405940597</v>
      </c>
      <c r="BM70" s="1">
        <f t="shared" si="40"/>
        <v>6.1533468875600433E-2</v>
      </c>
      <c r="BN70" s="1">
        <f t="shared" si="41"/>
        <v>6.0692793872591896E-2</v>
      </c>
    </row>
    <row r="71" spans="1:66" x14ac:dyDescent="0.25">
      <c r="A71" s="3"/>
      <c r="B71" s="3"/>
      <c r="C71" t="s">
        <v>57</v>
      </c>
      <c r="D71" s="5">
        <v>1</v>
      </c>
      <c r="E71" s="9">
        <f t="shared" si="25"/>
        <v>10.6</v>
      </c>
      <c r="F71" s="9">
        <f t="shared" si="26"/>
        <v>0.77443609022556392</v>
      </c>
      <c r="G71">
        <v>4.4000000000000004</v>
      </c>
      <c r="H71">
        <v>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10.6</v>
      </c>
      <c r="P71">
        <v>0</v>
      </c>
      <c r="Q71">
        <v>30.9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45.1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60.2</v>
      </c>
      <c r="AK71" t="s">
        <v>1</v>
      </c>
      <c r="AL71" t="s">
        <v>374</v>
      </c>
      <c r="AQ71" s="1">
        <f t="shared" si="42"/>
        <v>100</v>
      </c>
      <c r="AR71" s="1">
        <f t="shared" si="27"/>
        <v>0.106</v>
      </c>
      <c r="AS71" s="1">
        <f t="shared" si="28"/>
        <v>4.4000000000000004E-2</v>
      </c>
      <c r="AT71" s="1">
        <f t="shared" si="29"/>
        <v>0.09</v>
      </c>
      <c r="AU71" s="1">
        <f t="shared" si="30"/>
        <v>0.309</v>
      </c>
      <c r="AV71" s="1">
        <f t="shared" si="43"/>
        <v>0.60199999999999998</v>
      </c>
      <c r="AX71" s="1">
        <f t="shared" si="44"/>
        <v>2.305970149253731</v>
      </c>
      <c r="AY71" s="1">
        <f t="shared" si="31"/>
        <v>0.79104477611940294</v>
      </c>
      <c r="AZ71" s="1">
        <f t="shared" si="32"/>
        <v>0.64412313432835822</v>
      </c>
      <c r="BA71" s="1">
        <f t="shared" si="33"/>
        <v>1.0764925373134329</v>
      </c>
      <c r="BB71" s="1">
        <f t="shared" si="34"/>
        <v>0.64412313432835822</v>
      </c>
      <c r="BC71" s="1">
        <f t="shared" si="35"/>
        <v>0.64412313432835822</v>
      </c>
      <c r="BD71" s="1">
        <f t="shared" si="45"/>
        <v>4.2123134328358236E-2</v>
      </c>
      <c r="BF71">
        <f t="shared" si="36"/>
        <v>26.6</v>
      </c>
      <c r="BG71">
        <f t="shared" si="37"/>
        <v>10.6</v>
      </c>
      <c r="BH71" s="1">
        <f t="shared" si="38"/>
        <v>1.1616541353383458</v>
      </c>
      <c r="BI71" s="1">
        <f t="shared" si="39"/>
        <v>0.39849624060150374</v>
      </c>
      <c r="BJ71" s="1">
        <f t="shared" si="46"/>
        <v>0.49969924812030075</v>
      </c>
      <c r="BK71" s="1">
        <f t="shared" si="47"/>
        <v>0.39849624060150374</v>
      </c>
      <c r="BL71" s="22">
        <f t="shared" si="48"/>
        <v>0.39849624060150374</v>
      </c>
      <c r="BM71" s="1">
        <f t="shared" si="40"/>
        <v>4.1413780089321048E-2</v>
      </c>
      <c r="BN71" s="1">
        <f t="shared" si="41"/>
        <v>3.777545006462673E-2</v>
      </c>
    </row>
    <row r="72" spans="1:66" x14ac:dyDescent="0.25">
      <c r="A72" s="3"/>
      <c r="B72" s="3"/>
      <c r="C72" t="s">
        <v>58</v>
      </c>
      <c r="D72" s="5">
        <v>1</v>
      </c>
      <c r="E72" s="9">
        <f t="shared" si="25"/>
        <v>20.25</v>
      </c>
      <c r="F72" s="9">
        <f t="shared" si="26"/>
        <v>0</v>
      </c>
      <c r="G72">
        <v>0</v>
      </c>
      <c r="H72">
        <v>79.75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20.25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29.5</v>
      </c>
      <c r="AK72" t="s">
        <v>1</v>
      </c>
      <c r="AL72" t="s">
        <v>374</v>
      </c>
      <c r="AM72" t="s">
        <v>377</v>
      </c>
      <c r="AN72" t="s">
        <v>373</v>
      </c>
      <c r="AO72" t="s">
        <v>375</v>
      </c>
      <c r="AQ72" s="1">
        <f t="shared" si="42"/>
        <v>100</v>
      </c>
      <c r="AR72" s="1">
        <f t="shared" si="27"/>
        <v>0.20250000000000001</v>
      </c>
      <c r="AS72" s="1">
        <f t="shared" si="28"/>
        <v>0</v>
      </c>
      <c r="AT72" s="1">
        <f t="shared" si="29"/>
        <v>0.79749999999999999</v>
      </c>
      <c r="AU72" s="1">
        <f t="shared" si="30"/>
        <v>0</v>
      </c>
      <c r="AV72" s="1">
        <f t="shared" si="43"/>
        <v>0.29499999999999998</v>
      </c>
      <c r="AX72" s="1">
        <f t="shared" si="44"/>
        <v>0</v>
      </c>
      <c r="AY72" s="1">
        <f t="shared" si="31"/>
        <v>0.25391849529780569</v>
      </c>
      <c r="AZ72" s="1">
        <f t="shared" si="32"/>
        <v>0.5</v>
      </c>
      <c r="BA72" s="1">
        <f t="shared" si="33"/>
        <v>0.5</v>
      </c>
      <c r="BB72" s="1">
        <f t="shared" si="34"/>
        <v>0.25391849529780569</v>
      </c>
      <c r="BC72" s="1">
        <f t="shared" si="35"/>
        <v>0.25391849529780569</v>
      </c>
      <c r="BD72" s="1">
        <f t="shared" si="45"/>
        <v>4.1081504702194294E-2</v>
      </c>
      <c r="BF72">
        <f t="shared" si="36"/>
        <v>79.75</v>
      </c>
      <c r="BG72">
        <f t="shared" si="37"/>
        <v>20.25</v>
      </c>
      <c r="BH72" s="1">
        <f t="shared" si="38"/>
        <v>0</v>
      </c>
      <c r="BI72" s="1">
        <f t="shared" si="39"/>
        <v>0.25391849529780564</v>
      </c>
      <c r="BJ72" s="1">
        <f t="shared" si="46"/>
        <v>0.43</v>
      </c>
      <c r="BK72" s="1">
        <f t="shared" si="47"/>
        <v>0.25391849529780564</v>
      </c>
      <c r="BL72" s="22">
        <f t="shared" si="48"/>
        <v>0.25391849529780564</v>
      </c>
      <c r="BM72" s="1">
        <f t="shared" si="40"/>
        <v>1.6876900285964164E-3</v>
      </c>
      <c r="BN72" s="1">
        <f t="shared" si="41"/>
        <v>1.268797796760176E-2</v>
      </c>
    </row>
    <row r="73" spans="1:66" x14ac:dyDescent="0.25">
      <c r="A73" s="3"/>
      <c r="B73" s="3"/>
      <c r="C73" t="s">
        <v>59</v>
      </c>
      <c r="D73" s="5">
        <v>1</v>
      </c>
      <c r="E73" s="9">
        <f t="shared" si="25"/>
        <v>20.43</v>
      </c>
      <c r="F73" s="9">
        <f t="shared" si="26"/>
        <v>0</v>
      </c>
      <c r="G73">
        <v>5.38</v>
      </c>
      <c r="H73">
        <v>74.180000000000007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20.43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24.2</v>
      </c>
      <c r="AK73" t="s">
        <v>1</v>
      </c>
      <c r="AL73" t="s">
        <v>374</v>
      </c>
      <c r="AQ73" s="1">
        <f t="shared" si="42"/>
        <v>99.990000000000009</v>
      </c>
      <c r="AR73" s="1">
        <f t="shared" si="27"/>
        <v>0.20430000000000001</v>
      </c>
      <c r="AS73" s="1">
        <f t="shared" si="28"/>
        <v>5.3800000000000001E-2</v>
      </c>
      <c r="AT73" s="1">
        <f t="shared" si="29"/>
        <v>0.74180000000000001</v>
      </c>
      <c r="AU73" s="1">
        <f t="shared" si="30"/>
        <v>0</v>
      </c>
      <c r="AV73" s="1">
        <f t="shared" si="43"/>
        <v>0.24199999999999999</v>
      </c>
      <c r="AX73" s="1">
        <f t="shared" si="44"/>
        <v>0</v>
      </c>
      <c r="AY73" s="1">
        <f t="shared" si="31"/>
        <v>0.25678733031674211</v>
      </c>
      <c r="AZ73" s="1">
        <f t="shared" si="32"/>
        <v>0.5</v>
      </c>
      <c r="BA73" s="1">
        <f t="shared" si="33"/>
        <v>0.5</v>
      </c>
      <c r="BB73" s="1">
        <f t="shared" si="34"/>
        <v>0.25678733031674211</v>
      </c>
      <c r="BC73" s="1">
        <f t="shared" si="35"/>
        <v>0.25678733031674211</v>
      </c>
      <c r="BD73" s="1">
        <f t="shared" si="45"/>
        <v>1.478733031674212E-2</v>
      </c>
      <c r="BF73">
        <f t="shared" si="36"/>
        <v>95.7</v>
      </c>
      <c r="BG73">
        <f t="shared" si="37"/>
        <v>20.43</v>
      </c>
      <c r="BH73" s="1">
        <f t="shared" si="38"/>
        <v>0</v>
      </c>
      <c r="BI73" s="1">
        <f t="shared" si="39"/>
        <v>0.2134796238244514</v>
      </c>
      <c r="BJ73" s="1">
        <f t="shared" si="46"/>
        <v>0.43</v>
      </c>
      <c r="BK73" s="1">
        <f t="shared" si="47"/>
        <v>0.2134796238244514</v>
      </c>
      <c r="BL73" s="22">
        <f t="shared" si="48"/>
        <v>0.2134796238244514</v>
      </c>
      <c r="BM73" s="1">
        <f t="shared" si="40"/>
        <v>8.1341185719479962E-4</v>
      </c>
      <c r="BN73" s="1">
        <f t="shared" si="41"/>
        <v>2.7436916009483441E-2</v>
      </c>
    </row>
    <row r="74" spans="1:66" x14ac:dyDescent="0.25">
      <c r="A74" s="3"/>
      <c r="B74" s="3"/>
      <c r="C74" t="s">
        <v>60</v>
      </c>
      <c r="D74" s="5">
        <v>1</v>
      </c>
      <c r="E74" s="9">
        <f t="shared" si="25"/>
        <v>20.149999999999999</v>
      </c>
      <c r="F74" s="9">
        <f t="shared" si="26"/>
        <v>0</v>
      </c>
      <c r="G74">
        <v>10.48</v>
      </c>
      <c r="H74">
        <v>69.37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20.149999999999999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18.5</v>
      </c>
      <c r="AK74" t="s">
        <v>1</v>
      </c>
      <c r="AL74" t="s">
        <v>374</v>
      </c>
      <c r="AQ74" s="1">
        <f t="shared" si="42"/>
        <v>100</v>
      </c>
      <c r="AR74" s="1">
        <f t="shared" si="27"/>
        <v>0.20149999999999998</v>
      </c>
      <c r="AS74" s="1">
        <f t="shared" si="28"/>
        <v>0.1048</v>
      </c>
      <c r="AT74" s="1">
        <f t="shared" si="29"/>
        <v>0.69370000000000009</v>
      </c>
      <c r="AU74" s="1">
        <f t="shared" si="30"/>
        <v>0</v>
      </c>
      <c r="AV74" s="1">
        <f t="shared" si="43"/>
        <v>0.185</v>
      </c>
      <c r="AX74" s="1">
        <f t="shared" si="44"/>
        <v>0</v>
      </c>
      <c r="AY74" s="1">
        <f t="shared" si="31"/>
        <v>0.2523481527864746</v>
      </c>
      <c r="AZ74" s="1">
        <f t="shared" si="32"/>
        <v>0.5</v>
      </c>
      <c r="BA74" s="1">
        <f t="shared" si="33"/>
        <v>0.5</v>
      </c>
      <c r="BB74" s="1">
        <f t="shared" si="34"/>
        <v>0.2523481527864746</v>
      </c>
      <c r="BC74" s="1">
        <f t="shared" si="35"/>
        <v>0.2523481527864746</v>
      </c>
      <c r="BD74" s="1">
        <f t="shared" si="45"/>
        <v>6.7348152786474602E-2</v>
      </c>
      <c r="BF74">
        <f t="shared" si="36"/>
        <v>111.29</v>
      </c>
      <c r="BG74">
        <f t="shared" si="37"/>
        <v>20.149999999999999</v>
      </c>
      <c r="BH74" s="1">
        <f t="shared" si="38"/>
        <v>0</v>
      </c>
      <c r="BI74" s="1">
        <f t="shared" si="39"/>
        <v>0.18105849582172701</v>
      </c>
      <c r="BJ74" s="1">
        <f t="shared" si="46"/>
        <v>0.43</v>
      </c>
      <c r="BK74" s="1">
        <f t="shared" si="47"/>
        <v>0.18105849582172701</v>
      </c>
      <c r="BL74" s="22">
        <f t="shared" si="48"/>
        <v>0.18105849582172701</v>
      </c>
      <c r="BM74" s="1">
        <f t="shared" si="40"/>
        <v>1.5535455187343455E-5</v>
      </c>
      <c r="BN74" s="1">
        <f t="shared" si="41"/>
        <v>4.956898145075242E-2</v>
      </c>
    </row>
    <row r="75" spans="1:66" x14ac:dyDescent="0.25">
      <c r="A75" s="3"/>
      <c r="B75" s="3"/>
      <c r="C75" t="s">
        <v>61</v>
      </c>
      <c r="D75" s="5">
        <v>1</v>
      </c>
      <c r="E75" s="9">
        <f t="shared" si="25"/>
        <v>20</v>
      </c>
      <c r="F75" s="9">
        <f t="shared" si="26"/>
        <v>0</v>
      </c>
      <c r="G75">
        <v>15.34</v>
      </c>
      <c r="H75">
        <v>64.66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13.6</v>
      </c>
      <c r="AK75" t="s">
        <v>1</v>
      </c>
      <c r="AL75" t="s">
        <v>374</v>
      </c>
      <c r="AQ75" s="1">
        <f t="shared" si="42"/>
        <v>100</v>
      </c>
      <c r="AR75" s="1">
        <f t="shared" si="27"/>
        <v>0.2</v>
      </c>
      <c r="AS75" s="1">
        <f t="shared" si="28"/>
        <v>0.15340000000000001</v>
      </c>
      <c r="AT75" s="1">
        <f t="shared" si="29"/>
        <v>0.64659999999999995</v>
      </c>
      <c r="AU75" s="1">
        <f t="shared" si="30"/>
        <v>0</v>
      </c>
      <c r="AV75" s="1">
        <f t="shared" si="43"/>
        <v>0.13600000000000001</v>
      </c>
      <c r="AX75" s="1">
        <f t="shared" si="44"/>
        <v>0</v>
      </c>
      <c r="AY75" s="1">
        <f t="shared" si="31"/>
        <v>0.25000000000000006</v>
      </c>
      <c r="AZ75" s="1">
        <f t="shared" si="32"/>
        <v>0.5</v>
      </c>
      <c r="BA75" s="1">
        <f t="shared" si="33"/>
        <v>0.5</v>
      </c>
      <c r="BB75" s="1">
        <f t="shared" si="34"/>
        <v>0.25000000000000006</v>
      </c>
      <c r="BC75" s="1">
        <f t="shared" si="35"/>
        <v>0.25000000000000006</v>
      </c>
      <c r="BD75" s="1">
        <f t="shared" si="45"/>
        <v>0.11400000000000005</v>
      </c>
      <c r="BF75">
        <f t="shared" si="36"/>
        <v>126.02</v>
      </c>
      <c r="BG75">
        <f t="shared" si="37"/>
        <v>20</v>
      </c>
      <c r="BH75" s="1">
        <f t="shared" si="38"/>
        <v>0</v>
      </c>
      <c r="BI75" s="1">
        <f t="shared" si="39"/>
        <v>0.15870496746548168</v>
      </c>
      <c r="BJ75" s="1">
        <f t="shared" si="46"/>
        <v>0.43</v>
      </c>
      <c r="BK75" s="1">
        <f t="shared" si="47"/>
        <v>0.15870496746548168</v>
      </c>
      <c r="BL75" s="22">
        <f t="shared" si="48"/>
        <v>0.15870496746548168</v>
      </c>
      <c r="BM75" s="1">
        <f t="shared" si="40"/>
        <v>5.1551554760858134E-4</v>
      </c>
      <c r="BN75" s="1">
        <f t="shared" si="41"/>
        <v>7.3788792093246791E-2</v>
      </c>
    </row>
    <row r="76" spans="1:66" x14ac:dyDescent="0.25">
      <c r="A76" s="3"/>
      <c r="B76" s="3"/>
      <c r="C76" t="s">
        <v>62</v>
      </c>
      <c r="D76" s="5">
        <v>1</v>
      </c>
      <c r="E76" s="9">
        <f t="shared" si="25"/>
        <v>19.63</v>
      </c>
      <c r="F76" s="9">
        <f t="shared" si="26"/>
        <v>0</v>
      </c>
      <c r="G76">
        <v>20.68</v>
      </c>
      <c r="H76">
        <v>59.69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19.63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10</v>
      </c>
      <c r="AK76" t="s">
        <v>1</v>
      </c>
      <c r="AL76" t="s">
        <v>374</v>
      </c>
      <c r="AQ76" s="1">
        <f t="shared" si="42"/>
        <v>100</v>
      </c>
      <c r="AR76" s="1">
        <f t="shared" si="27"/>
        <v>0.1963</v>
      </c>
      <c r="AS76" s="1">
        <f t="shared" si="28"/>
        <v>0.20679999999999998</v>
      </c>
      <c r="AT76" s="1">
        <f t="shared" si="29"/>
        <v>0.59689999999999999</v>
      </c>
      <c r="AU76" s="1">
        <f t="shared" si="30"/>
        <v>0</v>
      </c>
      <c r="AV76" s="1">
        <f t="shared" si="43"/>
        <v>0.1</v>
      </c>
      <c r="AX76" s="1">
        <f t="shared" si="44"/>
        <v>0</v>
      </c>
      <c r="AY76" s="1">
        <f t="shared" si="31"/>
        <v>0.2442453651860147</v>
      </c>
      <c r="AZ76" s="1">
        <f t="shared" si="32"/>
        <v>0.5</v>
      </c>
      <c r="BA76" s="1">
        <f t="shared" si="33"/>
        <v>0.5</v>
      </c>
      <c r="BB76" s="1">
        <f t="shared" si="34"/>
        <v>0.2442453651860147</v>
      </c>
      <c r="BC76" s="1">
        <f t="shared" si="35"/>
        <v>0.2442453651860147</v>
      </c>
      <c r="BD76" s="1">
        <f t="shared" si="45"/>
        <v>0.14424536518601469</v>
      </c>
      <c r="BF76">
        <f t="shared" si="36"/>
        <v>142.41</v>
      </c>
      <c r="BG76">
        <f t="shared" si="37"/>
        <v>19.63</v>
      </c>
      <c r="BH76" s="1">
        <f t="shared" si="38"/>
        <v>0</v>
      </c>
      <c r="BI76" s="1">
        <f t="shared" si="39"/>
        <v>0.13784144371883997</v>
      </c>
      <c r="BJ76" s="1">
        <f t="shared" si="46"/>
        <v>0.43</v>
      </c>
      <c r="BK76" s="1">
        <f t="shared" si="47"/>
        <v>0.13784144371883997</v>
      </c>
      <c r="BL76" s="22">
        <f t="shared" si="48"/>
        <v>0.13784144371883997</v>
      </c>
      <c r="BM76" s="1">
        <f t="shared" si="40"/>
        <v>1.4319748627261324E-3</v>
      </c>
      <c r="BN76" s="1">
        <f t="shared" si="41"/>
        <v>9.4642938687732478E-2</v>
      </c>
    </row>
    <row r="77" spans="1:66" x14ac:dyDescent="0.25">
      <c r="A77" s="3"/>
      <c r="B77" s="3"/>
      <c r="C77" t="s">
        <v>63</v>
      </c>
      <c r="D77" s="5">
        <v>1</v>
      </c>
      <c r="E77" s="9">
        <f t="shared" si="25"/>
        <v>19.760000000000002</v>
      </c>
      <c r="F77" s="9">
        <f t="shared" si="26"/>
        <v>0</v>
      </c>
      <c r="G77">
        <v>25.69</v>
      </c>
      <c r="H77">
        <v>54.55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19.760000000000002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</v>
      </c>
      <c r="AK77" t="s">
        <v>1</v>
      </c>
      <c r="AL77" t="s">
        <v>374</v>
      </c>
      <c r="AQ77" s="1">
        <f t="shared" si="42"/>
        <v>100</v>
      </c>
      <c r="AR77" s="1">
        <f t="shared" si="27"/>
        <v>0.19760000000000003</v>
      </c>
      <c r="AS77" s="1">
        <f t="shared" si="28"/>
        <v>0.25690000000000002</v>
      </c>
      <c r="AT77" s="1">
        <f t="shared" si="29"/>
        <v>0.54549999999999998</v>
      </c>
      <c r="AU77" s="1">
        <f t="shared" si="30"/>
        <v>0</v>
      </c>
      <c r="AV77" s="1">
        <f t="shared" si="43"/>
        <v>0.08</v>
      </c>
      <c r="AX77" s="1">
        <f t="shared" si="44"/>
        <v>0</v>
      </c>
      <c r="AY77" s="1">
        <f t="shared" si="31"/>
        <v>0.24626121635094719</v>
      </c>
      <c r="AZ77" s="1">
        <f t="shared" si="32"/>
        <v>0.5</v>
      </c>
      <c r="BA77" s="1">
        <f t="shared" si="33"/>
        <v>0.5</v>
      </c>
      <c r="BB77" s="1">
        <f t="shared" si="34"/>
        <v>0.24626121635094719</v>
      </c>
      <c r="BC77" s="1">
        <f t="shared" si="35"/>
        <v>0.24626121635094719</v>
      </c>
      <c r="BD77" s="1">
        <f t="shared" si="45"/>
        <v>0.16626121635094721</v>
      </c>
      <c r="BF77">
        <f t="shared" si="36"/>
        <v>157.31</v>
      </c>
      <c r="BG77">
        <f t="shared" si="37"/>
        <v>19.760000000000002</v>
      </c>
      <c r="BH77" s="1">
        <f t="shared" si="38"/>
        <v>0</v>
      </c>
      <c r="BI77" s="1">
        <f t="shared" si="39"/>
        <v>0.12561184921492596</v>
      </c>
      <c r="BJ77" s="1">
        <f t="shared" si="46"/>
        <v>0.43</v>
      </c>
      <c r="BK77" s="1">
        <f t="shared" si="47"/>
        <v>0.12561184921492596</v>
      </c>
      <c r="BL77" s="22">
        <f t="shared" si="48"/>
        <v>0.12561184921492596</v>
      </c>
      <c r="BM77" s="1">
        <f t="shared" si="40"/>
        <v>2.0804407888051421E-3</v>
      </c>
      <c r="BN77" s="1">
        <f t="shared" si="41"/>
        <v>0.10734857568466895</v>
      </c>
    </row>
    <row r="78" spans="1:66" x14ac:dyDescent="0.25">
      <c r="A78" s="3"/>
      <c r="B78" s="3"/>
      <c r="C78" t="s">
        <v>64</v>
      </c>
      <c r="D78" s="5">
        <v>1</v>
      </c>
      <c r="E78" s="9">
        <f t="shared" si="25"/>
        <v>15.01</v>
      </c>
      <c r="F78" s="9">
        <f t="shared" si="26"/>
        <v>0</v>
      </c>
      <c r="G78">
        <v>20.47</v>
      </c>
      <c r="H78">
        <v>64.52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15.01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9.4</v>
      </c>
      <c r="AK78" t="s">
        <v>1</v>
      </c>
      <c r="AL78" t="s">
        <v>374</v>
      </c>
      <c r="AQ78" s="1">
        <f t="shared" si="42"/>
        <v>100</v>
      </c>
      <c r="AR78" s="1">
        <f t="shared" si="27"/>
        <v>0.15010000000000001</v>
      </c>
      <c r="AS78" s="1">
        <f t="shared" si="28"/>
        <v>0.20469999999999999</v>
      </c>
      <c r="AT78" s="1">
        <f t="shared" si="29"/>
        <v>0.6452</v>
      </c>
      <c r="AU78" s="1">
        <f t="shared" si="30"/>
        <v>0</v>
      </c>
      <c r="AV78" s="1">
        <f t="shared" si="43"/>
        <v>9.4E-2</v>
      </c>
      <c r="AX78" s="1">
        <f t="shared" si="44"/>
        <v>0</v>
      </c>
      <c r="AY78" s="1">
        <f t="shared" si="31"/>
        <v>0.17660901282503824</v>
      </c>
      <c r="AZ78" s="1">
        <f t="shared" si="32"/>
        <v>0.5</v>
      </c>
      <c r="BA78" s="1">
        <f t="shared" si="33"/>
        <v>0.5</v>
      </c>
      <c r="BB78" s="1">
        <f t="shared" si="34"/>
        <v>0.17660901282503824</v>
      </c>
      <c r="BC78" s="1">
        <f t="shared" si="35"/>
        <v>0.17660901282503824</v>
      </c>
      <c r="BD78" s="1">
        <f t="shared" si="45"/>
        <v>8.2609012825038242E-2</v>
      </c>
      <c r="BF78">
        <f t="shared" si="36"/>
        <v>146.39999999999998</v>
      </c>
      <c r="BG78">
        <f t="shared" si="37"/>
        <v>15.01</v>
      </c>
      <c r="BH78" s="1">
        <f t="shared" si="38"/>
        <v>0</v>
      </c>
      <c r="BI78" s="1">
        <f t="shared" si="39"/>
        <v>0.1025273224043716</v>
      </c>
      <c r="BJ78" s="1">
        <f t="shared" si="46"/>
        <v>0.43</v>
      </c>
      <c r="BK78" s="1">
        <f t="shared" si="47"/>
        <v>0.1025273224043716</v>
      </c>
      <c r="BL78" s="22">
        <f t="shared" si="48"/>
        <v>0.1025273224043716</v>
      </c>
      <c r="BM78" s="1">
        <f t="shared" si="40"/>
        <v>7.2715227388097769E-5</v>
      </c>
      <c r="BN78" s="1">
        <f t="shared" si="41"/>
        <v>9.8370629786813435E-2</v>
      </c>
    </row>
    <row r="79" spans="1:66" x14ac:dyDescent="0.25">
      <c r="A79" s="3"/>
      <c r="B79" s="3"/>
      <c r="C79" t="s">
        <v>65</v>
      </c>
      <c r="D79" s="5">
        <v>1</v>
      </c>
      <c r="E79" s="9">
        <f t="shared" si="25"/>
        <v>25.36</v>
      </c>
      <c r="F79" s="9">
        <f t="shared" si="26"/>
        <v>0</v>
      </c>
      <c r="G79">
        <v>20.6</v>
      </c>
      <c r="H79">
        <v>54.04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25.36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13.1</v>
      </c>
      <c r="AK79" t="s">
        <v>1</v>
      </c>
      <c r="AL79" t="s">
        <v>374</v>
      </c>
      <c r="AQ79" s="1">
        <f t="shared" si="42"/>
        <v>100</v>
      </c>
      <c r="AR79" s="1">
        <f t="shared" si="27"/>
        <v>0.25359999999999999</v>
      </c>
      <c r="AS79" s="1">
        <f t="shared" si="28"/>
        <v>0.20600000000000002</v>
      </c>
      <c r="AT79" s="1">
        <f t="shared" si="29"/>
        <v>0.54039999999999999</v>
      </c>
      <c r="AU79" s="1">
        <f t="shared" si="30"/>
        <v>0</v>
      </c>
      <c r="AV79" s="1">
        <f t="shared" si="43"/>
        <v>0.13100000000000001</v>
      </c>
      <c r="AX79" s="1">
        <f t="shared" si="44"/>
        <v>0</v>
      </c>
      <c r="AY79" s="1">
        <f t="shared" si="31"/>
        <v>0.33976420150053593</v>
      </c>
      <c r="AZ79" s="1">
        <f t="shared" si="32"/>
        <v>0.5</v>
      </c>
      <c r="BA79" s="1">
        <f t="shared" si="33"/>
        <v>0.5</v>
      </c>
      <c r="BB79" s="1">
        <f t="shared" si="34"/>
        <v>0.33976420150053593</v>
      </c>
      <c r="BC79" s="1">
        <f t="shared" si="35"/>
        <v>0.33976420150053593</v>
      </c>
      <c r="BD79" s="1">
        <f t="shared" si="45"/>
        <v>0.20876420150053593</v>
      </c>
      <c r="BF79">
        <f t="shared" si="36"/>
        <v>136.44</v>
      </c>
      <c r="BG79">
        <f t="shared" si="37"/>
        <v>25.36</v>
      </c>
      <c r="BH79" s="1">
        <f t="shared" si="38"/>
        <v>0</v>
      </c>
      <c r="BI79" s="1">
        <f t="shared" si="39"/>
        <v>0.18586924655526238</v>
      </c>
      <c r="BJ79" s="1">
        <f t="shared" si="46"/>
        <v>0.43</v>
      </c>
      <c r="BK79" s="1">
        <f t="shared" si="47"/>
        <v>0.18586924655526238</v>
      </c>
      <c r="BL79" s="22">
        <f t="shared" si="48"/>
        <v>0.18586924655526238</v>
      </c>
      <c r="BM79" s="1">
        <f t="shared" si="40"/>
        <v>3.0106342175421721E-3</v>
      </c>
      <c r="BN79" s="1">
        <f t="shared" si="41"/>
        <v>7.6530201342480925E-2</v>
      </c>
    </row>
    <row r="80" spans="1:66" x14ac:dyDescent="0.25">
      <c r="A80" s="3"/>
      <c r="B80" s="3"/>
      <c r="C80" t="s">
        <v>66</v>
      </c>
      <c r="D80" s="5">
        <v>1</v>
      </c>
      <c r="E80" s="9">
        <f t="shared" si="25"/>
        <v>30.11</v>
      </c>
      <c r="F80" s="9">
        <f t="shared" si="26"/>
        <v>0</v>
      </c>
      <c r="G80">
        <v>20.190000000000001</v>
      </c>
      <c r="H80">
        <v>49.7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30.11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19.399999999999999</v>
      </c>
      <c r="AK80" t="s">
        <v>1</v>
      </c>
      <c r="AL80" t="s">
        <v>374</v>
      </c>
      <c r="AQ80" s="1">
        <f t="shared" si="42"/>
        <v>100</v>
      </c>
      <c r="AR80" s="1">
        <f t="shared" si="27"/>
        <v>0.30109999999999998</v>
      </c>
      <c r="AS80" s="1">
        <f t="shared" si="28"/>
        <v>0.20190000000000002</v>
      </c>
      <c r="AT80" s="1">
        <f t="shared" si="29"/>
        <v>0.49700000000000005</v>
      </c>
      <c r="AU80" s="1">
        <f t="shared" si="30"/>
        <v>0</v>
      </c>
      <c r="AV80" s="1">
        <f t="shared" si="43"/>
        <v>0.19399999999999998</v>
      </c>
      <c r="AX80" s="1">
        <f t="shared" si="44"/>
        <v>0</v>
      </c>
      <c r="AY80" s="1">
        <f t="shared" si="31"/>
        <v>0.43081985977965365</v>
      </c>
      <c r="AZ80" s="1">
        <f t="shared" si="32"/>
        <v>0.5</v>
      </c>
      <c r="BA80" s="1">
        <f t="shared" si="33"/>
        <v>0.5</v>
      </c>
      <c r="BB80" s="1">
        <f t="shared" si="34"/>
        <v>0.43081985977965365</v>
      </c>
      <c r="BC80" s="1">
        <f t="shared" si="35"/>
        <v>0.43081985977965365</v>
      </c>
      <c r="BD80" s="1">
        <f t="shared" si="45"/>
        <v>0.23681985977965367</v>
      </c>
      <c r="BF80">
        <f t="shared" si="36"/>
        <v>130.46</v>
      </c>
      <c r="BG80">
        <f t="shared" si="37"/>
        <v>30.11</v>
      </c>
      <c r="BH80" s="1">
        <f t="shared" si="38"/>
        <v>0</v>
      </c>
      <c r="BI80" s="1">
        <f t="shared" si="39"/>
        <v>0.23079871224896517</v>
      </c>
      <c r="BJ80" s="1">
        <f t="shared" si="46"/>
        <v>0.43</v>
      </c>
      <c r="BK80" s="1">
        <f t="shared" si="47"/>
        <v>0.23079871224896517</v>
      </c>
      <c r="BL80" s="22">
        <f t="shared" si="48"/>
        <v>0.23079871224896517</v>
      </c>
      <c r="BM80" s="1">
        <f t="shared" si="40"/>
        <v>1.3541452231821409E-3</v>
      </c>
      <c r="BN80" s="1">
        <f t="shared" si="41"/>
        <v>4.5642444802131012E-2</v>
      </c>
    </row>
    <row r="81" spans="1:66" x14ac:dyDescent="0.25">
      <c r="A81" s="3"/>
      <c r="B81" s="3"/>
      <c r="C81" t="s">
        <v>67</v>
      </c>
      <c r="D81" s="5">
        <v>1</v>
      </c>
      <c r="E81" s="9">
        <f t="shared" si="25"/>
        <v>34.950000000000003</v>
      </c>
      <c r="F81" s="9">
        <f t="shared" si="26"/>
        <v>0</v>
      </c>
      <c r="G81">
        <v>20.23</v>
      </c>
      <c r="H81">
        <v>44.82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34.950000000000003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22.8</v>
      </c>
      <c r="AK81" t="s">
        <v>1</v>
      </c>
      <c r="AL81" t="s">
        <v>374</v>
      </c>
      <c r="AQ81" s="1">
        <f t="shared" si="42"/>
        <v>100</v>
      </c>
      <c r="AR81" s="1">
        <f t="shared" si="27"/>
        <v>0.34950000000000003</v>
      </c>
      <c r="AS81" s="1">
        <f t="shared" si="28"/>
        <v>0.20230000000000001</v>
      </c>
      <c r="AT81" s="1">
        <f t="shared" si="29"/>
        <v>0.44819999999999999</v>
      </c>
      <c r="AU81" s="1">
        <f t="shared" si="30"/>
        <v>0</v>
      </c>
      <c r="AV81" s="1">
        <f t="shared" si="43"/>
        <v>0.22800000000000001</v>
      </c>
      <c r="AX81" s="1">
        <f t="shared" si="44"/>
        <v>0</v>
      </c>
      <c r="AY81" s="1">
        <f t="shared" si="31"/>
        <v>0.5372790161414297</v>
      </c>
      <c r="AZ81" s="1">
        <f t="shared" si="32"/>
        <v>0.5</v>
      </c>
      <c r="BA81" s="1">
        <f t="shared" si="33"/>
        <v>0.5</v>
      </c>
      <c r="BB81" s="1">
        <f t="shared" si="34"/>
        <v>0.48757366128619012</v>
      </c>
      <c r="BC81" s="1">
        <f t="shared" si="35"/>
        <v>0.48757366128619012</v>
      </c>
      <c r="BD81" s="1">
        <f t="shared" si="45"/>
        <v>0.25957366128619008</v>
      </c>
      <c r="BF81">
        <f t="shared" si="36"/>
        <v>125.74000000000001</v>
      </c>
      <c r="BG81">
        <f t="shared" si="37"/>
        <v>34.950000000000003</v>
      </c>
      <c r="BH81" s="1">
        <f t="shared" si="38"/>
        <v>0</v>
      </c>
      <c r="BI81" s="1">
        <f t="shared" si="39"/>
        <v>0.27795450930491489</v>
      </c>
      <c r="BJ81" s="1">
        <f t="shared" si="46"/>
        <v>0.43</v>
      </c>
      <c r="BK81" s="1">
        <f t="shared" si="47"/>
        <v>0.27795450930491489</v>
      </c>
      <c r="BL81" s="22">
        <f t="shared" si="48"/>
        <v>0.27795450930491489</v>
      </c>
      <c r="BM81" s="1">
        <f t="shared" si="40"/>
        <v>2.4954529998948271E-3</v>
      </c>
      <c r="BN81" s="1">
        <f t="shared" si="41"/>
        <v>3.2270861907338973E-2</v>
      </c>
    </row>
    <row r="82" spans="1:66" x14ac:dyDescent="0.25">
      <c r="A82" s="3"/>
      <c r="B82" s="3"/>
      <c r="C82" t="s">
        <v>68</v>
      </c>
      <c r="D82" s="5">
        <v>1</v>
      </c>
      <c r="E82" s="9">
        <f t="shared" si="25"/>
        <v>39.68</v>
      </c>
      <c r="F82" s="9">
        <f t="shared" si="26"/>
        <v>0</v>
      </c>
      <c r="G82">
        <v>20.43</v>
      </c>
      <c r="H82">
        <v>39.89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39.68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18.600000000000001</v>
      </c>
      <c r="AK82" t="s">
        <v>1</v>
      </c>
      <c r="AL82" t="s">
        <v>374</v>
      </c>
      <c r="AQ82" s="1">
        <f t="shared" si="42"/>
        <v>100</v>
      </c>
      <c r="AR82" s="1">
        <f t="shared" si="27"/>
        <v>0.39679999999999999</v>
      </c>
      <c r="AS82" s="1">
        <f t="shared" si="28"/>
        <v>0.20430000000000001</v>
      </c>
      <c r="AT82" s="1">
        <f t="shared" si="29"/>
        <v>0.39890000000000003</v>
      </c>
      <c r="AU82" s="1">
        <f t="shared" si="30"/>
        <v>0</v>
      </c>
      <c r="AV82" s="1">
        <f t="shared" si="43"/>
        <v>0.18600000000000003</v>
      </c>
      <c r="AX82" s="1">
        <f t="shared" si="44"/>
        <v>0</v>
      </c>
      <c r="AY82" s="1">
        <f t="shared" si="31"/>
        <v>0.65782493368700257</v>
      </c>
      <c r="AZ82" s="1">
        <f t="shared" si="32"/>
        <v>0.5</v>
      </c>
      <c r="BA82" s="1">
        <f t="shared" si="33"/>
        <v>0.5</v>
      </c>
      <c r="BB82" s="1">
        <f t="shared" si="34"/>
        <v>0.44739168877099916</v>
      </c>
      <c r="BC82" s="1">
        <f t="shared" si="35"/>
        <v>0.44739168877099916</v>
      </c>
      <c r="BD82" s="1">
        <f t="shared" si="45"/>
        <v>0.26139168877099916</v>
      </c>
      <c r="BF82">
        <f t="shared" si="36"/>
        <v>121.61</v>
      </c>
      <c r="BG82">
        <f t="shared" si="37"/>
        <v>39.68</v>
      </c>
      <c r="BH82" s="1">
        <f t="shared" si="38"/>
        <v>0</v>
      </c>
      <c r="BI82" s="1">
        <f t="shared" si="39"/>
        <v>0.32628895650028783</v>
      </c>
      <c r="BJ82" s="1">
        <f t="shared" si="46"/>
        <v>0.43</v>
      </c>
      <c r="BK82" s="1">
        <f t="shared" si="47"/>
        <v>0.32628895650028783</v>
      </c>
      <c r="BL82" s="22">
        <f t="shared" si="48"/>
        <v>0.32628895650028783</v>
      </c>
      <c r="BM82" s="1">
        <f t="shared" si="40"/>
        <v>1.9680991315939644E-2</v>
      </c>
      <c r="BN82" s="1">
        <f t="shared" si="41"/>
        <v>4.9124699600905583E-2</v>
      </c>
    </row>
    <row r="83" spans="1:66" x14ac:dyDescent="0.25">
      <c r="A83" s="3"/>
      <c r="B83" s="3"/>
      <c r="C83" t="s">
        <v>69</v>
      </c>
      <c r="D83" s="5">
        <v>1</v>
      </c>
      <c r="E83" s="9">
        <f t="shared" si="25"/>
        <v>44.91</v>
      </c>
      <c r="F83" s="9">
        <f t="shared" si="26"/>
        <v>0</v>
      </c>
      <c r="G83">
        <v>20.38</v>
      </c>
      <c r="H83">
        <v>34.71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44.91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12.3</v>
      </c>
      <c r="AK83" t="s">
        <v>1</v>
      </c>
      <c r="AL83" t="s">
        <v>374</v>
      </c>
      <c r="AQ83" s="1">
        <f t="shared" si="42"/>
        <v>100</v>
      </c>
      <c r="AR83" s="1">
        <f t="shared" si="27"/>
        <v>0.44909999999999994</v>
      </c>
      <c r="AS83" s="1">
        <f t="shared" si="28"/>
        <v>0.20379999999999998</v>
      </c>
      <c r="AT83" s="1">
        <f t="shared" si="29"/>
        <v>0.34710000000000002</v>
      </c>
      <c r="AU83" s="1">
        <f t="shared" si="30"/>
        <v>0</v>
      </c>
      <c r="AV83" s="1">
        <f t="shared" si="43"/>
        <v>0.12300000000000001</v>
      </c>
      <c r="AX83" s="1">
        <f t="shared" si="44"/>
        <v>0</v>
      </c>
      <c r="AY83" s="1">
        <f t="shared" si="31"/>
        <v>0.81521147213650391</v>
      </c>
      <c r="AZ83" s="1">
        <f t="shared" si="32"/>
        <v>0.5</v>
      </c>
      <c r="BA83" s="1">
        <f t="shared" si="33"/>
        <v>0.5</v>
      </c>
      <c r="BB83" s="1">
        <f t="shared" si="34"/>
        <v>0.39492950928783205</v>
      </c>
      <c r="BC83" s="1">
        <f t="shared" si="35"/>
        <v>0.39492950928783205</v>
      </c>
      <c r="BD83" s="1">
        <f t="shared" si="45"/>
        <v>0.27192950928783205</v>
      </c>
      <c r="BF83">
        <f t="shared" si="36"/>
        <v>116.22999999999999</v>
      </c>
      <c r="BG83">
        <f t="shared" si="37"/>
        <v>44.91</v>
      </c>
      <c r="BH83" s="1">
        <f t="shared" si="38"/>
        <v>0</v>
      </c>
      <c r="BI83" s="1">
        <f t="shared" si="39"/>
        <v>0.38638905618170871</v>
      </c>
      <c r="BJ83" s="1">
        <f t="shared" si="46"/>
        <v>0.43</v>
      </c>
      <c r="BK83" s="1">
        <f t="shared" si="47"/>
        <v>0.38638905618170871</v>
      </c>
      <c r="BL83" s="22">
        <f t="shared" si="48"/>
        <v>0.38638905618170871</v>
      </c>
      <c r="BM83" s="1">
        <f t="shared" si="40"/>
        <v>6.9373794916291309E-2</v>
      </c>
      <c r="BN83" s="1">
        <f t="shared" si="41"/>
        <v>8.1020456141255512E-2</v>
      </c>
    </row>
    <row r="84" spans="1:66" x14ac:dyDescent="0.25">
      <c r="A84" s="3"/>
      <c r="B84" s="3"/>
      <c r="C84" t="s">
        <v>70</v>
      </c>
      <c r="D84" s="5">
        <v>1</v>
      </c>
      <c r="E84" s="9">
        <f t="shared" si="25"/>
        <v>49.51</v>
      </c>
      <c r="F84" s="9">
        <f t="shared" si="26"/>
        <v>0</v>
      </c>
      <c r="G84">
        <v>20.61</v>
      </c>
      <c r="H84">
        <v>29.88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49.51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</v>
      </c>
      <c r="AK84" t="s">
        <v>1</v>
      </c>
      <c r="AL84" t="s">
        <v>374</v>
      </c>
      <c r="AQ84" s="1">
        <f t="shared" si="42"/>
        <v>100</v>
      </c>
      <c r="AR84" s="1">
        <f t="shared" si="27"/>
        <v>0.49509999999999998</v>
      </c>
      <c r="AS84" s="1">
        <f t="shared" si="28"/>
        <v>0.20610000000000001</v>
      </c>
      <c r="AT84" s="1">
        <f t="shared" si="29"/>
        <v>0.29880000000000001</v>
      </c>
      <c r="AU84" s="1">
        <f t="shared" si="30"/>
        <v>0</v>
      </c>
      <c r="AV84" s="1">
        <f t="shared" si="43"/>
        <v>0.04</v>
      </c>
      <c r="AX84" s="1">
        <f t="shared" si="44"/>
        <v>0</v>
      </c>
      <c r="AY84" s="1">
        <f t="shared" si="31"/>
        <v>0.98059021588433348</v>
      </c>
      <c r="AZ84" s="1">
        <f t="shared" si="32"/>
        <v>0.5</v>
      </c>
      <c r="BA84" s="1">
        <f t="shared" si="33"/>
        <v>0.5</v>
      </c>
      <c r="BB84" s="1">
        <f t="shared" si="34"/>
        <v>0.33980326137188888</v>
      </c>
      <c r="BC84" s="1">
        <f t="shared" si="35"/>
        <v>0.33980326137188888</v>
      </c>
      <c r="BD84" s="1">
        <f t="shared" si="45"/>
        <v>0.2998032613718889</v>
      </c>
      <c r="BF84">
        <f t="shared" si="36"/>
        <v>112.32</v>
      </c>
      <c r="BG84">
        <f t="shared" si="37"/>
        <v>49.51</v>
      </c>
      <c r="BH84" s="1">
        <f t="shared" si="38"/>
        <v>0</v>
      </c>
      <c r="BI84" s="1">
        <f t="shared" si="39"/>
        <v>0.44079415954415957</v>
      </c>
      <c r="BJ84" s="1">
        <f t="shared" si="46"/>
        <v>0.43</v>
      </c>
      <c r="BK84" s="1">
        <f t="shared" si="47"/>
        <v>0.4017316699983336</v>
      </c>
      <c r="BL84" s="22">
        <f t="shared" si="48"/>
        <v>0.4017316699983336</v>
      </c>
      <c r="BM84" s="1">
        <f t="shared" si="40"/>
        <v>0.13084980107978333</v>
      </c>
      <c r="BN84" s="1">
        <f t="shared" si="41"/>
        <v>0.13515984967854194</v>
      </c>
    </row>
    <row r="85" spans="1:66" x14ac:dyDescent="0.25">
      <c r="A85" s="3"/>
      <c r="B85" s="3"/>
      <c r="C85" t="s">
        <v>71</v>
      </c>
      <c r="D85" s="5">
        <v>1</v>
      </c>
      <c r="E85" s="9">
        <f t="shared" si="25"/>
        <v>20</v>
      </c>
      <c r="F85" s="9">
        <f t="shared" si="26"/>
        <v>0.90277777777777779</v>
      </c>
      <c r="G85">
        <v>8</v>
      </c>
      <c r="H85">
        <v>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20</v>
      </c>
      <c r="P85">
        <v>0</v>
      </c>
      <c r="Q85">
        <v>65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62</v>
      </c>
      <c r="AK85" t="s">
        <v>1</v>
      </c>
      <c r="AL85" t="s">
        <v>372</v>
      </c>
      <c r="AO85" t="s">
        <v>375</v>
      </c>
      <c r="AQ85" s="1">
        <f t="shared" si="42"/>
        <v>100</v>
      </c>
      <c r="AR85" s="1">
        <f t="shared" si="27"/>
        <v>0.2</v>
      </c>
      <c r="AS85" s="1">
        <f t="shared" si="28"/>
        <v>0.08</v>
      </c>
      <c r="AT85" s="1">
        <f t="shared" si="29"/>
        <v>7.0000000000000007E-2</v>
      </c>
      <c r="AU85" s="1">
        <f t="shared" si="30"/>
        <v>0.65</v>
      </c>
      <c r="AV85" s="1">
        <f t="shared" si="43"/>
        <v>0.62</v>
      </c>
      <c r="AX85" s="1">
        <f t="shared" si="44"/>
        <v>4.333333333333333</v>
      </c>
      <c r="AY85" s="1">
        <f t="shared" si="31"/>
        <v>1.3333333333333333</v>
      </c>
      <c r="AZ85" s="1">
        <f t="shared" si="32"/>
        <v>0.77083333333333326</v>
      </c>
      <c r="BA85" s="1">
        <f t="shared" si="33"/>
        <v>1.5833333333333333</v>
      </c>
      <c r="BB85" s="1">
        <f t="shared" si="34"/>
        <v>0.77083333333333326</v>
      </c>
      <c r="BC85" s="1">
        <f t="shared" si="35"/>
        <v>0.77083333333333326</v>
      </c>
      <c r="BD85" s="1">
        <f t="shared" si="45"/>
        <v>0.15083333333333326</v>
      </c>
      <c r="BF85">
        <f t="shared" si="36"/>
        <v>39</v>
      </c>
      <c r="BG85">
        <f t="shared" si="37"/>
        <v>20</v>
      </c>
      <c r="BH85" s="1">
        <f t="shared" si="38"/>
        <v>1.6666666666666667</v>
      </c>
      <c r="BI85" s="1">
        <f t="shared" si="39"/>
        <v>0.51282051282051277</v>
      </c>
      <c r="BJ85" s="1">
        <f t="shared" si="46"/>
        <v>0.53</v>
      </c>
      <c r="BK85" s="1">
        <f t="shared" si="47"/>
        <v>0.51282051282051277</v>
      </c>
      <c r="BL85" s="22">
        <f t="shared" si="48"/>
        <v>0.51282051282051277</v>
      </c>
      <c r="BM85" s="1">
        <f t="shared" si="40"/>
        <v>1.1487442472057866E-2</v>
      </c>
      <c r="BN85" s="1">
        <f t="shared" si="41"/>
        <v>4.50963767673839E-2</v>
      </c>
    </row>
    <row r="86" spans="1:66" x14ac:dyDescent="0.25">
      <c r="A86" s="3"/>
      <c r="B86" s="3"/>
      <c r="C86" t="s">
        <v>72</v>
      </c>
      <c r="D86" s="5">
        <v>1</v>
      </c>
      <c r="E86" s="9">
        <f t="shared" si="25"/>
        <v>20</v>
      </c>
      <c r="F86" s="9">
        <f t="shared" si="26"/>
        <v>0.90277777777777779</v>
      </c>
      <c r="G86">
        <v>8</v>
      </c>
      <c r="H86">
        <v>7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  <c r="O86">
        <v>15</v>
      </c>
      <c r="P86">
        <v>0</v>
      </c>
      <c r="Q86">
        <v>65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44</v>
      </c>
      <c r="AK86" t="s">
        <v>1</v>
      </c>
      <c r="AL86" t="s">
        <v>372</v>
      </c>
      <c r="AQ86" s="1">
        <f t="shared" si="42"/>
        <v>100</v>
      </c>
      <c r="AR86" s="1">
        <f t="shared" si="27"/>
        <v>0.15</v>
      </c>
      <c r="AS86" s="1">
        <f t="shared" si="28"/>
        <v>0.08</v>
      </c>
      <c r="AT86" s="1">
        <f t="shared" si="29"/>
        <v>7.0000000000000007E-2</v>
      </c>
      <c r="AU86" s="1">
        <f t="shared" si="30"/>
        <v>0.65</v>
      </c>
      <c r="AV86" s="1">
        <f t="shared" si="43"/>
        <v>0.44</v>
      </c>
      <c r="AX86" s="1">
        <f t="shared" si="44"/>
        <v>4.333333333333333</v>
      </c>
      <c r="AY86" s="1">
        <f t="shared" si="31"/>
        <v>0.99999999999999978</v>
      </c>
      <c r="AZ86" s="1">
        <f t="shared" si="32"/>
        <v>0.77083333333333326</v>
      </c>
      <c r="BA86" s="1">
        <f t="shared" si="33"/>
        <v>1.5833333333333333</v>
      </c>
      <c r="BB86" s="1">
        <f t="shared" si="34"/>
        <v>0.77083333333333326</v>
      </c>
      <c r="BC86" s="1">
        <f t="shared" si="35"/>
        <v>0.77083333333333326</v>
      </c>
      <c r="BD86" s="1">
        <f t="shared" si="45"/>
        <v>0.33083333333333326</v>
      </c>
      <c r="BF86">
        <f t="shared" si="36"/>
        <v>39</v>
      </c>
      <c r="BG86">
        <f t="shared" si="37"/>
        <v>17.5</v>
      </c>
      <c r="BH86" s="1">
        <f t="shared" si="38"/>
        <v>1.6666666666666667</v>
      </c>
      <c r="BI86" s="1">
        <f t="shared" si="39"/>
        <v>0.44871794871794873</v>
      </c>
      <c r="BJ86" s="1">
        <f t="shared" si="46"/>
        <v>0.53</v>
      </c>
      <c r="BK86" s="1">
        <f t="shared" si="47"/>
        <v>0.44871794871794873</v>
      </c>
      <c r="BL86" s="22">
        <f t="shared" si="48"/>
        <v>0.44871794871794873</v>
      </c>
      <c r="BM86" s="1">
        <f t="shared" si="40"/>
        <v>7.6002629848783923E-5</v>
      </c>
      <c r="BN86" s="1">
        <f t="shared" si="41"/>
        <v>1.0471097398122534E-3</v>
      </c>
    </row>
    <row r="87" spans="1:66" x14ac:dyDescent="0.25">
      <c r="A87" s="3"/>
      <c r="B87" s="3"/>
      <c r="C87" t="s">
        <v>73</v>
      </c>
      <c r="D87" s="5">
        <v>1</v>
      </c>
      <c r="E87" s="9">
        <f t="shared" si="25"/>
        <v>20</v>
      </c>
      <c r="F87" s="9">
        <f t="shared" si="26"/>
        <v>0.90277777777777779</v>
      </c>
      <c r="G87">
        <v>8</v>
      </c>
      <c r="H87">
        <v>7</v>
      </c>
      <c r="I87">
        <v>10</v>
      </c>
      <c r="J87">
        <v>0</v>
      </c>
      <c r="K87">
        <v>0</v>
      </c>
      <c r="L87">
        <v>0</v>
      </c>
      <c r="M87">
        <v>0</v>
      </c>
      <c r="N87">
        <v>0</v>
      </c>
      <c r="O87">
        <v>10</v>
      </c>
      <c r="P87">
        <v>0</v>
      </c>
      <c r="Q87">
        <v>65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28</v>
      </c>
      <c r="AK87" t="s">
        <v>1</v>
      </c>
      <c r="AL87" t="s">
        <v>372</v>
      </c>
      <c r="AQ87" s="1">
        <f t="shared" si="42"/>
        <v>100</v>
      </c>
      <c r="AR87" s="1">
        <f t="shared" si="27"/>
        <v>0.1</v>
      </c>
      <c r="AS87" s="1">
        <f t="shared" si="28"/>
        <v>0.08</v>
      </c>
      <c r="AT87" s="1">
        <f t="shared" si="29"/>
        <v>7.0000000000000007E-2</v>
      </c>
      <c r="AU87" s="1">
        <f t="shared" si="30"/>
        <v>0.65</v>
      </c>
      <c r="AV87" s="1">
        <f t="shared" si="43"/>
        <v>0.28000000000000003</v>
      </c>
      <c r="AX87" s="1">
        <f t="shared" si="44"/>
        <v>4.333333333333333</v>
      </c>
      <c r="AY87" s="1">
        <f t="shared" si="31"/>
        <v>0.66666666666666663</v>
      </c>
      <c r="AZ87" s="1">
        <f t="shared" si="32"/>
        <v>0.77083333333333326</v>
      </c>
      <c r="BA87" s="1">
        <f t="shared" si="33"/>
        <v>1.5833333333333333</v>
      </c>
      <c r="BB87" s="1">
        <f t="shared" si="34"/>
        <v>0.66666666666666663</v>
      </c>
      <c r="BC87" s="1">
        <f t="shared" si="35"/>
        <v>0.66666666666666663</v>
      </c>
      <c r="BD87" s="1">
        <f t="shared" si="45"/>
        <v>0.3866666666666666</v>
      </c>
      <c r="BF87">
        <f t="shared" si="36"/>
        <v>39</v>
      </c>
      <c r="BG87">
        <f t="shared" si="37"/>
        <v>15</v>
      </c>
      <c r="BH87" s="1">
        <f t="shared" si="38"/>
        <v>1.6666666666666667</v>
      </c>
      <c r="BI87" s="1">
        <f t="shared" si="39"/>
        <v>0.38461538461538464</v>
      </c>
      <c r="BJ87" s="1">
        <f t="shared" si="46"/>
        <v>0.53</v>
      </c>
      <c r="BK87" s="1">
        <f t="shared" si="47"/>
        <v>0.38461538461538464</v>
      </c>
      <c r="BL87" s="22">
        <f t="shared" si="48"/>
        <v>0.38461538461538464</v>
      </c>
      <c r="BM87" s="1">
        <f t="shared" si="40"/>
        <v>1.0944378698224851E-2</v>
      </c>
      <c r="BN87" s="1">
        <f t="shared" si="41"/>
        <v>1.6292205715304115E-2</v>
      </c>
    </row>
    <row r="88" spans="1:66" x14ac:dyDescent="0.25">
      <c r="A88" s="3"/>
      <c r="B88" s="3"/>
      <c r="C88" t="s">
        <v>75</v>
      </c>
      <c r="D88" s="5">
        <v>1</v>
      </c>
      <c r="E88" s="9">
        <f t="shared" si="25"/>
        <v>20</v>
      </c>
      <c r="F88" s="9">
        <f t="shared" si="26"/>
        <v>0.90277777777777779</v>
      </c>
      <c r="G88">
        <v>8</v>
      </c>
      <c r="H88">
        <v>7</v>
      </c>
      <c r="I88">
        <v>15</v>
      </c>
      <c r="J88">
        <v>0</v>
      </c>
      <c r="K88">
        <v>0</v>
      </c>
      <c r="L88">
        <v>0</v>
      </c>
      <c r="M88">
        <v>0</v>
      </c>
      <c r="N88">
        <v>0</v>
      </c>
      <c r="O88">
        <v>5</v>
      </c>
      <c r="P88">
        <v>0</v>
      </c>
      <c r="Q88">
        <v>65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19</v>
      </c>
      <c r="AK88" t="s">
        <v>1</v>
      </c>
      <c r="AL88" t="s">
        <v>372</v>
      </c>
      <c r="AQ88" s="1">
        <f t="shared" si="42"/>
        <v>100</v>
      </c>
      <c r="AR88" s="1">
        <f t="shared" si="27"/>
        <v>0.05</v>
      </c>
      <c r="AS88" s="1">
        <f t="shared" si="28"/>
        <v>0.08</v>
      </c>
      <c r="AT88" s="1">
        <f t="shared" si="29"/>
        <v>7.0000000000000007E-2</v>
      </c>
      <c r="AU88" s="1">
        <f t="shared" si="30"/>
        <v>0.65</v>
      </c>
      <c r="AV88" s="1">
        <f t="shared" si="43"/>
        <v>0.19</v>
      </c>
      <c r="AX88" s="1">
        <f t="shared" si="44"/>
        <v>4.333333333333333</v>
      </c>
      <c r="AY88" s="1">
        <f t="shared" si="31"/>
        <v>0.33333333333333331</v>
      </c>
      <c r="AZ88" s="1">
        <f t="shared" si="32"/>
        <v>0.77083333333333326</v>
      </c>
      <c r="BA88" s="1">
        <f t="shared" si="33"/>
        <v>1.5833333333333333</v>
      </c>
      <c r="BB88" s="1">
        <f t="shared" si="34"/>
        <v>0.33333333333333331</v>
      </c>
      <c r="BC88" s="1">
        <f t="shared" si="35"/>
        <v>0.33333333333333331</v>
      </c>
      <c r="BD88" s="1">
        <f t="shared" si="45"/>
        <v>0.14333333333333331</v>
      </c>
      <c r="BF88">
        <f t="shared" si="36"/>
        <v>39</v>
      </c>
      <c r="BG88">
        <f t="shared" si="37"/>
        <v>12.5</v>
      </c>
      <c r="BH88" s="1">
        <f t="shared" si="38"/>
        <v>1.6666666666666667</v>
      </c>
      <c r="BI88" s="1">
        <f t="shared" si="39"/>
        <v>0.32051282051282054</v>
      </c>
      <c r="BJ88" s="1">
        <f t="shared" si="46"/>
        <v>0.53</v>
      </c>
      <c r="BK88" s="1">
        <f t="shared" si="47"/>
        <v>0.32051282051282054</v>
      </c>
      <c r="BL88" s="22">
        <f t="shared" si="48"/>
        <v>0.32051282051282054</v>
      </c>
      <c r="BM88" s="1">
        <f t="shared" si="40"/>
        <v>1.7033596318211709E-2</v>
      </c>
      <c r="BN88" s="1">
        <f t="shared" si="41"/>
        <v>4.7367572201518292E-2</v>
      </c>
    </row>
    <row r="89" spans="1:66" x14ac:dyDescent="0.25">
      <c r="A89" s="3"/>
      <c r="B89" s="3"/>
      <c r="C89" t="s">
        <v>74</v>
      </c>
      <c r="D89" s="5">
        <v>1</v>
      </c>
      <c r="E89" s="9">
        <f t="shared" si="25"/>
        <v>20</v>
      </c>
      <c r="F89" s="9">
        <f t="shared" si="26"/>
        <v>0.90277777777777779</v>
      </c>
      <c r="G89">
        <v>8</v>
      </c>
      <c r="H89">
        <v>7</v>
      </c>
      <c r="I89">
        <v>20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65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15</v>
      </c>
      <c r="AK89" t="s">
        <v>1</v>
      </c>
      <c r="AL89" t="s">
        <v>372</v>
      </c>
      <c r="AQ89" s="1">
        <f t="shared" si="42"/>
        <v>100</v>
      </c>
      <c r="AR89" s="1">
        <f t="shared" si="27"/>
        <v>0</v>
      </c>
      <c r="AS89" s="1">
        <f t="shared" si="28"/>
        <v>0.08</v>
      </c>
      <c r="AT89" s="1">
        <f t="shared" si="29"/>
        <v>7.0000000000000007E-2</v>
      </c>
      <c r="AU89" s="1">
        <f t="shared" si="30"/>
        <v>0.65</v>
      </c>
      <c r="AV89" s="1">
        <f t="shared" si="43"/>
        <v>0.15</v>
      </c>
      <c r="AX89" s="1">
        <f t="shared" si="44"/>
        <v>4.333333333333333</v>
      </c>
      <c r="AY89" s="1">
        <f t="shared" si="31"/>
        <v>0</v>
      </c>
      <c r="AZ89" s="1">
        <f t="shared" si="32"/>
        <v>0.77083333333333326</v>
      </c>
      <c r="BA89" s="1">
        <f t="shared" si="33"/>
        <v>1.5833333333333333</v>
      </c>
      <c r="BB89" s="1">
        <f t="shared" si="34"/>
        <v>0</v>
      </c>
      <c r="BC89" s="1">
        <f t="shared" si="35"/>
        <v>0</v>
      </c>
      <c r="BD89" s="1">
        <f t="shared" si="45"/>
        <v>0.15</v>
      </c>
      <c r="BF89">
        <f t="shared" si="36"/>
        <v>39</v>
      </c>
      <c r="BG89">
        <f t="shared" si="37"/>
        <v>10</v>
      </c>
      <c r="BH89" s="1">
        <f t="shared" si="38"/>
        <v>1.6666666666666667</v>
      </c>
      <c r="BI89" s="1">
        <f t="shared" si="39"/>
        <v>0.25641025641025639</v>
      </c>
      <c r="BJ89" s="1">
        <f t="shared" si="46"/>
        <v>0.53</v>
      </c>
      <c r="BK89" s="1">
        <f t="shared" si="47"/>
        <v>0.25641025641025639</v>
      </c>
      <c r="BL89" s="22">
        <f t="shared" si="48"/>
        <v>0.25641025641025639</v>
      </c>
      <c r="BM89" s="1">
        <f t="shared" si="40"/>
        <v>1.1323142669296512E-2</v>
      </c>
      <c r="BN89" s="1">
        <f t="shared" si="41"/>
        <v>6.637884619539125E-2</v>
      </c>
    </row>
    <row r="90" spans="1:66" x14ac:dyDescent="0.25">
      <c r="A90" s="3"/>
      <c r="B90" s="3"/>
      <c r="C90" t="s">
        <v>76</v>
      </c>
      <c r="D90" s="5">
        <v>1</v>
      </c>
      <c r="E90" s="9">
        <f t="shared" si="25"/>
        <v>20</v>
      </c>
      <c r="F90" s="9">
        <f t="shared" si="26"/>
        <v>0.70833333333333337</v>
      </c>
      <c r="G90">
        <v>8</v>
      </c>
      <c r="H90">
        <v>21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20</v>
      </c>
      <c r="P90">
        <v>0</v>
      </c>
      <c r="Q90">
        <v>51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51</v>
      </c>
      <c r="AK90" t="s">
        <v>1</v>
      </c>
      <c r="AL90" t="s">
        <v>372</v>
      </c>
      <c r="AQ90" s="1">
        <f t="shared" si="42"/>
        <v>100</v>
      </c>
      <c r="AR90" s="1">
        <f t="shared" si="27"/>
        <v>0.2</v>
      </c>
      <c r="AS90" s="1">
        <f t="shared" si="28"/>
        <v>0.08</v>
      </c>
      <c r="AT90" s="1">
        <f t="shared" si="29"/>
        <v>0.21</v>
      </c>
      <c r="AU90" s="1">
        <f t="shared" si="30"/>
        <v>0.51</v>
      </c>
      <c r="AV90" s="1">
        <f t="shared" si="43"/>
        <v>0.51</v>
      </c>
      <c r="AX90" s="1">
        <f t="shared" si="44"/>
        <v>1.7586206896551726</v>
      </c>
      <c r="AY90" s="1">
        <f t="shared" si="31"/>
        <v>0.68965517241379315</v>
      </c>
      <c r="AZ90" s="1">
        <f t="shared" si="32"/>
        <v>0.60991379310344829</v>
      </c>
      <c r="BA90" s="1">
        <f t="shared" si="33"/>
        <v>0.93965517241379315</v>
      </c>
      <c r="BB90" s="1">
        <f t="shared" si="34"/>
        <v>0.60991379310344829</v>
      </c>
      <c r="BC90" s="1">
        <f t="shared" si="35"/>
        <v>0.60991379310344829</v>
      </c>
      <c r="BD90" s="1">
        <f t="shared" si="45"/>
        <v>9.9913793103448278E-2</v>
      </c>
      <c r="BF90">
        <f t="shared" si="36"/>
        <v>53</v>
      </c>
      <c r="BG90">
        <f t="shared" si="37"/>
        <v>20</v>
      </c>
      <c r="BH90" s="1">
        <f t="shared" si="38"/>
        <v>0.96226415094339623</v>
      </c>
      <c r="BI90" s="1">
        <f t="shared" si="39"/>
        <v>0.37735849056603776</v>
      </c>
      <c r="BJ90" s="1">
        <f t="shared" si="46"/>
        <v>0.48773584905660378</v>
      </c>
      <c r="BK90" s="1">
        <f t="shared" si="47"/>
        <v>0.37735849056603776</v>
      </c>
      <c r="BL90" s="22">
        <f t="shared" si="48"/>
        <v>0.37735849056603776</v>
      </c>
      <c r="BM90" s="1">
        <f t="shared" si="40"/>
        <v>1.7593770024919894E-2</v>
      </c>
      <c r="BN90" s="1">
        <f t="shared" si="41"/>
        <v>1.0477380250534563E-2</v>
      </c>
    </row>
    <row r="91" spans="1:66" x14ac:dyDescent="0.25">
      <c r="A91" s="3"/>
      <c r="B91" s="3"/>
      <c r="C91" t="s">
        <v>77</v>
      </c>
      <c r="D91" s="5">
        <v>1</v>
      </c>
      <c r="E91" s="9">
        <f t="shared" si="25"/>
        <v>20</v>
      </c>
      <c r="F91" s="9">
        <f t="shared" si="26"/>
        <v>0.70833333333333337</v>
      </c>
      <c r="G91">
        <v>8</v>
      </c>
      <c r="H91">
        <v>21</v>
      </c>
      <c r="I91">
        <v>5</v>
      </c>
      <c r="J91">
        <v>0</v>
      </c>
      <c r="K91">
        <v>0</v>
      </c>
      <c r="L91">
        <v>0</v>
      </c>
      <c r="M91">
        <v>0</v>
      </c>
      <c r="N91">
        <v>0</v>
      </c>
      <c r="O91">
        <v>15</v>
      </c>
      <c r="P91">
        <v>0</v>
      </c>
      <c r="Q91">
        <v>51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36</v>
      </c>
      <c r="AK91" t="s">
        <v>1</v>
      </c>
      <c r="AL91" t="s">
        <v>372</v>
      </c>
      <c r="AQ91" s="1">
        <f t="shared" si="42"/>
        <v>100</v>
      </c>
      <c r="AR91" s="1">
        <f t="shared" si="27"/>
        <v>0.15</v>
      </c>
      <c r="AS91" s="1">
        <f t="shared" si="28"/>
        <v>0.08</v>
      </c>
      <c r="AT91" s="1">
        <f t="shared" si="29"/>
        <v>0.21</v>
      </c>
      <c r="AU91" s="1">
        <f t="shared" si="30"/>
        <v>0.51</v>
      </c>
      <c r="AV91" s="1">
        <f t="shared" si="43"/>
        <v>0.36</v>
      </c>
      <c r="AX91" s="1">
        <f t="shared" si="44"/>
        <v>1.7586206896551726</v>
      </c>
      <c r="AY91" s="1">
        <f t="shared" si="31"/>
        <v>0.51724137931034486</v>
      </c>
      <c r="AZ91" s="1">
        <f t="shared" si="32"/>
        <v>0.60991379310344829</v>
      </c>
      <c r="BA91" s="1">
        <f t="shared" si="33"/>
        <v>0.93965517241379315</v>
      </c>
      <c r="BB91" s="1">
        <f t="shared" si="34"/>
        <v>0.51724137931034486</v>
      </c>
      <c r="BC91" s="1">
        <f t="shared" si="35"/>
        <v>0.51724137931034486</v>
      </c>
      <c r="BD91" s="1">
        <f t="shared" si="45"/>
        <v>0.15724137931034488</v>
      </c>
      <c r="BF91">
        <f t="shared" si="36"/>
        <v>53</v>
      </c>
      <c r="BG91">
        <f t="shared" si="37"/>
        <v>17.5</v>
      </c>
      <c r="BH91" s="1">
        <f t="shared" si="38"/>
        <v>0.96226415094339623</v>
      </c>
      <c r="BI91" s="1">
        <f t="shared" si="39"/>
        <v>0.330188679245283</v>
      </c>
      <c r="BJ91" s="1">
        <f t="shared" si="46"/>
        <v>0.48773584905660378</v>
      </c>
      <c r="BK91" s="1">
        <f t="shared" si="47"/>
        <v>0.330188679245283</v>
      </c>
      <c r="BL91" s="22">
        <f t="shared" si="48"/>
        <v>0.330188679245283</v>
      </c>
      <c r="BM91" s="1">
        <f t="shared" si="40"/>
        <v>8.8871484514061968E-4</v>
      </c>
      <c r="BN91" s="1">
        <f t="shared" si="41"/>
        <v>2.2696577275581882E-3</v>
      </c>
    </row>
    <row r="92" spans="1:66" x14ac:dyDescent="0.25">
      <c r="A92" s="3"/>
      <c r="B92" s="3"/>
      <c r="C92" t="s">
        <v>78</v>
      </c>
      <c r="D92" s="5">
        <v>1</v>
      </c>
      <c r="E92" s="9">
        <f t="shared" si="25"/>
        <v>20</v>
      </c>
      <c r="F92" s="9">
        <f t="shared" si="26"/>
        <v>0.70833333333333337</v>
      </c>
      <c r="G92">
        <v>8</v>
      </c>
      <c r="H92">
        <v>21</v>
      </c>
      <c r="I92">
        <v>10</v>
      </c>
      <c r="J92">
        <v>0</v>
      </c>
      <c r="K92">
        <v>0</v>
      </c>
      <c r="L92">
        <v>0</v>
      </c>
      <c r="M92">
        <v>0</v>
      </c>
      <c r="N92">
        <v>0</v>
      </c>
      <c r="O92">
        <v>10</v>
      </c>
      <c r="P92">
        <v>0</v>
      </c>
      <c r="Q92">
        <v>51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32</v>
      </c>
      <c r="AK92" t="s">
        <v>1</v>
      </c>
      <c r="AL92" t="s">
        <v>372</v>
      </c>
      <c r="AQ92" s="1">
        <f t="shared" si="42"/>
        <v>100</v>
      </c>
      <c r="AR92" s="1">
        <f t="shared" si="27"/>
        <v>0.1</v>
      </c>
      <c r="AS92" s="1">
        <f t="shared" si="28"/>
        <v>0.08</v>
      </c>
      <c r="AT92" s="1">
        <f t="shared" si="29"/>
        <v>0.21</v>
      </c>
      <c r="AU92" s="1">
        <f t="shared" si="30"/>
        <v>0.51</v>
      </c>
      <c r="AV92" s="1">
        <f t="shared" si="43"/>
        <v>0.32</v>
      </c>
      <c r="AX92" s="1">
        <f t="shared" si="44"/>
        <v>1.7586206896551726</v>
      </c>
      <c r="AY92" s="1">
        <f t="shared" si="31"/>
        <v>0.34482758620689657</v>
      </c>
      <c r="AZ92" s="1">
        <f t="shared" si="32"/>
        <v>0.60991379310344829</v>
      </c>
      <c r="BA92" s="1">
        <f t="shared" si="33"/>
        <v>0.93965517241379315</v>
      </c>
      <c r="BB92" s="1">
        <f t="shared" si="34"/>
        <v>0.34482758620689657</v>
      </c>
      <c r="BC92" s="1">
        <f t="shared" si="35"/>
        <v>0.34482758620689657</v>
      </c>
      <c r="BD92" s="1">
        <f t="shared" si="45"/>
        <v>2.4827586206896568E-2</v>
      </c>
      <c r="BF92">
        <f t="shared" si="36"/>
        <v>53</v>
      </c>
      <c r="BG92">
        <f t="shared" si="37"/>
        <v>15</v>
      </c>
      <c r="BH92" s="1">
        <f t="shared" si="38"/>
        <v>0.96226415094339623</v>
      </c>
      <c r="BI92" s="1">
        <f t="shared" si="39"/>
        <v>0.28301886792452829</v>
      </c>
      <c r="BJ92" s="1">
        <f t="shared" si="46"/>
        <v>0.48773584905660378</v>
      </c>
      <c r="BK92" s="1">
        <f t="shared" si="47"/>
        <v>0.28301886792452829</v>
      </c>
      <c r="BL92" s="22">
        <f t="shared" si="48"/>
        <v>0.28301886792452829</v>
      </c>
      <c r="BM92" s="1">
        <f t="shared" si="40"/>
        <v>1.3676041295834827E-3</v>
      </c>
      <c r="BN92" s="1">
        <f t="shared" si="41"/>
        <v>7.680931721431152E-3</v>
      </c>
    </row>
    <row r="93" spans="1:66" x14ac:dyDescent="0.25">
      <c r="A93" s="3"/>
      <c r="B93" s="3"/>
      <c r="C93" t="s">
        <v>79</v>
      </c>
      <c r="D93" s="5">
        <v>1</v>
      </c>
      <c r="E93" s="9">
        <f t="shared" si="25"/>
        <v>20</v>
      </c>
      <c r="F93" s="9">
        <f t="shared" si="26"/>
        <v>0.70833333333333337</v>
      </c>
      <c r="G93">
        <v>8</v>
      </c>
      <c r="H93">
        <v>21</v>
      </c>
      <c r="I93">
        <v>15</v>
      </c>
      <c r="J93">
        <v>0</v>
      </c>
      <c r="K93">
        <v>0</v>
      </c>
      <c r="L93">
        <v>0</v>
      </c>
      <c r="M93">
        <v>0</v>
      </c>
      <c r="N93">
        <v>0</v>
      </c>
      <c r="O93">
        <v>5</v>
      </c>
      <c r="P93">
        <v>0</v>
      </c>
      <c r="Q93">
        <v>51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27</v>
      </c>
      <c r="AK93" t="s">
        <v>1</v>
      </c>
      <c r="AL93" t="s">
        <v>372</v>
      </c>
      <c r="AQ93" s="1">
        <f t="shared" si="42"/>
        <v>100</v>
      </c>
      <c r="AR93" s="1">
        <f t="shared" si="27"/>
        <v>0.05</v>
      </c>
      <c r="AS93" s="1">
        <f t="shared" si="28"/>
        <v>0.08</v>
      </c>
      <c r="AT93" s="1">
        <f t="shared" si="29"/>
        <v>0.21</v>
      </c>
      <c r="AU93" s="1">
        <f t="shared" si="30"/>
        <v>0.51</v>
      </c>
      <c r="AV93" s="1">
        <f t="shared" si="43"/>
        <v>0.27</v>
      </c>
      <c r="AX93" s="1">
        <f t="shared" si="44"/>
        <v>1.7586206896551726</v>
      </c>
      <c r="AY93" s="1">
        <f t="shared" si="31"/>
        <v>0.17241379310344829</v>
      </c>
      <c r="AZ93" s="1">
        <f t="shared" si="32"/>
        <v>0.60991379310344829</v>
      </c>
      <c r="BA93" s="1">
        <f t="shared" si="33"/>
        <v>0.93965517241379315</v>
      </c>
      <c r="BB93" s="1">
        <f t="shared" si="34"/>
        <v>0.17241379310344829</v>
      </c>
      <c r="BC93" s="1">
        <f t="shared" si="35"/>
        <v>0.17241379310344829</v>
      </c>
      <c r="BD93" s="1">
        <f t="shared" si="45"/>
        <v>9.758620689655173E-2</v>
      </c>
      <c r="BF93">
        <f t="shared" si="36"/>
        <v>53</v>
      </c>
      <c r="BG93">
        <f t="shared" si="37"/>
        <v>12.5</v>
      </c>
      <c r="BH93" s="1">
        <f t="shared" si="38"/>
        <v>0.96226415094339623</v>
      </c>
      <c r="BI93" s="1">
        <f t="shared" si="39"/>
        <v>0.23584905660377359</v>
      </c>
      <c r="BJ93" s="1">
        <f t="shared" si="46"/>
        <v>0.48773584905660378</v>
      </c>
      <c r="BK93" s="1">
        <f t="shared" si="47"/>
        <v>0.23584905660377359</v>
      </c>
      <c r="BL93" s="22">
        <f t="shared" si="48"/>
        <v>0.23584905660377359</v>
      </c>
      <c r="BM93" s="1">
        <f t="shared" si="40"/>
        <v>1.1662869348522617E-3</v>
      </c>
      <c r="BN93" s="1">
        <f t="shared" si="41"/>
        <v>1.8945024213772359E-2</v>
      </c>
    </row>
    <row r="94" spans="1:66" x14ac:dyDescent="0.25">
      <c r="A94" s="3"/>
      <c r="B94" s="3"/>
      <c r="C94" t="s">
        <v>80</v>
      </c>
      <c r="D94" s="5">
        <v>1</v>
      </c>
      <c r="E94" s="9">
        <f t="shared" si="25"/>
        <v>20</v>
      </c>
      <c r="F94" s="9">
        <f t="shared" si="26"/>
        <v>0.70833333333333337</v>
      </c>
      <c r="G94">
        <v>8</v>
      </c>
      <c r="H94">
        <v>21</v>
      </c>
      <c r="I94">
        <v>20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51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21</v>
      </c>
      <c r="AK94" t="s">
        <v>1</v>
      </c>
      <c r="AL94" t="s">
        <v>372</v>
      </c>
      <c r="AQ94" s="1">
        <f t="shared" si="42"/>
        <v>100</v>
      </c>
      <c r="AR94" s="1">
        <f t="shared" si="27"/>
        <v>0</v>
      </c>
      <c r="AS94" s="1">
        <f t="shared" si="28"/>
        <v>0.08</v>
      </c>
      <c r="AT94" s="1">
        <f t="shared" si="29"/>
        <v>0.21</v>
      </c>
      <c r="AU94" s="1">
        <f t="shared" si="30"/>
        <v>0.51</v>
      </c>
      <c r="AV94" s="1">
        <f t="shared" si="43"/>
        <v>0.21</v>
      </c>
      <c r="AX94" s="1">
        <f t="shared" si="44"/>
        <v>1.7586206896551726</v>
      </c>
      <c r="AY94" s="1">
        <f t="shared" si="31"/>
        <v>0</v>
      </c>
      <c r="AZ94" s="1">
        <f t="shared" si="32"/>
        <v>0.60991379310344829</v>
      </c>
      <c r="BA94" s="1">
        <f t="shared" si="33"/>
        <v>0.93965517241379315</v>
      </c>
      <c r="BB94" s="1">
        <f t="shared" si="34"/>
        <v>0</v>
      </c>
      <c r="BC94" s="1">
        <f t="shared" si="35"/>
        <v>0</v>
      </c>
      <c r="BD94" s="1">
        <f t="shared" si="45"/>
        <v>0.21</v>
      </c>
      <c r="BF94">
        <f t="shared" si="36"/>
        <v>53</v>
      </c>
      <c r="BG94">
        <f t="shared" si="37"/>
        <v>10</v>
      </c>
      <c r="BH94" s="1">
        <f t="shared" si="38"/>
        <v>0.96226415094339623</v>
      </c>
      <c r="BI94" s="1">
        <f t="shared" si="39"/>
        <v>0.18867924528301888</v>
      </c>
      <c r="BJ94" s="1">
        <f t="shared" si="46"/>
        <v>0.48773584905660378</v>
      </c>
      <c r="BK94" s="1">
        <f t="shared" si="47"/>
        <v>0.18867924528301888</v>
      </c>
      <c r="BL94" s="22">
        <f t="shared" si="48"/>
        <v>0.18867924528301888</v>
      </c>
      <c r="BM94" s="1">
        <f t="shared" si="40"/>
        <v>4.5457458170167231E-4</v>
      </c>
      <c r="BN94" s="1">
        <f t="shared" si="41"/>
        <v>3.9061935204581816E-2</v>
      </c>
    </row>
    <row r="95" spans="1:66" x14ac:dyDescent="0.25">
      <c r="A95" s="3"/>
      <c r="B95" s="3"/>
      <c r="C95" t="s">
        <v>81</v>
      </c>
      <c r="D95" s="5">
        <v>1</v>
      </c>
      <c r="E95" s="9">
        <f t="shared" si="25"/>
        <v>14.77</v>
      </c>
      <c r="F95" s="9">
        <f t="shared" si="26"/>
        <v>0.94300518134715017</v>
      </c>
      <c r="G95">
        <v>0.16</v>
      </c>
      <c r="H95">
        <v>4.84</v>
      </c>
      <c r="I95">
        <v>0</v>
      </c>
      <c r="J95">
        <v>0</v>
      </c>
      <c r="K95">
        <v>0.15</v>
      </c>
      <c r="L95">
        <v>0</v>
      </c>
      <c r="M95">
        <v>0</v>
      </c>
      <c r="N95">
        <v>0</v>
      </c>
      <c r="O95">
        <v>14.77</v>
      </c>
      <c r="P95">
        <v>0</v>
      </c>
      <c r="Q95">
        <v>80.08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94.9</v>
      </c>
      <c r="AK95" t="s">
        <v>1</v>
      </c>
      <c r="AL95" t="s">
        <v>374</v>
      </c>
      <c r="AM95" t="s">
        <v>394</v>
      </c>
      <c r="AN95" t="s">
        <v>373</v>
      </c>
      <c r="AO95" t="s">
        <v>375</v>
      </c>
      <c r="AQ95" s="1">
        <f t="shared" si="42"/>
        <v>100</v>
      </c>
      <c r="AR95" s="1">
        <f t="shared" si="27"/>
        <v>0.1477</v>
      </c>
      <c r="AS95" s="1">
        <f t="shared" si="28"/>
        <v>1.6000000000000001E-3</v>
      </c>
      <c r="AT95" s="1">
        <f t="shared" si="29"/>
        <v>4.8399999999999999E-2</v>
      </c>
      <c r="AU95" s="1">
        <f t="shared" si="30"/>
        <v>0.80079999999999996</v>
      </c>
      <c r="AV95" s="1">
        <f t="shared" si="43"/>
        <v>0.94900000000000007</v>
      </c>
      <c r="AX95" s="1">
        <f t="shared" si="44"/>
        <v>16.016000000000002</v>
      </c>
      <c r="AY95" s="1">
        <f t="shared" si="31"/>
        <v>2.9540000000000002</v>
      </c>
      <c r="AZ95" s="1">
        <f t="shared" si="32"/>
        <v>1.5010000000000001</v>
      </c>
      <c r="BA95" s="1">
        <f t="shared" si="33"/>
        <v>4.5040000000000004</v>
      </c>
      <c r="BB95" s="1">
        <f t="shared" si="34"/>
        <v>1.5010000000000001</v>
      </c>
      <c r="BC95" s="1">
        <f t="shared" si="35"/>
        <v>1</v>
      </c>
      <c r="BD95" s="1">
        <f t="shared" si="45"/>
        <v>5.0999999999999934E-2</v>
      </c>
      <c r="BF95">
        <f t="shared" si="36"/>
        <v>5.4799999999999995</v>
      </c>
      <c r="BG95">
        <f t="shared" si="37"/>
        <v>14.77</v>
      </c>
      <c r="BH95" s="1">
        <f t="shared" si="38"/>
        <v>14.613138686131387</v>
      </c>
      <c r="BI95" s="1">
        <f t="shared" si="39"/>
        <v>2.695255474452555</v>
      </c>
      <c r="BJ95" s="1">
        <f t="shared" si="46"/>
        <v>1.3067883211678832</v>
      </c>
      <c r="BK95" s="1">
        <f t="shared" si="47"/>
        <v>1.5068693637219186</v>
      </c>
      <c r="BL95" s="22">
        <f t="shared" si="48"/>
        <v>1</v>
      </c>
      <c r="BM95" s="1">
        <f t="shared" si="40"/>
        <v>2.6009999999999935E-3</v>
      </c>
      <c r="BN95" s="1">
        <f t="shared" si="41"/>
        <v>0.29306964816777881</v>
      </c>
    </row>
    <row r="96" spans="1:66" x14ac:dyDescent="0.25">
      <c r="A96" s="3"/>
      <c r="B96" s="3"/>
      <c r="C96" t="s">
        <v>82</v>
      </c>
      <c r="D96" s="5">
        <v>1</v>
      </c>
      <c r="E96" s="9">
        <f t="shared" si="25"/>
        <v>14.6</v>
      </c>
      <c r="F96" s="9">
        <f t="shared" si="26"/>
        <v>0.94241956547548389</v>
      </c>
      <c r="G96">
        <v>1.1599999999999999</v>
      </c>
      <c r="H96">
        <v>4.8499999999999996</v>
      </c>
      <c r="I96">
        <v>0</v>
      </c>
      <c r="J96">
        <v>0</v>
      </c>
      <c r="K96">
        <v>0.14000000000000001</v>
      </c>
      <c r="L96">
        <v>0</v>
      </c>
      <c r="M96">
        <v>0</v>
      </c>
      <c r="N96">
        <v>0</v>
      </c>
      <c r="O96">
        <v>14.6</v>
      </c>
      <c r="P96">
        <v>0</v>
      </c>
      <c r="Q96">
        <v>79.38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93.2</v>
      </c>
      <c r="AK96" t="s">
        <v>1</v>
      </c>
      <c r="AL96" t="s">
        <v>374</v>
      </c>
      <c r="AQ96" s="1">
        <f t="shared" si="42"/>
        <v>100.13</v>
      </c>
      <c r="AR96" s="1">
        <f t="shared" si="27"/>
        <v>0.14599999999999999</v>
      </c>
      <c r="AS96" s="1">
        <f t="shared" si="28"/>
        <v>1.1599999999999999E-2</v>
      </c>
      <c r="AT96" s="1">
        <f t="shared" si="29"/>
        <v>4.8499999999999995E-2</v>
      </c>
      <c r="AU96" s="1">
        <f t="shared" si="30"/>
        <v>0.79379999999999995</v>
      </c>
      <c r="AV96" s="1">
        <f t="shared" si="43"/>
        <v>0.93200000000000005</v>
      </c>
      <c r="AX96" s="1">
        <f t="shared" si="44"/>
        <v>13.207986688851914</v>
      </c>
      <c r="AY96" s="1">
        <f t="shared" si="31"/>
        <v>2.4292845257903495</v>
      </c>
      <c r="AZ96" s="1">
        <f t="shared" si="32"/>
        <v>1.3254991680532446</v>
      </c>
      <c r="BA96" s="1">
        <f t="shared" si="33"/>
        <v>3.8019966722129785</v>
      </c>
      <c r="BB96" s="1">
        <f t="shared" si="34"/>
        <v>1.3254991680532446</v>
      </c>
      <c r="BC96" s="1">
        <f t="shared" si="35"/>
        <v>1</v>
      </c>
      <c r="BD96" s="1">
        <f t="shared" si="45"/>
        <v>6.7999999999999949E-2</v>
      </c>
      <c r="BF96">
        <f t="shared" si="36"/>
        <v>9.4899999999999984</v>
      </c>
      <c r="BG96">
        <f t="shared" si="37"/>
        <v>14.6</v>
      </c>
      <c r="BH96" s="1">
        <f t="shared" si="38"/>
        <v>8.3645943097997897</v>
      </c>
      <c r="BI96" s="1">
        <f t="shared" si="39"/>
        <v>1.5384615384615388</v>
      </c>
      <c r="BJ96" s="1">
        <f t="shared" si="46"/>
        <v>0.93187565858798727</v>
      </c>
      <c r="BK96" s="1">
        <f t="shared" si="47"/>
        <v>0.99699941645296897</v>
      </c>
      <c r="BL96" s="22">
        <f t="shared" si="48"/>
        <v>0.99699941645296897</v>
      </c>
      <c r="BM96" s="1">
        <f t="shared" si="40"/>
        <v>4.2249241392264859E-3</v>
      </c>
      <c r="BN96" s="1">
        <f t="shared" si="41"/>
        <v>0.27495243961517479</v>
      </c>
    </row>
    <row r="97" spans="1:66" x14ac:dyDescent="0.25">
      <c r="A97" s="3"/>
      <c r="B97" s="3"/>
      <c r="C97" t="s">
        <v>85</v>
      </c>
      <c r="D97" s="5">
        <v>1</v>
      </c>
      <c r="E97" s="9">
        <f t="shared" si="25"/>
        <v>14.4</v>
      </c>
      <c r="F97" s="9">
        <f t="shared" si="26"/>
        <v>0.94371257485029936</v>
      </c>
      <c r="G97">
        <v>2</v>
      </c>
      <c r="H97">
        <v>4.7</v>
      </c>
      <c r="I97">
        <v>0</v>
      </c>
      <c r="J97">
        <v>0</v>
      </c>
      <c r="K97">
        <v>0.08</v>
      </c>
      <c r="L97">
        <v>0</v>
      </c>
      <c r="M97">
        <v>0</v>
      </c>
      <c r="N97">
        <v>0</v>
      </c>
      <c r="O97">
        <v>14.4</v>
      </c>
      <c r="P97">
        <v>0</v>
      </c>
      <c r="Q97">
        <v>78.8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94.6</v>
      </c>
      <c r="AK97" t="s">
        <v>1</v>
      </c>
      <c r="AL97" t="s">
        <v>374</v>
      </c>
      <c r="AQ97" s="1">
        <f t="shared" si="42"/>
        <v>99.97999999999999</v>
      </c>
      <c r="AR97" s="1">
        <f t="shared" si="27"/>
        <v>0.14400000000000002</v>
      </c>
      <c r="AS97" s="1">
        <f t="shared" si="28"/>
        <v>0.02</v>
      </c>
      <c r="AT97" s="1">
        <f t="shared" si="29"/>
        <v>4.7E-2</v>
      </c>
      <c r="AU97" s="1">
        <f t="shared" si="30"/>
        <v>0.78799999999999992</v>
      </c>
      <c r="AV97" s="1">
        <f t="shared" si="43"/>
        <v>0.94599999999999995</v>
      </c>
      <c r="AX97" s="1">
        <f t="shared" si="44"/>
        <v>11.761194029850744</v>
      </c>
      <c r="AY97" s="1">
        <f t="shared" si="31"/>
        <v>2.1492537313432836</v>
      </c>
      <c r="AZ97" s="1">
        <f t="shared" si="32"/>
        <v>1.2350746268656714</v>
      </c>
      <c r="BA97" s="1">
        <f t="shared" si="33"/>
        <v>3.440298507462686</v>
      </c>
      <c r="BB97" s="1">
        <f t="shared" si="34"/>
        <v>1.2350746268656714</v>
      </c>
      <c r="BC97" s="1">
        <f t="shared" si="35"/>
        <v>1</v>
      </c>
      <c r="BD97" s="1">
        <f t="shared" si="45"/>
        <v>5.4000000000000048E-2</v>
      </c>
      <c r="BF97">
        <f t="shared" si="36"/>
        <v>12.7</v>
      </c>
      <c r="BG97">
        <f t="shared" si="37"/>
        <v>14.4</v>
      </c>
      <c r="BH97" s="1">
        <f t="shared" si="38"/>
        <v>6.2047244094488194</v>
      </c>
      <c r="BI97" s="1">
        <f t="shared" si="39"/>
        <v>1.1338582677165354</v>
      </c>
      <c r="BJ97" s="1">
        <f t="shared" si="46"/>
        <v>0.80228346456692923</v>
      </c>
      <c r="BK97" s="1">
        <f t="shared" si="47"/>
        <v>0.81620581074318321</v>
      </c>
      <c r="BL97" s="22">
        <f t="shared" si="48"/>
        <v>0.81620581074318321</v>
      </c>
      <c r="BM97" s="1">
        <f t="shared" si="40"/>
        <v>1.6846531564834361E-2</v>
      </c>
      <c r="BN97" s="1">
        <f t="shared" si="41"/>
        <v>0.28983049371731917</v>
      </c>
    </row>
    <row r="98" spans="1:66" x14ac:dyDescent="0.25">
      <c r="A98" s="3"/>
      <c r="B98" s="3"/>
      <c r="C98" t="s">
        <v>83</v>
      </c>
      <c r="D98" s="5">
        <v>1</v>
      </c>
      <c r="E98" s="9">
        <f t="shared" si="25"/>
        <v>13.6</v>
      </c>
      <c r="F98" s="9">
        <f t="shared" si="26"/>
        <v>0.94896719319562572</v>
      </c>
      <c r="G98">
        <v>4</v>
      </c>
      <c r="H98">
        <v>4.2</v>
      </c>
      <c r="I98">
        <v>0</v>
      </c>
      <c r="J98">
        <v>0</v>
      </c>
      <c r="K98">
        <v>7.0000000000000007E-2</v>
      </c>
      <c r="L98">
        <v>0</v>
      </c>
      <c r="M98">
        <v>0</v>
      </c>
      <c r="N98">
        <v>0</v>
      </c>
      <c r="O98">
        <v>13.6</v>
      </c>
      <c r="P98">
        <v>0</v>
      </c>
      <c r="Q98">
        <v>78.099999999999994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91.6</v>
      </c>
      <c r="AK98" t="s">
        <v>1</v>
      </c>
      <c r="AL98" t="s">
        <v>374</v>
      </c>
      <c r="AQ98" s="1">
        <f t="shared" si="42"/>
        <v>99.97</v>
      </c>
      <c r="AR98" s="1">
        <f t="shared" si="27"/>
        <v>0.13600000000000001</v>
      </c>
      <c r="AS98" s="1">
        <f t="shared" si="28"/>
        <v>0.04</v>
      </c>
      <c r="AT98" s="1">
        <f t="shared" si="29"/>
        <v>4.2000000000000003E-2</v>
      </c>
      <c r="AU98" s="1">
        <f t="shared" si="30"/>
        <v>0.78099999999999992</v>
      </c>
      <c r="AV98" s="1">
        <f t="shared" si="43"/>
        <v>0.91599999999999993</v>
      </c>
      <c r="AX98" s="1">
        <f t="shared" si="44"/>
        <v>9.5243902439024382</v>
      </c>
      <c r="AY98" s="1">
        <f t="shared" si="31"/>
        <v>1.6585365853658538</v>
      </c>
      <c r="AZ98" s="1">
        <f t="shared" si="32"/>
        <v>1.0952743902439024</v>
      </c>
      <c r="BA98" s="1">
        <f t="shared" si="33"/>
        <v>2.8810975609756095</v>
      </c>
      <c r="BB98" s="1">
        <f t="shared" si="34"/>
        <v>1.0952743902439024</v>
      </c>
      <c r="BC98" s="1">
        <f t="shared" si="35"/>
        <v>1</v>
      </c>
      <c r="BD98" s="1">
        <f t="shared" si="45"/>
        <v>8.4000000000000075E-2</v>
      </c>
      <c r="BF98">
        <f t="shared" si="36"/>
        <v>20.2</v>
      </c>
      <c r="BG98">
        <f t="shared" si="37"/>
        <v>13.6</v>
      </c>
      <c r="BH98" s="1">
        <f t="shared" si="38"/>
        <v>3.8663366336633662</v>
      </c>
      <c r="BI98" s="1">
        <f t="shared" si="39"/>
        <v>0.67326732673267331</v>
      </c>
      <c r="BJ98" s="1">
        <f t="shared" si="46"/>
        <v>0.6619801980198019</v>
      </c>
      <c r="BK98" s="1">
        <f t="shared" si="47"/>
        <v>0.60730701546642507</v>
      </c>
      <c r="BL98" s="22">
        <f t="shared" si="48"/>
        <v>0.60730701546642507</v>
      </c>
      <c r="BM98" s="1">
        <f t="shared" si="40"/>
        <v>9.5291358700245882E-2</v>
      </c>
      <c r="BN98" s="1">
        <f t="shared" si="41"/>
        <v>0.25842894921272386</v>
      </c>
    </row>
    <row r="99" spans="1:66" x14ac:dyDescent="0.25">
      <c r="A99" s="3"/>
      <c r="B99" s="3"/>
      <c r="C99" t="s">
        <v>86</v>
      </c>
      <c r="D99" s="5">
        <v>1</v>
      </c>
      <c r="E99" s="9">
        <f t="shared" si="25"/>
        <v>13</v>
      </c>
      <c r="F99" s="9">
        <f t="shared" si="26"/>
        <v>0.94704433497536944</v>
      </c>
      <c r="G99">
        <v>5.7</v>
      </c>
      <c r="H99">
        <v>4.3</v>
      </c>
      <c r="I99">
        <v>0</v>
      </c>
      <c r="J99">
        <v>0</v>
      </c>
      <c r="K99">
        <v>0.06</v>
      </c>
      <c r="L99">
        <v>0</v>
      </c>
      <c r="M99">
        <v>0</v>
      </c>
      <c r="N99">
        <v>0</v>
      </c>
      <c r="O99">
        <v>13</v>
      </c>
      <c r="P99">
        <v>0</v>
      </c>
      <c r="Q99">
        <v>76.900000000000006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83.1</v>
      </c>
      <c r="AK99" t="s">
        <v>1</v>
      </c>
      <c r="AL99" t="s">
        <v>374</v>
      </c>
      <c r="AQ99" s="1">
        <f t="shared" si="42"/>
        <v>99.960000000000008</v>
      </c>
      <c r="AR99" s="1">
        <f t="shared" si="27"/>
        <v>0.13</v>
      </c>
      <c r="AS99" s="1">
        <f t="shared" si="28"/>
        <v>5.7000000000000002E-2</v>
      </c>
      <c r="AT99" s="1">
        <f t="shared" si="29"/>
        <v>4.2999999999999997E-2</v>
      </c>
      <c r="AU99" s="1">
        <f t="shared" si="30"/>
        <v>0.76900000000000002</v>
      </c>
      <c r="AV99" s="1">
        <f t="shared" si="43"/>
        <v>0.83099999999999996</v>
      </c>
      <c r="AX99" s="1">
        <f t="shared" si="44"/>
        <v>7.6899999999999995</v>
      </c>
      <c r="AY99" s="1">
        <f t="shared" si="31"/>
        <v>1.3</v>
      </c>
      <c r="AZ99" s="1">
        <f t="shared" si="32"/>
        <v>0.98062499999999997</v>
      </c>
      <c r="BA99" s="1">
        <f t="shared" si="33"/>
        <v>2.4224999999999999</v>
      </c>
      <c r="BB99" s="1">
        <f t="shared" si="34"/>
        <v>0.98062499999999997</v>
      </c>
      <c r="BC99" s="1">
        <f t="shared" si="35"/>
        <v>0.98062499999999997</v>
      </c>
      <c r="BD99" s="1">
        <f t="shared" si="45"/>
        <v>0.14962500000000001</v>
      </c>
      <c r="BF99">
        <f t="shared" si="36"/>
        <v>27.1</v>
      </c>
      <c r="BG99">
        <f t="shared" si="37"/>
        <v>13</v>
      </c>
      <c r="BH99" s="1">
        <f t="shared" si="38"/>
        <v>2.8376383763837638</v>
      </c>
      <c r="BI99" s="1">
        <f t="shared" si="39"/>
        <v>0.47970479704797048</v>
      </c>
      <c r="BJ99" s="1">
        <f t="shared" si="46"/>
        <v>0.60025830258302582</v>
      </c>
      <c r="BK99" s="1">
        <f t="shared" si="47"/>
        <v>0.47970479704797048</v>
      </c>
      <c r="BL99" s="22">
        <f t="shared" si="48"/>
        <v>0.47970479704797048</v>
      </c>
      <c r="BM99" s="1">
        <f t="shared" si="40"/>
        <v>0.12340831961710759</v>
      </c>
      <c r="BN99" s="1">
        <f t="shared" si="41"/>
        <v>0.17923290644970397</v>
      </c>
    </row>
    <row r="100" spans="1:66" x14ac:dyDescent="0.25">
      <c r="A100" s="3"/>
      <c r="B100" s="3"/>
      <c r="C100" t="s">
        <v>84</v>
      </c>
      <c r="D100" s="5">
        <v>1</v>
      </c>
      <c r="E100" s="9">
        <f t="shared" si="25"/>
        <v>12.3</v>
      </c>
      <c r="F100" s="9">
        <f t="shared" si="26"/>
        <v>0.94638403990024944</v>
      </c>
      <c r="G100">
        <v>7.5</v>
      </c>
      <c r="H100">
        <v>4.3</v>
      </c>
      <c r="I100">
        <v>0</v>
      </c>
      <c r="J100">
        <v>0</v>
      </c>
      <c r="K100">
        <v>7.0000000000000007E-2</v>
      </c>
      <c r="L100">
        <v>0</v>
      </c>
      <c r="M100">
        <v>0</v>
      </c>
      <c r="N100">
        <v>0</v>
      </c>
      <c r="O100">
        <v>12.3</v>
      </c>
      <c r="P100">
        <v>0</v>
      </c>
      <c r="Q100">
        <v>75.900000000000006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74.400000000000006</v>
      </c>
      <c r="AK100" t="s">
        <v>1</v>
      </c>
      <c r="AL100" t="s">
        <v>374</v>
      </c>
      <c r="AQ100" s="1">
        <f t="shared" si="42"/>
        <v>100.07000000000001</v>
      </c>
      <c r="AR100" s="1">
        <f t="shared" si="27"/>
        <v>0.12300000000000001</v>
      </c>
      <c r="AS100" s="1">
        <f t="shared" si="28"/>
        <v>7.4999999999999997E-2</v>
      </c>
      <c r="AT100" s="1">
        <f t="shared" si="29"/>
        <v>4.2999999999999997E-2</v>
      </c>
      <c r="AU100" s="1">
        <f t="shared" si="30"/>
        <v>0.75900000000000001</v>
      </c>
      <c r="AV100" s="1">
        <f t="shared" si="43"/>
        <v>0.74400000000000011</v>
      </c>
      <c r="AX100" s="1">
        <f t="shared" si="44"/>
        <v>6.4322033898305087</v>
      </c>
      <c r="AY100" s="1">
        <f t="shared" si="31"/>
        <v>1.0423728813559323</v>
      </c>
      <c r="AZ100" s="1">
        <f t="shared" si="32"/>
        <v>0.90201271186440679</v>
      </c>
      <c r="BA100" s="1">
        <f t="shared" si="33"/>
        <v>2.1080508474576272</v>
      </c>
      <c r="BB100" s="1">
        <f t="shared" si="34"/>
        <v>0.90201271186440679</v>
      </c>
      <c r="BC100" s="1">
        <f t="shared" si="35"/>
        <v>0.90201271186440679</v>
      </c>
      <c r="BD100" s="1">
        <f t="shared" si="45"/>
        <v>0.15801271186440669</v>
      </c>
      <c r="BF100">
        <f t="shared" si="36"/>
        <v>34.299999999999997</v>
      </c>
      <c r="BG100">
        <f t="shared" si="37"/>
        <v>12.3</v>
      </c>
      <c r="BH100" s="1">
        <f t="shared" si="38"/>
        <v>2.2128279883381929</v>
      </c>
      <c r="BI100" s="1">
        <f t="shared" si="39"/>
        <v>0.35860058309037907</v>
      </c>
      <c r="BJ100" s="1">
        <f t="shared" si="46"/>
        <v>0.56276967930029154</v>
      </c>
      <c r="BK100" s="1">
        <f t="shared" si="47"/>
        <v>0.35860058309037907</v>
      </c>
      <c r="BL100" s="22">
        <f t="shared" si="48"/>
        <v>0.35860058309037907</v>
      </c>
      <c r="BM100" s="1">
        <f t="shared" si="40"/>
        <v>0.14853271055427589</v>
      </c>
      <c r="BN100" s="1">
        <f t="shared" si="41"/>
        <v>0.11313742738637778</v>
      </c>
    </row>
    <row r="101" spans="1:66" x14ac:dyDescent="0.25">
      <c r="A101" s="3"/>
      <c r="B101" s="3"/>
      <c r="C101" t="s">
        <v>87</v>
      </c>
      <c r="D101" s="5">
        <v>1</v>
      </c>
      <c r="E101" s="9">
        <f t="shared" si="25"/>
        <v>13.1</v>
      </c>
      <c r="F101" s="9">
        <f t="shared" si="26"/>
        <v>0.94240837696335067</v>
      </c>
      <c r="G101">
        <v>10.4</v>
      </c>
      <c r="H101">
        <v>4.4000000000000004</v>
      </c>
      <c r="I101">
        <v>0</v>
      </c>
      <c r="J101">
        <v>0</v>
      </c>
      <c r="K101">
        <v>7.0000000000000007E-2</v>
      </c>
      <c r="L101">
        <v>0</v>
      </c>
      <c r="M101">
        <v>0</v>
      </c>
      <c r="N101">
        <v>0</v>
      </c>
      <c r="O101">
        <v>13.1</v>
      </c>
      <c r="P101">
        <v>0</v>
      </c>
      <c r="Q101">
        <v>72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43.6</v>
      </c>
      <c r="AK101" t="s">
        <v>1</v>
      </c>
      <c r="AL101" t="s">
        <v>374</v>
      </c>
      <c r="AQ101" s="1">
        <f t="shared" si="42"/>
        <v>99.97</v>
      </c>
      <c r="AR101" s="1">
        <f t="shared" si="27"/>
        <v>0.13100000000000001</v>
      </c>
      <c r="AS101" s="1">
        <f t="shared" si="28"/>
        <v>0.10400000000000001</v>
      </c>
      <c r="AT101" s="1">
        <f t="shared" si="29"/>
        <v>4.4000000000000004E-2</v>
      </c>
      <c r="AU101" s="1">
        <f t="shared" si="30"/>
        <v>0.72</v>
      </c>
      <c r="AV101" s="1">
        <f t="shared" si="43"/>
        <v>0.436</v>
      </c>
      <c r="AX101" s="1">
        <f t="shared" si="44"/>
        <v>4.864864864864864</v>
      </c>
      <c r="AY101" s="1">
        <f t="shared" si="31"/>
        <v>0.88513513513513509</v>
      </c>
      <c r="AZ101" s="1">
        <f t="shared" si="32"/>
        <v>0.80405405405405395</v>
      </c>
      <c r="BA101" s="1">
        <f t="shared" si="33"/>
        <v>1.716216216216216</v>
      </c>
      <c r="BB101" s="1">
        <f t="shared" si="34"/>
        <v>0.80405405405405395</v>
      </c>
      <c r="BC101" s="1">
        <f t="shared" si="35"/>
        <v>0.80405405405405395</v>
      </c>
      <c r="BD101" s="1">
        <f t="shared" si="45"/>
        <v>0.36805405405405395</v>
      </c>
      <c r="BF101">
        <f t="shared" si="36"/>
        <v>46</v>
      </c>
      <c r="BG101">
        <f t="shared" si="37"/>
        <v>13.1</v>
      </c>
      <c r="BH101" s="1">
        <f t="shared" si="38"/>
        <v>1.5652173913043479</v>
      </c>
      <c r="BI101" s="1">
        <f t="shared" si="39"/>
        <v>0.28478260869565214</v>
      </c>
      <c r="BJ101" s="1">
        <f t="shared" si="46"/>
        <v>0.52391304347826084</v>
      </c>
      <c r="BK101" s="1">
        <f t="shared" si="47"/>
        <v>0.28478260869565214</v>
      </c>
      <c r="BL101" s="22">
        <f t="shared" si="48"/>
        <v>0.28478260869565214</v>
      </c>
      <c r="BM101" s="1">
        <f t="shared" si="40"/>
        <v>2.2866699432892261E-2</v>
      </c>
      <c r="BN101" s="1">
        <f t="shared" si="41"/>
        <v>8.0423713919954985E-4</v>
      </c>
    </row>
    <row r="102" spans="1:66" x14ac:dyDescent="0.25">
      <c r="A102" s="3"/>
      <c r="B102" s="3"/>
      <c r="C102" t="s">
        <v>88</v>
      </c>
      <c r="D102" s="5">
        <v>1</v>
      </c>
      <c r="E102" s="9">
        <f t="shared" si="25"/>
        <v>13.5</v>
      </c>
      <c r="F102" s="9">
        <f t="shared" si="26"/>
        <v>0.93766937669376704</v>
      </c>
      <c r="G102">
        <v>12.7</v>
      </c>
      <c r="H102">
        <v>4.5999999999999996</v>
      </c>
      <c r="I102">
        <v>0</v>
      </c>
      <c r="J102">
        <v>0</v>
      </c>
      <c r="K102">
        <v>7.0000000000000007E-2</v>
      </c>
      <c r="L102">
        <v>0</v>
      </c>
      <c r="M102">
        <v>0</v>
      </c>
      <c r="N102">
        <v>0</v>
      </c>
      <c r="O102">
        <v>13.5</v>
      </c>
      <c r="P102">
        <v>0</v>
      </c>
      <c r="Q102">
        <v>69.2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19.899999999999999</v>
      </c>
      <c r="AK102" t="s">
        <v>1</v>
      </c>
      <c r="AL102" t="s">
        <v>374</v>
      </c>
      <c r="AQ102" s="1">
        <f t="shared" si="42"/>
        <v>100.07</v>
      </c>
      <c r="AR102" s="1">
        <f t="shared" si="27"/>
        <v>0.13500000000000001</v>
      </c>
      <c r="AS102" s="1">
        <f t="shared" si="28"/>
        <v>0.127</v>
      </c>
      <c r="AT102" s="1">
        <f t="shared" si="29"/>
        <v>4.5999999999999999E-2</v>
      </c>
      <c r="AU102" s="1">
        <f t="shared" si="30"/>
        <v>0.69200000000000006</v>
      </c>
      <c r="AV102" s="1">
        <f t="shared" si="43"/>
        <v>0.19899999999999998</v>
      </c>
      <c r="AX102" s="1">
        <f t="shared" si="44"/>
        <v>4.0000000000000009</v>
      </c>
      <c r="AY102" s="1">
        <f t="shared" si="31"/>
        <v>0.78034682080924866</v>
      </c>
      <c r="AZ102" s="1">
        <f t="shared" si="32"/>
        <v>0.75</v>
      </c>
      <c r="BA102" s="1">
        <f t="shared" si="33"/>
        <v>1.5000000000000002</v>
      </c>
      <c r="BB102" s="1">
        <f t="shared" si="34"/>
        <v>0.75</v>
      </c>
      <c r="BC102" s="1">
        <f t="shared" si="35"/>
        <v>0.75</v>
      </c>
      <c r="BD102" s="1">
        <f t="shared" si="45"/>
        <v>0.55100000000000005</v>
      </c>
      <c r="BF102">
        <f t="shared" si="36"/>
        <v>55.4</v>
      </c>
      <c r="BG102">
        <f t="shared" si="37"/>
        <v>13.5</v>
      </c>
      <c r="BH102" s="1">
        <f t="shared" si="38"/>
        <v>1.2490974729241877</v>
      </c>
      <c r="BI102" s="1">
        <f t="shared" si="39"/>
        <v>0.24368231046931407</v>
      </c>
      <c r="BJ102" s="1">
        <f t="shared" si="46"/>
        <v>0.5049458483754512</v>
      </c>
      <c r="BK102" s="1">
        <f t="shared" si="47"/>
        <v>0.24368231046931407</v>
      </c>
      <c r="BL102" s="22">
        <f t="shared" si="48"/>
        <v>0.24368231046931407</v>
      </c>
      <c r="BM102" s="1">
        <f t="shared" si="40"/>
        <v>1.9965088688761756E-3</v>
      </c>
      <c r="BN102" s="1">
        <f t="shared" si="41"/>
        <v>4.3531035552896884E-2</v>
      </c>
    </row>
    <row r="103" spans="1:66" x14ac:dyDescent="0.25">
      <c r="A103" s="3"/>
      <c r="B103" s="3"/>
      <c r="C103" t="s">
        <v>89</v>
      </c>
      <c r="D103" s="5">
        <v>1</v>
      </c>
      <c r="E103" s="9">
        <f t="shared" si="25"/>
        <v>14.73</v>
      </c>
      <c r="F103" s="9">
        <f t="shared" si="26"/>
        <v>0.92657445556209539</v>
      </c>
      <c r="G103">
        <v>17.18</v>
      </c>
      <c r="H103">
        <v>4.99</v>
      </c>
      <c r="I103">
        <v>0</v>
      </c>
      <c r="J103">
        <v>0</v>
      </c>
      <c r="K103">
        <v>0.13</v>
      </c>
      <c r="L103">
        <v>0</v>
      </c>
      <c r="M103">
        <v>0</v>
      </c>
      <c r="N103">
        <v>0</v>
      </c>
      <c r="O103">
        <v>14.73</v>
      </c>
      <c r="P103">
        <v>0</v>
      </c>
      <c r="Q103">
        <v>62.97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 t="s">
        <v>1</v>
      </c>
      <c r="AL103" t="s">
        <v>374</v>
      </c>
      <c r="AQ103" s="1">
        <f t="shared" si="42"/>
        <v>100</v>
      </c>
      <c r="AR103" s="1">
        <f t="shared" si="27"/>
        <v>0.14730000000000001</v>
      </c>
      <c r="AS103" s="1">
        <f t="shared" si="28"/>
        <v>0.17180000000000001</v>
      </c>
      <c r="AT103" s="1">
        <f t="shared" si="29"/>
        <v>4.99E-2</v>
      </c>
      <c r="AU103" s="1">
        <f t="shared" si="30"/>
        <v>0.62970000000000004</v>
      </c>
      <c r="AV103" s="1">
        <f t="shared" si="43"/>
        <v>0.01</v>
      </c>
      <c r="AX103" s="1">
        <f t="shared" si="44"/>
        <v>2.8403247631935047</v>
      </c>
      <c r="AY103" s="1">
        <f t="shared" si="31"/>
        <v>0.6644113667117727</v>
      </c>
      <c r="AZ103" s="1">
        <f t="shared" si="32"/>
        <v>0.67752029769959399</v>
      </c>
      <c r="BA103" s="1">
        <f t="shared" si="33"/>
        <v>1.2100811907983762</v>
      </c>
      <c r="BB103" s="1">
        <f t="shared" si="34"/>
        <v>0.6644113667117727</v>
      </c>
      <c r="BC103" s="1">
        <f t="shared" si="35"/>
        <v>0.6644113667117727</v>
      </c>
      <c r="BD103" s="1">
        <f t="shared" si="45"/>
        <v>0.65441136671177269</v>
      </c>
      <c r="BF103">
        <f t="shared" si="36"/>
        <v>73.709999999999994</v>
      </c>
      <c r="BG103">
        <f t="shared" si="37"/>
        <v>14.73</v>
      </c>
      <c r="BH103" s="1">
        <f t="shared" si="38"/>
        <v>0.8542938542938544</v>
      </c>
      <c r="BI103" s="1">
        <f t="shared" si="39"/>
        <v>0.19983719983719986</v>
      </c>
      <c r="BJ103" s="1">
        <f t="shared" si="46"/>
        <v>0.48125763125763127</v>
      </c>
      <c r="BK103" s="1">
        <f t="shared" si="47"/>
        <v>0.19983719983719986</v>
      </c>
      <c r="BL103" s="22">
        <f t="shared" si="48"/>
        <v>0.19983719983719986</v>
      </c>
      <c r="BM103" s="1">
        <f t="shared" si="40"/>
        <v>3.6038162442028954E-2</v>
      </c>
      <c r="BN103" s="1">
        <f t="shared" si="41"/>
        <v>0.15811830517394665</v>
      </c>
    </row>
    <row r="104" spans="1:66" x14ac:dyDescent="0.25">
      <c r="A104" s="3"/>
      <c r="B104" s="3"/>
      <c r="C104" t="s">
        <v>90</v>
      </c>
      <c r="D104" s="5">
        <v>1</v>
      </c>
      <c r="E104" s="9">
        <f t="shared" si="25"/>
        <v>14.73</v>
      </c>
      <c r="F104" s="9">
        <f t="shared" si="26"/>
        <v>0.92368742368742363</v>
      </c>
      <c r="G104">
        <v>19.61</v>
      </c>
      <c r="H104">
        <v>5</v>
      </c>
      <c r="I104">
        <v>0</v>
      </c>
      <c r="J104">
        <v>0</v>
      </c>
      <c r="K104">
        <v>0.14000000000000001</v>
      </c>
      <c r="L104">
        <v>0</v>
      </c>
      <c r="M104">
        <v>0</v>
      </c>
      <c r="N104">
        <v>0</v>
      </c>
      <c r="O104">
        <v>14.73</v>
      </c>
      <c r="P104">
        <v>0</v>
      </c>
      <c r="Q104">
        <v>60.52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0.8</v>
      </c>
      <c r="AK104" t="s">
        <v>1</v>
      </c>
      <c r="AL104" t="s">
        <v>374</v>
      </c>
      <c r="AQ104" s="1">
        <f t="shared" si="42"/>
        <v>100</v>
      </c>
      <c r="AR104" s="1">
        <f t="shared" si="27"/>
        <v>0.14730000000000001</v>
      </c>
      <c r="AS104" s="1">
        <f t="shared" si="28"/>
        <v>0.1961</v>
      </c>
      <c r="AT104" s="1">
        <f t="shared" si="29"/>
        <v>0.05</v>
      </c>
      <c r="AU104" s="1">
        <f t="shared" si="30"/>
        <v>0.60520000000000007</v>
      </c>
      <c r="AV104" s="1">
        <f t="shared" si="43"/>
        <v>8.0000000000000002E-3</v>
      </c>
      <c r="AX104" s="1">
        <f t="shared" si="44"/>
        <v>2.4591629418935397</v>
      </c>
      <c r="AY104" s="1">
        <f t="shared" si="31"/>
        <v>0.59853718000812683</v>
      </c>
      <c r="AZ104" s="1">
        <f t="shared" si="32"/>
        <v>0.65369768386834626</v>
      </c>
      <c r="BA104" s="1">
        <f t="shared" si="33"/>
        <v>1.114790735473385</v>
      </c>
      <c r="BB104" s="1">
        <f t="shared" si="34"/>
        <v>0.59853718000812683</v>
      </c>
      <c r="BC104" s="1">
        <f t="shared" si="35"/>
        <v>0.59853718000812683</v>
      </c>
      <c r="BD104" s="1">
        <f t="shared" si="45"/>
        <v>0.59053718000812683</v>
      </c>
      <c r="BF104">
        <f t="shared" si="36"/>
        <v>83.44</v>
      </c>
      <c r="BG104">
        <f t="shared" si="37"/>
        <v>14.73</v>
      </c>
      <c r="BH104" s="1">
        <f t="shared" si="38"/>
        <v>0.7253116011505274</v>
      </c>
      <c r="BI104" s="1">
        <f t="shared" si="39"/>
        <v>0.17653403643336529</v>
      </c>
      <c r="BJ104" s="1">
        <f t="shared" si="46"/>
        <v>0.47351869606903163</v>
      </c>
      <c r="BK104" s="1">
        <f t="shared" si="47"/>
        <v>0.17653403643336529</v>
      </c>
      <c r="BL104" s="22">
        <f t="shared" si="48"/>
        <v>0.17653403643336529</v>
      </c>
      <c r="BM104" s="1">
        <f t="shared" si="40"/>
        <v>2.8403721436522898E-2</v>
      </c>
      <c r="BN104" s="1">
        <f t="shared" si="41"/>
        <v>0.15971286887364028</v>
      </c>
    </row>
    <row r="105" spans="1:66" x14ac:dyDescent="0.25">
      <c r="A105" s="3"/>
      <c r="B105" s="3"/>
      <c r="C105" t="s">
        <v>91</v>
      </c>
      <c r="D105" s="5">
        <v>1</v>
      </c>
      <c r="E105" s="9">
        <f t="shared" si="25"/>
        <v>37.1</v>
      </c>
      <c r="F105" s="9">
        <f t="shared" si="26"/>
        <v>0</v>
      </c>
      <c r="G105">
        <v>0</v>
      </c>
      <c r="H105">
        <v>62.9</v>
      </c>
      <c r="I105">
        <v>0</v>
      </c>
      <c r="J105">
        <v>0</v>
      </c>
      <c r="K105">
        <v>0</v>
      </c>
      <c r="L105">
        <v>0</v>
      </c>
      <c r="M105">
        <v>37.1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46</v>
      </c>
      <c r="AK105" t="s">
        <v>355</v>
      </c>
      <c r="AL105" t="s">
        <v>372</v>
      </c>
      <c r="AN105" t="s">
        <v>373</v>
      </c>
      <c r="AO105" t="s">
        <v>375</v>
      </c>
      <c r="AQ105" s="1">
        <f t="shared" si="42"/>
        <v>100</v>
      </c>
      <c r="AR105" s="1">
        <f t="shared" si="27"/>
        <v>0.371</v>
      </c>
      <c r="AS105" s="1">
        <f t="shared" si="28"/>
        <v>0</v>
      </c>
      <c r="AT105" s="1">
        <f t="shared" si="29"/>
        <v>0.629</v>
      </c>
      <c r="AU105" s="1">
        <f t="shared" si="30"/>
        <v>0</v>
      </c>
      <c r="AV105" s="1">
        <f t="shared" si="43"/>
        <v>0.46</v>
      </c>
      <c r="AX105" s="1">
        <f t="shared" si="44"/>
        <v>0</v>
      </c>
      <c r="AY105" s="1">
        <f t="shared" si="31"/>
        <v>0.58982511923688397</v>
      </c>
      <c r="AZ105" s="1">
        <f t="shared" si="32"/>
        <v>0.5</v>
      </c>
      <c r="BA105" s="1">
        <f t="shared" si="33"/>
        <v>0.5</v>
      </c>
      <c r="BB105" s="1">
        <f t="shared" si="34"/>
        <v>0.47005829358770534</v>
      </c>
      <c r="BC105" s="1">
        <f t="shared" si="35"/>
        <v>0.47005829358770534</v>
      </c>
      <c r="BD105" s="1">
        <f t="shared" si="45"/>
        <v>1.0058293587705325E-2</v>
      </c>
      <c r="BF105">
        <f t="shared" si="36"/>
        <v>62.9</v>
      </c>
      <c r="BG105">
        <f t="shared" si="37"/>
        <v>37.1</v>
      </c>
      <c r="BH105" s="1">
        <f t="shared" si="38"/>
        <v>0</v>
      </c>
      <c r="BI105" s="1">
        <f t="shared" si="39"/>
        <v>0.58982511923688397</v>
      </c>
      <c r="BJ105" s="1">
        <f t="shared" si="46"/>
        <v>0.43</v>
      </c>
      <c r="BK105" s="1">
        <f t="shared" si="47"/>
        <v>0.40973583351719983</v>
      </c>
      <c r="BL105" s="22">
        <f t="shared" si="48"/>
        <v>0.40973583351719983</v>
      </c>
      <c r="BM105" s="1">
        <f t="shared" si="40"/>
        <v>2.5264864322106536E-3</v>
      </c>
      <c r="BN105" s="1">
        <f t="shared" si="41"/>
        <v>2.7414727428757718E-3</v>
      </c>
    </row>
    <row r="106" spans="1:66" x14ac:dyDescent="0.25">
      <c r="A106" s="3"/>
      <c r="B106" s="3"/>
      <c r="C106" t="s">
        <v>92</v>
      </c>
      <c r="D106" s="5">
        <v>1</v>
      </c>
      <c r="E106" s="9">
        <f t="shared" si="25"/>
        <v>35.799999999999997</v>
      </c>
      <c r="F106" s="9">
        <f t="shared" si="26"/>
        <v>0</v>
      </c>
      <c r="G106">
        <v>0</v>
      </c>
      <c r="H106">
        <v>64.2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35.799999999999997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43</v>
      </c>
      <c r="AK106" t="s">
        <v>355</v>
      </c>
      <c r="AL106" t="s">
        <v>372</v>
      </c>
      <c r="AQ106" s="1">
        <f t="shared" si="42"/>
        <v>100</v>
      </c>
      <c r="AR106" s="1">
        <f t="shared" si="27"/>
        <v>0.35799999999999998</v>
      </c>
      <c r="AS106" s="1">
        <f t="shared" si="28"/>
        <v>0</v>
      </c>
      <c r="AT106" s="1">
        <f t="shared" si="29"/>
        <v>0.64200000000000002</v>
      </c>
      <c r="AU106" s="1">
        <f t="shared" si="30"/>
        <v>0</v>
      </c>
      <c r="AV106" s="1">
        <f t="shared" si="43"/>
        <v>0.43</v>
      </c>
      <c r="AX106" s="1">
        <f t="shared" si="44"/>
        <v>0</v>
      </c>
      <c r="AY106" s="1">
        <f t="shared" si="31"/>
        <v>0.55763239875389403</v>
      </c>
      <c r="AZ106" s="1">
        <f t="shared" si="32"/>
        <v>0.5</v>
      </c>
      <c r="BA106" s="1">
        <f t="shared" si="33"/>
        <v>0.5</v>
      </c>
      <c r="BB106" s="1">
        <f t="shared" si="34"/>
        <v>0.48078920041536866</v>
      </c>
      <c r="BC106" s="1">
        <f t="shared" si="35"/>
        <v>0.48078920041536866</v>
      </c>
      <c r="BD106" s="1">
        <f t="shared" si="45"/>
        <v>5.0789200415368663E-2</v>
      </c>
      <c r="BF106">
        <f t="shared" si="36"/>
        <v>64.2</v>
      </c>
      <c r="BG106">
        <f t="shared" si="37"/>
        <v>35.799999999999997</v>
      </c>
      <c r="BH106" s="1">
        <f t="shared" si="38"/>
        <v>0</v>
      </c>
      <c r="BI106" s="1">
        <f t="shared" si="39"/>
        <v>0.55763239875389403</v>
      </c>
      <c r="BJ106" s="1">
        <f t="shared" si="46"/>
        <v>0.43</v>
      </c>
      <c r="BK106" s="1">
        <f t="shared" si="47"/>
        <v>0.40944189082244398</v>
      </c>
      <c r="BL106" s="22">
        <f t="shared" si="48"/>
        <v>0.40944189082244398</v>
      </c>
      <c r="BM106" s="1">
        <f t="shared" si="40"/>
        <v>4.2263585295631293E-4</v>
      </c>
      <c r="BN106" s="1">
        <f t="shared" si="41"/>
        <v>4.9992823828049458E-4</v>
      </c>
    </row>
    <row r="107" spans="1:66" x14ac:dyDescent="0.25">
      <c r="A107" s="3"/>
      <c r="B107" s="3"/>
      <c r="C107" t="s">
        <v>93</v>
      </c>
      <c r="D107" s="5">
        <v>1</v>
      </c>
      <c r="E107" s="9">
        <f t="shared" si="25"/>
        <v>34.799999999999997</v>
      </c>
      <c r="F107" s="9">
        <f t="shared" si="26"/>
        <v>0</v>
      </c>
      <c r="G107">
        <v>0</v>
      </c>
      <c r="H107">
        <v>65.2</v>
      </c>
      <c r="I107">
        <v>0</v>
      </c>
      <c r="J107">
        <v>0</v>
      </c>
      <c r="K107">
        <v>0</v>
      </c>
      <c r="L107">
        <v>34.799999999999997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40</v>
      </c>
      <c r="AK107" t="s">
        <v>355</v>
      </c>
      <c r="AL107" t="s">
        <v>372</v>
      </c>
      <c r="AQ107" s="1">
        <f t="shared" si="42"/>
        <v>100</v>
      </c>
      <c r="AR107" s="1">
        <f t="shared" si="27"/>
        <v>0.34799999999999998</v>
      </c>
      <c r="AS107" s="1">
        <f t="shared" si="28"/>
        <v>0</v>
      </c>
      <c r="AT107" s="1">
        <f t="shared" si="29"/>
        <v>0.65200000000000002</v>
      </c>
      <c r="AU107" s="1">
        <f t="shared" si="30"/>
        <v>0</v>
      </c>
      <c r="AV107" s="1">
        <f t="shared" si="43"/>
        <v>0.4</v>
      </c>
      <c r="AX107" s="1">
        <f t="shared" si="44"/>
        <v>0</v>
      </c>
      <c r="AY107" s="1">
        <f t="shared" si="31"/>
        <v>0.53374233128834347</v>
      </c>
      <c r="AZ107" s="1">
        <f t="shared" si="32"/>
        <v>0.5</v>
      </c>
      <c r="BA107" s="1">
        <f t="shared" si="33"/>
        <v>0.5</v>
      </c>
      <c r="BB107" s="1">
        <f t="shared" si="34"/>
        <v>0.48875255623721886</v>
      </c>
      <c r="BC107" s="1">
        <f t="shared" si="35"/>
        <v>0.48875255623721886</v>
      </c>
      <c r="BD107" s="1">
        <f t="shared" si="45"/>
        <v>8.8752556237218838E-2</v>
      </c>
      <c r="BF107">
        <f t="shared" si="36"/>
        <v>65.2</v>
      </c>
      <c r="BG107">
        <f t="shared" si="37"/>
        <v>34.799999999999997</v>
      </c>
      <c r="BH107" s="1">
        <f t="shared" si="38"/>
        <v>0</v>
      </c>
      <c r="BI107" s="1">
        <f t="shared" si="39"/>
        <v>0.53374233128834347</v>
      </c>
      <c r="BJ107" s="1">
        <f t="shared" si="46"/>
        <v>0.43</v>
      </c>
      <c r="BK107" s="1">
        <f t="shared" si="47"/>
        <v>0.40874110882275078</v>
      </c>
      <c r="BL107" s="22">
        <f t="shared" si="48"/>
        <v>0.40874110882275078</v>
      </c>
      <c r="BM107" s="1">
        <f t="shared" si="40"/>
        <v>7.6406983451171072E-5</v>
      </c>
      <c r="BN107" s="1">
        <f t="shared" si="41"/>
        <v>5.8383733685219634E-5</v>
      </c>
    </row>
    <row r="108" spans="1:66" x14ac:dyDescent="0.25">
      <c r="A108" s="3"/>
      <c r="B108" s="3"/>
      <c r="C108" t="s">
        <v>95</v>
      </c>
      <c r="D108" s="5">
        <v>1</v>
      </c>
      <c r="E108" s="9">
        <f t="shared" si="25"/>
        <v>25.7</v>
      </c>
      <c r="F108" s="9">
        <f t="shared" si="26"/>
        <v>0</v>
      </c>
      <c r="G108">
        <v>0</v>
      </c>
      <c r="H108">
        <v>74.3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25.7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35.1</v>
      </c>
      <c r="AK108" t="s">
        <v>1</v>
      </c>
      <c r="AL108" t="s">
        <v>372</v>
      </c>
      <c r="AO108" t="s">
        <v>375</v>
      </c>
      <c r="AQ108" s="1">
        <f t="shared" si="42"/>
        <v>100</v>
      </c>
      <c r="AR108" s="1">
        <f t="shared" si="27"/>
        <v>0.25700000000000001</v>
      </c>
      <c r="AS108" s="1">
        <f t="shared" si="28"/>
        <v>0</v>
      </c>
      <c r="AT108" s="1">
        <f t="shared" si="29"/>
        <v>0.74299999999999999</v>
      </c>
      <c r="AU108" s="1">
        <f t="shared" si="30"/>
        <v>0</v>
      </c>
      <c r="AV108" s="1">
        <f t="shared" si="43"/>
        <v>0.35100000000000003</v>
      </c>
      <c r="AX108" s="1">
        <f t="shared" si="44"/>
        <v>0</v>
      </c>
      <c r="AY108" s="1">
        <f t="shared" si="31"/>
        <v>0.34589502018842533</v>
      </c>
      <c r="AZ108" s="1">
        <f t="shared" si="32"/>
        <v>0.5</v>
      </c>
      <c r="BA108" s="1">
        <f t="shared" si="33"/>
        <v>0.5</v>
      </c>
      <c r="BB108" s="1">
        <f t="shared" si="34"/>
        <v>0.34589502018842533</v>
      </c>
      <c r="BC108" s="1">
        <f t="shared" si="35"/>
        <v>0.34589502018842533</v>
      </c>
      <c r="BD108" s="1">
        <f t="shared" si="45"/>
        <v>5.1049798115747058E-3</v>
      </c>
      <c r="BF108">
        <f t="shared" si="36"/>
        <v>74.3</v>
      </c>
      <c r="BG108">
        <f t="shared" si="37"/>
        <v>25.7</v>
      </c>
      <c r="BH108" s="1">
        <f t="shared" si="38"/>
        <v>0</v>
      </c>
      <c r="BI108" s="1">
        <f t="shared" si="39"/>
        <v>0.34589502018842533</v>
      </c>
      <c r="BJ108" s="1">
        <f t="shared" si="46"/>
        <v>0.43</v>
      </c>
      <c r="BK108" s="1">
        <f t="shared" si="47"/>
        <v>0.34589502018842533</v>
      </c>
      <c r="BL108" s="22">
        <f t="shared" si="48"/>
        <v>0.34589502018842533</v>
      </c>
      <c r="BM108" s="1">
        <f t="shared" si="40"/>
        <v>2.6060818876585319E-5</v>
      </c>
      <c r="BN108" s="1">
        <f t="shared" si="41"/>
        <v>3.2081943761796002E-3</v>
      </c>
    </row>
    <row r="109" spans="1:66" x14ac:dyDescent="0.25">
      <c r="A109" s="3"/>
      <c r="B109" s="3"/>
      <c r="C109" t="s">
        <v>96</v>
      </c>
      <c r="D109" s="5">
        <v>1</v>
      </c>
      <c r="E109" s="9">
        <f t="shared" si="25"/>
        <v>29.1</v>
      </c>
      <c r="F109" s="9">
        <f t="shared" si="26"/>
        <v>0</v>
      </c>
      <c r="G109">
        <v>0</v>
      </c>
      <c r="H109">
        <v>70.900000000000006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29.1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41.6</v>
      </c>
      <c r="AK109" t="s">
        <v>1</v>
      </c>
      <c r="AL109" t="s">
        <v>372</v>
      </c>
      <c r="AQ109" s="1">
        <f t="shared" si="42"/>
        <v>100</v>
      </c>
      <c r="AR109" s="1">
        <f t="shared" si="27"/>
        <v>0.29100000000000004</v>
      </c>
      <c r="AS109" s="1">
        <f t="shared" si="28"/>
        <v>0</v>
      </c>
      <c r="AT109" s="1">
        <f t="shared" si="29"/>
        <v>0.70900000000000007</v>
      </c>
      <c r="AU109" s="1">
        <f t="shared" si="30"/>
        <v>0</v>
      </c>
      <c r="AV109" s="1">
        <f t="shared" si="43"/>
        <v>0.41600000000000004</v>
      </c>
      <c r="AX109" s="1">
        <f t="shared" si="44"/>
        <v>0</v>
      </c>
      <c r="AY109" s="1">
        <f t="shared" si="31"/>
        <v>0.41043723554301836</v>
      </c>
      <c r="AZ109" s="1">
        <f t="shared" si="32"/>
        <v>0.5</v>
      </c>
      <c r="BA109" s="1">
        <f t="shared" si="33"/>
        <v>0.5</v>
      </c>
      <c r="BB109" s="1">
        <f t="shared" si="34"/>
        <v>0.41043723554301836</v>
      </c>
      <c r="BC109" s="1">
        <f t="shared" si="35"/>
        <v>0.41043723554301836</v>
      </c>
      <c r="BD109" s="1">
        <f t="shared" si="45"/>
        <v>5.5627644569816725E-3</v>
      </c>
      <c r="BF109">
        <f t="shared" si="36"/>
        <v>70.900000000000006</v>
      </c>
      <c r="BG109">
        <f t="shared" si="37"/>
        <v>29.1</v>
      </c>
      <c r="BH109" s="1">
        <f t="shared" si="38"/>
        <v>0</v>
      </c>
      <c r="BI109" s="1">
        <f t="shared" si="39"/>
        <v>0.41043723554301831</v>
      </c>
      <c r="BJ109" s="1">
        <f t="shared" si="46"/>
        <v>0.43</v>
      </c>
      <c r="BK109" s="1">
        <f t="shared" si="47"/>
        <v>0.41043723554301831</v>
      </c>
      <c r="BL109" s="22">
        <f t="shared" si="48"/>
        <v>0.41043723554301831</v>
      </c>
      <c r="BM109" s="1">
        <f t="shared" si="40"/>
        <v>3.0944348403859217E-5</v>
      </c>
      <c r="BN109" s="1">
        <f t="shared" si="41"/>
        <v>6.9874136136033872E-5</v>
      </c>
    </row>
    <row r="110" spans="1:66" x14ac:dyDescent="0.25">
      <c r="A110" s="3"/>
      <c r="B110" s="3"/>
      <c r="C110" t="s">
        <v>97</v>
      </c>
      <c r="D110" s="5">
        <v>1</v>
      </c>
      <c r="E110" s="9">
        <f t="shared" si="25"/>
        <v>33.700000000000003</v>
      </c>
      <c r="F110" s="9">
        <f t="shared" si="26"/>
        <v>0</v>
      </c>
      <c r="G110">
        <v>0</v>
      </c>
      <c r="H110">
        <v>66.3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33.700000000000003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43.4</v>
      </c>
      <c r="AK110" t="s">
        <v>1</v>
      </c>
      <c r="AL110" t="s">
        <v>372</v>
      </c>
      <c r="AQ110" s="1">
        <f t="shared" si="42"/>
        <v>100</v>
      </c>
      <c r="AR110" s="1">
        <f t="shared" si="27"/>
        <v>0.33700000000000002</v>
      </c>
      <c r="AS110" s="1">
        <f t="shared" si="28"/>
        <v>0</v>
      </c>
      <c r="AT110" s="1">
        <f t="shared" si="29"/>
        <v>0.66299999999999992</v>
      </c>
      <c r="AU110" s="1">
        <f t="shared" si="30"/>
        <v>0</v>
      </c>
      <c r="AV110" s="1">
        <f t="shared" si="43"/>
        <v>0.434</v>
      </c>
      <c r="AX110" s="1">
        <f t="shared" si="44"/>
        <v>0</v>
      </c>
      <c r="AY110" s="1">
        <f t="shared" si="31"/>
        <v>0.50829562594268485</v>
      </c>
      <c r="AZ110" s="1">
        <f t="shared" si="32"/>
        <v>0.5</v>
      </c>
      <c r="BA110" s="1">
        <f t="shared" si="33"/>
        <v>0.5</v>
      </c>
      <c r="BB110" s="1">
        <f t="shared" si="34"/>
        <v>0.49723479135243837</v>
      </c>
      <c r="BC110" s="1">
        <f t="shared" si="35"/>
        <v>0.49723479135243837</v>
      </c>
      <c r="BD110" s="1">
        <f t="shared" si="45"/>
        <v>6.3234791352438369E-2</v>
      </c>
      <c r="BF110">
        <f t="shared" si="36"/>
        <v>66.3</v>
      </c>
      <c r="BG110">
        <f t="shared" si="37"/>
        <v>33.700000000000003</v>
      </c>
      <c r="BH110" s="1">
        <f t="shared" si="38"/>
        <v>0</v>
      </c>
      <c r="BI110" s="1">
        <f t="shared" si="39"/>
        <v>0.50829562594268485</v>
      </c>
      <c r="BJ110" s="1">
        <f t="shared" si="46"/>
        <v>0.43</v>
      </c>
      <c r="BK110" s="1">
        <f t="shared" si="47"/>
        <v>0.40751936592964166</v>
      </c>
      <c r="BL110" s="22">
        <f t="shared" si="48"/>
        <v>0.40751936592964166</v>
      </c>
      <c r="BM110" s="1">
        <f t="shared" si="40"/>
        <v>7.0122398076822255E-4</v>
      </c>
      <c r="BN110" s="1">
        <f t="shared" si="41"/>
        <v>6.9480083889319805E-4</v>
      </c>
    </row>
    <row r="111" spans="1:66" x14ac:dyDescent="0.25">
      <c r="A111" s="3"/>
      <c r="B111" s="3"/>
      <c r="C111" t="s">
        <v>98</v>
      </c>
      <c r="D111" s="5">
        <v>1</v>
      </c>
      <c r="E111" s="9">
        <f t="shared" si="25"/>
        <v>40.200000000000003</v>
      </c>
      <c r="F111" s="9">
        <f t="shared" si="26"/>
        <v>0</v>
      </c>
      <c r="G111">
        <v>0</v>
      </c>
      <c r="H111">
        <v>59.8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40.200000000000003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41.1</v>
      </c>
      <c r="AK111" t="s">
        <v>1</v>
      </c>
      <c r="AL111" t="s">
        <v>372</v>
      </c>
      <c r="AQ111" s="1">
        <f t="shared" si="42"/>
        <v>100</v>
      </c>
      <c r="AR111" s="1">
        <f t="shared" si="27"/>
        <v>0.40200000000000002</v>
      </c>
      <c r="AS111" s="1">
        <f t="shared" si="28"/>
        <v>0</v>
      </c>
      <c r="AT111" s="1">
        <f t="shared" si="29"/>
        <v>0.59799999999999998</v>
      </c>
      <c r="AU111" s="1">
        <f t="shared" si="30"/>
        <v>0</v>
      </c>
      <c r="AV111" s="1">
        <f t="shared" si="43"/>
        <v>0.41100000000000003</v>
      </c>
      <c r="AX111" s="1">
        <f t="shared" si="44"/>
        <v>0</v>
      </c>
      <c r="AY111" s="1">
        <f t="shared" si="31"/>
        <v>0.67224080267558539</v>
      </c>
      <c r="AZ111" s="1">
        <f t="shared" si="32"/>
        <v>0.5</v>
      </c>
      <c r="BA111" s="1">
        <f t="shared" si="33"/>
        <v>0.5</v>
      </c>
      <c r="BB111" s="1">
        <f t="shared" si="34"/>
        <v>0.44258639910813818</v>
      </c>
      <c r="BC111" s="1">
        <f t="shared" si="35"/>
        <v>0.44258639910813818</v>
      </c>
      <c r="BD111" s="1">
        <f t="shared" si="45"/>
        <v>3.1586399108138152E-2</v>
      </c>
      <c r="BF111">
        <f t="shared" si="36"/>
        <v>59.8</v>
      </c>
      <c r="BG111">
        <f t="shared" si="37"/>
        <v>40.200000000000003</v>
      </c>
      <c r="BH111" s="1">
        <f t="shared" si="38"/>
        <v>0</v>
      </c>
      <c r="BI111" s="1">
        <f t="shared" si="39"/>
        <v>0.67224080267558539</v>
      </c>
      <c r="BJ111" s="1">
        <f t="shared" si="46"/>
        <v>0.43</v>
      </c>
      <c r="BK111" s="1">
        <f t="shared" si="47"/>
        <v>0.40736781500664199</v>
      </c>
      <c r="BL111" s="22">
        <f t="shared" si="48"/>
        <v>0.40736781500664199</v>
      </c>
      <c r="BM111" s="1">
        <f t="shared" si="40"/>
        <v>1.3192767825975383E-5</v>
      </c>
      <c r="BN111" s="1">
        <f t="shared" si="41"/>
        <v>1.1283385370154325E-5</v>
      </c>
    </row>
    <row r="112" spans="1:66" x14ac:dyDescent="0.25">
      <c r="A112" s="3"/>
      <c r="B112" s="3"/>
      <c r="C112" t="s">
        <v>99</v>
      </c>
      <c r="D112" s="5">
        <v>1</v>
      </c>
      <c r="E112" s="9">
        <f t="shared" si="25"/>
        <v>25.6</v>
      </c>
      <c r="F112" s="9">
        <f t="shared" si="26"/>
        <v>0</v>
      </c>
      <c r="G112">
        <v>0</v>
      </c>
      <c r="H112">
        <v>74.400000000000006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25.6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34.1</v>
      </c>
      <c r="AK112" t="s">
        <v>1</v>
      </c>
      <c r="AL112" t="s">
        <v>372</v>
      </c>
      <c r="AQ112" s="1">
        <f t="shared" si="42"/>
        <v>100</v>
      </c>
      <c r="AR112" s="1">
        <f t="shared" si="27"/>
        <v>0</v>
      </c>
      <c r="AS112" s="1">
        <f t="shared" si="28"/>
        <v>0</v>
      </c>
      <c r="AT112" s="1">
        <f t="shared" si="29"/>
        <v>0.74400000000000011</v>
      </c>
      <c r="AU112" s="1">
        <f t="shared" si="30"/>
        <v>0</v>
      </c>
      <c r="AV112" s="1">
        <f t="shared" si="43"/>
        <v>0.34100000000000003</v>
      </c>
      <c r="AX112" s="1">
        <f t="shared" si="44"/>
        <v>0</v>
      </c>
      <c r="AY112" s="1">
        <f t="shared" si="31"/>
        <v>0</v>
      </c>
      <c r="AZ112" s="1">
        <f t="shared" si="32"/>
        <v>0.5</v>
      </c>
      <c r="BA112" s="1">
        <f t="shared" si="33"/>
        <v>0.5</v>
      </c>
      <c r="BB112" s="1">
        <f t="shared" si="34"/>
        <v>0</v>
      </c>
      <c r="BC112" s="1">
        <f t="shared" si="35"/>
        <v>0</v>
      </c>
      <c r="BD112" s="1">
        <f t="shared" si="45"/>
        <v>0.34100000000000003</v>
      </c>
      <c r="BF112">
        <f t="shared" si="36"/>
        <v>74.400000000000006</v>
      </c>
      <c r="BG112">
        <f t="shared" si="37"/>
        <v>12.8</v>
      </c>
      <c r="BH112" s="1">
        <f t="shared" si="38"/>
        <v>0</v>
      </c>
      <c r="BI112" s="1">
        <f t="shared" si="39"/>
        <v>0.17204301075268816</v>
      </c>
      <c r="BJ112" s="1">
        <f t="shared" si="46"/>
        <v>0.43</v>
      </c>
      <c r="BK112" s="1">
        <f t="shared" si="47"/>
        <v>0.17204301075268816</v>
      </c>
      <c r="BL112" s="22">
        <f t="shared" si="48"/>
        <v>0.17204301075268816</v>
      </c>
      <c r="BM112" s="1">
        <f t="shared" si="40"/>
        <v>2.8546464215516258E-2</v>
      </c>
      <c r="BN112" s="1">
        <f t="shared" si="41"/>
        <v>4.4410128746478423E-3</v>
      </c>
    </row>
    <row r="113" spans="1:66" x14ac:dyDescent="0.25">
      <c r="A113" s="3"/>
      <c r="B113" s="3"/>
      <c r="C113" t="s">
        <v>100</v>
      </c>
      <c r="D113" s="5">
        <v>1</v>
      </c>
      <c r="E113" s="9">
        <f t="shared" si="25"/>
        <v>29.6</v>
      </c>
      <c r="F113" s="9">
        <f t="shared" si="26"/>
        <v>0</v>
      </c>
      <c r="G113">
        <v>0</v>
      </c>
      <c r="H113">
        <v>70.400000000000006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29.6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39.5</v>
      </c>
      <c r="AK113" t="s">
        <v>1</v>
      </c>
      <c r="AL113" t="s">
        <v>372</v>
      </c>
      <c r="AQ113" s="1">
        <f t="shared" si="42"/>
        <v>100</v>
      </c>
      <c r="AR113" s="1">
        <f t="shared" si="27"/>
        <v>0</v>
      </c>
      <c r="AS113" s="1">
        <f t="shared" si="28"/>
        <v>0</v>
      </c>
      <c r="AT113" s="1">
        <f t="shared" si="29"/>
        <v>0.70400000000000007</v>
      </c>
      <c r="AU113" s="1">
        <f t="shared" si="30"/>
        <v>0</v>
      </c>
      <c r="AV113" s="1">
        <f t="shared" si="43"/>
        <v>0.39500000000000002</v>
      </c>
      <c r="AX113" s="1">
        <f t="shared" si="44"/>
        <v>0</v>
      </c>
      <c r="AY113" s="1">
        <f t="shared" si="31"/>
        <v>0</v>
      </c>
      <c r="AZ113" s="1">
        <f t="shared" si="32"/>
        <v>0.5</v>
      </c>
      <c r="BA113" s="1">
        <f t="shared" si="33"/>
        <v>0.5</v>
      </c>
      <c r="BB113" s="1">
        <f t="shared" si="34"/>
        <v>0</v>
      </c>
      <c r="BC113" s="1">
        <f t="shared" si="35"/>
        <v>0</v>
      </c>
      <c r="BD113" s="1">
        <f t="shared" si="45"/>
        <v>0.39500000000000002</v>
      </c>
      <c r="BF113">
        <f t="shared" si="36"/>
        <v>70.400000000000006</v>
      </c>
      <c r="BG113">
        <f t="shared" si="37"/>
        <v>14.8</v>
      </c>
      <c r="BH113" s="1">
        <f t="shared" si="38"/>
        <v>0</v>
      </c>
      <c r="BI113" s="1">
        <f t="shared" si="39"/>
        <v>0.21022727272727271</v>
      </c>
      <c r="BJ113" s="1">
        <f t="shared" si="46"/>
        <v>0.43</v>
      </c>
      <c r="BK113" s="1">
        <f t="shared" si="47"/>
        <v>0.21022727272727271</v>
      </c>
      <c r="BL113" s="22">
        <f t="shared" si="48"/>
        <v>0.21022727272727271</v>
      </c>
      <c r="BM113" s="1">
        <f t="shared" si="40"/>
        <v>3.4140960743801664E-2</v>
      </c>
      <c r="BN113" s="1">
        <f t="shared" si="41"/>
        <v>1.5979298291934037E-4</v>
      </c>
    </row>
    <row r="114" spans="1:66" x14ac:dyDescent="0.25">
      <c r="A114" s="3"/>
      <c r="B114" s="3"/>
      <c r="C114" t="s">
        <v>108</v>
      </c>
      <c r="D114" s="5">
        <v>1</v>
      </c>
      <c r="E114" s="9">
        <f t="shared" si="25"/>
        <v>34.4</v>
      </c>
      <c r="F114" s="9">
        <f t="shared" si="26"/>
        <v>0</v>
      </c>
      <c r="G114">
        <v>0</v>
      </c>
      <c r="H114">
        <v>65.599999999999994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34.4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43.1</v>
      </c>
      <c r="AK114" t="s">
        <v>1</v>
      </c>
      <c r="AL114" t="s">
        <v>372</v>
      </c>
      <c r="AQ114" s="1">
        <f t="shared" si="42"/>
        <v>100</v>
      </c>
      <c r="AR114" s="1">
        <f t="shared" si="27"/>
        <v>0</v>
      </c>
      <c r="AS114" s="1">
        <f t="shared" si="28"/>
        <v>0</v>
      </c>
      <c r="AT114" s="1">
        <f t="shared" si="29"/>
        <v>0.65599999999999992</v>
      </c>
      <c r="AU114" s="1">
        <f t="shared" si="30"/>
        <v>0</v>
      </c>
      <c r="AV114" s="1">
        <f t="shared" si="43"/>
        <v>0.43099999999999999</v>
      </c>
      <c r="AX114" s="1">
        <f t="shared" si="44"/>
        <v>0</v>
      </c>
      <c r="AY114" s="1">
        <f t="shared" si="31"/>
        <v>0</v>
      </c>
      <c r="AZ114" s="1">
        <f t="shared" si="32"/>
        <v>0.5</v>
      </c>
      <c r="BA114" s="1">
        <f t="shared" si="33"/>
        <v>0.5</v>
      </c>
      <c r="BB114" s="1">
        <f t="shared" si="34"/>
        <v>0</v>
      </c>
      <c r="BC114" s="1">
        <f t="shared" si="35"/>
        <v>0</v>
      </c>
      <c r="BD114" s="1">
        <f t="shared" si="45"/>
        <v>0.43099999999999999</v>
      </c>
      <c r="BF114">
        <f t="shared" si="36"/>
        <v>65.599999999999994</v>
      </c>
      <c r="BG114">
        <f t="shared" si="37"/>
        <v>17.2</v>
      </c>
      <c r="BH114" s="1">
        <f t="shared" si="38"/>
        <v>0</v>
      </c>
      <c r="BI114" s="1">
        <f t="shared" si="39"/>
        <v>0.26219512195121952</v>
      </c>
      <c r="BJ114" s="1">
        <f t="shared" si="46"/>
        <v>0.43</v>
      </c>
      <c r="BK114" s="1">
        <f t="shared" si="47"/>
        <v>0.26219512195121952</v>
      </c>
      <c r="BL114" s="22">
        <f t="shared" si="48"/>
        <v>0.26219512195121952</v>
      </c>
      <c r="BM114" s="1">
        <f t="shared" si="40"/>
        <v>2.8495086853063647E-2</v>
      </c>
      <c r="BN114" s="1">
        <f t="shared" si="41"/>
        <v>5.4564638843367043E-4</v>
      </c>
    </row>
    <row r="115" spans="1:66" x14ac:dyDescent="0.25">
      <c r="A115" s="3"/>
      <c r="B115" s="3"/>
      <c r="C115" t="s">
        <v>101</v>
      </c>
      <c r="D115" s="5">
        <v>1</v>
      </c>
      <c r="E115" s="9">
        <f t="shared" si="25"/>
        <v>39.6</v>
      </c>
      <c r="F115" s="9">
        <f t="shared" si="26"/>
        <v>0</v>
      </c>
      <c r="G115">
        <v>0</v>
      </c>
      <c r="H115">
        <v>60.4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39.6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44.5</v>
      </c>
      <c r="AK115" t="s">
        <v>1</v>
      </c>
      <c r="AL115" t="s">
        <v>372</v>
      </c>
      <c r="AQ115" s="1">
        <f t="shared" si="42"/>
        <v>100</v>
      </c>
      <c r="AR115" s="1">
        <f t="shared" si="27"/>
        <v>0</v>
      </c>
      <c r="AS115" s="1">
        <f t="shared" si="28"/>
        <v>0</v>
      </c>
      <c r="AT115" s="1">
        <f t="shared" si="29"/>
        <v>0.60399999999999998</v>
      </c>
      <c r="AU115" s="1">
        <f t="shared" si="30"/>
        <v>0</v>
      </c>
      <c r="AV115" s="1">
        <f t="shared" si="43"/>
        <v>0.44500000000000001</v>
      </c>
      <c r="AX115" s="1">
        <f t="shared" si="44"/>
        <v>0</v>
      </c>
      <c r="AY115" s="1">
        <f t="shared" si="31"/>
        <v>0</v>
      </c>
      <c r="AZ115" s="1">
        <f t="shared" si="32"/>
        <v>0.5</v>
      </c>
      <c r="BA115" s="1">
        <f t="shared" si="33"/>
        <v>0.5</v>
      </c>
      <c r="BB115" s="1">
        <f t="shared" si="34"/>
        <v>0</v>
      </c>
      <c r="BC115" s="1">
        <f t="shared" si="35"/>
        <v>0</v>
      </c>
      <c r="BD115" s="1">
        <f t="shared" si="45"/>
        <v>0.44500000000000001</v>
      </c>
      <c r="BF115">
        <f t="shared" si="36"/>
        <v>60.4</v>
      </c>
      <c r="BG115">
        <f t="shared" si="37"/>
        <v>19.8</v>
      </c>
      <c r="BH115" s="1">
        <f t="shared" si="38"/>
        <v>0</v>
      </c>
      <c r="BI115" s="1">
        <f t="shared" si="39"/>
        <v>0.32781456953642385</v>
      </c>
      <c r="BJ115" s="1">
        <f t="shared" si="46"/>
        <v>0.43</v>
      </c>
      <c r="BK115" s="1">
        <f t="shared" si="47"/>
        <v>0.32781456953642385</v>
      </c>
      <c r="BL115" s="22">
        <f t="shared" si="48"/>
        <v>0.32781456953642385</v>
      </c>
      <c r="BM115" s="1">
        <f t="shared" si="40"/>
        <v>1.3732425112933643E-2</v>
      </c>
      <c r="BN115" s="1">
        <f t="shared" si="41"/>
        <v>1.395700490578133E-3</v>
      </c>
    </row>
    <row r="116" spans="1:66" x14ac:dyDescent="0.25">
      <c r="A116" s="3"/>
      <c r="B116" s="3"/>
      <c r="C116" t="s">
        <v>102</v>
      </c>
      <c r="D116" s="5">
        <v>1</v>
      </c>
      <c r="E116" s="9">
        <f t="shared" si="25"/>
        <v>50.4</v>
      </c>
      <c r="F116" s="9">
        <f t="shared" si="26"/>
        <v>0</v>
      </c>
      <c r="G116">
        <v>0</v>
      </c>
      <c r="H116">
        <v>49.6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50.4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35.9</v>
      </c>
      <c r="AK116" t="s">
        <v>1</v>
      </c>
      <c r="AL116" t="s">
        <v>372</v>
      </c>
      <c r="AQ116" s="1">
        <f t="shared" si="42"/>
        <v>100</v>
      </c>
      <c r="AR116" s="1">
        <f t="shared" si="27"/>
        <v>0</v>
      </c>
      <c r="AS116" s="1">
        <f t="shared" si="28"/>
        <v>0</v>
      </c>
      <c r="AT116" s="1">
        <f t="shared" si="29"/>
        <v>0.496</v>
      </c>
      <c r="AU116" s="1">
        <f t="shared" si="30"/>
        <v>0</v>
      </c>
      <c r="AV116" s="1">
        <f t="shared" si="43"/>
        <v>0.35899999999999999</v>
      </c>
      <c r="AX116" s="1">
        <f t="shared" si="44"/>
        <v>0</v>
      </c>
      <c r="AY116" s="1">
        <f t="shared" si="31"/>
        <v>0</v>
      </c>
      <c r="AZ116" s="1">
        <f t="shared" si="32"/>
        <v>0.5</v>
      </c>
      <c r="BA116" s="1">
        <f t="shared" si="33"/>
        <v>0.5</v>
      </c>
      <c r="BB116" s="1">
        <f t="shared" si="34"/>
        <v>0</v>
      </c>
      <c r="BC116" s="1">
        <f t="shared" si="35"/>
        <v>0</v>
      </c>
      <c r="BD116" s="1">
        <f t="shared" si="45"/>
        <v>0.35899999999999999</v>
      </c>
      <c r="BF116">
        <f t="shared" si="36"/>
        <v>49.6</v>
      </c>
      <c r="BG116">
        <f t="shared" si="37"/>
        <v>25.2</v>
      </c>
      <c r="BH116" s="1">
        <f t="shared" si="38"/>
        <v>0</v>
      </c>
      <c r="BI116" s="1">
        <f t="shared" si="39"/>
        <v>0.50806451612903225</v>
      </c>
      <c r="BJ116" s="1">
        <f t="shared" si="46"/>
        <v>0.43</v>
      </c>
      <c r="BK116" s="1">
        <f t="shared" si="47"/>
        <v>0.40750595560787167</v>
      </c>
      <c r="BL116" s="22">
        <f t="shared" si="48"/>
        <v>0.40750595560787167</v>
      </c>
      <c r="BM116" s="1">
        <f t="shared" si="40"/>
        <v>2.3528277294328189E-3</v>
      </c>
      <c r="BN116" s="1">
        <f t="shared" si="41"/>
        <v>2.3659395774050123E-3</v>
      </c>
    </row>
    <row r="117" spans="1:66" x14ac:dyDescent="0.25">
      <c r="A117" s="3"/>
      <c r="B117" s="3"/>
      <c r="C117" t="s">
        <v>103</v>
      </c>
      <c r="D117" s="5">
        <v>1</v>
      </c>
      <c r="E117" s="9">
        <f t="shared" si="25"/>
        <v>26.3</v>
      </c>
      <c r="F117" s="9">
        <f t="shared" si="26"/>
        <v>0</v>
      </c>
      <c r="G117">
        <v>0</v>
      </c>
      <c r="H117">
        <v>73.7</v>
      </c>
      <c r="I117">
        <v>26.3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32.9</v>
      </c>
      <c r="AK117" t="s">
        <v>1</v>
      </c>
      <c r="AL117" t="s">
        <v>372</v>
      </c>
      <c r="AQ117" s="1">
        <f t="shared" si="42"/>
        <v>100</v>
      </c>
      <c r="AR117" s="1">
        <f t="shared" si="27"/>
        <v>0</v>
      </c>
      <c r="AS117" s="1">
        <f t="shared" si="28"/>
        <v>0</v>
      </c>
      <c r="AT117" s="1">
        <f t="shared" si="29"/>
        <v>0.73699999999999999</v>
      </c>
      <c r="AU117" s="1">
        <f t="shared" si="30"/>
        <v>0</v>
      </c>
      <c r="AV117" s="1">
        <f t="shared" si="43"/>
        <v>0.32899999999999996</v>
      </c>
      <c r="AX117" s="1">
        <f t="shared" si="44"/>
        <v>0</v>
      </c>
      <c r="AY117" s="1">
        <f t="shared" si="31"/>
        <v>0</v>
      </c>
      <c r="AZ117" s="1">
        <f t="shared" si="32"/>
        <v>0.5</v>
      </c>
      <c r="BA117" s="1">
        <f t="shared" si="33"/>
        <v>0.5</v>
      </c>
      <c r="BB117" s="1">
        <f t="shared" si="34"/>
        <v>0</v>
      </c>
      <c r="BC117" s="1">
        <f t="shared" si="35"/>
        <v>0</v>
      </c>
      <c r="BD117" s="1">
        <f t="shared" si="45"/>
        <v>0.32899999999999996</v>
      </c>
      <c r="BF117">
        <f t="shared" si="36"/>
        <v>73.7</v>
      </c>
      <c r="BG117">
        <f t="shared" si="37"/>
        <v>13.15</v>
      </c>
      <c r="BH117" s="1">
        <f t="shared" si="38"/>
        <v>0</v>
      </c>
      <c r="BI117" s="1">
        <f t="shared" si="39"/>
        <v>0.17842605156037991</v>
      </c>
      <c r="BJ117" s="1">
        <f t="shared" si="46"/>
        <v>0.43</v>
      </c>
      <c r="BK117" s="1">
        <f t="shared" si="47"/>
        <v>0.17842605156037991</v>
      </c>
      <c r="BL117" s="22">
        <f t="shared" si="48"/>
        <v>0.17842605156037991</v>
      </c>
      <c r="BM117" s="1">
        <f t="shared" si="40"/>
        <v>2.2672513948697355E-2</v>
      </c>
      <c r="BN117" s="1">
        <f t="shared" si="41"/>
        <v>6.1843950728097423E-3</v>
      </c>
    </row>
    <row r="118" spans="1:66" x14ac:dyDescent="0.25">
      <c r="A118" s="3"/>
      <c r="B118" s="3"/>
      <c r="C118" t="s">
        <v>104</v>
      </c>
      <c r="D118" s="5">
        <v>1</v>
      </c>
      <c r="E118" s="9">
        <f t="shared" si="25"/>
        <v>29.8</v>
      </c>
      <c r="F118" s="9">
        <f t="shared" si="26"/>
        <v>0</v>
      </c>
      <c r="G118">
        <v>0</v>
      </c>
      <c r="H118">
        <v>70.2</v>
      </c>
      <c r="I118">
        <v>29.8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36.700000000000003</v>
      </c>
      <c r="AK118" t="s">
        <v>1</v>
      </c>
      <c r="AL118" t="s">
        <v>372</v>
      </c>
      <c r="AQ118" s="1">
        <f t="shared" si="42"/>
        <v>100</v>
      </c>
      <c r="AR118" s="1">
        <f t="shared" si="27"/>
        <v>0</v>
      </c>
      <c r="AS118" s="1">
        <f t="shared" si="28"/>
        <v>0</v>
      </c>
      <c r="AT118" s="1">
        <f t="shared" si="29"/>
        <v>0.70200000000000007</v>
      </c>
      <c r="AU118" s="1">
        <f t="shared" si="30"/>
        <v>0</v>
      </c>
      <c r="AV118" s="1">
        <f t="shared" si="43"/>
        <v>0.36700000000000005</v>
      </c>
      <c r="AX118" s="1">
        <f t="shared" si="44"/>
        <v>0</v>
      </c>
      <c r="AY118" s="1">
        <f t="shared" si="31"/>
        <v>0</v>
      </c>
      <c r="AZ118" s="1">
        <f t="shared" si="32"/>
        <v>0.5</v>
      </c>
      <c r="BA118" s="1">
        <f t="shared" si="33"/>
        <v>0.5</v>
      </c>
      <c r="BB118" s="1">
        <f t="shared" si="34"/>
        <v>0</v>
      </c>
      <c r="BC118" s="1">
        <f t="shared" si="35"/>
        <v>0</v>
      </c>
      <c r="BD118" s="1">
        <f t="shared" si="45"/>
        <v>0.36700000000000005</v>
      </c>
      <c r="BF118">
        <f t="shared" si="36"/>
        <v>70.2</v>
      </c>
      <c r="BG118">
        <f t="shared" si="37"/>
        <v>14.9</v>
      </c>
      <c r="BH118" s="1">
        <f t="shared" si="38"/>
        <v>0</v>
      </c>
      <c r="BI118" s="1">
        <f t="shared" si="39"/>
        <v>0.21225071225071224</v>
      </c>
      <c r="BJ118" s="1">
        <f t="shared" si="46"/>
        <v>0.43</v>
      </c>
      <c r="BK118" s="1">
        <f t="shared" si="47"/>
        <v>0.21225071225071224</v>
      </c>
      <c r="BL118" s="22">
        <f t="shared" si="48"/>
        <v>0.21225071225071224</v>
      </c>
      <c r="BM118" s="1">
        <f t="shared" si="40"/>
        <v>2.3947342058911879E-2</v>
      </c>
      <c r="BN118" s="1">
        <f t="shared" si="41"/>
        <v>1.6516847786304137E-3</v>
      </c>
    </row>
    <row r="119" spans="1:66" x14ac:dyDescent="0.25">
      <c r="A119" s="3"/>
      <c r="B119" s="3"/>
      <c r="C119" t="s">
        <v>105</v>
      </c>
      <c r="D119" s="5">
        <v>1</v>
      </c>
      <c r="E119" s="9">
        <f t="shared" si="25"/>
        <v>33.5</v>
      </c>
      <c r="F119" s="9">
        <f t="shared" si="26"/>
        <v>0</v>
      </c>
      <c r="G119">
        <v>0</v>
      </c>
      <c r="H119">
        <v>66.5</v>
      </c>
      <c r="I119">
        <v>33.5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39.4</v>
      </c>
      <c r="AK119" t="s">
        <v>1</v>
      </c>
      <c r="AL119" t="s">
        <v>372</v>
      </c>
      <c r="AQ119" s="1">
        <f t="shared" si="42"/>
        <v>100</v>
      </c>
      <c r="AR119" s="1">
        <f t="shared" si="27"/>
        <v>0</v>
      </c>
      <c r="AS119" s="1">
        <f t="shared" si="28"/>
        <v>0</v>
      </c>
      <c r="AT119" s="1">
        <f t="shared" si="29"/>
        <v>0.66500000000000004</v>
      </c>
      <c r="AU119" s="1">
        <f t="shared" si="30"/>
        <v>0</v>
      </c>
      <c r="AV119" s="1">
        <f t="shared" si="43"/>
        <v>0.39399999999999996</v>
      </c>
      <c r="AX119" s="1">
        <f t="shared" si="44"/>
        <v>0</v>
      </c>
      <c r="AY119" s="1">
        <f t="shared" si="31"/>
        <v>0</v>
      </c>
      <c r="AZ119" s="1">
        <f t="shared" si="32"/>
        <v>0.5</v>
      </c>
      <c r="BA119" s="1">
        <f t="shared" si="33"/>
        <v>0.5</v>
      </c>
      <c r="BB119" s="1">
        <f t="shared" si="34"/>
        <v>0</v>
      </c>
      <c r="BC119" s="1">
        <f t="shared" si="35"/>
        <v>0</v>
      </c>
      <c r="BD119" s="1">
        <f t="shared" si="45"/>
        <v>0.39399999999999996</v>
      </c>
      <c r="BF119">
        <f t="shared" si="36"/>
        <v>66.5</v>
      </c>
      <c r="BG119">
        <f t="shared" si="37"/>
        <v>16.75</v>
      </c>
      <c r="BH119" s="1">
        <f t="shared" si="38"/>
        <v>0</v>
      </c>
      <c r="BI119" s="1">
        <f t="shared" si="39"/>
        <v>0.25187969924812031</v>
      </c>
      <c r="BJ119" s="1">
        <f t="shared" si="46"/>
        <v>0.43</v>
      </c>
      <c r="BK119" s="1">
        <f t="shared" si="47"/>
        <v>0.25187969924812031</v>
      </c>
      <c r="BL119" s="22">
        <f t="shared" si="48"/>
        <v>0.25187969924812031</v>
      </c>
      <c r="BM119" s="1">
        <f t="shared" si="40"/>
        <v>2.0198179885804721E-2</v>
      </c>
      <c r="BN119" s="1">
        <f t="shared" si="41"/>
        <v>1.8607483276616605E-4</v>
      </c>
    </row>
    <row r="120" spans="1:66" x14ac:dyDescent="0.25">
      <c r="A120" s="3"/>
      <c r="B120" s="3"/>
      <c r="C120" t="s">
        <v>106</v>
      </c>
      <c r="D120" s="5">
        <v>1</v>
      </c>
      <c r="E120" s="9">
        <f t="shared" si="25"/>
        <v>38.6</v>
      </c>
      <c r="F120" s="9">
        <f t="shared" si="26"/>
        <v>0</v>
      </c>
      <c r="G120">
        <v>0</v>
      </c>
      <c r="H120">
        <v>61.4</v>
      </c>
      <c r="I120">
        <v>38.6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41.9</v>
      </c>
      <c r="AK120" t="s">
        <v>1</v>
      </c>
      <c r="AL120" t="s">
        <v>372</v>
      </c>
      <c r="AQ120" s="1">
        <f t="shared" si="42"/>
        <v>100</v>
      </c>
      <c r="AR120" s="1">
        <f t="shared" si="27"/>
        <v>0</v>
      </c>
      <c r="AS120" s="1">
        <f t="shared" si="28"/>
        <v>0</v>
      </c>
      <c r="AT120" s="1">
        <f t="shared" si="29"/>
        <v>0.61399999999999999</v>
      </c>
      <c r="AU120" s="1">
        <f t="shared" si="30"/>
        <v>0</v>
      </c>
      <c r="AV120" s="1">
        <f t="shared" si="43"/>
        <v>0.41899999999999998</v>
      </c>
      <c r="AX120" s="1">
        <f t="shared" si="44"/>
        <v>0</v>
      </c>
      <c r="AY120" s="1">
        <f t="shared" si="31"/>
        <v>0</v>
      </c>
      <c r="AZ120" s="1">
        <f t="shared" si="32"/>
        <v>0.5</v>
      </c>
      <c r="BA120" s="1">
        <f t="shared" si="33"/>
        <v>0.5</v>
      </c>
      <c r="BB120" s="1">
        <f t="shared" si="34"/>
        <v>0</v>
      </c>
      <c r="BC120" s="1">
        <f t="shared" si="35"/>
        <v>0</v>
      </c>
      <c r="BD120" s="1">
        <f t="shared" si="45"/>
        <v>0.41899999999999998</v>
      </c>
      <c r="BF120">
        <f t="shared" si="36"/>
        <v>61.4</v>
      </c>
      <c r="BG120">
        <f t="shared" si="37"/>
        <v>19.3</v>
      </c>
      <c r="BH120" s="1">
        <f t="shared" si="38"/>
        <v>0</v>
      </c>
      <c r="BI120" s="1">
        <f t="shared" si="39"/>
        <v>0.31433224755700329</v>
      </c>
      <c r="BJ120" s="1">
        <f t="shared" si="46"/>
        <v>0.43</v>
      </c>
      <c r="BK120" s="1">
        <f t="shared" si="47"/>
        <v>0.31433224755700329</v>
      </c>
      <c r="BL120" s="22">
        <f t="shared" si="48"/>
        <v>0.31433224755700329</v>
      </c>
      <c r="BM120" s="1">
        <f t="shared" si="40"/>
        <v>1.095533840146844E-2</v>
      </c>
      <c r="BN120" s="1">
        <f t="shared" si="41"/>
        <v>1.2902858659556037E-4</v>
      </c>
    </row>
    <row r="121" spans="1:66" x14ac:dyDescent="0.25">
      <c r="A121" s="3"/>
      <c r="B121" s="3"/>
      <c r="C121" t="s">
        <v>107</v>
      </c>
      <c r="D121" s="5">
        <v>1</v>
      </c>
      <c r="E121" s="9">
        <f t="shared" si="25"/>
        <v>50</v>
      </c>
      <c r="F121" s="9">
        <f t="shared" si="26"/>
        <v>0</v>
      </c>
      <c r="G121">
        <v>0</v>
      </c>
      <c r="H121">
        <v>50</v>
      </c>
      <c r="I121">
        <v>50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38.299999999999997</v>
      </c>
      <c r="AK121" t="s">
        <v>1</v>
      </c>
      <c r="AL121" t="s">
        <v>372</v>
      </c>
      <c r="AQ121" s="1">
        <f t="shared" si="42"/>
        <v>100</v>
      </c>
      <c r="AR121" s="1">
        <f t="shared" si="27"/>
        <v>0</v>
      </c>
      <c r="AS121" s="1">
        <f t="shared" si="28"/>
        <v>0</v>
      </c>
      <c r="AT121" s="1">
        <f t="shared" si="29"/>
        <v>0.5</v>
      </c>
      <c r="AU121" s="1">
        <f t="shared" si="30"/>
        <v>0</v>
      </c>
      <c r="AV121" s="1">
        <f t="shared" si="43"/>
        <v>0.38299999999999995</v>
      </c>
      <c r="AX121" s="1">
        <f t="shared" si="44"/>
        <v>0</v>
      </c>
      <c r="AY121" s="1">
        <f t="shared" si="31"/>
        <v>0</v>
      </c>
      <c r="AZ121" s="1">
        <f t="shared" si="32"/>
        <v>0.5</v>
      </c>
      <c r="BA121" s="1">
        <f t="shared" si="33"/>
        <v>0.5</v>
      </c>
      <c r="BB121" s="1">
        <f t="shared" si="34"/>
        <v>0</v>
      </c>
      <c r="BC121" s="1">
        <f t="shared" si="35"/>
        <v>0</v>
      </c>
      <c r="BD121" s="1">
        <f t="shared" si="45"/>
        <v>0.38299999999999995</v>
      </c>
      <c r="BF121">
        <f t="shared" si="36"/>
        <v>50</v>
      </c>
      <c r="BG121">
        <f t="shared" si="37"/>
        <v>25</v>
      </c>
      <c r="BH121" s="1">
        <f t="shared" si="38"/>
        <v>0</v>
      </c>
      <c r="BI121" s="1">
        <f t="shared" si="39"/>
        <v>0.5</v>
      </c>
      <c r="BJ121" s="1">
        <f t="shared" si="46"/>
        <v>0.43</v>
      </c>
      <c r="BK121" s="1">
        <f t="shared" si="47"/>
        <v>0.40701138914924623</v>
      </c>
      <c r="BL121" s="22">
        <f t="shared" si="48"/>
        <v>0.40701138914924623</v>
      </c>
      <c r="BM121" s="1">
        <f t="shared" si="40"/>
        <v>5.7654680887654186E-4</v>
      </c>
      <c r="BN121" s="1">
        <f t="shared" si="41"/>
        <v>6.0717518108123329E-4</v>
      </c>
    </row>
    <row r="122" spans="1:66" x14ac:dyDescent="0.25">
      <c r="A122" s="3"/>
      <c r="B122" s="3"/>
      <c r="C122" t="s">
        <v>109</v>
      </c>
      <c r="D122" s="5">
        <v>1</v>
      </c>
      <c r="E122" s="9">
        <f t="shared" si="25"/>
        <v>25.9</v>
      </c>
      <c r="F122" s="9">
        <f t="shared" si="26"/>
        <v>0</v>
      </c>
      <c r="G122">
        <v>0</v>
      </c>
      <c r="H122">
        <v>74.099999999999994</v>
      </c>
      <c r="I122">
        <v>10.5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15.4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39.9</v>
      </c>
      <c r="AK122" t="s">
        <v>1</v>
      </c>
      <c r="AL122" t="s">
        <v>372</v>
      </c>
      <c r="AM122" t="s">
        <v>379</v>
      </c>
      <c r="AN122" t="s">
        <v>373</v>
      </c>
      <c r="AO122" t="s">
        <v>375</v>
      </c>
      <c r="AQ122" s="1">
        <f t="shared" si="42"/>
        <v>100</v>
      </c>
      <c r="AR122" s="1">
        <f t="shared" si="27"/>
        <v>0.154</v>
      </c>
      <c r="AS122" s="1">
        <f t="shared" si="28"/>
        <v>0</v>
      </c>
      <c r="AT122" s="1">
        <f t="shared" si="29"/>
        <v>0.74099999999999999</v>
      </c>
      <c r="AU122" s="1">
        <f t="shared" si="30"/>
        <v>0</v>
      </c>
      <c r="AV122" s="1">
        <f t="shared" si="43"/>
        <v>0.39899999999999997</v>
      </c>
      <c r="AX122" s="1">
        <f t="shared" si="44"/>
        <v>0</v>
      </c>
      <c r="AY122" s="1">
        <f t="shared" si="31"/>
        <v>0.2078272604588394</v>
      </c>
      <c r="AZ122" s="1">
        <f t="shared" si="32"/>
        <v>0.5</v>
      </c>
      <c r="BA122" s="1">
        <f t="shared" si="33"/>
        <v>0.5</v>
      </c>
      <c r="BB122" s="1">
        <f t="shared" si="34"/>
        <v>0.2078272604588394</v>
      </c>
      <c r="BC122" s="1">
        <f t="shared" si="35"/>
        <v>0.2078272604588394</v>
      </c>
      <c r="BD122" s="1">
        <f t="shared" si="45"/>
        <v>0.19117273954116057</v>
      </c>
      <c r="BF122">
        <f t="shared" si="36"/>
        <v>74.099999999999994</v>
      </c>
      <c r="BG122">
        <f t="shared" si="37"/>
        <v>20.65</v>
      </c>
      <c r="BH122" s="1">
        <f t="shared" si="38"/>
        <v>0</v>
      </c>
      <c r="BI122" s="1">
        <f t="shared" si="39"/>
        <v>0.27867746288798922</v>
      </c>
      <c r="BJ122" s="1">
        <f t="shared" si="46"/>
        <v>0.43</v>
      </c>
      <c r="BK122" s="1">
        <f t="shared" si="47"/>
        <v>0.27867746288798922</v>
      </c>
      <c r="BL122" s="22">
        <f t="shared" si="48"/>
        <v>0.27867746288798922</v>
      </c>
      <c r="BM122" s="1">
        <f t="shared" si="40"/>
        <v>1.4477512937071202E-2</v>
      </c>
      <c r="BN122" s="1">
        <f t="shared" si="41"/>
        <v>7.4665583532044737E-5</v>
      </c>
    </row>
    <row r="123" spans="1:66" x14ac:dyDescent="0.25">
      <c r="A123" s="3"/>
      <c r="B123" s="3"/>
      <c r="C123" t="s">
        <v>110</v>
      </c>
      <c r="D123" s="5">
        <v>1</v>
      </c>
      <c r="E123" s="9">
        <f t="shared" si="25"/>
        <v>25.3</v>
      </c>
      <c r="F123" s="9">
        <f t="shared" si="26"/>
        <v>0.17001338688085674</v>
      </c>
      <c r="G123">
        <v>0</v>
      </c>
      <c r="H123">
        <v>62</v>
      </c>
      <c r="I123">
        <v>10.4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14.9</v>
      </c>
      <c r="P123">
        <v>0</v>
      </c>
      <c r="Q123">
        <v>12.7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45.3</v>
      </c>
      <c r="AK123" t="s">
        <v>1</v>
      </c>
      <c r="AL123" t="s">
        <v>372</v>
      </c>
      <c r="AQ123" s="1">
        <f t="shared" si="42"/>
        <v>100.00000000000001</v>
      </c>
      <c r="AR123" s="1">
        <f t="shared" si="27"/>
        <v>0.14899999999999999</v>
      </c>
      <c r="AS123" s="1">
        <f t="shared" si="28"/>
        <v>0</v>
      </c>
      <c r="AT123" s="1">
        <f t="shared" si="29"/>
        <v>0.62</v>
      </c>
      <c r="AU123" s="1">
        <f t="shared" si="30"/>
        <v>0.127</v>
      </c>
      <c r="AV123" s="1">
        <f t="shared" si="43"/>
        <v>0.45299999999999996</v>
      </c>
      <c r="AX123" s="1">
        <f t="shared" si="44"/>
        <v>0.20483870967741935</v>
      </c>
      <c r="AY123" s="1">
        <f t="shared" si="31"/>
        <v>0.24032258064516129</v>
      </c>
      <c r="AZ123" s="1">
        <f t="shared" si="32"/>
        <v>0.51280241935483872</v>
      </c>
      <c r="BA123" s="1">
        <f t="shared" si="33"/>
        <v>0.55120967741935489</v>
      </c>
      <c r="BB123" s="1">
        <f t="shared" si="34"/>
        <v>0.24032258064516129</v>
      </c>
      <c r="BC123" s="1">
        <f t="shared" si="35"/>
        <v>0.24032258064516129</v>
      </c>
      <c r="BD123" s="1">
        <f t="shared" si="45"/>
        <v>0.21267741935483866</v>
      </c>
      <c r="BF123">
        <f t="shared" si="36"/>
        <v>62</v>
      </c>
      <c r="BG123">
        <f t="shared" si="37"/>
        <v>20.100000000000001</v>
      </c>
      <c r="BH123" s="1">
        <f t="shared" si="38"/>
        <v>0.20483870967741935</v>
      </c>
      <c r="BI123" s="1">
        <f t="shared" si="39"/>
        <v>0.3241935483870968</v>
      </c>
      <c r="BJ123" s="1">
        <f t="shared" si="46"/>
        <v>0.44229032258064516</v>
      </c>
      <c r="BK123" s="1">
        <f t="shared" si="47"/>
        <v>0.3241935483870968</v>
      </c>
      <c r="BL123" s="22">
        <f t="shared" si="48"/>
        <v>0.3241935483870968</v>
      </c>
      <c r="BM123" s="1">
        <f t="shared" si="40"/>
        <v>1.6591101977107163E-2</v>
      </c>
      <c r="BN123" s="1">
        <f t="shared" si="41"/>
        <v>2.0574456918035352E-3</v>
      </c>
    </row>
    <row r="124" spans="1:66" x14ac:dyDescent="0.25">
      <c r="A124" s="3"/>
      <c r="B124" s="3"/>
      <c r="C124" t="s">
        <v>111</v>
      </c>
      <c r="D124" s="5">
        <v>1</v>
      </c>
      <c r="E124" s="9">
        <f t="shared" si="25"/>
        <v>25.8</v>
      </c>
      <c r="F124" s="9">
        <f t="shared" si="26"/>
        <v>0.33557951482479786</v>
      </c>
      <c r="G124">
        <v>0</v>
      </c>
      <c r="H124">
        <v>49.3</v>
      </c>
      <c r="I124">
        <v>10.8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15</v>
      </c>
      <c r="P124">
        <v>0</v>
      </c>
      <c r="Q124">
        <v>24.9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48.9</v>
      </c>
      <c r="AK124" t="s">
        <v>1</v>
      </c>
      <c r="AL124" t="s">
        <v>372</v>
      </c>
      <c r="AQ124" s="1">
        <f t="shared" si="42"/>
        <v>100</v>
      </c>
      <c r="AR124" s="1">
        <f t="shared" si="27"/>
        <v>0.15</v>
      </c>
      <c r="AS124" s="1">
        <f t="shared" si="28"/>
        <v>0</v>
      </c>
      <c r="AT124" s="1">
        <f t="shared" si="29"/>
        <v>0.49299999999999999</v>
      </c>
      <c r="AU124" s="1">
        <f t="shared" si="30"/>
        <v>0.249</v>
      </c>
      <c r="AV124" s="1">
        <f t="shared" si="43"/>
        <v>0.48899999999999999</v>
      </c>
      <c r="AX124" s="1">
        <f t="shared" si="44"/>
        <v>0.50507099391480725</v>
      </c>
      <c r="AY124" s="1">
        <f t="shared" si="31"/>
        <v>0.3042596348884381</v>
      </c>
      <c r="AZ124" s="1">
        <f t="shared" si="32"/>
        <v>0.5315669371196754</v>
      </c>
      <c r="BA124" s="1">
        <f t="shared" si="33"/>
        <v>0.62626774847870181</v>
      </c>
      <c r="BB124" s="1">
        <f t="shared" si="34"/>
        <v>0.3042596348884381</v>
      </c>
      <c r="BC124" s="1">
        <f t="shared" si="35"/>
        <v>0.3042596348884381</v>
      </c>
      <c r="BD124" s="1">
        <f t="shared" si="45"/>
        <v>0.18474036511156189</v>
      </c>
      <c r="BF124">
        <f t="shared" si="36"/>
        <v>49.3</v>
      </c>
      <c r="BG124">
        <f t="shared" si="37"/>
        <v>20.399999999999999</v>
      </c>
      <c r="BH124" s="1">
        <f t="shared" si="38"/>
        <v>0.50507099391480725</v>
      </c>
      <c r="BI124" s="1">
        <f t="shared" si="39"/>
        <v>0.41379310344827586</v>
      </c>
      <c r="BJ124" s="1">
        <f t="shared" si="46"/>
        <v>0.46030425963488841</v>
      </c>
      <c r="BK124" s="1">
        <f t="shared" si="47"/>
        <v>0.41379310344827586</v>
      </c>
      <c r="BL124" s="22">
        <f t="shared" si="48"/>
        <v>0.41379310344827586</v>
      </c>
      <c r="BM124" s="1">
        <f t="shared" si="40"/>
        <v>5.6560772889417358E-3</v>
      </c>
      <c r="BN124" s="1">
        <f t="shared" si="41"/>
        <v>6.6192990973178677E-3</v>
      </c>
    </row>
    <row r="125" spans="1:66" x14ac:dyDescent="0.25">
      <c r="A125" s="3"/>
      <c r="B125" s="3"/>
      <c r="C125" t="s">
        <v>112</v>
      </c>
      <c r="D125" s="5">
        <v>1</v>
      </c>
      <c r="E125" s="9">
        <f t="shared" si="25"/>
        <v>24.7</v>
      </c>
      <c r="F125" s="9">
        <f t="shared" si="26"/>
        <v>0.49003984063745021</v>
      </c>
      <c r="G125">
        <v>0</v>
      </c>
      <c r="H125">
        <v>38.4</v>
      </c>
      <c r="I125">
        <v>10.6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14.1</v>
      </c>
      <c r="P125">
        <v>0</v>
      </c>
      <c r="Q125">
        <v>36.9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53.5</v>
      </c>
      <c r="AK125" t="s">
        <v>1</v>
      </c>
      <c r="AL125" t="s">
        <v>372</v>
      </c>
      <c r="AQ125" s="1">
        <f t="shared" si="42"/>
        <v>100</v>
      </c>
      <c r="AR125" s="1">
        <f t="shared" si="27"/>
        <v>0.14099999999999999</v>
      </c>
      <c r="AS125" s="1">
        <f t="shared" si="28"/>
        <v>0</v>
      </c>
      <c r="AT125" s="1">
        <f t="shared" si="29"/>
        <v>0.38400000000000001</v>
      </c>
      <c r="AU125" s="1">
        <f t="shared" si="30"/>
        <v>0.36899999999999999</v>
      </c>
      <c r="AV125" s="1">
        <f t="shared" si="43"/>
        <v>0.53500000000000003</v>
      </c>
      <c r="AX125" s="1">
        <f t="shared" si="44"/>
        <v>0.9609375</v>
      </c>
      <c r="AY125" s="1">
        <f t="shared" si="31"/>
        <v>0.36718749999999994</v>
      </c>
      <c r="AZ125" s="1">
        <f t="shared" si="32"/>
        <v>0.56005859375</v>
      </c>
      <c r="BA125" s="1">
        <f t="shared" si="33"/>
        <v>0.740234375</v>
      </c>
      <c r="BB125" s="1">
        <f t="shared" si="34"/>
        <v>0.36718749999999994</v>
      </c>
      <c r="BC125" s="1">
        <f t="shared" si="35"/>
        <v>0.36718749999999994</v>
      </c>
      <c r="BD125" s="1">
        <f t="shared" si="45"/>
        <v>0.16781250000000009</v>
      </c>
      <c r="BF125">
        <f t="shared" si="36"/>
        <v>38.4</v>
      </c>
      <c r="BG125">
        <f t="shared" si="37"/>
        <v>19.399999999999999</v>
      </c>
      <c r="BH125" s="1">
        <f t="shared" si="38"/>
        <v>0.9609375</v>
      </c>
      <c r="BI125" s="1">
        <f t="shared" si="39"/>
        <v>0.50520833333333337</v>
      </c>
      <c r="BJ125" s="1">
        <f t="shared" si="46"/>
        <v>0.48765625000000001</v>
      </c>
      <c r="BK125" s="1">
        <f t="shared" si="47"/>
        <v>0.45915644900135438</v>
      </c>
      <c r="BL125" s="22">
        <f t="shared" si="48"/>
        <v>0.45915644900135438</v>
      </c>
      <c r="BM125" s="1">
        <f t="shared" si="40"/>
        <v>5.7522442280841636E-3</v>
      </c>
      <c r="BN125" s="1">
        <f t="shared" si="41"/>
        <v>1.6220334004363963E-2</v>
      </c>
    </row>
    <row r="126" spans="1:66" x14ac:dyDescent="0.25">
      <c r="A126" s="3"/>
      <c r="B126" s="3"/>
      <c r="C126" t="s">
        <v>113</v>
      </c>
      <c r="D126" s="5">
        <v>1</v>
      </c>
      <c r="E126" s="9">
        <f t="shared" si="25"/>
        <v>26.5</v>
      </c>
      <c r="F126" s="9">
        <f t="shared" si="26"/>
        <v>0.70204081632653059</v>
      </c>
      <c r="G126">
        <v>0</v>
      </c>
      <c r="H126">
        <v>21.9</v>
      </c>
      <c r="I126">
        <v>11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15.5</v>
      </c>
      <c r="P126">
        <v>0</v>
      </c>
      <c r="Q126">
        <v>51.6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65.5</v>
      </c>
      <c r="AK126" t="s">
        <v>1</v>
      </c>
      <c r="AL126" t="s">
        <v>372</v>
      </c>
      <c r="AQ126" s="1">
        <f t="shared" si="42"/>
        <v>100</v>
      </c>
      <c r="AR126" s="1">
        <f t="shared" si="27"/>
        <v>0.155</v>
      </c>
      <c r="AS126" s="1">
        <f t="shared" si="28"/>
        <v>0</v>
      </c>
      <c r="AT126" s="1">
        <f t="shared" si="29"/>
        <v>0.21899999999999997</v>
      </c>
      <c r="AU126" s="1">
        <f t="shared" si="30"/>
        <v>0.51600000000000001</v>
      </c>
      <c r="AV126" s="1">
        <f t="shared" si="43"/>
        <v>0.65500000000000003</v>
      </c>
      <c r="AX126" s="1">
        <f t="shared" si="44"/>
        <v>2.3561643835616444</v>
      </c>
      <c r="AY126" s="1">
        <f t="shared" si="31"/>
        <v>0.7077625570776257</v>
      </c>
      <c r="AZ126" s="1">
        <f t="shared" si="32"/>
        <v>0.64726027397260277</v>
      </c>
      <c r="BA126" s="1">
        <f t="shared" si="33"/>
        <v>1.0890410958904111</v>
      </c>
      <c r="BB126" s="1">
        <f t="shared" si="34"/>
        <v>0.64726027397260277</v>
      </c>
      <c r="BC126" s="1">
        <f t="shared" si="35"/>
        <v>0.64726027397260277</v>
      </c>
      <c r="BD126" s="1">
        <f t="shared" si="45"/>
        <v>7.7397260273972535E-3</v>
      </c>
      <c r="BF126">
        <f t="shared" si="36"/>
        <v>21.9</v>
      </c>
      <c r="BG126">
        <f t="shared" si="37"/>
        <v>21</v>
      </c>
      <c r="BH126" s="1">
        <f t="shared" si="38"/>
        <v>2.3561643835616439</v>
      </c>
      <c r="BI126" s="1">
        <f t="shared" si="39"/>
        <v>0.95890410958904115</v>
      </c>
      <c r="BJ126" s="1">
        <f t="shared" si="46"/>
        <v>0.57136986301369863</v>
      </c>
      <c r="BK126" s="1">
        <f t="shared" si="47"/>
        <v>0.59131896756737679</v>
      </c>
      <c r="BL126" s="22">
        <f t="shared" si="48"/>
        <v>0.59131896756737679</v>
      </c>
      <c r="BM126" s="1">
        <f t="shared" si="40"/>
        <v>4.0552738916848135E-3</v>
      </c>
      <c r="BN126" s="1">
        <f t="shared" si="41"/>
        <v>6.1186512022745068E-2</v>
      </c>
    </row>
    <row r="127" spans="1:66" x14ac:dyDescent="0.25">
      <c r="A127" s="3"/>
      <c r="B127" s="3"/>
      <c r="C127" t="s">
        <v>114</v>
      </c>
      <c r="D127" s="5">
        <v>1</v>
      </c>
      <c r="E127" s="9">
        <f t="shared" si="25"/>
        <v>25.4</v>
      </c>
      <c r="F127" s="9">
        <f t="shared" si="26"/>
        <v>0.85522788203753353</v>
      </c>
      <c r="G127">
        <v>0</v>
      </c>
      <c r="H127">
        <v>10.8</v>
      </c>
      <c r="I127">
        <v>10.6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14.8</v>
      </c>
      <c r="P127">
        <v>0</v>
      </c>
      <c r="Q127">
        <v>63.8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75.8</v>
      </c>
      <c r="AK127" t="s">
        <v>1</v>
      </c>
      <c r="AL127" t="s">
        <v>372</v>
      </c>
      <c r="AQ127" s="1">
        <f t="shared" si="42"/>
        <v>100</v>
      </c>
      <c r="AR127" s="1">
        <f t="shared" si="27"/>
        <v>0.14800000000000002</v>
      </c>
      <c r="AS127" s="1">
        <f t="shared" si="28"/>
        <v>0</v>
      </c>
      <c r="AT127" s="1">
        <f t="shared" si="29"/>
        <v>0.10800000000000001</v>
      </c>
      <c r="AU127" s="1">
        <f t="shared" si="30"/>
        <v>0.63800000000000001</v>
      </c>
      <c r="AV127" s="1">
        <f t="shared" si="43"/>
        <v>0.75800000000000001</v>
      </c>
      <c r="AX127" s="1">
        <f t="shared" si="44"/>
        <v>5.9074074074074066</v>
      </c>
      <c r="AY127" s="1">
        <f t="shared" si="31"/>
        <v>1.3703703703703705</v>
      </c>
      <c r="AZ127" s="1">
        <f t="shared" si="32"/>
        <v>0.86921296296296291</v>
      </c>
      <c r="BA127" s="1">
        <f t="shared" si="33"/>
        <v>1.9768518518518516</v>
      </c>
      <c r="BB127" s="1">
        <f t="shared" si="34"/>
        <v>0.86921296296296291</v>
      </c>
      <c r="BC127" s="1">
        <f t="shared" si="35"/>
        <v>0.86921296296296291</v>
      </c>
      <c r="BD127" s="1">
        <f t="shared" si="45"/>
        <v>0.1112129629629629</v>
      </c>
      <c r="BF127">
        <f t="shared" si="36"/>
        <v>10.8</v>
      </c>
      <c r="BG127">
        <f t="shared" si="37"/>
        <v>20.100000000000001</v>
      </c>
      <c r="BH127" s="1">
        <f t="shared" si="38"/>
        <v>5.9074074074074066</v>
      </c>
      <c r="BI127" s="1">
        <f t="shared" si="39"/>
        <v>1.8611111111111112</v>
      </c>
      <c r="BJ127" s="1">
        <f t="shared" si="46"/>
        <v>0.78444444444444439</v>
      </c>
      <c r="BK127" s="1">
        <f t="shared" si="47"/>
        <v>0.88076774502800814</v>
      </c>
      <c r="BL127" s="22">
        <f t="shared" si="48"/>
        <v>0.88076774502800814</v>
      </c>
      <c r="BM127" s="1">
        <f t="shared" si="40"/>
        <v>1.5071919219262016E-2</v>
      </c>
      <c r="BN127" s="1">
        <f t="shared" si="41"/>
        <v>0.12275148148852218</v>
      </c>
    </row>
    <row r="128" spans="1:66" x14ac:dyDescent="0.25">
      <c r="A128" s="3"/>
      <c r="B128" s="3"/>
      <c r="C128" t="s">
        <v>115</v>
      </c>
      <c r="D128" s="5">
        <v>1</v>
      </c>
      <c r="E128" s="9">
        <f t="shared" si="25"/>
        <v>25.900000000000002</v>
      </c>
      <c r="F128" s="9">
        <f t="shared" si="26"/>
        <v>0.9339622641509433</v>
      </c>
      <c r="G128">
        <v>0</v>
      </c>
      <c r="H128">
        <v>4.9000000000000004</v>
      </c>
      <c r="I128">
        <v>9.8000000000000007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16.100000000000001</v>
      </c>
      <c r="P128">
        <v>0</v>
      </c>
      <c r="Q128">
        <v>69.3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80.8</v>
      </c>
      <c r="AK128" t="s">
        <v>1</v>
      </c>
      <c r="AL128" t="s">
        <v>372</v>
      </c>
      <c r="AQ128" s="1">
        <f t="shared" si="42"/>
        <v>100.1</v>
      </c>
      <c r="AR128" s="1">
        <f t="shared" si="27"/>
        <v>0.161</v>
      </c>
      <c r="AS128" s="1">
        <f t="shared" si="28"/>
        <v>0</v>
      </c>
      <c r="AT128" s="1">
        <f t="shared" si="29"/>
        <v>4.9000000000000002E-2</v>
      </c>
      <c r="AU128" s="1">
        <f t="shared" si="30"/>
        <v>0.69299999999999995</v>
      </c>
      <c r="AV128" s="1">
        <f t="shared" si="43"/>
        <v>0.80799999999999994</v>
      </c>
      <c r="AX128" s="1">
        <f t="shared" si="44"/>
        <v>14.142857142857141</v>
      </c>
      <c r="AY128" s="1">
        <f t="shared" si="31"/>
        <v>3.2857142857142856</v>
      </c>
      <c r="AZ128" s="1">
        <f t="shared" si="32"/>
        <v>1.3839285714285712</v>
      </c>
      <c r="BA128" s="1">
        <f t="shared" si="33"/>
        <v>4.0357142857142847</v>
      </c>
      <c r="BB128" s="1">
        <f t="shared" si="34"/>
        <v>1.3839285714285712</v>
      </c>
      <c r="BC128" s="1">
        <f t="shared" si="35"/>
        <v>1</v>
      </c>
      <c r="BD128" s="1">
        <f t="shared" si="45"/>
        <v>0.19200000000000006</v>
      </c>
      <c r="BF128">
        <f t="shared" si="36"/>
        <v>4.9000000000000004</v>
      </c>
      <c r="BG128">
        <f t="shared" si="37"/>
        <v>21</v>
      </c>
      <c r="BH128" s="1">
        <f t="shared" si="38"/>
        <v>14.142857142857141</v>
      </c>
      <c r="BI128" s="1">
        <f t="shared" si="39"/>
        <v>4.2857142857142856</v>
      </c>
      <c r="BJ128" s="1">
        <f t="shared" si="46"/>
        <v>1.2785714285714285</v>
      </c>
      <c r="BK128" s="1">
        <f t="shared" si="47"/>
        <v>1.5268455601714184</v>
      </c>
      <c r="BL128" s="22">
        <f t="shared" si="48"/>
        <v>1</v>
      </c>
      <c r="BM128" s="1">
        <f t="shared" si="40"/>
        <v>3.6864000000000022E-2</v>
      </c>
      <c r="BN128" s="1">
        <f t="shared" si="41"/>
        <v>0.16028738899618092</v>
      </c>
    </row>
    <row r="129" spans="1:66" x14ac:dyDescent="0.25">
      <c r="A129" s="3"/>
      <c r="B129" s="3"/>
      <c r="C129" t="s">
        <v>116</v>
      </c>
      <c r="D129" s="5">
        <v>1</v>
      </c>
      <c r="E129" s="9">
        <f t="shared" si="25"/>
        <v>9.6</v>
      </c>
      <c r="F129" s="9">
        <f t="shared" si="26"/>
        <v>0</v>
      </c>
      <c r="G129">
        <v>0</v>
      </c>
      <c r="H129">
        <v>90.4</v>
      </c>
      <c r="I129">
        <v>0</v>
      </c>
      <c r="J129">
        <v>0</v>
      </c>
      <c r="K129">
        <v>0</v>
      </c>
      <c r="L129">
        <v>0</v>
      </c>
      <c r="M129">
        <v>9.6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11.2</v>
      </c>
      <c r="AK129" t="s">
        <v>1</v>
      </c>
      <c r="AL129" t="s">
        <v>374</v>
      </c>
      <c r="AO129" t="s">
        <v>375</v>
      </c>
      <c r="AQ129" s="1">
        <f t="shared" si="42"/>
        <v>100</v>
      </c>
      <c r="AR129" s="1">
        <f t="shared" si="27"/>
        <v>9.6000000000000002E-2</v>
      </c>
      <c r="AS129" s="1">
        <f t="shared" si="28"/>
        <v>0</v>
      </c>
      <c r="AT129" s="1">
        <f t="shared" si="29"/>
        <v>0.90400000000000003</v>
      </c>
      <c r="AU129" s="1">
        <f t="shared" si="30"/>
        <v>0</v>
      </c>
      <c r="AV129" s="1">
        <f t="shared" si="43"/>
        <v>0.11199999999999999</v>
      </c>
      <c r="AX129" s="1">
        <f t="shared" si="44"/>
        <v>0</v>
      </c>
      <c r="AY129" s="1">
        <f t="shared" si="31"/>
        <v>0.10619469026548672</v>
      </c>
      <c r="AZ129" s="1">
        <f t="shared" si="32"/>
        <v>0.5</v>
      </c>
      <c r="BA129" s="1">
        <f t="shared" si="33"/>
        <v>0.5</v>
      </c>
      <c r="BB129" s="1">
        <f t="shared" si="34"/>
        <v>0.10619469026548672</v>
      </c>
      <c r="BC129" s="1">
        <f t="shared" si="35"/>
        <v>0.10619469026548672</v>
      </c>
      <c r="BD129" s="1">
        <f t="shared" si="45"/>
        <v>5.8053097345132643E-3</v>
      </c>
      <c r="BF129">
        <f t="shared" si="36"/>
        <v>90.4</v>
      </c>
      <c r="BG129">
        <f t="shared" si="37"/>
        <v>9.6</v>
      </c>
      <c r="BH129" s="1">
        <f t="shared" si="38"/>
        <v>0</v>
      </c>
      <c r="BI129" s="1">
        <f t="shared" si="39"/>
        <v>0.10619469026548671</v>
      </c>
      <c r="BJ129" s="1">
        <f t="shared" si="46"/>
        <v>0.43</v>
      </c>
      <c r="BK129" s="1">
        <f t="shared" si="47"/>
        <v>0.10619469026548671</v>
      </c>
      <c r="BL129" s="22">
        <f t="shared" si="48"/>
        <v>0.10619469026548671</v>
      </c>
      <c r="BM129" s="1">
        <f t="shared" si="40"/>
        <v>3.3701621113634627E-5</v>
      </c>
      <c r="BN129" s="1">
        <f t="shared" si="41"/>
        <v>8.7403556489570586E-2</v>
      </c>
    </row>
    <row r="130" spans="1:66" x14ac:dyDescent="0.25">
      <c r="A130" s="3"/>
      <c r="B130" s="3"/>
      <c r="C130" t="s">
        <v>117</v>
      </c>
      <c r="D130" s="5">
        <v>1</v>
      </c>
      <c r="E130" s="9">
        <f t="shared" ref="E130:E193" si="49">I130+L130+M130+N130+O130+V130+X130+AB130+AD130</f>
        <v>14.6</v>
      </c>
      <c r="F130" s="9">
        <f t="shared" ref="F130:F193" si="50">Q130/(H130+P130+Q130+AC130)</f>
        <v>0</v>
      </c>
      <c r="G130">
        <v>0</v>
      </c>
      <c r="H130">
        <v>85.4</v>
      </c>
      <c r="I130">
        <v>0</v>
      </c>
      <c r="J130">
        <v>0</v>
      </c>
      <c r="K130">
        <v>0</v>
      </c>
      <c r="L130">
        <v>0</v>
      </c>
      <c r="M130">
        <v>14.6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17.7</v>
      </c>
      <c r="AK130" t="s">
        <v>1</v>
      </c>
      <c r="AL130" t="s">
        <v>374</v>
      </c>
      <c r="AQ130" s="1">
        <f t="shared" si="42"/>
        <v>100</v>
      </c>
      <c r="AR130" s="1">
        <f t="shared" ref="AR130:AR193" si="51">(L130+M130+O130+X130)/100</f>
        <v>0.14599999999999999</v>
      </c>
      <c r="AS130" s="1">
        <f t="shared" ref="AS130:AS193" si="52">G130/100</f>
        <v>0</v>
      </c>
      <c r="AT130" s="1">
        <f t="shared" ref="AT130:AT193" si="53">H130/100</f>
        <v>0.85400000000000009</v>
      </c>
      <c r="AU130" s="1">
        <f t="shared" ref="AU130:AU193" si="54">Q130/100</f>
        <v>0</v>
      </c>
      <c r="AV130" s="1">
        <f t="shared" si="43"/>
        <v>0.17699999999999999</v>
      </c>
      <c r="AX130" s="1">
        <f t="shared" si="44"/>
        <v>0</v>
      </c>
      <c r="AY130" s="1">
        <f t="shared" ref="AY130:AY193" si="55">AR130/(AS130+AT130)</f>
        <v>0.17096018735362994</v>
      </c>
      <c r="AZ130" s="1">
        <f t="shared" ref="AZ130:AZ193" si="56">0.5+AX130/16</f>
        <v>0.5</v>
      </c>
      <c r="BA130" s="1">
        <f t="shared" ref="BA130:BA193" si="57">0.5+AX130/4</f>
        <v>0.5</v>
      </c>
      <c r="BB130" s="1">
        <f t="shared" ref="BB130:BB193" si="58">IF(AY130&lt;=AZ130,AY130,IF(AY130&lt;=BA130,AZ130,AZ130-(AY130-BA130)*(8+AX130)/(12*(2+AX130))))</f>
        <v>0.17096018735362994</v>
      </c>
      <c r="BC130" s="1">
        <f t="shared" ref="BC130:BC193" si="59">IF(BB130&lt;1,BB130,1)</f>
        <v>0.17096018735362994</v>
      </c>
      <c r="BD130" s="1">
        <f t="shared" si="45"/>
        <v>6.0398126463700463E-3</v>
      </c>
      <c r="BF130">
        <f t="shared" ref="BF130:BF193" si="60">$BQ$3*H130+$BQ$4*G130+$BQ$5*P130+$BQ$6*K130+$BQ$7*S130+$BQ$8*U130+$BQ$9*Y130+$BQ$10*J130+$BQ$11*AC130+$BQ$12*AG130+$BQ$13*AH130+$BQ$14*R130+$BQ$15*AE130</f>
        <v>85.4</v>
      </c>
      <c r="BG130">
        <f t="shared" ref="BG130:BG193" si="61">O130+$BQ$17*M130+$BQ$18*L130+$BQ$19*X130+$BQ$20*AD130+$BQ$21*I130+$BQ$22*N130+$BQ$23*AB130+$BQ$24*V130+$BQ$25*T130+$BQ$26*AA130+$BQ$28*Z130+$BQ$29*AF130+$BQ$30*W130+$BQ$27*AI130</f>
        <v>14.6</v>
      </c>
      <c r="BH130" s="1">
        <f t="shared" ref="BH130:BH193" si="62">(Q130)/BF130</f>
        <v>0</v>
      </c>
      <c r="BI130" s="1">
        <f t="shared" ref="BI130:BI193" si="63">BG130/BF130</f>
        <v>0.17096018735362997</v>
      </c>
      <c r="BJ130" s="1">
        <f t="shared" si="46"/>
        <v>0.43</v>
      </c>
      <c r="BK130" s="1">
        <f t="shared" si="47"/>
        <v>0.17096018735362997</v>
      </c>
      <c r="BL130" s="22">
        <f t="shared" si="48"/>
        <v>0.17096018735362997</v>
      </c>
      <c r="BM130" s="1">
        <f t="shared" ref="BM130:BM193" si="64">(BL130-AV130)^2</f>
        <v>3.647933680325121E-5</v>
      </c>
      <c r="BN130" s="1">
        <f t="shared" ref="BN130:BN193" si="65">(AV130-AVERAGE($AV$2:$AV$638))^2</f>
        <v>5.3195236249527017E-2</v>
      </c>
    </row>
    <row r="131" spans="1:66" x14ac:dyDescent="0.25">
      <c r="A131" s="3"/>
      <c r="B131" s="3"/>
      <c r="C131" t="s">
        <v>118</v>
      </c>
      <c r="D131" s="5">
        <v>1</v>
      </c>
      <c r="E131" s="9">
        <f t="shared" si="49"/>
        <v>19.899999999999999</v>
      </c>
      <c r="F131" s="9">
        <f t="shared" si="50"/>
        <v>0</v>
      </c>
      <c r="G131">
        <v>0</v>
      </c>
      <c r="H131">
        <v>80.099999999999994</v>
      </c>
      <c r="I131">
        <v>0</v>
      </c>
      <c r="J131">
        <v>0</v>
      </c>
      <c r="K131">
        <v>0</v>
      </c>
      <c r="L131">
        <v>0</v>
      </c>
      <c r="M131">
        <v>19.899999999999999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25</v>
      </c>
      <c r="AK131" t="s">
        <v>1</v>
      </c>
      <c r="AL131" t="s">
        <v>374</v>
      </c>
      <c r="AQ131" s="1">
        <f t="shared" ref="AQ131:AQ194" si="66">SUM(G131:AI131)</f>
        <v>100</v>
      </c>
      <c r="AR131" s="1">
        <f t="shared" si="51"/>
        <v>0.19899999999999998</v>
      </c>
      <c r="AS131" s="1">
        <f t="shared" si="52"/>
        <v>0</v>
      </c>
      <c r="AT131" s="1">
        <f t="shared" si="53"/>
        <v>0.80099999999999993</v>
      </c>
      <c r="AU131" s="1">
        <f t="shared" si="54"/>
        <v>0</v>
      </c>
      <c r="AV131" s="1">
        <f t="shared" ref="AV131:AV194" si="67">AJ131/100</f>
        <v>0.25</v>
      </c>
      <c r="AX131" s="1">
        <f t="shared" ref="AX131:AX194" si="68">AU131/(AT131+AS131)</f>
        <v>0</v>
      </c>
      <c r="AY131" s="1">
        <f t="shared" si="55"/>
        <v>0.24843945068664169</v>
      </c>
      <c r="AZ131" s="1">
        <f t="shared" si="56"/>
        <v>0.5</v>
      </c>
      <c r="BA131" s="1">
        <f t="shared" si="57"/>
        <v>0.5</v>
      </c>
      <c r="BB131" s="1">
        <f t="shared" si="58"/>
        <v>0.24843945068664169</v>
      </c>
      <c r="BC131" s="1">
        <f t="shared" si="59"/>
        <v>0.24843945068664169</v>
      </c>
      <c r="BD131" s="1">
        <f t="shared" ref="BD131:BD194" si="69">ABS(BC131-AV131)</f>
        <v>1.5605493133583059E-3</v>
      </c>
      <c r="BF131">
        <f t="shared" si="60"/>
        <v>80.099999999999994</v>
      </c>
      <c r="BG131">
        <f t="shared" si="61"/>
        <v>19.899999999999999</v>
      </c>
      <c r="BH131" s="1">
        <f t="shared" si="62"/>
        <v>0</v>
      </c>
      <c r="BI131" s="1">
        <f t="shared" si="63"/>
        <v>0.24843945068664169</v>
      </c>
      <c r="BJ131" s="1">
        <f t="shared" ref="BJ131:BJ194" si="70">$BQ$32+BH131*$BQ$33</f>
        <v>0.43</v>
      </c>
      <c r="BK131" s="1">
        <f t="shared" ref="BK131:BK194" si="71">IF(BI131&lt;BJ131,BI131,$BQ$35*($BQ$36+BI131)*($BQ$37-BI131/($BQ$38+BH131)*$BQ$39)^5)</f>
        <v>0.24843945068664169</v>
      </c>
      <c r="BL131" s="22">
        <f t="shared" ref="BL131:BL194" si="72">IF(BK131&lt;1,IF(BK131&gt;0,BK131,0),1)</f>
        <v>0.24843945068664169</v>
      </c>
      <c r="BM131" s="1">
        <f t="shared" si="64"/>
        <v>2.4353141594230803E-6</v>
      </c>
      <c r="BN131" s="1">
        <f t="shared" si="65"/>
        <v>2.4850661210708846E-2</v>
      </c>
    </row>
    <row r="132" spans="1:66" x14ac:dyDescent="0.25">
      <c r="A132" s="3"/>
      <c r="B132" s="3"/>
      <c r="C132" t="s">
        <v>119</v>
      </c>
      <c r="D132" s="5">
        <v>1</v>
      </c>
      <c r="E132" s="9">
        <f t="shared" si="49"/>
        <v>24.7</v>
      </c>
      <c r="F132" s="9">
        <f t="shared" si="50"/>
        <v>0</v>
      </c>
      <c r="G132">
        <v>0</v>
      </c>
      <c r="H132">
        <v>75.3</v>
      </c>
      <c r="I132">
        <v>0</v>
      </c>
      <c r="J132">
        <v>0</v>
      </c>
      <c r="K132">
        <v>0</v>
      </c>
      <c r="L132">
        <v>0</v>
      </c>
      <c r="M132">
        <v>24.7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32.9</v>
      </c>
      <c r="AK132" t="s">
        <v>1</v>
      </c>
      <c r="AL132" t="s">
        <v>374</v>
      </c>
      <c r="AQ132" s="1">
        <f t="shared" si="66"/>
        <v>100</v>
      </c>
      <c r="AR132" s="1">
        <f t="shared" si="51"/>
        <v>0.247</v>
      </c>
      <c r="AS132" s="1">
        <f t="shared" si="52"/>
        <v>0</v>
      </c>
      <c r="AT132" s="1">
        <f t="shared" si="53"/>
        <v>0.753</v>
      </c>
      <c r="AU132" s="1">
        <f t="shared" si="54"/>
        <v>0</v>
      </c>
      <c r="AV132" s="1">
        <f t="shared" si="67"/>
        <v>0.32899999999999996</v>
      </c>
      <c r="AX132" s="1">
        <f t="shared" si="68"/>
        <v>0</v>
      </c>
      <c r="AY132" s="1">
        <f t="shared" si="55"/>
        <v>0.32802124833997343</v>
      </c>
      <c r="AZ132" s="1">
        <f t="shared" si="56"/>
        <v>0.5</v>
      </c>
      <c r="BA132" s="1">
        <f t="shared" si="57"/>
        <v>0.5</v>
      </c>
      <c r="BB132" s="1">
        <f t="shared" si="58"/>
        <v>0.32802124833997343</v>
      </c>
      <c r="BC132" s="1">
        <f t="shared" si="59"/>
        <v>0.32802124833997343</v>
      </c>
      <c r="BD132" s="1">
        <f t="shared" si="69"/>
        <v>9.7875166002653335E-4</v>
      </c>
      <c r="BF132">
        <f t="shared" si="60"/>
        <v>75.3</v>
      </c>
      <c r="BG132">
        <f t="shared" si="61"/>
        <v>24.7</v>
      </c>
      <c r="BH132" s="1">
        <f t="shared" si="62"/>
        <v>0</v>
      </c>
      <c r="BI132" s="1">
        <f t="shared" si="63"/>
        <v>0.32802124833997343</v>
      </c>
      <c r="BJ132" s="1">
        <f t="shared" si="70"/>
        <v>0.43</v>
      </c>
      <c r="BK132" s="1">
        <f t="shared" si="71"/>
        <v>0.32802124833997343</v>
      </c>
      <c r="BL132" s="22">
        <f t="shared" si="72"/>
        <v>0.32802124833997343</v>
      </c>
      <c r="BM132" s="1">
        <f t="shared" si="64"/>
        <v>9.5795481200469464E-7</v>
      </c>
      <c r="BN132" s="1">
        <f t="shared" si="65"/>
        <v>6.1843950728097423E-3</v>
      </c>
    </row>
    <row r="133" spans="1:66" x14ac:dyDescent="0.25">
      <c r="A133" s="3"/>
      <c r="B133" s="3"/>
      <c r="C133" t="s">
        <v>120</v>
      </c>
      <c r="D133" s="5">
        <v>1</v>
      </c>
      <c r="E133" s="9">
        <f t="shared" si="49"/>
        <v>29.5</v>
      </c>
      <c r="F133" s="9">
        <f t="shared" si="50"/>
        <v>0</v>
      </c>
      <c r="G133">
        <v>0</v>
      </c>
      <c r="H133">
        <v>70.5</v>
      </c>
      <c r="I133">
        <v>0</v>
      </c>
      <c r="J133">
        <v>0</v>
      </c>
      <c r="K133">
        <v>0</v>
      </c>
      <c r="L133">
        <v>0</v>
      </c>
      <c r="M133">
        <v>29.5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39.700000000000003</v>
      </c>
      <c r="AK133" t="s">
        <v>1</v>
      </c>
      <c r="AL133" t="s">
        <v>374</v>
      </c>
      <c r="AQ133" s="1">
        <f t="shared" si="66"/>
        <v>100</v>
      </c>
      <c r="AR133" s="1">
        <f t="shared" si="51"/>
        <v>0.29499999999999998</v>
      </c>
      <c r="AS133" s="1">
        <f t="shared" si="52"/>
        <v>0</v>
      </c>
      <c r="AT133" s="1">
        <f t="shared" si="53"/>
        <v>0.70499999999999996</v>
      </c>
      <c r="AU133" s="1">
        <f t="shared" si="54"/>
        <v>0</v>
      </c>
      <c r="AV133" s="1">
        <f t="shared" si="67"/>
        <v>0.39700000000000002</v>
      </c>
      <c r="AX133" s="1">
        <f t="shared" si="68"/>
        <v>0</v>
      </c>
      <c r="AY133" s="1">
        <f t="shared" si="55"/>
        <v>0.41843971631205673</v>
      </c>
      <c r="AZ133" s="1">
        <f t="shared" si="56"/>
        <v>0.5</v>
      </c>
      <c r="BA133" s="1">
        <f t="shared" si="57"/>
        <v>0.5</v>
      </c>
      <c r="BB133" s="1">
        <f t="shared" si="58"/>
        <v>0.41843971631205673</v>
      </c>
      <c r="BC133" s="1">
        <f t="shared" si="59"/>
        <v>0.41843971631205673</v>
      </c>
      <c r="BD133" s="1">
        <f t="shared" si="69"/>
        <v>2.1439716312056711E-2</v>
      </c>
      <c r="BF133">
        <f t="shared" si="60"/>
        <v>70.5</v>
      </c>
      <c r="BG133">
        <f t="shared" si="61"/>
        <v>29.5</v>
      </c>
      <c r="BH133" s="1">
        <f t="shared" si="62"/>
        <v>0</v>
      </c>
      <c r="BI133" s="1">
        <f t="shared" si="63"/>
        <v>0.41843971631205673</v>
      </c>
      <c r="BJ133" s="1">
        <f t="shared" si="70"/>
        <v>0.43</v>
      </c>
      <c r="BK133" s="1">
        <f t="shared" si="71"/>
        <v>0.41843971631205673</v>
      </c>
      <c r="BL133" s="22">
        <f t="shared" si="72"/>
        <v>0.41843971631205673</v>
      </c>
      <c r="BM133" s="1">
        <f t="shared" si="64"/>
        <v>4.5966143554147061E-4</v>
      </c>
      <c r="BN133" s="1">
        <f t="shared" si="65"/>
        <v>1.1322928322569207E-4</v>
      </c>
    </row>
    <row r="134" spans="1:66" x14ac:dyDescent="0.25">
      <c r="A134" s="3"/>
      <c r="B134" s="3"/>
      <c r="C134" t="s">
        <v>121</v>
      </c>
      <c r="D134" s="5">
        <v>1</v>
      </c>
      <c r="E134" s="9">
        <f t="shared" si="49"/>
        <v>34.5</v>
      </c>
      <c r="F134" s="9">
        <f t="shared" si="50"/>
        <v>0</v>
      </c>
      <c r="G134">
        <v>0</v>
      </c>
      <c r="H134">
        <v>65.5</v>
      </c>
      <c r="I134">
        <v>0</v>
      </c>
      <c r="J134">
        <v>0</v>
      </c>
      <c r="K134">
        <v>0</v>
      </c>
      <c r="L134">
        <v>0</v>
      </c>
      <c r="M134">
        <v>34.5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42.9</v>
      </c>
      <c r="AK134" t="s">
        <v>1</v>
      </c>
      <c r="AL134" t="s">
        <v>374</v>
      </c>
      <c r="AQ134" s="1">
        <f t="shared" si="66"/>
        <v>100</v>
      </c>
      <c r="AR134" s="1">
        <f t="shared" si="51"/>
        <v>0.34499999999999997</v>
      </c>
      <c r="AS134" s="1">
        <f t="shared" si="52"/>
        <v>0</v>
      </c>
      <c r="AT134" s="1">
        <f t="shared" si="53"/>
        <v>0.65500000000000003</v>
      </c>
      <c r="AU134" s="1">
        <f t="shared" si="54"/>
        <v>0</v>
      </c>
      <c r="AV134" s="1">
        <f t="shared" si="67"/>
        <v>0.42899999999999999</v>
      </c>
      <c r="AX134" s="1">
        <f t="shared" si="68"/>
        <v>0</v>
      </c>
      <c r="AY134" s="1">
        <f t="shared" si="55"/>
        <v>0.52671755725190839</v>
      </c>
      <c r="AZ134" s="1">
        <f t="shared" si="56"/>
        <v>0.5</v>
      </c>
      <c r="BA134" s="1">
        <f t="shared" si="57"/>
        <v>0.5</v>
      </c>
      <c r="BB134" s="1">
        <f t="shared" si="58"/>
        <v>0.4910941475826972</v>
      </c>
      <c r="BC134" s="1">
        <f t="shared" si="59"/>
        <v>0.4910941475826972</v>
      </c>
      <c r="BD134" s="1">
        <f t="shared" si="69"/>
        <v>6.2094147582697212E-2</v>
      </c>
      <c r="BF134">
        <f t="shared" si="60"/>
        <v>65.5</v>
      </c>
      <c r="BG134">
        <f t="shared" si="61"/>
        <v>34.5</v>
      </c>
      <c r="BH134" s="1">
        <f t="shared" si="62"/>
        <v>0</v>
      </c>
      <c r="BI134" s="1">
        <f t="shared" si="63"/>
        <v>0.52671755725190839</v>
      </c>
      <c r="BJ134" s="1">
        <f t="shared" si="70"/>
        <v>0.43</v>
      </c>
      <c r="BK134" s="1">
        <f t="shared" si="71"/>
        <v>0.40845374481786795</v>
      </c>
      <c r="BL134" s="22">
        <f t="shared" si="72"/>
        <v>0.40845374481786795</v>
      </c>
      <c r="BM134" s="1">
        <f t="shared" si="64"/>
        <v>4.2214860200928792E-4</v>
      </c>
      <c r="BN134" s="1">
        <f t="shared" si="65"/>
        <v>4.5621008812731873E-4</v>
      </c>
    </row>
    <row r="135" spans="1:66" x14ac:dyDescent="0.25">
      <c r="A135" s="3"/>
      <c r="B135" s="3"/>
      <c r="C135" t="s">
        <v>122</v>
      </c>
      <c r="D135" s="5">
        <v>1</v>
      </c>
      <c r="E135" s="9">
        <f t="shared" si="49"/>
        <v>39.9</v>
      </c>
      <c r="F135" s="9">
        <f t="shared" si="50"/>
        <v>0</v>
      </c>
      <c r="G135">
        <v>0</v>
      </c>
      <c r="H135">
        <v>60.1</v>
      </c>
      <c r="I135">
        <v>0</v>
      </c>
      <c r="J135">
        <v>0</v>
      </c>
      <c r="K135">
        <v>0</v>
      </c>
      <c r="L135">
        <v>0</v>
      </c>
      <c r="M135">
        <v>39.9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43.4</v>
      </c>
      <c r="AK135" t="s">
        <v>1</v>
      </c>
      <c r="AL135" t="s">
        <v>374</v>
      </c>
      <c r="AQ135" s="1">
        <f t="shared" si="66"/>
        <v>100</v>
      </c>
      <c r="AR135" s="1">
        <f t="shared" si="51"/>
        <v>0.39899999999999997</v>
      </c>
      <c r="AS135" s="1">
        <f t="shared" si="52"/>
        <v>0</v>
      </c>
      <c r="AT135" s="1">
        <f t="shared" si="53"/>
        <v>0.60099999999999998</v>
      </c>
      <c r="AU135" s="1">
        <f t="shared" si="54"/>
        <v>0</v>
      </c>
      <c r="AV135" s="1">
        <f t="shared" si="67"/>
        <v>0.434</v>
      </c>
      <c r="AX135" s="1">
        <f t="shared" si="68"/>
        <v>0</v>
      </c>
      <c r="AY135" s="1">
        <f t="shared" si="55"/>
        <v>0.66389351081530779</v>
      </c>
      <c r="AZ135" s="1">
        <f t="shared" si="56"/>
        <v>0.5</v>
      </c>
      <c r="BA135" s="1">
        <f t="shared" si="57"/>
        <v>0.5</v>
      </c>
      <c r="BB135" s="1">
        <f t="shared" si="58"/>
        <v>0.44536882972823072</v>
      </c>
      <c r="BC135" s="1">
        <f t="shared" si="59"/>
        <v>0.44536882972823072</v>
      </c>
      <c r="BD135" s="1">
        <f t="shared" si="69"/>
        <v>1.1368829728230723E-2</v>
      </c>
      <c r="BF135">
        <f t="shared" si="60"/>
        <v>60.1</v>
      </c>
      <c r="BG135">
        <f t="shared" si="61"/>
        <v>39.9</v>
      </c>
      <c r="BH135" s="1">
        <f t="shared" si="62"/>
        <v>0</v>
      </c>
      <c r="BI135" s="1">
        <f t="shared" si="63"/>
        <v>0.66389351081530779</v>
      </c>
      <c r="BJ135" s="1">
        <f t="shared" si="70"/>
        <v>0.43</v>
      </c>
      <c r="BK135" s="1">
        <f t="shared" si="71"/>
        <v>0.4077982335975831</v>
      </c>
      <c r="BL135" s="22">
        <f t="shared" si="72"/>
        <v>0.4077982335975831</v>
      </c>
      <c r="BM135" s="1">
        <f t="shared" si="64"/>
        <v>6.8653256260682268E-4</v>
      </c>
      <c r="BN135" s="1">
        <f t="shared" si="65"/>
        <v>6.9480083889319805E-4</v>
      </c>
    </row>
    <row r="136" spans="1:66" x14ac:dyDescent="0.25">
      <c r="A136" s="3"/>
      <c r="B136" s="3"/>
      <c r="C136" t="s">
        <v>123</v>
      </c>
      <c r="D136" s="5">
        <v>1</v>
      </c>
      <c r="E136" s="9">
        <f t="shared" si="49"/>
        <v>47.7</v>
      </c>
      <c r="F136" s="9">
        <f t="shared" si="50"/>
        <v>0</v>
      </c>
      <c r="G136">
        <v>0</v>
      </c>
      <c r="H136">
        <v>52.3</v>
      </c>
      <c r="I136">
        <v>0</v>
      </c>
      <c r="J136">
        <v>0</v>
      </c>
      <c r="K136">
        <v>0</v>
      </c>
      <c r="L136">
        <v>0</v>
      </c>
      <c r="M136">
        <v>47.7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38.4</v>
      </c>
      <c r="AK136" t="s">
        <v>1</v>
      </c>
      <c r="AL136" t="s">
        <v>374</v>
      </c>
      <c r="AQ136" s="1">
        <f t="shared" si="66"/>
        <v>100</v>
      </c>
      <c r="AR136" s="1">
        <f t="shared" si="51"/>
        <v>0.47700000000000004</v>
      </c>
      <c r="AS136" s="1">
        <f t="shared" si="52"/>
        <v>0</v>
      </c>
      <c r="AT136" s="1">
        <f t="shared" si="53"/>
        <v>0.52300000000000002</v>
      </c>
      <c r="AU136" s="1">
        <f t="shared" si="54"/>
        <v>0</v>
      </c>
      <c r="AV136" s="1">
        <f t="shared" si="67"/>
        <v>0.38400000000000001</v>
      </c>
      <c r="AX136" s="1">
        <f t="shared" si="68"/>
        <v>0</v>
      </c>
      <c r="AY136" s="1">
        <f t="shared" si="55"/>
        <v>0.91204588910133844</v>
      </c>
      <c r="AZ136" s="1">
        <f t="shared" si="56"/>
        <v>0.5</v>
      </c>
      <c r="BA136" s="1">
        <f t="shared" si="57"/>
        <v>0.5</v>
      </c>
      <c r="BB136" s="1">
        <f t="shared" si="58"/>
        <v>0.36265137029955385</v>
      </c>
      <c r="BC136" s="1">
        <f t="shared" si="59"/>
        <v>0.36265137029955385</v>
      </c>
      <c r="BD136" s="1">
        <f t="shared" si="69"/>
        <v>2.1348629700446153E-2</v>
      </c>
      <c r="BF136">
        <f t="shared" si="60"/>
        <v>52.3</v>
      </c>
      <c r="BG136">
        <f t="shared" si="61"/>
        <v>47.7</v>
      </c>
      <c r="BH136" s="1">
        <f t="shared" si="62"/>
        <v>0</v>
      </c>
      <c r="BI136" s="1">
        <f t="shared" si="63"/>
        <v>0.91204588910133855</v>
      </c>
      <c r="BJ136" s="1">
        <f t="shared" si="70"/>
        <v>0.43</v>
      </c>
      <c r="BK136" s="1">
        <f t="shared" si="71"/>
        <v>0.38028440799940871</v>
      </c>
      <c r="BL136" s="22">
        <f t="shared" si="72"/>
        <v>0.38028440799940871</v>
      </c>
      <c r="BM136" s="1">
        <f t="shared" si="64"/>
        <v>1.380562391485802E-5</v>
      </c>
      <c r="BN136" s="1">
        <f t="shared" si="65"/>
        <v>5.5889333123440631E-4</v>
      </c>
    </row>
    <row r="137" spans="1:66" x14ac:dyDescent="0.25">
      <c r="A137" s="3"/>
      <c r="B137" s="3"/>
      <c r="C137" t="s">
        <v>124</v>
      </c>
      <c r="D137" s="5">
        <v>1</v>
      </c>
      <c r="E137" s="9">
        <f t="shared" si="49"/>
        <v>18.690000000000001</v>
      </c>
      <c r="F137" s="9">
        <f t="shared" si="50"/>
        <v>0.90911553569009895</v>
      </c>
      <c r="G137">
        <v>7.48</v>
      </c>
      <c r="H137">
        <v>6.71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67.12</v>
      </c>
      <c r="R137">
        <v>0</v>
      </c>
      <c r="S137">
        <v>0</v>
      </c>
      <c r="T137">
        <v>0</v>
      </c>
      <c r="U137">
        <v>0</v>
      </c>
      <c r="V137">
        <v>18.690000000000001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27</v>
      </c>
      <c r="AK137" t="s">
        <v>1</v>
      </c>
      <c r="AL137" t="s">
        <v>380</v>
      </c>
      <c r="AO137" t="s">
        <v>375</v>
      </c>
      <c r="AQ137" s="1">
        <f t="shared" si="66"/>
        <v>100</v>
      </c>
      <c r="AR137" s="1">
        <f t="shared" si="51"/>
        <v>0</v>
      </c>
      <c r="AS137" s="1">
        <f t="shared" si="52"/>
        <v>7.4800000000000005E-2</v>
      </c>
      <c r="AT137" s="1">
        <f t="shared" si="53"/>
        <v>6.7099999999999993E-2</v>
      </c>
      <c r="AU137" s="1">
        <f t="shared" si="54"/>
        <v>0.67120000000000002</v>
      </c>
      <c r="AV137" s="1">
        <f t="shared" si="67"/>
        <v>0.27</v>
      </c>
      <c r="AX137" s="1">
        <f t="shared" si="68"/>
        <v>4.7300916138125446</v>
      </c>
      <c r="AY137" s="1">
        <f t="shared" si="55"/>
        <v>0</v>
      </c>
      <c r="AZ137" s="1">
        <f t="shared" si="56"/>
        <v>0.79563072586328398</v>
      </c>
      <c r="BA137" s="1">
        <f t="shared" si="57"/>
        <v>1.6825229034531362</v>
      </c>
      <c r="BB137" s="1">
        <f t="shared" si="58"/>
        <v>0</v>
      </c>
      <c r="BC137" s="1">
        <f t="shared" si="59"/>
        <v>0</v>
      </c>
      <c r="BD137" s="1">
        <f t="shared" si="69"/>
        <v>0.27</v>
      </c>
      <c r="BF137">
        <f t="shared" si="60"/>
        <v>36.630000000000003</v>
      </c>
      <c r="BG137">
        <f t="shared" si="61"/>
        <v>9.3450000000000006</v>
      </c>
      <c r="BH137" s="1">
        <f t="shared" si="62"/>
        <v>1.8323778323778324</v>
      </c>
      <c r="BI137" s="1">
        <f t="shared" si="63"/>
        <v>0.25511875511875509</v>
      </c>
      <c r="BJ137" s="1">
        <f t="shared" si="70"/>
        <v>0.53994266994266993</v>
      </c>
      <c r="BK137" s="1">
        <f t="shared" si="71"/>
        <v>0.25511875511875509</v>
      </c>
      <c r="BL137" s="22">
        <f t="shared" si="72"/>
        <v>0.25511875511875509</v>
      </c>
      <c r="BM137" s="1">
        <f t="shared" si="64"/>
        <v>2.2145144921557831E-4</v>
      </c>
      <c r="BN137" s="1">
        <f t="shared" si="65"/>
        <v>1.8945024213772359E-2</v>
      </c>
    </row>
    <row r="138" spans="1:66" x14ac:dyDescent="0.25">
      <c r="A138" s="3"/>
      <c r="B138" s="3"/>
      <c r="C138" t="s">
        <v>382</v>
      </c>
      <c r="D138" s="5">
        <v>1</v>
      </c>
      <c r="E138" s="9">
        <f t="shared" si="49"/>
        <v>18.690000000000001</v>
      </c>
      <c r="F138" s="9">
        <f t="shared" si="50"/>
        <v>0.90911553569009895</v>
      </c>
      <c r="G138">
        <v>7.48</v>
      </c>
      <c r="H138">
        <v>6.71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67.12</v>
      </c>
      <c r="R138">
        <v>0</v>
      </c>
      <c r="S138">
        <v>0</v>
      </c>
      <c r="T138">
        <v>0</v>
      </c>
      <c r="U138">
        <v>0</v>
      </c>
      <c r="V138">
        <v>18.690000000000001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30.4</v>
      </c>
      <c r="AK138" t="s">
        <v>1</v>
      </c>
      <c r="AL138" t="s">
        <v>372</v>
      </c>
      <c r="AO138" t="s">
        <v>375</v>
      </c>
      <c r="AQ138" s="1">
        <f t="shared" si="66"/>
        <v>100</v>
      </c>
      <c r="AR138" s="1">
        <f t="shared" si="51"/>
        <v>0</v>
      </c>
      <c r="AS138" s="1">
        <f t="shared" si="52"/>
        <v>7.4800000000000005E-2</v>
      </c>
      <c r="AT138" s="1">
        <f t="shared" si="53"/>
        <v>6.7099999999999993E-2</v>
      </c>
      <c r="AU138" s="1">
        <f t="shared" si="54"/>
        <v>0.67120000000000002</v>
      </c>
      <c r="AV138" s="1">
        <f t="shared" si="67"/>
        <v>0.30399999999999999</v>
      </c>
      <c r="AX138" s="1">
        <f t="shared" si="68"/>
        <v>4.7300916138125446</v>
      </c>
      <c r="AY138" s="1">
        <f t="shared" si="55"/>
        <v>0</v>
      </c>
      <c r="AZ138" s="1">
        <f t="shared" si="56"/>
        <v>0.79563072586328398</v>
      </c>
      <c r="BA138" s="1">
        <f t="shared" si="57"/>
        <v>1.6825229034531362</v>
      </c>
      <c r="BB138" s="1">
        <f t="shared" si="58"/>
        <v>0</v>
      </c>
      <c r="BC138" s="1">
        <f t="shared" si="59"/>
        <v>0</v>
      </c>
      <c r="BD138" s="1">
        <f t="shared" si="69"/>
        <v>0.30399999999999999</v>
      </c>
      <c r="BF138">
        <f t="shared" si="60"/>
        <v>36.630000000000003</v>
      </c>
      <c r="BG138">
        <f t="shared" si="61"/>
        <v>9.3450000000000006</v>
      </c>
      <c r="BH138" s="1">
        <f t="shared" si="62"/>
        <v>1.8323778323778324</v>
      </c>
      <c r="BI138" s="1">
        <f t="shared" si="63"/>
        <v>0.25511875511875509</v>
      </c>
      <c r="BJ138" s="1">
        <f t="shared" si="70"/>
        <v>0.53994266994266993</v>
      </c>
      <c r="BK138" s="1">
        <f t="shared" si="71"/>
        <v>0.25511875511875509</v>
      </c>
      <c r="BL138" s="22">
        <f t="shared" si="72"/>
        <v>0.25511875511875509</v>
      </c>
      <c r="BM138" s="1">
        <f t="shared" si="64"/>
        <v>2.3893761011402307E-3</v>
      </c>
      <c r="BN138" s="1">
        <f t="shared" si="65"/>
        <v>1.0741441318980341E-2</v>
      </c>
    </row>
    <row r="139" spans="1:66" x14ac:dyDescent="0.25">
      <c r="A139" s="3"/>
      <c r="B139" s="3"/>
      <c r="C139" t="s">
        <v>383</v>
      </c>
      <c r="D139" s="5">
        <v>1</v>
      </c>
      <c r="E139" s="9">
        <f t="shared" si="49"/>
        <v>18.690000000000001</v>
      </c>
      <c r="F139" s="9">
        <f t="shared" si="50"/>
        <v>0.90911553569009895</v>
      </c>
      <c r="G139">
        <v>7.48</v>
      </c>
      <c r="H139">
        <v>6.71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67.12</v>
      </c>
      <c r="R139">
        <v>0</v>
      </c>
      <c r="S139">
        <v>0</v>
      </c>
      <c r="T139">
        <v>0</v>
      </c>
      <c r="U139">
        <v>0</v>
      </c>
      <c r="V139">
        <v>18.690000000000001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40.700000000000003</v>
      </c>
      <c r="AK139" t="s">
        <v>1</v>
      </c>
      <c r="AL139" t="s">
        <v>381</v>
      </c>
      <c r="AM139" t="s">
        <v>377</v>
      </c>
      <c r="AO139" t="s">
        <v>375</v>
      </c>
      <c r="AQ139" s="1">
        <f t="shared" si="66"/>
        <v>100</v>
      </c>
      <c r="AR139" s="1">
        <f t="shared" si="51"/>
        <v>0</v>
      </c>
      <c r="AS139" s="1">
        <f t="shared" si="52"/>
        <v>7.4800000000000005E-2</v>
      </c>
      <c r="AT139" s="1">
        <f t="shared" si="53"/>
        <v>6.7099999999999993E-2</v>
      </c>
      <c r="AU139" s="1">
        <f t="shared" si="54"/>
        <v>0.67120000000000002</v>
      </c>
      <c r="AV139" s="1">
        <f t="shared" si="67"/>
        <v>0.40700000000000003</v>
      </c>
      <c r="AX139" s="1">
        <f t="shared" si="68"/>
        <v>4.7300916138125446</v>
      </c>
      <c r="AY139" s="1">
        <f t="shared" si="55"/>
        <v>0</v>
      </c>
      <c r="AZ139" s="1">
        <f t="shared" si="56"/>
        <v>0.79563072586328398</v>
      </c>
      <c r="BA139" s="1">
        <f t="shared" si="57"/>
        <v>1.6825229034531362</v>
      </c>
      <c r="BB139" s="1">
        <f t="shared" si="58"/>
        <v>0</v>
      </c>
      <c r="BC139" s="1">
        <f t="shared" si="59"/>
        <v>0</v>
      </c>
      <c r="BD139" s="1">
        <f t="shared" si="69"/>
        <v>0.40700000000000003</v>
      </c>
      <c r="BF139">
        <f t="shared" si="60"/>
        <v>36.630000000000003</v>
      </c>
      <c r="BG139">
        <f t="shared" si="61"/>
        <v>9.3450000000000006</v>
      </c>
      <c r="BH139" s="1">
        <f t="shared" si="62"/>
        <v>1.8323778323778324</v>
      </c>
      <c r="BI139" s="1">
        <f t="shared" si="63"/>
        <v>0.25511875511875509</v>
      </c>
      <c r="BJ139" s="1">
        <f t="shared" si="70"/>
        <v>0.53994266994266993</v>
      </c>
      <c r="BK139" s="1">
        <f t="shared" si="71"/>
        <v>0.25511875511875509</v>
      </c>
      <c r="BL139" s="22">
        <f t="shared" si="72"/>
        <v>0.25511875511875509</v>
      </c>
      <c r="BM139" s="1">
        <f t="shared" si="64"/>
        <v>2.3067912546676693E-2</v>
      </c>
      <c r="BN139" s="1">
        <f t="shared" si="65"/>
        <v>4.1078475745075009E-7</v>
      </c>
    </row>
    <row r="140" spans="1:66" x14ac:dyDescent="0.25">
      <c r="A140" s="3"/>
      <c r="B140" s="3"/>
      <c r="C140" t="s">
        <v>125</v>
      </c>
      <c r="D140" s="5">
        <v>1</v>
      </c>
      <c r="E140" s="9">
        <f t="shared" si="49"/>
        <v>18.29</v>
      </c>
      <c r="F140" s="9">
        <f t="shared" si="50"/>
        <v>0.73745954692556637</v>
      </c>
      <c r="G140">
        <v>7.55</v>
      </c>
      <c r="H140">
        <v>19.47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54.69</v>
      </c>
      <c r="R140">
        <v>0</v>
      </c>
      <c r="S140">
        <v>0</v>
      </c>
      <c r="T140">
        <v>0</v>
      </c>
      <c r="U140">
        <v>0</v>
      </c>
      <c r="V140">
        <v>18.29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28.8</v>
      </c>
      <c r="AK140" t="s">
        <v>1</v>
      </c>
      <c r="AL140" t="s">
        <v>380</v>
      </c>
      <c r="AO140" t="s">
        <v>375</v>
      </c>
      <c r="AQ140" s="1">
        <f t="shared" si="66"/>
        <v>100</v>
      </c>
      <c r="AR140" s="1">
        <f t="shared" si="51"/>
        <v>0</v>
      </c>
      <c r="AS140" s="1">
        <f t="shared" si="52"/>
        <v>7.5499999999999998E-2</v>
      </c>
      <c r="AT140" s="1">
        <f t="shared" si="53"/>
        <v>0.19469999999999998</v>
      </c>
      <c r="AU140" s="1">
        <f t="shared" si="54"/>
        <v>0.54689999999999994</v>
      </c>
      <c r="AV140" s="1">
        <f t="shared" si="67"/>
        <v>0.28800000000000003</v>
      </c>
      <c r="AX140" s="1">
        <f t="shared" si="68"/>
        <v>2.0240562546262026</v>
      </c>
      <c r="AY140" s="1">
        <f t="shared" si="55"/>
        <v>0</v>
      </c>
      <c r="AZ140" s="1">
        <f t="shared" si="56"/>
        <v>0.62650351591413767</v>
      </c>
      <c r="BA140" s="1">
        <f t="shared" si="57"/>
        <v>1.0060140636565507</v>
      </c>
      <c r="BB140" s="1">
        <f t="shared" si="58"/>
        <v>0</v>
      </c>
      <c r="BC140" s="1">
        <f t="shared" si="59"/>
        <v>0</v>
      </c>
      <c r="BD140" s="1">
        <f t="shared" si="69"/>
        <v>0.28800000000000003</v>
      </c>
      <c r="BF140">
        <f t="shared" si="60"/>
        <v>49.67</v>
      </c>
      <c r="BG140">
        <f t="shared" si="61"/>
        <v>9.1449999999999996</v>
      </c>
      <c r="BH140" s="1">
        <f t="shared" si="62"/>
        <v>1.1010670424803704</v>
      </c>
      <c r="BI140" s="1">
        <f t="shared" si="63"/>
        <v>0.18411516005637205</v>
      </c>
      <c r="BJ140" s="1">
        <f t="shared" si="70"/>
        <v>0.4960640225488222</v>
      </c>
      <c r="BK140" s="1">
        <f t="shared" si="71"/>
        <v>0.18411516005637205</v>
      </c>
      <c r="BL140" s="22">
        <f t="shared" si="72"/>
        <v>0.18411516005637205</v>
      </c>
      <c r="BM140" s="1">
        <f t="shared" si="64"/>
        <v>1.0792059970113205E-2</v>
      </c>
      <c r="BN140" s="1">
        <f t="shared" si="65"/>
        <v>1.431395091652952E-2</v>
      </c>
    </row>
    <row r="141" spans="1:66" x14ac:dyDescent="0.25">
      <c r="A141" s="3"/>
      <c r="B141" s="3"/>
      <c r="C141" t="s">
        <v>384</v>
      </c>
      <c r="D141" s="5">
        <v>1</v>
      </c>
      <c r="E141" s="9">
        <f t="shared" si="49"/>
        <v>18.29</v>
      </c>
      <c r="F141" s="9">
        <f t="shared" si="50"/>
        <v>0.73745954692556637</v>
      </c>
      <c r="G141">
        <v>7.55</v>
      </c>
      <c r="H141">
        <v>19.47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54.69</v>
      </c>
      <c r="R141">
        <v>0</v>
      </c>
      <c r="S141">
        <v>0</v>
      </c>
      <c r="T141">
        <v>0</v>
      </c>
      <c r="U141">
        <v>0</v>
      </c>
      <c r="V141">
        <v>18.29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32</v>
      </c>
      <c r="AK141" t="s">
        <v>1</v>
      </c>
      <c r="AL141" t="s">
        <v>372</v>
      </c>
      <c r="AO141" t="s">
        <v>375</v>
      </c>
      <c r="AQ141" s="1">
        <f t="shared" si="66"/>
        <v>100</v>
      </c>
      <c r="AR141" s="1">
        <f t="shared" si="51"/>
        <v>0</v>
      </c>
      <c r="AS141" s="1">
        <f t="shared" si="52"/>
        <v>7.5499999999999998E-2</v>
      </c>
      <c r="AT141" s="1">
        <f t="shared" si="53"/>
        <v>0.19469999999999998</v>
      </c>
      <c r="AU141" s="1">
        <f t="shared" si="54"/>
        <v>0.54689999999999994</v>
      </c>
      <c r="AV141" s="1">
        <f t="shared" si="67"/>
        <v>0.32</v>
      </c>
      <c r="AX141" s="1">
        <f t="shared" si="68"/>
        <v>2.0240562546262026</v>
      </c>
      <c r="AY141" s="1">
        <f t="shared" si="55"/>
        <v>0</v>
      </c>
      <c r="AZ141" s="1">
        <f t="shared" si="56"/>
        <v>0.62650351591413767</v>
      </c>
      <c r="BA141" s="1">
        <f t="shared" si="57"/>
        <v>1.0060140636565507</v>
      </c>
      <c r="BB141" s="1">
        <f t="shared" si="58"/>
        <v>0</v>
      </c>
      <c r="BC141" s="1">
        <f t="shared" si="59"/>
        <v>0</v>
      </c>
      <c r="BD141" s="1">
        <f t="shared" si="69"/>
        <v>0.32</v>
      </c>
      <c r="BF141">
        <f t="shared" si="60"/>
        <v>49.67</v>
      </c>
      <c r="BG141">
        <f t="shared" si="61"/>
        <v>9.1449999999999996</v>
      </c>
      <c r="BH141" s="1">
        <f t="shared" si="62"/>
        <v>1.1010670424803704</v>
      </c>
      <c r="BI141" s="1">
        <f t="shared" si="63"/>
        <v>0.18411516005637205</v>
      </c>
      <c r="BJ141" s="1">
        <f t="shared" si="70"/>
        <v>0.4960640225488222</v>
      </c>
      <c r="BK141" s="1">
        <f t="shared" si="71"/>
        <v>0.18411516005637205</v>
      </c>
      <c r="BL141" s="22">
        <f t="shared" si="72"/>
        <v>0.18411516005637205</v>
      </c>
      <c r="BM141" s="1">
        <f t="shared" si="64"/>
        <v>1.846468972650539E-2</v>
      </c>
      <c r="BN141" s="1">
        <f t="shared" si="65"/>
        <v>7.680931721431152E-3</v>
      </c>
    </row>
    <row r="142" spans="1:66" x14ac:dyDescent="0.25">
      <c r="A142" s="3"/>
      <c r="B142" s="3"/>
      <c r="C142" t="s">
        <v>385</v>
      </c>
      <c r="D142" s="5">
        <v>1</v>
      </c>
      <c r="E142" s="9">
        <f t="shared" si="49"/>
        <v>18.29</v>
      </c>
      <c r="F142" s="9">
        <f t="shared" si="50"/>
        <v>0.73745954692556637</v>
      </c>
      <c r="G142">
        <v>7.55</v>
      </c>
      <c r="H142">
        <v>19.47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54.69</v>
      </c>
      <c r="R142">
        <v>0</v>
      </c>
      <c r="S142">
        <v>0</v>
      </c>
      <c r="T142">
        <v>0</v>
      </c>
      <c r="U142">
        <v>0</v>
      </c>
      <c r="V142">
        <v>18.29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35.6</v>
      </c>
      <c r="AK142" t="s">
        <v>1</v>
      </c>
      <c r="AL142" t="s">
        <v>381</v>
      </c>
      <c r="AM142" t="s">
        <v>377</v>
      </c>
      <c r="AO142" t="s">
        <v>375</v>
      </c>
      <c r="AQ142" s="1">
        <f t="shared" si="66"/>
        <v>100</v>
      </c>
      <c r="AR142" s="1">
        <f t="shared" si="51"/>
        <v>0</v>
      </c>
      <c r="AS142" s="1">
        <f t="shared" si="52"/>
        <v>7.5499999999999998E-2</v>
      </c>
      <c r="AT142" s="1">
        <f t="shared" si="53"/>
        <v>0.19469999999999998</v>
      </c>
      <c r="AU142" s="1">
        <f t="shared" si="54"/>
        <v>0.54689999999999994</v>
      </c>
      <c r="AV142" s="1">
        <f t="shared" si="67"/>
        <v>0.35600000000000004</v>
      </c>
      <c r="AX142" s="1">
        <f t="shared" si="68"/>
        <v>2.0240562546262026</v>
      </c>
      <c r="AY142" s="1">
        <f t="shared" si="55"/>
        <v>0</v>
      </c>
      <c r="AZ142" s="1">
        <f t="shared" si="56"/>
        <v>0.62650351591413767</v>
      </c>
      <c r="BA142" s="1">
        <f t="shared" si="57"/>
        <v>1.0060140636565507</v>
      </c>
      <c r="BB142" s="1">
        <f t="shared" si="58"/>
        <v>0</v>
      </c>
      <c r="BC142" s="1">
        <f t="shared" si="59"/>
        <v>0</v>
      </c>
      <c r="BD142" s="1">
        <f t="shared" si="69"/>
        <v>0.35600000000000004</v>
      </c>
      <c r="BF142">
        <f t="shared" si="60"/>
        <v>49.67</v>
      </c>
      <c r="BG142">
        <f t="shared" si="61"/>
        <v>9.1449999999999996</v>
      </c>
      <c r="BH142" s="1">
        <f t="shared" si="62"/>
        <v>1.1010670424803704</v>
      </c>
      <c r="BI142" s="1">
        <f t="shared" si="63"/>
        <v>0.18411516005637205</v>
      </c>
      <c r="BJ142" s="1">
        <f t="shared" si="70"/>
        <v>0.4960640225488222</v>
      </c>
      <c r="BK142" s="1">
        <f t="shared" si="71"/>
        <v>0.18411516005637205</v>
      </c>
      <c r="BL142" s="22">
        <f t="shared" si="72"/>
        <v>0.18411516005637205</v>
      </c>
      <c r="BM142" s="1">
        <f t="shared" si="64"/>
        <v>2.9544398202446615E-2</v>
      </c>
      <c r="BN142" s="1">
        <f t="shared" si="65"/>
        <v>2.6667851269454794E-3</v>
      </c>
    </row>
    <row r="143" spans="1:66" x14ac:dyDescent="0.25">
      <c r="A143" s="3"/>
      <c r="B143" s="3"/>
      <c r="C143" t="s">
        <v>126</v>
      </c>
      <c r="D143" s="5">
        <v>1</v>
      </c>
      <c r="E143" s="9">
        <f t="shared" si="49"/>
        <v>18.3</v>
      </c>
      <c r="F143" s="9">
        <f t="shared" si="50"/>
        <v>0.78994472229534085</v>
      </c>
      <c r="G143">
        <v>3.81</v>
      </c>
      <c r="H143">
        <v>15.96</v>
      </c>
      <c r="I143">
        <v>5.69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12.61</v>
      </c>
      <c r="P143">
        <v>0</v>
      </c>
      <c r="Q143">
        <v>60.02</v>
      </c>
      <c r="R143">
        <v>0</v>
      </c>
      <c r="S143">
        <v>0</v>
      </c>
      <c r="T143">
        <v>0</v>
      </c>
      <c r="U143">
        <v>1.71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58</v>
      </c>
      <c r="AK143" t="s">
        <v>1</v>
      </c>
      <c r="AL143" t="s">
        <v>381</v>
      </c>
      <c r="AN143" t="s">
        <v>373</v>
      </c>
      <c r="AO143" t="s">
        <v>375</v>
      </c>
      <c r="AP143" t="s">
        <v>386</v>
      </c>
      <c r="AQ143" s="1">
        <f t="shared" si="66"/>
        <v>99.8</v>
      </c>
      <c r="AR143" s="1">
        <f t="shared" si="51"/>
        <v>0.12609999999999999</v>
      </c>
      <c r="AS143" s="1">
        <f t="shared" si="52"/>
        <v>3.8100000000000002E-2</v>
      </c>
      <c r="AT143" s="1">
        <f t="shared" si="53"/>
        <v>0.15960000000000002</v>
      </c>
      <c r="AU143" s="1">
        <f t="shared" si="54"/>
        <v>0.60020000000000007</v>
      </c>
      <c r="AV143" s="1">
        <f t="shared" si="67"/>
        <v>0.57999999999999996</v>
      </c>
      <c r="AX143" s="1">
        <f t="shared" si="68"/>
        <v>3.0359129994941831</v>
      </c>
      <c r="AY143" s="1">
        <f t="shared" si="55"/>
        <v>0.63783510369246321</v>
      </c>
      <c r="AZ143" s="1">
        <f t="shared" si="56"/>
        <v>0.68974456246838645</v>
      </c>
      <c r="BA143" s="1">
        <f t="shared" si="57"/>
        <v>1.2589782498735458</v>
      </c>
      <c r="BB143" s="1">
        <f t="shared" si="58"/>
        <v>0.63783510369246321</v>
      </c>
      <c r="BC143" s="1">
        <f t="shared" si="59"/>
        <v>0.63783510369246321</v>
      </c>
      <c r="BD143" s="1">
        <f t="shared" si="69"/>
        <v>5.7835103692463252E-2</v>
      </c>
      <c r="BF143">
        <f t="shared" si="60"/>
        <v>34.620000000000005</v>
      </c>
      <c r="BG143">
        <f t="shared" si="61"/>
        <v>15.455</v>
      </c>
      <c r="BH143" s="1">
        <f t="shared" si="62"/>
        <v>1.7336799537839398</v>
      </c>
      <c r="BI143" s="1">
        <f t="shared" si="63"/>
        <v>0.44641825534373192</v>
      </c>
      <c r="BJ143" s="1">
        <f t="shared" si="70"/>
        <v>0.53402079722703633</v>
      </c>
      <c r="BK143" s="1">
        <f t="shared" si="71"/>
        <v>0.44641825534373192</v>
      </c>
      <c r="BL143" s="22">
        <f t="shared" si="72"/>
        <v>0.44641825534373192</v>
      </c>
      <c r="BM143" s="1">
        <f t="shared" si="64"/>
        <v>1.7844082505412397E-2</v>
      </c>
      <c r="BN143" s="1">
        <f t="shared" si="65"/>
        <v>2.9707650761256855E-2</v>
      </c>
    </row>
    <row r="144" spans="1:66" x14ac:dyDescent="0.25">
      <c r="A144" s="3"/>
      <c r="B144" s="3"/>
      <c r="C144" t="s">
        <v>127</v>
      </c>
      <c r="D144" s="5">
        <v>1</v>
      </c>
      <c r="E144" s="9">
        <f t="shared" si="49"/>
        <v>13.66406779650104</v>
      </c>
      <c r="F144" s="9">
        <f t="shared" si="50"/>
        <v>0.80015633413620701</v>
      </c>
      <c r="G144">
        <v>0</v>
      </c>
      <c r="H144">
        <v>17.253689187315128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13.66406779650104</v>
      </c>
      <c r="P144">
        <v>0</v>
      </c>
      <c r="Q144">
        <v>69.082243016183824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71</v>
      </c>
      <c r="AK144" t="s">
        <v>401</v>
      </c>
      <c r="AL144" t="s">
        <v>374</v>
      </c>
      <c r="AN144" t="s">
        <v>387</v>
      </c>
      <c r="AO144" t="s">
        <v>375</v>
      </c>
      <c r="AP144" t="s">
        <v>403</v>
      </c>
      <c r="AQ144" s="1">
        <f t="shared" si="66"/>
        <v>100</v>
      </c>
      <c r="AR144" s="1">
        <f t="shared" si="51"/>
        <v>0.13664067796501039</v>
      </c>
      <c r="AS144" s="1">
        <f t="shared" si="52"/>
        <v>0</v>
      </c>
      <c r="AT144" s="1">
        <f t="shared" si="53"/>
        <v>0.17253689187315127</v>
      </c>
      <c r="AU144" s="1">
        <f t="shared" si="54"/>
        <v>0.6908224301618382</v>
      </c>
      <c r="AV144" s="1">
        <f t="shared" si="67"/>
        <v>0.71</v>
      </c>
      <c r="AX144" s="1">
        <f t="shared" si="68"/>
        <v>4.0039114108403506</v>
      </c>
      <c r="AY144" s="1">
        <f t="shared" si="55"/>
        <v>0.7919505010294744</v>
      </c>
      <c r="AZ144" s="1">
        <f t="shared" si="56"/>
        <v>0.75024446317752191</v>
      </c>
      <c r="BA144" s="1">
        <f t="shared" si="57"/>
        <v>1.5009778527100877</v>
      </c>
      <c r="BB144" s="1">
        <f t="shared" si="58"/>
        <v>0.75024446317752191</v>
      </c>
      <c r="BC144" s="1">
        <f t="shared" si="59"/>
        <v>0.75024446317752191</v>
      </c>
      <c r="BD144" s="1">
        <f t="shared" si="69"/>
        <v>4.024446317752195E-2</v>
      </c>
      <c r="BF144">
        <f t="shared" si="60"/>
        <v>17.253689187315128</v>
      </c>
      <c r="BG144">
        <f t="shared" si="61"/>
        <v>13.66406779650104</v>
      </c>
      <c r="BH144" s="1">
        <f t="shared" si="62"/>
        <v>4.0039114108403506</v>
      </c>
      <c r="BI144" s="1">
        <f t="shared" si="63"/>
        <v>0.7919505010294744</v>
      </c>
      <c r="BJ144" s="1">
        <f t="shared" si="70"/>
        <v>0.67023468465042102</v>
      </c>
      <c r="BK144" s="1">
        <f t="shared" si="71"/>
        <v>0.64658264167809187</v>
      </c>
      <c r="BL144" s="22">
        <f t="shared" si="72"/>
        <v>0.64658264167809187</v>
      </c>
      <c r="BM144" s="1">
        <f t="shared" si="64"/>
        <v>4.0217613365292858E-3</v>
      </c>
      <c r="BN144" s="1">
        <f t="shared" si="65"/>
        <v>9.142101028116971E-2</v>
      </c>
    </row>
    <row r="145" spans="1:66" x14ac:dyDescent="0.25">
      <c r="A145" s="3"/>
      <c r="B145" s="3"/>
      <c r="C145" t="s">
        <v>128</v>
      </c>
      <c r="D145" s="5">
        <v>1</v>
      </c>
      <c r="E145" s="9">
        <f t="shared" si="49"/>
        <v>12.666904684848349</v>
      </c>
      <c r="F145" s="9">
        <f t="shared" si="50"/>
        <v>0.7930526522713236</v>
      </c>
      <c r="G145">
        <v>0</v>
      </c>
      <c r="H145">
        <v>17.854740777118121</v>
      </c>
      <c r="I145">
        <v>0</v>
      </c>
      <c r="J145">
        <v>0</v>
      </c>
      <c r="K145">
        <v>1.0563637064574529</v>
      </c>
      <c r="L145">
        <v>0</v>
      </c>
      <c r="M145">
        <v>0</v>
      </c>
      <c r="N145">
        <v>0</v>
      </c>
      <c r="O145">
        <v>12.666904684848349</v>
      </c>
      <c r="P145">
        <v>0</v>
      </c>
      <c r="Q145">
        <v>68.421990831576068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70</v>
      </c>
      <c r="AK145" t="s">
        <v>401</v>
      </c>
      <c r="AL145" t="s">
        <v>374</v>
      </c>
      <c r="AQ145" s="1">
        <f t="shared" si="66"/>
        <v>100</v>
      </c>
      <c r="AR145" s="1">
        <f t="shared" si="51"/>
        <v>0.12666904684848349</v>
      </c>
      <c r="AS145" s="1">
        <f t="shared" si="52"/>
        <v>0</v>
      </c>
      <c r="AT145" s="1">
        <f t="shared" si="53"/>
        <v>0.17854740777118119</v>
      </c>
      <c r="AU145" s="1">
        <f t="shared" si="54"/>
        <v>0.68421990831576063</v>
      </c>
      <c r="AV145" s="1">
        <f t="shared" si="67"/>
        <v>0.7</v>
      </c>
      <c r="AX145" s="1">
        <f t="shared" si="68"/>
        <v>3.8321469734952855</v>
      </c>
      <c r="AY145" s="1">
        <f t="shared" si="55"/>
        <v>0.70944209400573977</v>
      </c>
      <c r="AZ145" s="1">
        <f t="shared" si="56"/>
        <v>0.73950918584345537</v>
      </c>
      <c r="BA145" s="1">
        <f t="shared" si="57"/>
        <v>1.4580367433738215</v>
      </c>
      <c r="BB145" s="1">
        <f t="shared" si="58"/>
        <v>0.70944209400573977</v>
      </c>
      <c r="BC145" s="1">
        <f t="shared" si="59"/>
        <v>0.70944209400573977</v>
      </c>
      <c r="BD145" s="1">
        <f t="shared" si="69"/>
        <v>9.4420940057398095E-3</v>
      </c>
      <c r="BF145">
        <f t="shared" si="60"/>
        <v>17.854740777118121</v>
      </c>
      <c r="BG145">
        <f t="shared" si="61"/>
        <v>12.666904684848349</v>
      </c>
      <c r="BH145" s="1">
        <f t="shared" si="62"/>
        <v>3.8321469734952855</v>
      </c>
      <c r="BI145" s="1">
        <f t="shared" si="63"/>
        <v>0.70944209400573977</v>
      </c>
      <c r="BJ145" s="1">
        <f t="shared" si="70"/>
        <v>0.65992881840971718</v>
      </c>
      <c r="BK145" s="1">
        <f t="shared" si="71"/>
        <v>0.61747065393335709</v>
      </c>
      <c r="BL145" s="22">
        <f t="shared" si="72"/>
        <v>0.61747065393335709</v>
      </c>
      <c r="BM145" s="1">
        <f t="shared" si="64"/>
        <v>6.8110929621876997E-3</v>
      </c>
      <c r="BN145" s="1">
        <f t="shared" si="65"/>
        <v>8.5473828779637939E-2</v>
      </c>
    </row>
    <row r="146" spans="1:66" x14ac:dyDescent="0.25">
      <c r="A146" s="3"/>
      <c r="B146" s="3"/>
      <c r="C146" t="s">
        <v>129</v>
      </c>
      <c r="D146" s="5">
        <v>1</v>
      </c>
      <c r="E146" s="9">
        <f t="shared" si="49"/>
        <v>13.109737010193591</v>
      </c>
      <c r="F146" s="9">
        <f t="shared" si="50"/>
        <v>0.7877479765980957</v>
      </c>
      <c r="G146">
        <v>0</v>
      </c>
      <c r="H146">
        <v>18.224578670715822</v>
      </c>
      <c r="I146">
        <v>0</v>
      </c>
      <c r="J146">
        <v>0</v>
      </c>
      <c r="K146">
        <v>1.027342209978789</v>
      </c>
      <c r="L146">
        <v>0</v>
      </c>
      <c r="M146">
        <v>0</v>
      </c>
      <c r="N146">
        <v>0</v>
      </c>
      <c r="O146">
        <v>13.109737010193591</v>
      </c>
      <c r="P146">
        <v>0</v>
      </c>
      <c r="Q146">
        <v>67.638342109111818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75</v>
      </c>
      <c r="AK146" t="s">
        <v>401</v>
      </c>
      <c r="AL146" t="s">
        <v>374</v>
      </c>
      <c r="AQ146" s="1">
        <f t="shared" si="66"/>
        <v>100.00000000000003</v>
      </c>
      <c r="AR146" s="1">
        <f t="shared" si="51"/>
        <v>0.1310973701019359</v>
      </c>
      <c r="AS146" s="1">
        <f t="shared" si="52"/>
        <v>0</v>
      </c>
      <c r="AT146" s="1">
        <f t="shared" si="53"/>
        <v>0.18224578670715821</v>
      </c>
      <c r="AU146" s="1">
        <f t="shared" si="54"/>
        <v>0.67638342109111815</v>
      </c>
      <c r="AV146" s="1">
        <f t="shared" si="67"/>
        <v>0.75</v>
      </c>
      <c r="AX146" s="1">
        <f t="shared" si="68"/>
        <v>3.7113802920336667</v>
      </c>
      <c r="AY146" s="1">
        <f t="shared" si="55"/>
        <v>0.71934376355481844</v>
      </c>
      <c r="AZ146" s="1">
        <f t="shared" si="56"/>
        <v>0.73196126825210417</v>
      </c>
      <c r="BA146" s="1">
        <f t="shared" si="57"/>
        <v>1.4278450730084167</v>
      </c>
      <c r="BB146" s="1">
        <f t="shared" si="58"/>
        <v>0.71934376355481844</v>
      </c>
      <c r="BC146" s="1">
        <f t="shared" si="59"/>
        <v>0.71934376355481844</v>
      </c>
      <c r="BD146" s="1">
        <f t="shared" si="69"/>
        <v>3.0656236445181562E-2</v>
      </c>
      <c r="BF146">
        <f t="shared" si="60"/>
        <v>18.224578670715822</v>
      </c>
      <c r="BG146">
        <f t="shared" si="61"/>
        <v>13.109737010193591</v>
      </c>
      <c r="BH146" s="1">
        <f t="shared" si="62"/>
        <v>3.7113802920336667</v>
      </c>
      <c r="BI146" s="1">
        <f t="shared" si="63"/>
        <v>0.71934376355481855</v>
      </c>
      <c r="BJ146" s="1">
        <f t="shared" si="70"/>
        <v>0.65268281752201995</v>
      </c>
      <c r="BK146" s="1">
        <f t="shared" si="71"/>
        <v>0.61641604410612794</v>
      </c>
      <c r="BL146" s="22">
        <f t="shared" si="72"/>
        <v>0.61641604410612794</v>
      </c>
      <c r="BM146" s="1">
        <f t="shared" si="64"/>
        <v>1.7844673272255956E-2</v>
      </c>
      <c r="BN146" s="1">
        <f t="shared" si="65"/>
        <v>0.11720973628729676</v>
      </c>
    </row>
    <row r="147" spans="1:66" x14ac:dyDescent="0.25">
      <c r="A147" s="3"/>
      <c r="B147" s="3"/>
      <c r="C147" t="s">
        <v>130</v>
      </c>
      <c r="D147" s="5">
        <v>1</v>
      </c>
      <c r="E147" s="9">
        <f t="shared" si="49"/>
        <v>13.008034313257641</v>
      </c>
      <c r="F147" s="9">
        <f t="shared" si="50"/>
        <v>0.7830974015020854</v>
      </c>
      <c r="G147">
        <v>0</v>
      </c>
      <c r="H147">
        <v>17.838845295064381</v>
      </c>
      <c r="I147">
        <v>0</v>
      </c>
      <c r="J147">
        <v>0</v>
      </c>
      <c r="K147">
        <v>4.7483899130943614</v>
      </c>
      <c r="L147">
        <v>0</v>
      </c>
      <c r="M147">
        <v>0</v>
      </c>
      <c r="N147">
        <v>0</v>
      </c>
      <c r="O147">
        <v>13.008034313257641</v>
      </c>
      <c r="P147">
        <v>0</v>
      </c>
      <c r="Q147">
        <v>64.40473047858363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70</v>
      </c>
      <c r="AK147" t="s">
        <v>401</v>
      </c>
      <c r="AL147" t="s">
        <v>374</v>
      </c>
      <c r="AQ147" s="1">
        <f t="shared" si="66"/>
        <v>100.00000000000001</v>
      </c>
      <c r="AR147" s="1">
        <f t="shared" si="51"/>
        <v>0.13008034313257641</v>
      </c>
      <c r="AS147" s="1">
        <f t="shared" si="52"/>
        <v>0</v>
      </c>
      <c r="AT147" s="1">
        <f t="shared" si="53"/>
        <v>0.17838845295064382</v>
      </c>
      <c r="AU147" s="1">
        <f t="shared" si="54"/>
        <v>0.64404730478583627</v>
      </c>
      <c r="AV147" s="1">
        <f t="shared" si="67"/>
        <v>0.7</v>
      </c>
      <c r="AX147" s="1">
        <f t="shared" si="68"/>
        <v>3.6103643152509992</v>
      </c>
      <c r="AY147" s="1">
        <f t="shared" si="55"/>
        <v>0.72919710318115039</v>
      </c>
      <c r="AZ147" s="1">
        <f t="shared" si="56"/>
        <v>0.72564776970318745</v>
      </c>
      <c r="BA147" s="1">
        <f t="shared" si="57"/>
        <v>1.4025910788127498</v>
      </c>
      <c r="BB147" s="1">
        <f t="shared" si="58"/>
        <v>0.72564776970318745</v>
      </c>
      <c r="BC147" s="1">
        <f t="shared" si="59"/>
        <v>0.72564776970318745</v>
      </c>
      <c r="BD147" s="1">
        <f t="shared" si="69"/>
        <v>2.5647769703187495E-2</v>
      </c>
      <c r="BF147">
        <f t="shared" si="60"/>
        <v>17.838845295064381</v>
      </c>
      <c r="BG147">
        <f t="shared" si="61"/>
        <v>13.008034313257641</v>
      </c>
      <c r="BH147" s="1">
        <f t="shared" si="62"/>
        <v>3.6103643152509997</v>
      </c>
      <c r="BI147" s="1">
        <f t="shared" si="63"/>
        <v>0.72919710318115039</v>
      </c>
      <c r="BJ147" s="1">
        <f t="shared" si="70"/>
        <v>0.64662185891505997</v>
      </c>
      <c r="BK147" s="1">
        <f t="shared" si="71"/>
        <v>0.61571733034730991</v>
      </c>
      <c r="BL147" s="22">
        <f t="shared" si="72"/>
        <v>0.61571733034730991</v>
      </c>
      <c r="BM147" s="1">
        <f t="shared" si="64"/>
        <v>7.1035684037844792E-3</v>
      </c>
      <c r="BN147" s="1">
        <f t="shared" si="65"/>
        <v>8.5473828779637939E-2</v>
      </c>
    </row>
    <row r="148" spans="1:66" x14ac:dyDescent="0.25">
      <c r="A148" s="3"/>
      <c r="B148" s="3"/>
      <c r="C148" t="s">
        <v>131</v>
      </c>
      <c r="D148" s="5">
        <v>1</v>
      </c>
      <c r="E148" s="9">
        <f t="shared" si="49"/>
        <v>12.97180400811752</v>
      </c>
      <c r="F148" s="9">
        <f t="shared" si="50"/>
        <v>0.79343234347712877</v>
      </c>
      <c r="G148">
        <v>0</v>
      </c>
      <c r="H148">
        <v>16.95183598454928</v>
      </c>
      <c r="I148">
        <v>0</v>
      </c>
      <c r="J148">
        <v>0</v>
      </c>
      <c r="K148">
        <v>4.9638676749643791</v>
      </c>
      <c r="L148">
        <v>0</v>
      </c>
      <c r="M148">
        <v>0</v>
      </c>
      <c r="N148">
        <v>0</v>
      </c>
      <c r="O148">
        <v>12.97180400811752</v>
      </c>
      <c r="P148">
        <v>0</v>
      </c>
      <c r="Q148">
        <v>65.112492332368817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72</v>
      </c>
      <c r="AK148" t="s">
        <v>401</v>
      </c>
      <c r="AL148" t="s">
        <v>374</v>
      </c>
      <c r="AQ148" s="1">
        <f t="shared" si="66"/>
        <v>100</v>
      </c>
      <c r="AR148" s="1">
        <f t="shared" si="51"/>
        <v>0.12971804008117518</v>
      </c>
      <c r="AS148" s="1">
        <f t="shared" si="52"/>
        <v>0</v>
      </c>
      <c r="AT148" s="1">
        <f t="shared" si="53"/>
        <v>0.16951835984549279</v>
      </c>
      <c r="AU148" s="1">
        <f t="shared" si="54"/>
        <v>0.65112492332368821</v>
      </c>
      <c r="AV148" s="1">
        <f t="shared" si="67"/>
        <v>0.72</v>
      </c>
      <c r="AX148" s="1">
        <f t="shared" si="68"/>
        <v>3.8410289240478428</v>
      </c>
      <c r="AY148" s="1">
        <f t="shared" si="55"/>
        <v>0.76521528523167914</v>
      </c>
      <c r="AZ148" s="1">
        <f t="shared" si="56"/>
        <v>0.74006430775299015</v>
      </c>
      <c r="BA148" s="1">
        <f t="shared" si="57"/>
        <v>1.4602572310119606</v>
      </c>
      <c r="BB148" s="1">
        <f t="shared" si="58"/>
        <v>0.74006430775299015</v>
      </c>
      <c r="BC148" s="1">
        <f t="shared" si="59"/>
        <v>0.74006430775299015</v>
      </c>
      <c r="BD148" s="1">
        <f t="shared" si="69"/>
        <v>2.0064307752990174E-2</v>
      </c>
      <c r="BF148">
        <f t="shared" si="60"/>
        <v>16.95183598454928</v>
      </c>
      <c r="BG148">
        <f t="shared" si="61"/>
        <v>12.97180400811752</v>
      </c>
      <c r="BH148" s="1">
        <f t="shared" si="62"/>
        <v>3.8410289240478424</v>
      </c>
      <c r="BI148" s="1">
        <f t="shared" si="63"/>
        <v>0.76521528523167914</v>
      </c>
      <c r="BJ148" s="1">
        <f t="shared" si="70"/>
        <v>0.66046173544287057</v>
      </c>
      <c r="BK148" s="1">
        <f t="shared" si="71"/>
        <v>0.63361017032413258</v>
      </c>
      <c r="BL148" s="22">
        <f t="shared" si="72"/>
        <v>0.63361017032413258</v>
      </c>
      <c r="BM148" s="1">
        <f t="shared" si="64"/>
        <v>7.4632026714253783E-3</v>
      </c>
      <c r="BN148" s="1">
        <f t="shared" si="65"/>
        <v>9.7568191782701472E-2</v>
      </c>
    </row>
    <row r="149" spans="1:66" x14ac:dyDescent="0.25">
      <c r="A149" s="3"/>
      <c r="B149" s="3"/>
      <c r="C149" t="s">
        <v>132</v>
      </c>
      <c r="D149" s="5">
        <v>1</v>
      </c>
      <c r="E149" s="9">
        <f t="shared" si="49"/>
        <v>12.903439503729921</v>
      </c>
      <c r="F149" s="9">
        <f t="shared" si="50"/>
        <v>0.79237146795563607</v>
      </c>
      <c r="G149">
        <v>0</v>
      </c>
      <c r="H149">
        <v>17.074924309360298</v>
      </c>
      <c r="I149">
        <v>0</v>
      </c>
      <c r="J149">
        <v>0</v>
      </c>
      <c r="K149">
        <v>4.8587093626315356</v>
      </c>
      <c r="L149">
        <v>0</v>
      </c>
      <c r="M149">
        <v>0</v>
      </c>
      <c r="N149">
        <v>0</v>
      </c>
      <c r="O149">
        <v>12.903439503729921</v>
      </c>
      <c r="P149">
        <v>0</v>
      </c>
      <c r="Q149">
        <v>65.162926824278244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76</v>
      </c>
      <c r="AK149" t="s">
        <v>401</v>
      </c>
      <c r="AL149" t="s">
        <v>374</v>
      </c>
      <c r="AQ149" s="1">
        <f t="shared" si="66"/>
        <v>100</v>
      </c>
      <c r="AR149" s="1">
        <f t="shared" si="51"/>
        <v>0.12903439503729922</v>
      </c>
      <c r="AS149" s="1">
        <f t="shared" si="52"/>
        <v>0</v>
      </c>
      <c r="AT149" s="1">
        <f t="shared" si="53"/>
        <v>0.17074924309360298</v>
      </c>
      <c r="AU149" s="1">
        <f t="shared" si="54"/>
        <v>0.65162926824278244</v>
      </c>
      <c r="AV149" s="1">
        <f t="shared" si="67"/>
        <v>0.76</v>
      </c>
      <c r="AX149" s="1">
        <f t="shared" si="68"/>
        <v>3.8162937441870004</v>
      </c>
      <c r="AY149" s="1">
        <f t="shared" si="55"/>
        <v>0.75569526809886878</v>
      </c>
      <c r="AZ149" s="1">
        <f t="shared" si="56"/>
        <v>0.7385183590116875</v>
      </c>
      <c r="BA149" s="1">
        <f t="shared" si="57"/>
        <v>1.45407343604675</v>
      </c>
      <c r="BB149" s="1">
        <f t="shared" si="58"/>
        <v>0.7385183590116875</v>
      </c>
      <c r="BC149" s="1">
        <f t="shared" si="59"/>
        <v>0.7385183590116875</v>
      </c>
      <c r="BD149" s="1">
        <f t="shared" si="69"/>
        <v>2.1481640988312511E-2</v>
      </c>
      <c r="BF149">
        <f t="shared" si="60"/>
        <v>17.074924309360298</v>
      </c>
      <c r="BG149">
        <f t="shared" si="61"/>
        <v>12.903439503729921</v>
      </c>
      <c r="BH149" s="1">
        <f t="shared" si="62"/>
        <v>3.8162937441870004</v>
      </c>
      <c r="BI149" s="1">
        <f t="shared" si="63"/>
        <v>0.75569526809886867</v>
      </c>
      <c r="BJ149" s="1">
        <f t="shared" si="70"/>
        <v>0.65897762465122001</v>
      </c>
      <c r="BK149" s="1">
        <f t="shared" si="71"/>
        <v>0.63015714920877453</v>
      </c>
      <c r="BL149" s="22">
        <f t="shared" si="72"/>
        <v>0.63015714920877453</v>
      </c>
      <c r="BM149" s="1">
        <f t="shared" si="64"/>
        <v>1.6859165901592445E-2</v>
      </c>
      <c r="BN149" s="1">
        <f t="shared" si="65"/>
        <v>0.12415691778882852</v>
      </c>
    </row>
    <row r="150" spans="1:66" x14ac:dyDescent="0.25">
      <c r="A150" s="3"/>
      <c r="B150" s="3"/>
      <c r="C150" t="s">
        <v>133</v>
      </c>
      <c r="D150" s="5">
        <v>1</v>
      </c>
      <c r="E150" s="9">
        <f t="shared" si="49"/>
        <v>11.981991996923989</v>
      </c>
      <c r="F150" s="9">
        <f t="shared" si="50"/>
        <v>0.79271573797784534</v>
      </c>
      <c r="G150">
        <v>0</v>
      </c>
      <c r="H150">
        <v>16.236932861952699</v>
      </c>
      <c r="I150">
        <v>0</v>
      </c>
      <c r="J150">
        <v>0</v>
      </c>
      <c r="K150">
        <v>9.6862875745502439</v>
      </c>
      <c r="L150">
        <v>0</v>
      </c>
      <c r="M150">
        <v>0</v>
      </c>
      <c r="N150">
        <v>0</v>
      </c>
      <c r="O150">
        <v>11.981991996923989</v>
      </c>
      <c r="P150">
        <v>0</v>
      </c>
      <c r="Q150">
        <v>62.094787566573068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68</v>
      </c>
      <c r="AK150" t="s">
        <v>401</v>
      </c>
      <c r="AL150" t="s">
        <v>374</v>
      </c>
      <c r="AQ150" s="1">
        <f t="shared" si="66"/>
        <v>100</v>
      </c>
      <c r="AR150" s="1">
        <f t="shared" si="51"/>
        <v>0.11981991996923989</v>
      </c>
      <c r="AS150" s="1">
        <f t="shared" si="52"/>
        <v>0</v>
      </c>
      <c r="AT150" s="1">
        <f t="shared" si="53"/>
        <v>0.16236932861952699</v>
      </c>
      <c r="AU150" s="1">
        <f t="shared" si="54"/>
        <v>0.62094787566573073</v>
      </c>
      <c r="AV150" s="1">
        <f t="shared" si="67"/>
        <v>0.68</v>
      </c>
      <c r="AX150" s="1">
        <f t="shared" si="68"/>
        <v>3.8242929310915055</v>
      </c>
      <c r="AY150" s="1">
        <f t="shared" si="55"/>
        <v>0.73794675994509229</v>
      </c>
      <c r="AZ150" s="1">
        <f t="shared" si="56"/>
        <v>0.73901830819321912</v>
      </c>
      <c r="BA150" s="1">
        <f t="shared" si="57"/>
        <v>1.4560732327728765</v>
      </c>
      <c r="BB150" s="1">
        <f t="shared" si="58"/>
        <v>0.73794675994509229</v>
      </c>
      <c r="BC150" s="1">
        <f t="shared" si="59"/>
        <v>0.73794675994509229</v>
      </c>
      <c r="BD150" s="1">
        <f t="shared" si="69"/>
        <v>5.7946759945092241E-2</v>
      </c>
      <c r="BF150">
        <f t="shared" si="60"/>
        <v>16.236932861952699</v>
      </c>
      <c r="BG150">
        <f t="shared" si="61"/>
        <v>11.981991996923989</v>
      </c>
      <c r="BH150" s="1">
        <f t="shared" si="62"/>
        <v>3.824292931091505</v>
      </c>
      <c r="BI150" s="1">
        <f t="shared" si="63"/>
        <v>0.73794675994509229</v>
      </c>
      <c r="BJ150" s="1">
        <f t="shared" si="70"/>
        <v>0.65945757586549025</v>
      </c>
      <c r="BK150" s="1">
        <f t="shared" si="71"/>
        <v>0.62550176071274188</v>
      </c>
      <c r="BL150" s="22">
        <f t="shared" si="72"/>
        <v>0.62550176071274188</v>
      </c>
      <c r="BM150" s="1">
        <f t="shared" si="64"/>
        <v>2.9700580854112495E-3</v>
      </c>
      <c r="BN150" s="1">
        <f t="shared" si="65"/>
        <v>7.4179465776574485E-2</v>
      </c>
    </row>
    <row r="151" spans="1:66" x14ac:dyDescent="0.25">
      <c r="A151" s="3"/>
      <c r="B151" s="3"/>
      <c r="C151" t="s">
        <v>134</v>
      </c>
      <c r="D151" s="5">
        <v>1</v>
      </c>
      <c r="E151" s="9">
        <f t="shared" si="49"/>
        <v>11.778755559438251</v>
      </c>
      <c r="F151" s="9">
        <f t="shared" si="50"/>
        <v>0.79108729356138341</v>
      </c>
      <c r="G151">
        <v>0</v>
      </c>
      <c r="H151">
        <v>16.353444720578651</v>
      </c>
      <c r="I151">
        <v>0</v>
      </c>
      <c r="J151">
        <v>0</v>
      </c>
      <c r="K151">
        <v>9.9424025292217255</v>
      </c>
      <c r="L151">
        <v>0</v>
      </c>
      <c r="M151">
        <v>0</v>
      </c>
      <c r="N151">
        <v>0</v>
      </c>
      <c r="O151">
        <v>11.778755559438251</v>
      </c>
      <c r="P151">
        <v>0</v>
      </c>
      <c r="Q151">
        <v>61.92539719076138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74</v>
      </c>
      <c r="AK151" t="s">
        <v>401</v>
      </c>
      <c r="AL151" t="s">
        <v>374</v>
      </c>
      <c r="AQ151" s="1">
        <f t="shared" si="66"/>
        <v>100</v>
      </c>
      <c r="AR151" s="1">
        <f t="shared" si="51"/>
        <v>0.1177875555943825</v>
      </c>
      <c r="AS151" s="1">
        <f t="shared" si="52"/>
        <v>0</v>
      </c>
      <c r="AT151" s="1">
        <f t="shared" si="53"/>
        <v>0.1635344472057865</v>
      </c>
      <c r="AU151" s="1">
        <f t="shared" si="54"/>
        <v>0.61925397190761378</v>
      </c>
      <c r="AV151" s="1">
        <f t="shared" si="67"/>
        <v>0.74</v>
      </c>
      <c r="AX151" s="1">
        <f t="shared" si="68"/>
        <v>3.786688263472493</v>
      </c>
      <c r="AY151" s="1">
        <f t="shared" si="55"/>
        <v>0.72026143486553895</v>
      </c>
      <c r="AZ151" s="1">
        <f t="shared" si="56"/>
        <v>0.73666801646703084</v>
      </c>
      <c r="BA151" s="1">
        <f t="shared" si="57"/>
        <v>1.4466720658681234</v>
      </c>
      <c r="BB151" s="1">
        <f t="shared" si="58"/>
        <v>0.72026143486553895</v>
      </c>
      <c r="BC151" s="1">
        <f t="shared" si="59"/>
        <v>0.72026143486553895</v>
      </c>
      <c r="BD151" s="1">
        <f t="shared" si="69"/>
        <v>1.9738565134461039E-2</v>
      </c>
      <c r="BF151">
        <f t="shared" si="60"/>
        <v>16.353444720578651</v>
      </c>
      <c r="BG151">
        <f t="shared" si="61"/>
        <v>11.778755559438251</v>
      </c>
      <c r="BH151" s="1">
        <f t="shared" si="62"/>
        <v>3.786688263472493</v>
      </c>
      <c r="BI151" s="1">
        <f t="shared" si="63"/>
        <v>0.72026143486553884</v>
      </c>
      <c r="BJ151" s="1">
        <f t="shared" si="70"/>
        <v>0.65720129580834952</v>
      </c>
      <c r="BK151" s="1">
        <f t="shared" si="71"/>
        <v>0.61918114428199644</v>
      </c>
      <c r="BL151" s="22">
        <f t="shared" si="72"/>
        <v>0.61918114428199644</v>
      </c>
      <c r="BM151" s="1">
        <f t="shared" si="64"/>
        <v>1.4597195897007758E-2</v>
      </c>
      <c r="BN151" s="1">
        <f t="shared" si="65"/>
        <v>0.110462554785765</v>
      </c>
    </row>
    <row r="152" spans="1:66" x14ac:dyDescent="0.25">
      <c r="A152" s="3"/>
      <c r="B152" s="3"/>
      <c r="C152" t="s">
        <v>135</v>
      </c>
      <c r="D152" s="5">
        <v>1</v>
      </c>
      <c r="E152" s="9">
        <f t="shared" si="49"/>
        <v>21.98</v>
      </c>
      <c r="F152" s="9">
        <f t="shared" si="50"/>
        <v>0.8885101548075558</v>
      </c>
      <c r="G152">
        <v>3.5</v>
      </c>
      <c r="H152">
        <v>7.85</v>
      </c>
      <c r="I152">
        <v>7.07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14.91</v>
      </c>
      <c r="P152">
        <v>0</v>
      </c>
      <c r="Q152">
        <v>62.56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4.0999999999999996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46.6</v>
      </c>
      <c r="AK152" t="s">
        <v>1</v>
      </c>
      <c r="AL152" t="s">
        <v>374</v>
      </c>
      <c r="AO152" t="s">
        <v>375</v>
      </c>
      <c r="AQ152" s="1">
        <f t="shared" si="66"/>
        <v>99.99</v>
      </c>
      <c r="AR152" s="1">
        <f t="shared" si="51"/>
        <v>0.14910000000000001</v>
      </c>
      <c r="AS152" s="1">
        <f t="shared" si="52"/>
        <v>3.5000000000000003E-2</v>
      </c>
      <c r="AT152" s="1">
        <f t="shared" si="53"/>
        <v>7.85E-2</v>
      </c>
      <c r="AU152" s="1">
        <f t="shared" si="54"/>
        <v>0.62560000000000004</v>
      </c>
      <c r="AV152" s="1">
        <f t="shared" si="67"/>
        <v>0.46600000000000003</v>
      </c>
      <c r="AX152" s="1">
        <f t="shared" si="68"/>
        <v>5.5118942731277532</v>
      </c>
      <c r="AY152" s="1">
        <f t="shared" si="55"/>
        <v>1.3136563876651983</v>
      </c>
      <c r="AZ152" s="1">
        <f t="shared" si="56"/>
        <v>0.84449339207048457</v>
      </c>
      <c r="BA152" s="1">
        <f t="shared" si="57"/>
        <v>1.8779735682819383</v>
      </c>
      <c r="BB152" s="1">
        <f t="shared" si="58"/>
        <v>0.84449339207048457</v>
      </c>
      <c r="BC152" s="1">
        <f t="shared" si="59"/>
        <v>0.84449339207048457</v>
      </c>
      <c r="BD152" s="1">
        <f t="shared" si="69"/>
        <v>0.37849339207048455</v>
      </c>
      <c r="BF152">
        <f t="shared" si="60"/>
        <v>21.85</v>
      </c>
      <c r="BG152">
        <f t="shared" si="61"/>
        <v>19.811666666666667</v>
      </c>
      <c r="BH152" s="1">
        <f t="shared" si="62"/>
        <v>2.8631578947368421</v>
      </c>
      <c r="BI152" s="1">
        <f t="shared" si="63"/>
        <v>0.90671243325705564</v>
      </c>
      <c r="BJ152" s="1">
        <f t="shared" si="70"/>
        <v>0.60178947368421054</v>
      </c>
      <c r="BK152" s="1">
        <f t="shared" si="71"/>
        <v>0.61765948661894809</v>
      </c>
      <c r="BL152" s="22">
        <f t="shared" si="72"/>
        <v>0.61765948661894809</v>
      </c>
      <c r="BM152" s="1">
        <f t="shared" si="64"/>
        <v>2.3000599881522889E-2</v>
      </c>
      <c r="BN152" s="1">
        <f t="shared" si="65"/>
        <v>3.4057816437948279E-3</v>
      </c>
    </row>
    <row r="153" spans="1:66" x14ac:dyDescent="0.25">
      <c r="A153" s="3"/>
      <c r="B153" s="3"/>
      <c r="C153" t="s">
        <v>136</v>
      </c>
      <c r="D153" s="5">
        <v>1</v>
      </c>
      <c r="E153" s="9">
        <f t="shared" si="49"/>
        <v>21.38</v>
      </c>
      <c r="F153" s="9">
        <f t="shared" si="50"/>
        <v>0.87589876330169691</v>
      </c>
      <c r="G153">
        <v>3.14</v>
      </c>
      <c r="H153">
        <v>8.6300000000000008</v>
      </c>
      <c r="I153">
        <v>6.88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14.5</v>
      </c>
      <c r="P153">
        <v>0</v>
      </c>
      <c r="Q153">
        <v>60.91</v>
      </c>
      <c r="R153">
        <v>0</v>
      </c>
      <c r="S153">
        <v>0</v>
      </c>
      <c r="T153">
        <v>0</v>
      </c>
      <c r="U153">
        <v>1.93</v>
      </c>
      <c r="V153">
        <v>0</v>
      </c>
      <c r="W153">
        <v>0</v>
      </c>
      <c r="X153">
        <v>0</v>
      </c>
      <c r="Y153">
        <v>0</v>
      </c>
      <c r="Z153">
        <v>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41.6</v>
      </c>
      <c r="AK153" t="s">
        <v>1</v>
      </c>
      <c r="AL153" t="s">
        <v>374</v>
      </c>
      <c r="AQ153" s="1">
        <f t="shared" si="66"/>
        <v>99.990000000000009</v>
      </c>
      <c r="AR153" s="1">
        <f t="shared" si="51"/>
        <v>0.14499999999999999</v>
      </c>
      <c r="AS153" s="1">
        <f t="shared" si="52"/>
        <v>3.1400000000000004E-2</v>
      </c>
      <c r="AT153" s="1">
        <f t="shared" si="53"/>
        <v>8.6300000000000002E-2</v>
      </c>
      <c r="AU153" s="1">
        <f t="shared" si="54"/>
        <v>0.60909999999999997</v>
      </c>
      <c r="AV153" s="1">
        <f t="shared" si="67"/>
        <v>0.41600000000000004</v>
      </c>
      <c r="AX153" s="1">
        <f t="shared" si="68"/>
        <v>5.1750212404418008</v>
      </c>
      <c r="AY153" s="1">
        <f t="shared" si="55"/>
        <v>1.2319456244689888</v>
      </c>
      <c r="AZ153" s="1">
        <f t="shared" si="56"/>
        <v>0.82343882752761255</v>
      </c>
      <c r="BA153" s="1">
        <f t="shared" si="57"/>
        <v>1.7937553101104502</v>
      </c>
      <c r="BB153" s="1">
        <f t="shared" si="58"/>
        <v>0.82343882752761255</v>
      </c>
      <c r="BC153" s="1">
        <f t="shared" si="59"/>
        <v>0.82343882752761255</v>
      </c>
      <c r="BD153" s="1">
        <f t="shared" si="69"/>
        <v>0.40743882752761251</v>
      </c>
      <c r="BF153">
        <f t="shared" si="60"/>
        <v>25.05</v>
      </c>
      <c r="BG153">
        <f t="shared" si="61"/>
        <v>19.273333333333333</v>
      </c>
      <c r="BH153" s="1">
        <f t="shared" si="62"/>
        <v>2.4315369261477042</v>
      </c>
      <c r="BI153" s="1">
        <f t="shared" si="63"/>
        <v>0.76939454424484366</v>
      </c>
      <c r="BJ153" s="1">
        <f t="shared" si="70"/>
        <v>0.57589221556886228</v>
      </c>
      <c r="BK153" s="1">
        <f t="shared" si="71"/>
        <v>0.57510798689097897</v>
      </c>
      <c r="BL153" s="22">
        <f t="shared" si="72"/>
        <v>0.57510798689097897</v>
      </c>
      <c r="BM153" s="1">
        <f t="shared" si="64"/>
        <v>2.5315351492499926E-2</v>
      </c>
      <c r="BN153" s="1">
        <f t="shared" si="65"/>
        <v>6.9874136136033872E-5</v>
      </c>
    </row>
    <row r="154" spans="1:66" x14ac:dyDescent="0.25">
      <c r="A154" s="3"/>
      <c r="B154" s="3"/>
      <c r="C154" t="s">
        <v>137</v>
      </c>
      <c r="D154" s="5">
        <v>1</v>
      </c>
      <c r="E154" s="9">
        <f t="shared" si="49"/>
        <v>20.78</v>
      </c>
      <c r="F154" s="9">
        <f t="shared" si="50"/>
        <v>0.8898866480200206</v>
      </c>
      <c r="G154">
        <v>3.27</v>
      </c>
      <c r="H154">
        <v>7.48</v>
      </c>
      <c r="I154">
        <v>6.78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14</v>
      </c>
      <c r="P154">
        <v>0</v>
      </c>
      <c r="Q154">
        <v>60.45</v>
      </c>
      <c r="R154">
        <v>0</v>
      </c>
      <c r="S154">
        <v>0</v>
      </c>
      <c r="T154">
        <v>0</v>
      </c>
      <c r="U154">
        <v>4.17</v>
      </c>
      <c r="V154">
        <v>0</v>
      </c>
      <c r="W154">
        <v>0</v>
      </c>
      <c r="X154">
        <v>0</v>
      </c>
      <c r="Y154">
        <v>0</v>
      </c>
      <c r="Z154">
        <v>3.83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37</v>
      </c>
      <c r="AK154" t="s">
        <v>1</v>
      </c>
      <c r="AL154" t="s">
        <v>374</v>
      </c>
      <c r="AQ154" s="1">
        <f t="shared" si="66"/>
        <v>99.98</v>
      </c>
      <c r="AR154" s="1">
        <f t="shared" si="51"/>
        <v>0.14000000000000001</v>
      </c>
      <c r="AS154" s="1">
        <f t="shared" si="52"/>
        <v>3.27E-2</v>
      </c>
      <c r="AT154" s="1">
        <f t="shared" si="53"/>
        <v>7.4800000000000005E-2</v>
      </c>
      <c r="AU154" s="1">
        <f t="shared" si="54"/>
        <v>0.60450000000000004</v>
      </c>
      <c r="AV154" s="1">
        <f t="shared" si="67"/>
        <v>0.37</v>
      </c>
      <c r="AX154" s="1">
        <f t="shared" si="68"/>
        <v>5.6232558139534881</v>
      </c>
      <c r="AY154" s="1">
        <f t="shared" si="55"/>
        <v>1.3023255813953487</v>
      </c>
      <c r="AZ154" s="1">
        <f t="shared" si="56"/>
        <v>0.851453488372093</v>
      </c>
      <c r="BA154" s="1">
        <f t="shared" si="57"/>
        <v>1.905813953488372</v>
      </c>
      <c r="BB154" s="1">
        <f t="shared" si="58"/>
        <v>0.851453488372093</v>
      </c>
      <c r="BC154" s="1">
        <f t="shared" si="59"/>
        <v>0.851453488372093</v>
      </c>
      <c r="BD154" s="1">
        <f t="shared" si="69"/>
        <v>0.48145348837209301</v>
      </c>
      <c r="BF154">
        <f t="shared" si="60"/>
        <v>28.900000000000002</v>
      </c>
      <c r="BG154">
        <f t="shared" si="61"/>
        <v>18.666666666666668</v>
      </c>
      <c r="BH154" s="1">
        <f t="shared" si="62"/>
        <v>2.0916955017301038</v>
      </c>
      <c r="BI154" s="1">
        <f t="shared" si="63"/>
        <v>0.64590542099192616</v>
      </c>
      <c r="BJ154" s="1">
        <f t="shared" si="70"/>
        <v>0.55550173010380621</v>
      </c>
      <c r="BK154" s="1">
        <f t="shared" si="71"/>
        <v>0.53671396296819074</v>
      </c>
      <c r="BL154" s="22">
        <f t="shared" si="72"/>
        <v>0.53671396296819074</v>
      </c>
      <c r="BM154" s="1">
        <f t="shared" si="64"/>
        <v>2.7793545448559276E-2</v>
      </c>
      <c r="BN154" s="1">
        <f t="shared" si="65"/>
        <v>1.4168392290899454E-3</v>
      </c>
    </row>
    <row r="155" spans="1:66" x14ac:dyDescent="0.25">
      <c r="A155" s="3"/>
      <c r="B155" s="3"/>
      <c r="C155" t="s">
        <v>138</v>
      </c>
      <c r="D155" s="5">
        <v>1</v>
      </c>
      <c r="E155" s="9">
        <f t="shared" si="49"/>
        <v>21.3</v>
      </c>
      <c r="F155" s="9">
        <f t="shared" si="50"/>
        <v>0.88671091217780518</v>
      </c>
      <c r="G155">
        <v>3.4</v>
      </c>
      <c r="H155">
        <v>7.34</v>
      </c>
      <c r="I155">
        <v>6.96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14.34</v>
      </c>
      <c r="P155">
        <v>0</v>
      </c>
      <c r="Q155">
        <v>57.45</v>
      </c>
      <c r="R155">
        <v>0</v>
      </c>
      <c r="S155">
        <v>0</v>
      </c>
      <c r="T155">
        <v>0</v>
      </c>
      <c r="U155">
        <v>6.57</v>
      </c>
      <c r="V155">
        <v>0</v>
      </c>
      <c r="W155">
        <v>0</v>
      </c>
      <c r="X155">
        <v>0</v>
      </c>
      <c r="Y155">
        <v>0</v>
      </c>
      <c r="Z155">
        <v>3.91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29.2</v>
      </c>
      <c r="AK155" t="s">
        <v>1</v>
      </c>
      <c r="AL155" t="s">
        <v>374</v>
      </c>
      <c r="AQ155" s="1">
        <f t="shared" si="66"/>
        <v>99.97</v>
      </c>
      <c r="AR155" s="1">
        <f t="shared" si="51"/>
        <v>0.1434</v>
      </c>
      <c r="AS155" s="1">
        <f t="shared" si="52"/>
        <v>3.4000000000000002E-2</v>
      </c>
      <c r="AT155" s="1">
        <f t="shared" si="53"/>
        <v>7.3399999999999993E-2</v>
      </c>
      <c r="AU155" s="1">
        <f t="shared" si="54"/>
        <v>0.57450000000000001</v>
      </c>
      <c r="AV155" s="1">
        <f t="shared" si="67"/>
        <v>0.29199999999999998</v>
      </c>
      <c r="AX155" s="1">
        <f t="shared" si="68"/>
        <v>5.3491620111731848</v>
      </c>
      <c r="AY155" s="1">
        <f t="shared" si="55"/>
        <v>1.3351955307262571</v>
      </c>
      <c r="AZ155" s="1">
        <f t="shared" si="56"/>
        <v>0.83432262569832405</v>
      </c>
      <c r="BA155" s="1">
        <f t="shared" si="57"/>
        <v>1.8372905027932962</v>
      </c>
      <c r="BB155" s="1">
        <f t="shared" si="58"/>
        <v>0.83432262569832405</v>
      </c>
      <c r="BC155" s="1">
        <f t="shared" si="59"/>
        <v>0.83432262569832405</v>
      </c>
      <c r="BD155" s="1">
        <f t="shared" si="69"/>
        <v>0.54232262569832401</v>
      </c>
      <c r="BF155">
        <f t="shared" si="60"/>
        <v>34.08</v>
      </c>
      <c r="BG155">
        <f t="shared" si="61"/>
        <v>19.123333333333335</v>
      </c>
      <c r="BH155" s="1">
        <f t="shared" si="62"/>
        <v>1.6857394366197185</v>
      </c>
      <c r="BI155" s="1">
        <f t="shared" si="63"/>
        <v>0.56113067292644769</v>
      </c>
      <c r="BJ155" s="1">
        <f t="shared" si="70"/>
        <v>0.53114436619718308</v>
      </c>
      <c r="BK155" s="1">
        <f t="shared" si="71"/>
        <v>0.50155855729574272</v>
      </c>
      <c r="BL155" s="22">
        <f t="shared" si="72"/>
        <v>0.50155855729574272</v>
      </c>
      <c r="BM155" s="1">
        <f t="shared" si="64"/>
        <v>4.3914788935873091E-2</v>
      </c>
      <c r="BN155" s="1">
        <f t="shared" si="65"/>
        <v>1.3372823517142234E-2</v>
      </c>
    </row>
    <row r="156" spans="1:66" x14ac:dyDescent="0.25">
      <c r="A156" s="3"/>
      <c r="B156" s="3"/>
      <c r="C156" t="s">
        <v>478</v>
      </c>
      <c r="D156" s="5">
        <v>1</v>
      </c>
      <c r="E156" s="9">
        <f t="shared" si="49"/>
        <v>20</v>
      </c>
      <c r="F156" s="9">
        <f t="shared" si="50"/>
        <v>0.67500000000000004</v>
      </c>
      <c r="G156">
        <v>0</v>
      </c>
      <c r="H156">
        <v>26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20</v>
      </c>
      <c r="P156">
        <v>0</v>
      </c>
      <c r="Q156">
        <v>54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64</v>
      </c>
      <c r="AK156" t="s">
        <v>1</v>
      </c>
      <c r="AL156" t="s">
        <v>374</v>
      </c>
      <c r="AQ156" s="1">
        <f t="shared" si="66"/>
        <v>100</v>
      </c>
      <c r="AR156" s="1">
        <f t="shared" si="51"/>
        <v>0.2</v>
      </c>
      <c r="AS156" s="1">
        <f t="shared" si="52"/>
        <v>0</v>
      </c>
      <c r="AT156" s="1">
        <f t="shared" si="53"/>
        <v>0.26</v>
      </c>
      <c r="AU156" s="1">
        <f t="shared" si="54"/>
        <v>0.54</v>
      </c>
      <c r="AV156" s="1">
        <f t="shared" si="67"/>
        <v>0.64</v>
      </c>
      <c r="AX156" s="1">
        <f t="shared" si="68"/>
        <v>2.0769230769230771</v>
      </c>
      <c r="AY156" s="1">
        <f t="shared" si="55"/>
        <v>0.76923076923076927</v>
      </c>
      <c r="AZ156" s="1">
        <f t="shared" si="56"/>
        <v>0.62980769230769229</v>
      </c>
      <c r="BA156" s="1">
        <f t="shared" si="57"/>
        <v>1.0192307692307692</v>
      </c>
      <c r="BB156" s="1">
        <f t="shared" si="58"/>
        <v>0.62980769230769229</v>
      </c>
      <c r="BC156" s="1">
        <f t="shared" si="59"/>
        <v>0.62980769230769229</v>
      </c>
      <c r="BD156" s="1">
        <f t="shared" si="69"/>
        <v>1.0192307692307723E-2</v>
      </c>
      <c r="BF156">
        <f t="shared" si="60"/>
        <v>26</v>
      </c>
      <c r="BG156">
        <f t="shared" si="61"/>
        <v>20</v>
      </c>
      <c r="BH156" s="1">
        <f t="shared" si="62"/>
        <v>2.0769230769230771</v>
      </c>
      <c r="BI156" s="1">
        <f t="shared" si="63"/>
        <v>0.76923076923076927</v>
      </c>
      <c r="BJ156" s="1">
        <f t="shared" si="70"/>
        <v>0.55461538461538462</v>
      </c>
      <c r="BK156" s="1">
        <f t="shared" si="71"/>
        <v>0.55649996829176307</v>
      </c>
      <c r="BL156" s="22">
        <f t="shared" si="72"/>
        <v>0.55649996829176307</v>
      </c>
      <c r="BM156" s="1">
        <f t="shared" si="64"/>
        <v>6.972255295276575E-3</v>
      </c>
      <c r="BN156" s="1">
        <f t="shared" si="65"/>
        <v>5.3990739770447424E-2</v>
      </c>
    </row>
    <row r="157" spans="1:66" x14ac:dyDescent="0.25">
      <c r="A157" s="3"/>
      <c r="B157" s="3"/>
      <c r="C157" t="s">
        <v>479</v>
      </c>
      <c r="D157" s="5">
        <v>1</v>
      </c>
      <c r="E157" s="9">
        <f t="shared" si="49"/>
        <v>18.899999999999999</v>
      </c>
      <c r="F157" s="9">
        <f t="shared" si="50"/>
        <v>0.66707768187422944</v>
      </c>
      <c r="G157">
        <v>0</v>
      </c>
      <c r="H157">
        <v>27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18.899999999999999</v>
      </c>
      <c r="P157">
        <v>0</v>
      </c>
      <c r="Q157">
        <v>54.1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61</v>
      </c>
      <c r="AK157" t="s">
        <v>1</v>
      </c>
      <c r="AL157" t="s">
        <v>374</v>
      </c>
      <c r="AQ157" s="1">
        <f t="shared" si="66"/>
        <v>100</v>
      </c>
      <c r="AR157" s="1">
        <f t="shared" si="51"/>
        <v>0.18899999999999997</v>
      </c>
      <c r="AS157" s="1">
        <f t="shared" si="52"/>
        <v>0</v>
      </c>
      <c r="AT157" s="1">
        <f t="shared" si="53"/>
        <v>0.27</v>
      </c>
      <c r="AU157" s="1">
        <f t="shared" si="54"/>
        <v>0.54100000000000004</v>
      </c>
      <c r="AV157" s="1">
        <f t="shared" si="67"/>
        <v>0.61</v>
      </c>
      <c r="AX157" s="1">
        <f t="shared" si="68"/>
        <v>2.0037037037037035</v>
      </c>
      <c r="AY157" s="1">
        <f t="shared" si="55"/>
        <v>0.69999999999999984</v>
      </c>
      <c r="AZ157" s="1">
        <f t="shared" si="56"/>
        <v>0.62523148148148144</v>
      </c>
      <c r="BA157" s="1">
        <f t="shared" si="57"/>
        <v>1.0009259259259258</v>
      </c>
      <c r="BB157" s="1">
        <f t="shared" si="58"/>
        <v>0.62523148148148144</v>
      </c>
      <c r="BC157" s="1">
        <f t="shared" si="59"/>
        <v>0.62523148148148144</v>
      </c>
      <c r="BD157" s="1">
        <f t="shared" si="69"/>
        <v>1.5231481481481457E-2</v>
      </c>
      <c r="BF157">
        <f t="shared" si="60"/>
        <v>27</v>
      </c>
      <c r="BG157">
        <f t="shared" si="61"/>
        <v>18.899999999999999</v>
      </c>
      <c r="BH157" s="1">
        <f t="shared" si="62"/>
        <v>2.0037037037037035</v>
      </c>
      <c r="BI157" s="1">
        <f t="shared" si="63"/>
        <v>0.7</v>
      </c>
      <c r="BJ157" s="1">
        <f t="shared" si="70"/>
        <v>0.55022222222222217</v>
      </c>
      <c r="BK157" s="1">
        <f t="shared" si="71"/>
        <v>0.54255646405416091</v>
      </c>
      <c r="BL157" s="22">
        <f t="shared" si="72"/>
        <v>0.54255646405416091</v>
      </c>
      <c r="BM157" s="1">
        <f t="shared" si="64"/>
        <v>4.5486305408776869E-3</v>
      </c>
      <c r="BN157" s="1">
        <f t="shared" si="65"/>
        <v>4.094919526585214E-2</v>
      </c>
    </row>
    <row r="158" spans="1:66" x14ac:dyDescent="0.25">
      <c r="A158" s="3"/>
      <c r="B158" s="3"/>
      <c r="C158" t="s">
        <v>480</v>
      </c>
      <c r="D158" s="5">
        <v>1</v>
      </c>
      <c r="E158" s="9">
        <f t="shared" si="49"/>
        <v>21.1</v>
      </c>
      <c r="F158" s="9">
        <f t="shared" si="50"/>
        <v>0.66666666666666663</v>
      </c>
      <c r="G158">
        <v>0</v>
      </c>
      <c r="H158">
        <v>26.3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21.1</v>
      </c>
      <c r="P158">
        <v>0</v>
      </c>
      <c r="Q158">
        <v>52.6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60</v>
      </c>
      <c r="AK158" t="s">
        <v>1</v>
      </c>
      <c r="AL158" t="s">
        <v>374</v>
      </c>
      <c r="AQ158" s="1">
        <f t="shared" si="66"/>
        <v>100</v>
      </c>
      <c r="AR158" s="1">
        <f t="shared" si="51"/>
        <v>0.21100000000000002</v>
      </c>
      <c r="AS158" s="1">
        <f t="shared" si="52"/>
        <v>0</v>
      </c>
      <c r="AT158" s="1">
        <f t="shared" si="53"/>
        <v>0.26300000000000001</v>
      </c>
      <c r="AU158" s="1">
        <f t="shared" si="54"/>
        <v>0.52600000000000002</v>
      </c>
      <c r="AV158" s="1">
        <f t="shared" si="67"/>
        <v>0.6</v>
      </c>
      <c r="AX158" s="1">
        <f t="shared" si="68"/>
        <v>2</v>
      </c>
      <c r="AY158" s="1">
        <f t="shared" si="55"/>
        <v>0.80228136882129286</v>
      </c>
      <c r="AZ158" s="1">
        <f t="shared" si="56"/>
        <v>0.625</v>
      </c>
      <c r="BA158" s="1">
        <f t="shared" si="57"/>
        <v>1</v>
      </c>
      <c r="BB158" s="1">
        <f t="shared" si="58"/>
        <v>0.625</v>
      </c>
      <c r="BC158" s="1">
        <f t="shared" si="59"/>
        <v>0.625</v>
      </c>
      <c r="BD158" s="1">
        <f t="shared" si="69"/>
        <v>2.5000000000000022E-2</v>
      </c>
      <c r="BF158">
        <f t="shared" si="60"/>
        <v>26.3</v>
      </c>
      <c r="BG158">
        <f t="shared" si="61"/>
        <v>21.1</v>
      </c>
      <c r="BH158" s="1">
        <f t="shared" si="62"/>
        <v>2</v>
      </c>
      <c r="BI158" s="1">
        <f t="shared" si="63"/>
        <v>0.80228136882129286</v>
      </c>
      <c r="BJ158" s="1">
        <f t="shared" si="70"/>
        <v>0.55000000000000004</v>
      </c>
      <c r="BK158" s="1">
        <f t="shared" si="71"/>
        <v>0.55598749012362647</v>
      </c>
      <c r="BL158" s="22">
        <f t="shared" si="72"/>
        <v>0.55598749012362647</v>
      </c>
      <c r="BM158" s="1">
        <f t="shared" si="64"/>
        <v>1.9371010256178755E-3</v>
      </c>
      <c r="BN158" s="1">
        <f t="shared" si="65"/>
        <v>3.7002013764320378E-2</v>
      </c>
    </row>
    <row r="159" spans="1:66" x14ac:dyDescent="0.25">
      <c r="A159" s="3"/>
      <c r="B159" s="3"/>
      <c r="C159" t="s">
        <v>481</v>
      </c>
      <c r="D159" s="5">
        <v>1</v>
      </c>
      <c r="E159" s="9">
        <f t="shared" si="49"/>
        <v>20.6</v>
      </c>
      <c r="F159" s="9">
        <f t="shared" si="50"/>
        <v>0.66372795969773302</v>
      </c>
      <c r="G159">
        <v>0</v>
      </c>
      <c r="H159">
        <v>26.7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20.6</v>
      </c>
      <c r="P159">
        <v>0</v>
      </c>
      <c r="Q159">
        <v>52.7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66</v>
      </c>
      <c r="AK159" t="s">
        <v>1</v>
      </c>
      <c r="AL159" t="s">
        <v>374</v>
      </c>
      <c r="AQ159" s="1">
        <f t="shared" si="66"/>
        <v>100</v>
      </c>
      <c r="AR159" s="1">
        <f t="shared" si="51"/>
        <v>0.20600000000000002</v>
      </c>
      <c r="AS159" s="1">
        <f t="shared" si="52"/>
        <v>0</v>
      </c>
      <c r="AT159" s="1">
        <f t="shared" si="53"/>
        <v>0.26700000000000002</v>
      </c>
      <c r="AU159" s="1">
        <f t="shared" si="54"/>
        <v>0.52700000000000002</v>
      </c>
      <c r="AV159" s="1">
        <f t="shared" si="67"/>
        <v>0.66</v>
      </c>
      <c r="AX159" s="1">
        <f t="shared" si="68"/>
        <v>1.9737827715355805</v>
      </c>
      <c r="AY159" s="1">
        <f t="shared" si="55"/>
        <v>0.77153558052434457</v>
      </c>
      <c r="AZ159" s="1">
        <f t="shared" si="56"/>
        <v>0.62336142322097376</v>
      </c>
      <c r="BA159" s="1">
        <f t="shared" si="57"/>
        <v>0.99344569288389506</v>
      </c>
      <c r="BB159" s="1">
        <f t="shared" si="58"/>
        <v>0.62336142322097376</v>
      </c>
      <c r="BC159" s="1">
        <f t="shared" si="59"/>
        <v>0.62336142322097376</v>
      </c>
      <c r="BD159" s="1">
        <f t="shared" si="69"/>
        <v>3.6638576779026266E-2</v>
      </c>
      <c r="BF159">
        <f t="shared" si="60"/>
        <v>26.7</v>
      </c>
      <c r="BG159">
        <f t="shared" si="61"/>
        <v>20.6</v>
      </c>
      <c r="BH159" s="1">
        <f t="shared" si="62"/>
        <v>1.9737827715355807</v>
      </c>
      <c r="BI159" s="1">
        <f t="shared" si="63"/>
        <v>0.77153558052434468</v>
      </c>
      <c r="BJ159" s="1">
        <f t="shared" si="70"/>
        <v>0.54842696629213483</v>
      </c>
      <c r="BK159" s="1">
        <f t="shared" si="71"/>
        <v>0.55103383756284863</v>
      </c>
      <c r="BL159" s="22">
        <f t="shared" si="72"/>
        <v>0.55103383756284863</v>
      </c>
      <c r="BM159" s="1">
        <f t="shared" si="64"/>
        <v>1.1873624556279666E-2</v>
      </c>
      <c r="BN159" s="1">
        <f t="shared" si="65"/>
        <v>6.3685102773510957E-2</v>
      </c>
    </row>
    <row r="160" spans="1:66" x14ac:dyDescent="0.25">
      <c r="A160" s="3"/>
      <c r="B160" s="3"/>
      <c r="C160" t="s">
        <v>144</v>
      </c>
      <c r="D160" s="5">
        <v>1</v>
      </c>
      <c r="E160" s="9">
        <f t="shared" si="49"/>
        <v>25</v>
      </c>
      <c r="F160" s="9">
        <f t="shared" si="50"/>
        <v>0.66666666666666663</v>
      </c>
      <c r="G160">
        <v>0</v>
      </c>
      <c r="H160">
        <v>25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25</v>
      </c>
      <c r="P160">
        <v>0</v>
      </c>
      <c r="Q160">
        <v>50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64</v>
      </c>
      <c r="AK160" t="s">
        <v>1</v>
      </c>
      <c r="AL160" t="s">
        <v>374</v>
      </c>
      <c r="AO160" t="s">
        <v>378</v>
      </c>
      <c r="AQ160" s="1">
        <f t="shared" si="66"/>
        <v>100</v>
      </c>
      <c r="AR160" s="1">
        <f t="shared" si="51"/>
        <v>0.25</v>
      </c>
      <c r="AS160" s="1">
        <f t="shared" si="52"/>
        <v>0</v>
      </c>
      <c r="AT160" s="1">
        <f t="shared" si="53"/>
        <v>0.25</v>
      </c>
      <c r="AU160" s="1">
        <f t="shared" si="54"/>
        <v>0.5</v>
      </c>
      <c r="AV160" s="1">
        <f t="shared" si="67"/>
        <v>0.64</v>
      </c>
      <c r="AX160" s="1">
        <f t="shared" si="68"/>
        <v>2</v>
      </c>
      <c r="AY160" s="1">
        <f t="shared" si="55"/>
        <v>1</v>
      </c>
      <c r="AZ160" s="1">
        <f t="shared" si="56"/>
        <v>0.625</v>
      </c>
      <c r="BA160" s="1">
        <f t="shared" si="57"/>
        <v>1</v>
      </c>
      <c r="BB160" s="1">
        <f t="shared" si="58"/>
        <v>0.625</v>
      </c>
      <c r="BC160" s="1">
        <f t="shared" si="59"/>
        <v>0.625</v>
      </c>
      <c r="BD160" s="1">
        <f t="shared" si="69"/>
        <v>1.5000000000000013E-2</v>
      </c>
      <c r="BF160">
        <f t="shared" si="60"/>
        <v>25</v>
      </c>
      <c r="BG160">
        <f t="shared" si="61"/>
        <v>25</v>
      </c>
      <c r="BH160" s="1">
        <f t="shared" si="62"/>
        <v>2</v>
      </c>
      <c r="BI160" s="1">
        <f t="shared" si="63"/>
        <v>1</v>
      </c>
      <c r="BJ160" s="1">
        <f t="shared" si="70"/>
        <v>0.55000000000000004</v>
      </c>
      <c r="BK160" s="1">
        <f t="shared" si="71"/>
        <v>0.56694271147394415</v>
      </c>
      <c r="BL160" s="22">
        <f t="shared" si="72"/>
        <v>0.56694271147394415</v>
      </c>
      <c r="BM160" s="1">
        <f t="shared" si="64"/>
        <v>5.3373674067793741E-3</v>
      </c>
      <c r="BN160" s="1">
        <f t="shared" si="65"/>
        <v>5.3990739770447424E-2</v>
      </c>
    </row>
    <row r="161" spans="1:66" x14ac:dyDescent="0.25">
      <c r="A161" s="3"/>
      <c r="B161" s="3"/>
      <c r="C161" t="s">
        <v>145</v>
      </c>
      <c r="D161" s="5">
        <v>1</v>
      </c>
      <c r="E161" s="9">
        <f t="shared" si="49"/>
        <v>25</v>
      </c>
      <c r="F161" s="9">
        <f t="shared" si="50"/>
        <v>0.66666666666666663</v>
      </c>
      <c r="G161">
        <v>0</v>
      </c>
      <c r="H161">
        <v>25</v>
      </c>
      <c r="I161">
        <v>12.5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12.5</v>
      </c>
      <c r="P161">
        <v>0</v>
      </c>
      <c r="Q161">
        <v>50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61</v>
      </c>
      <c r="AK161" t="s">
        <v>1</v>
      </c>
      <c r="AL161" t="s">
        <v>374</v>
      </c>
      <c r="AQ161" s="1">
        <f t="shared" si="66"/>
        <v>100</v>
      </c>
      <c r="AR161" s="1">
        <f t="shared" si="51"/>
        <v>0.125</v>
      </c>
      <c r="AS161" s="1">
        <f t="shared" si="52"/>
        <v>0</v>
      </c>
      <c r="AT161" s="1">
        <f t="shared" si="53"/>
        <v>0.25</v>
      </c>
      <c r="AU161" s="1">
        <f t="shared" si="54"/>
        <v>0.5</v>
      </c>
      <c r="AV161" s="1">
        <f t="shared" si="67"/>
        <v>0.61</v>
      </c>
      <c r="AX161" s="1">
        <f t="shared" si="68"/>
        <v>2</v>
      </c>
      <c r="AY161" s="1">
        <f t="shared" si="55"/>
        <v>0.5</v>
      </c>
      <c r="AZ161" s="1">
        <f t="shared" si="56"/>
        <v>0.625</v>
      </c>
      <c r="BA161" s="1">
        <f t="shared" si="57"/>
        <v>1</v>
      </c>
      <c r="BB161" s="1">
        <f t="shared" si="58"/>
        <v>0.5</v>
      </c>
      <c r="BC161" s="1">
        <f t="shared" si="59"/>
        <v>0.5</v>
      </c>
      <c r="BD161" s="1">
        <f t="shared" si="69"/>
        <v>0.10999999999999999</v>
      </c>
      <c r="BF161">
        <f t="shared" si="60"/>
        <v>25</v>
      </c>
      <c r="BG161">
        <f t="shared" si="61"/>
        <v>18.75</v>
      </c>
      <c r="BH161" s="1">
        <f t="shared" si="62"/>
        <v>2</v>
      </c>
      <c r="BI161" s="1">
        <f t="shared" si="63"/>
        <v>0.75</v>
      </c>
      <c r="BJ161" s="1">
        <f t="shared" si="70"/>
        <v>0.55000000000000004</v>
      </c>
      <c r="BK161" s="1">
        <f t="shared" si="71"/>
        <v>0.54977017804992023</v>
      </c>
      <c r="BL161" s="22">
        <f t="shared" si="72"/>
        <v>0.54977017804992023</v>
      </c>
      <c r="BM161" s="1">
        <f t="shared" si="64"/>
        <v>3.6276314521383091E-3</v>
      </c>
      <c r="BN161" s="1">
        <f t="shared" si="65"/>
        <v>4.094919526585214E-2</v>
      </c>
    </row>
    <row r="162" spans="1:66" x14ac:dyDescent="0.25">
      <c r="A162" s="3"/>
      <c r="B162" s="3"/>
      <c r="C162" t="s">
        <v>146</v>
      </c>
      <c r="D162" s="5">
        <v>1</v>
      </c>
      <c r="E162" s="9">
        <f t="shared" si="49"/>
        <v>25</v>
      </c>
      <c r="F162" s="9">
        <f t="shared" si="50"/>
        <v>0.66666666666666663</v>
      </c>
      <c r="G162">
        <v>0</v>
      </c>
      <c r="H162">
        <v>25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12.5</v>
      </c>
      <c r="P162">
        <v>0</v>
      </c>
      <c r="Q162">
        <v>50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12.5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62</v>
      </c>
      <c r="AK162" t="s">
        <v>1</v>
      </c>
      <c r="AL162" t="s">
        <v>374</v>
      </c>
      <c r="AQ162" s="1">
        <f t="shared" si="66"/>
        <v>100</v>
      </c>
      <c r="AR162" s="1">
        <f t="shared" si="51"/>
        <v>0.125</v>
      </c>
      <c r="AS162" s="1">
        <f t="shared" si="52"/>
        <v>0</v>
      </c>
      <c r="AT162" s="1">
        <f t="shared" si="53"/>
        <v>0.25</v>
      </c>
      <c r="AU162" s="1">
        <f t="shared" si="54"/>
        <v>0.5</v>
      </c>
      <c r="AV162" s="1">
        <f t="shared" si="67"/>
        <v>0.62</v>
      </c>
      <c r="AX162" s="1">
        <f t="shared" si="68"/>
        <v>2</v>
      </c>
      <c r="AY162" s="1">
        <f t="shared" si="55"/>
        <v>0.5</v>
      </c>
      <c r="AZ162" s="1">
        <f t="shared" si="56"/>
        <v>0.625</v>
      </c>
      <c r="BA162" s="1">
        <f t="shared" si="57"/>
        <v>1</v>
      </c>
      <c r="BB162" s="1">
        <f t="shared" si="58"/>
        <v>0.5</v>
      </c>
      <c r="BC162" s="1">
        <f t="shared" si="59"/>
        <v>0.5</v>
      </c>
      <c r="BD162" s="1">
        <f t="shared" si="69"/>
        <v>0.12</v>
      </c>
      <c r="BF162">
        <f t="shared" si="60"/>
        <v>25</v>
      </c>
      <c r="BG162">
        <f t="shared" si="61"/>
        <v>18.75</v>
      </c>
      <c r="BH162" s="1">
        <f t="shared" si="62"/>
        <v>2</v>
      </c>
      <c r="BI162" s="1">
        <f t="shared" si="63"/>
        <v>0.75</v>
      </c>
      <c r="BJ162" s="1">
        <f t="shared" si="70"/>
        <v>0.55000000000000004</v>
      </c>
      <c r="BK162" s="1">
        <f t="shared" si="71"/>
        <v>0.54977017804992023</v>
      </c>
      <c r="BL162" s="22">
        <f t="shared" si="72"/>
        <v>0.54977017804992023</v>
      </c>
      <c r="BM162" s="1">
        <f t="shared" si="64"/>
        <v>4.9322278911399049E-3</v>
      </c>
      <c r="BN162" s="1">
        <f t="shared" si="65"/>
        <v>4.50963767673839E-2</v>
      </c>
    </row>
    <row r="163" spans="1:66" x14ac:dyDescent="0.25">
      <c r="A163" s="3"/>
      <c r="B163" s="3"/>
      <c r="C163" t="s">
        <v>147</v>
      </c>
      <c r="D163" s="5">
        <v>1</v>
      </c>
      <c r="E163" s="9">
        <f t="shared" si="49"/>
        <v>12.5</v>
      </c>
      <c r="F163" s="9">
        <f t="shared" si="50"/>
        <v>0.66666666666666663</v>
      </c>
      <c r="G163">
        <v>0</v>
      </c>
      <c r="H163">
        <v>25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12.5</v>
      </c>
      <c r="P163">
        <v>0</v>
      </c>
      <c r="Q163">
        <v>50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12.5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63</v>
      </c>
      <c r="AK163" t="s">
        <v>1</v>
      </c>
      <c r="AL163" t="s">
        <v>374</v>
      </c>
      <c r="AQ163" s="1">
        <f t="shared" si="66"/>
        <v>100</v>
      </c>
      <c r="AR163" s="1">
        <f t="shared" si="51"/>
        <v>0.125</v>
      </c>
      <c r="AS163" s="1">
        <f t="shared" si="52"/>
        <v>0</v>
      </c>
      <c r="AT163" s="1">
        <f t="shared" si="53"/>
        <v>0.25</v>
      </c>
      <c r="AU163" s="1">
        <f t="shared" si="54"/>
        <v>0.5</v>
      </c>
      <c r="AV163" s="1">
        <f t="shared" si="67"/>
        <v>0.63</v>
      </c>
      <c r="AX163" s="1">
        <f t="shared" si="68"/>
        <v>2</v>
      </c>
      <c r="AY163" s="1">
        <f t="shared" si="55"/>
        <v>0.5</v>
      </c>
      <c r="AZ163" s="1">
        <f t="shared" si="56"/>
        <v>0.625</v>
      </c>
      <c r="BA163" s="1">
        <f t="shared" si="57"/>
        <v>1</v>
      </c>
      <c r="BB163" s="1">
        <f t="shared" si="58"/>
        <v>0.5</v>
      </c>
      <c r="BC163" s="1">
        <f t="shared" si="59"/>
        <v>0.5</v>
      </c>
      <c r="BD163" s="1">
        <f t="shared" si="69"/>
        <v>0.13</v>
      </c>
      <c r="BF163">
        <f t="shared" si="60"/>
        <v>25</v>
      </c>
      <c r="BG163">
        <f t="shared" si="61"/>
        <v>12.5</v>
      </c>
      <c r="BH163" s="1">
        <f t="shared" si="62"/>
        <v>2</v>
      </c>
      <c r="BI163" s="1">
        <f t="shared" si="63"/>
        <v>0.5</v>
      </c>
      <c r="BJ163" s="1">
        <f t="shared" si="70"/>
        <v>0.55000000000000004</v>
      </c>
      <c r="BK163" s="1">
        <f t="shared" si="71"/>
        <v>0.5</v>
      </c>
      <c r="BL163" s="22">
        <f t="shared" si="72"/>
        <v>0.5</v>
      </c>
      <c r="BM163" s="1">
        <f t="shared" si="64"/>
        <v>1.6900000000000002E-2</v>
      </c>
      <c r="BN163" s="1">
        <f t="shared" si="65"/>
        <v>4.9443558268915666E-2</v>
      </c>
    </row>
    <row r="164" spans="1:66" x14ac:dyDescent="0.25">
      <c r="A164" s="3"/>
      <c r="B164" s="3"/>
      <c r="C164" t="s">
        <v>149</v>
      </c>
      <c r="D164" s="5">
        <v>1</v>
      </c>
      <c r="E164" s="9">
        <f t="shared" si="49"/>
        <v>15</v>
      </c>
      <c r="F164" s="9">
        <f t="shared" si="50"/>
        <v>0.70833333333333337</v>
      </c>
      <c r="G164">
        <v>8</v>
      </c>
      <c r="H164">
        <v>21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15</v>
      </c>
      <c r="P164">
        <v>0</v>
      </c>
      <c r="Q164">
        <v>51</v>
      </c>
      <c r="R164">
        <v>0</v>
      </c>
      <c r="S164">
        <v>0</v>
      </c>
      <c r="T164">
        <v>0</v>
      </c>
      <c r="U164">
        <v>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22</v>
      </c>
      <c r="AK164" t="s">
        <v>1</v>
      </c>
      <c r="AL164" t="s">
        <v>372</v>
      </c>
      <c r="AO164" t="s">
        <v>378</v>
      </c>
      <c r="AP164" t="s">
        <v>404</v>
      </c>
      <c r="AQ164" s="1">
        <f t="shared" si="66"/>
        <v>100</v>
      </c>
      <c r="AR164" s="1">
        <f t="shared" si="51"/>
        <v>0.15</v>
      </c>
      <c r="AS164" s="1">
        <f t="shared" si="52"/>
        <v>0.08</v>
      </c>
      <c r="AT164" s="1">
        <f t="shared" si="53"/>
        <v>0.21</v>
      </c>
      <c r="AU164" s="1">
        <f t="shared" si="54"/>
        <v>0.51</v>
      </c>
      <c r="AV164" s="1">
        <f t="shared" si="67"/>
        <v>0.22</v>
      </c>
      <c r="AX164" s="1">
        <f t="shared" si="68"/>
        <v>1.7586206896551726</v>
      </c>
      <c r="AY164" s="1">
        <f t="shared" si="55"/>
        <v>0.51724137931034486</v>
      </c>
      <c r="AZ164" s="1">
        <f t="shared" si="56"/>
        <v>0.60991379310344829</v>
      </c>
      <c r="BA164" s="1">
        <f t="shared" si="57"/>
        <v>0.93965517241379315</v>
      </c>
      <c r="BB164" s="1">
        <f t="shared" si="58"/>
        <v>0.51724137931034486</v>
      </c>
      <c r="BC164" s="1">
        <f t="shared" si="59"/>
        <v>0.51724137931034486</v>
      </c>
      <c r="BD164" s="1">
        <f t="shared" si="69"/>
        <v>0.29724137931034489</v>
      </c>
      <c r="BF164">
        <f t="shared" si="60"/>
        <v>63</v>
      </c>
      <c r="BG164">
        <f t="shared" si="61"/>
        <v>15</v>
      </c>
      <c r="BH164" s="1">
        <f t="shared" si="62"/>
        <v>0.80952380952380953</v>
      </c>
      <c r="BI164" s="1">
        <f t="shared" si="63"/>
        <v>0.23809523809523808</v>
      </c>
      <c r="BJ164" s="1">
        <f t="shared" si="70"/>
        <v>0.47857142857142854</v>
      </c>
      <c r="BK164" s="1">
        <f t="shared" si="71"/>
        <v>0.23809523809523808</v>
      </c>
      <c r="BL164" s="22">
        <f t="shared" si="72"/>
        <v>0.23809523809523808</v>
      </c>
      <c r="BM164" s="1">
        <f t="shared" si="64"/>
        <v>3.2743764172335547E-4</v>
      </c>
      <c r="BN164" s="1">
        <f t="shared" si="65"/>
        <v>3.5209116706113569E-2</v>
      </c>
    </row>
    <row r="165" spans="1:66" x14ac:dyDescent="0.25">
      <c r="A165" s="3"/>
      <c r="B165" s="3"/>
      <c r="C165" t="s">
        <v>150</v>
      </c>
      <c r="D165" s="5">
        <v>1</v>
      </c>
      <c r="E165" s="9">
        <f t="shared" si="49"/>
        <v>20</v>
      </c>
      <c r="F165" s="9">
        <f t="shared" si="50"/>
        <v>0.70833333333333337</v>
      </c>
      <c r="G165">
        <v>8</v>
      </c>
      <c r="H165">
        <v>21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20</v>
      </c>
      <c r="P165">
        <v>0</v>
      </c>
      <c r="Q165">
        <v>51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45</v>
      </c>
      <c r="AK165" t="s">
        <v>1</v>
      </c>
      <c r="AL165" t="s">
        <v>372</v>
      </c>
      <c r="AQ165" s="1">
        <f t="shared" si="66"/>
        <v>100</v>
      </c>
      <c r="AR165" s="1">
        <f t="shared" si="51"/>
        <v>0.2</v>
      </c>
      <c r="AS165" s="1">
        <f t="shared" si="52"/>
        <v>0.08</v>
      </c>
      <c r="AT165" s="1">
        <f t="shared" si="53"/>
        <v>0.21</v>
      </c>
      <c r="AU165" s="1">
        <f t="shared" si="54"/>
        <v>0.51</v>
      </c>
      <c r="AV165" s="1">
        <f t="shared" si="67"/>
        <v>0.45</v>
      </c>
      <c r="AX165" s="1">
        <f t="shared" si="68"/>
        <v>1.7586206896551726</v>
      </c>
      <c r="AY165" s="1">
        <f t="shared" si="55"/>
        <v>0.68965517241379315</v>
      </c>
      <c r="AZ165" s="1">
        <f t="shared" si="56"/>
        <v>0.60991379310344829</v>
      </c>
      <c r="BA165" s="1">
        <f t="shared" si="57"/>
        <v>0.93965517241379315</v>
      </c>
      <c r="BB165" s="1">
        <f t="shared" si="58"/>
        <v>0.60991379310344829</v>
      </c>
      <c r="BC165" s="1">
        <f t="shared" si="59"/>
        <v>0.60991379310344829</v>
      </c>
      <c r="BD165" s="1">
        <f t="shared" si="69"/>
        <v>0.15991379310344828</v>
      </c>
      <c r="BF165">
        <f t="shared" si="60"/>
        <v>53</v>
      </c>
      <c r="BG165">
        <f t="shared" si="61"/>
        <v>20</v>
      </c>
      <c r="BH165" s="1">
        <f t="shared" si="62"/>
        <v>0.96226415094339623</v>
      </c>
      <c r="BI165" s="1">
        <f t="shared" si="63"/>
        <v>0.37735849056603776</v>
      </c>
      <c r="BJ165" s="1">
        <f t="shared" si="70"/>
        <v>0.48773584905660378</v>
      </c>
      <c r="BK165" s="1">
        <f t="shared" si="71"/>
        <v>0.37735849056603776</v>
      </c>
      <c r="BL165" s="22">
        <f t="shared" si="72"/>
        <v>0.37735849056603776</v>
      </c>
      <c r="BM165" s="1">
        <f t="shared" si="64"/>
        <v>5.2767888928444261E-3</v>
      </c>
      <c r="BN165" s="1">
        <f t="shared" si="65"/>
        <v>1.7942912413440124E-3</v>
      </c>
    </row>
    <row r="166" spans="1:66" x14ac:dyDescent="0.25">
      <c r="A166" s="3"/>
      <c r="B166" s="3"/>
      <c r="C166" t="s">
        <v>151</v>
      </c>
      <c r="D166" s="5">
        <v>1</v>
      </c>
      <c r="E166" s="9">
        <f t="shared" si="49"/>
        <v>14.23</v>
      </c>
      <c r="F166" s="9">
        <f t="shared" si="50"/>
        <v>0.7896700478022618</v>
      </c>
      <c r="G166">
        <v>0</v>
      </c>
      <c r="H166">
        <v>18.04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14.23</v>
      </c>
      <c r="P166">
        <v>0</v>
      </c>
      <c r="Q166">
        <v>67.73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73.7</v>
      </c>
      <c r="AK166" t="s">
        <v>1</v>
      </c>
      <c r="AL166" t="s">
        <v>374</v>
      </c>
      <c r="AM166" t="s">
        <v>388</v>
      </c>
      <c r="AQ166" s="1">
        <f t="shared" si="66"/>
        <v>100</v>
      </c>
      <c r="AR166" s="1">
        <f t="shared" si="51"/>
        <v>0.14230000000000001</v>
      </c>
      <c r="AS166" s="1">
        <f t="shared" si="52"/>
        <v>0</v>
      </c>
      <c r="AT166" s="1">
        <f t="shared" si="53"/>
        <v>0.1804</v>
      </c>
      <c r="AU166" s="1">
        <f t="shared" si="54"/>
        <v>0.67730000000000001</v>
      </c>
      <c r="AV166" s="1">
        <f t="shared" si="67"/>
        <v>0.73699999999999999</v>
      </c>
      <c r="AX166" s="1">
        <f t="shared" si="68"/>
        <v>3.7544345898004434</v>
      </c>
      <c r="AY166" s="1">
        <f t="shared" si="55"/>
        <v>0.78880266075388028</v>
      </c>
      <c r="AZ166" s="1">
        <f t="shared" si="56"/>
        <v>0.73465216186252769</v>
      </c>
      <c r="BA166" s="1">
        <f t="shared" si="57"/>
        <v>1.4386086474501107</v>
      </c>
      <c r="BB166" s="1">
        <f t="shared" si="58"/>
        <v>0.73465216186252769</v>
      </c>
      <c r="BC166" s="1">
        <f t="shared" si="59"/>
        <v>0.73465216186252769</v>
      </c>
      <c r="BD166" s="1">
        <f t="shared" si="69"/>
        <v>2.3478381374723023E-3</v>
      </c>
      <c r="BF166">
        <f t="shared" si="60"/>
        <v>18.04</v>
      </c>
      <c r="BG166">
        <f t="shared" si="61"/>
        <v>14.23</v>
      </c>
      <c r="BH166" s="1">
        <f t="shared" si="62"/>
        <v>3.7544345898004439</v>
      </c>
      <c r="BI166" s="1">
        <f t="shared" si="63"/>
        <v>0.78880266075388028</v>
      </c>
      <c r="BJ166" s="1">
        <f t="shared" si="70"/>
        <v>0.65526607538802661</v>
      </c>
      <c r="BK166" s="1">
        <f t="shared" si="71"/>
        <v>0.63658276219741683</v>
      </c>
      <c r="BL166" s="22">
        <f t="shared" si="72"/>
        <v>0.63658276219741683</v>
      </c>
      <c r="BM166" s="1">
        <f t="shared" si="64"/>
        <v>1.0083621647900536E-2</v>
      </c>
      <c r="BN166" s="1">
        <f t="shared" si="65"/>
        <v>0.10847740033530547</v>
      </c>
    </row>
    <row r="167" spans="1:66" x14ac:dyDescent="0.25">
      <c r="A167" s="3"/>
      <c r="B167" s="3"/>
      <c r="C167" t="s">
        <v>152</v>
      </c>
      <c r="D167" s="5">
        <v>1</v>
      </c>
      <c r="E167" s="9">
        <f t="shared" si="49"/>
        <v>16.45</v>
      </c>
      <c r="F167" s="9">
        <f t="shared" si="50"/>
        <v>0.78970182582424797</v>
      </c>
      <c r="G167">
        <v>5.71</v>
      </c>
      <c r="H167">
        <v>16.010000000000002</v>
      </c>
      <c r="I167">
        <v>3.82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12.63</v>
      </c>
      <c r="P167">
        <v>0</v>
      </c>
      <c r="Q167">
        <v>60.12</v>
      </c>
      <c r="R167">
        <v>0</v>
      </c>
      <c r="S167">
        <v>0</v>
      </c>
      <c r="T167">
        <v>0</v>
      </c>
      <c r="U167">
        <v>1.71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49.4</v>
      </c>
      <c r="AK167" t="s">
        <v>1</v>
      </c>
      <c r="AL167" t="s">
        <v>374</v>
      </c>
      <c r="AQ167" s="1">
        <f t="shared" si="66"/>
        <v>99.999999999999986</v>
      </c>
      <c r="AR167" s="1">
        <f t="shared" si="51"/>
        <v>0.1263</v>
      </c>
      <c r="AS167" s="1">
        <f t="shared" si="52"/>
        <v>5.7099999999999998E-2</v>
      </c>
      <c r="AT167" s="1">
        <f t="shared" si="53"/>
        <v>0.16010000000000002</v>
      </c>
      <c r="AU167" s="1">
        <f t="shared" si="54"/>
        <v>0.60119999999999996</v>
      </c>
      <c r="AV167" s="1">
        <f t="shared" si="67"/>
        <v>0.49399999999999999</v>
      </c>
      <c r="AX167" s="1">
        <f t="shared" si="68"/>
        <v>2.7679558011049723</v>
      </c>
      <c r="AY167" s="1">
        <f t="shared" si="55"/>
        <v>0.58149171270718225</v>
      </c>
      <c r="AZ167" s="1">
        <f t="shared" si="56"/>
        <v>0.67299723756906071</v>
      </c>
      <c r="BA167" s="1">
        <f t="shared" si="57"/>
        <v>1.1919889502762431</v>
      </c>
      <c r="BB167" s="1">
        <f t="shared" si="58"/>
        <v>0.58149171270718225</v>
      </c>
      <c r="BC167" s="1">
        <f t="shared" si="59"/>
        <v>0.58149171270718225</v>
      </c>
      <c r="BD167" s="1">
        <f t="shared" si="69"/>
        <v>8.7491712707182256E-2</v>
      </c>
      <c r="BF167">
        <f t="shared" si="60"/>
        <v>42.27</v>
      </c>
      <c r="BG167">
        <f t="shared" si="61"/>
        <v>14.540000000000001</v>
      </c>
      <c r="BH167" s="1">
        <f t="shared" si="62"/>
        <v>1.4222853087295952</v>
      </c>
      <c r="BI167" s="1">
        <f t="shared" si="63"/>
        <v>0.34397918145256684</v>
      </c>
      <c r="BJ167" s="1">
        <f t="shared" si="70"/>
        <v>0.51533711852377573</v>
      </c>
      <c r="BK167" s="1">
        <f t="shared" si="71"/>
        <v>0.34397918145256684</v>
      </c>
      <c r="BL167" s="22">
        <f t="shared" si="72"/>
        <v>0.34397918145256684</v>
      </c>
      <c r="BM167" s="1">
        <f t="shared" si="64"/>
        <v>2.2506245997641863E-2</v>
      </c>
      <c r="BN167" s="1">
        <f t="shared" si="65"/>
        <v>7.457889848083747E-3</v>
      </c>
    </row>
    <row r="168" spans="1:66" x14ac:dyDescent="0.25">
      <c r="A168" s="3"/>
      <c r="B168" s="3"/>
      <c r="C168">
        <v>1</v>
      </c>
      <c r="D168" s="5">
        <v>1</v>
      </c>
      <c r="E168" s="9">
        <f t="shared" si="49"/>
        <v>1.5</v>
      </c>
      <c r="F168" s="9">
        <f t="shared" si="50"/>
        <v>7.6142131979695438E-2</v>
      </c>
      <c r="G168">
        <v>0</v>
      </c>
      <c r="H168">
        <v>91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1.5</v>
      </c>
      <c r="P168">
        <v>0</v>
      </c>
      <c r="Q168">
        <v>7.5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 t="s">
        <v>1</v>
      </c>
      <c r="AL168" t="s">
        <v>372</v>
      </c>
      <c r="AO168" t="s">
        <v>378</v>
      </c>
      <c r="AQ168" s="1">
        <f t="shared" si="66"/>
        <v>100</v>
      </c>
      <c r="AR168" s="1">
        <f t="shared" si="51"/>
        <v>1.4999999999999999E-2</v>
      </c>
      <c r="AS168" s="1">
        <f t="shared" si="52"/>
        <v>0</v>
      </c>
      <c r="AT168" s="1">
        <f t="shared" si="53"/>
        <v>0.91</v>
      </c>
      <c r="AU168" s="1">
        <f t="shared" si="54"/>
        <v>7.4999999999999997E-2</v>
      </c>
      <c r="AV168" s="1">
        <f t="shared" si="67"/>
        <v>0.01</v>
      </c>
      <c r="AX168" s="1">
        <f t="shared" si="68"/>
        <v>8.2417582417582416E-2</v>
      </c>
      <c r="AY168" s="1">
        <f t="shared" si="55"/>
        <v>1.6483516483516484E-2</v>
      </c>
      <c r="AZ168" s="1">
        <f t="shared" si="56"/>
        <v>0.50515109890109888</v>
      </c>
      <c r="BA168" s="1">
        <f t="shared" si="57"/>
        <v>0.52060439560439564</v>
      </c>
      <c r="BB168" s="1">
        <f t="shared" si="58"/>
        <v>1.6483516483516484E-2</v>
      </c>
      <c r="BC168" s="1">
        <f t="shared" si="59"/>
        <v>1.6483516483516484E-2</v>
      </c>
      <c r="BD168" s="1">
        <f t="shared" si="69"/>
        <v>6.4835164835164837E-3</v>
      </c>
      <c r="BF168">
        <f t="shared" si="60"/>
        <v>91</v>
      </c>
      <c r="BG168">
        <f t="shared" si="61"/>
        <v>1.5</v>
      </c>
      <c r="BH168" s="1">
        <f t="shared" si="62"/>
        <v>8.2417582417582416E-2</v>
      </c>
      <c r="BI168" s="1">
        <f t="shared" si="63"/>
        <v>1.6483516483516484E-2</v>
      </c>
      <c r="BJ168" s="1">
        <f t="shared" si="70"/>
        <v>0.43494505494505492</v>
      </c>
      <c r="BK168" s="1">
        <f t="shared" si="71"/>
        <v>1.6483516483516484E-2</v>
      </c>
      <c r="BL168" s="22">
        <f t="shared" si="72"/>
        <v>1.6483516483516484E-2</v>
      </c>
      <c r="BM168" s="1">
        <f t="shared" si="64"/>
        <v>4.2035985992029952E-5</v>
      </c>
      <c r="BN168" s="1">
        <f t="shared" si="65"/>
        <v>0.15811830517394665</v>
      </c>
    </row>
    <row r="169" spans="1:66" x14ac:dyDescent="0.25">
      <c r="A169" s="3"/>
      <c r="B169" s="3"/>
      <c r="C169">
        <v>2</v>
      </c>
      <c r="D169" s="5">
        <v>1</v>
      </c>
      <c r="E169" s="9">
        <f t="shared" si="49"/>
        <v>3</v>
      </c>
      <c r="F169" s="9">
        <f t="shared" si="50"/>
        <v>0.5</v>
      </c>
      <c r="G169">
        <v>0</v>
      </c>
      <c r="H169">
        <v>48.5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</v>
      </c>
      <c r="P169">
        <v>0</v>
      </c>
      <c r="Q169">
        <v>48.5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5</v>
      </c>
      <c r="AK169" t="s">
        <v>1</v>
      </c>
      <c r="AL169" t="s">
        <v>372</v>
      </c>
      <c r="AQ169" s="1">
        <f t="shared" si="66"/>
        <v>100</v>
      </c>
      <c r="AR169" s="1">
        <f t="shared" si="51"/>
        <v>0.03</v>
      </c>
      <c r="AS169" s="1">
        <f t="shared" si="52"/>
        <v>0</v>
      </c>
      <c r="AT169" s="1">
        <f t="shared" si="53"/>
        <v>0.48499999999999999</v>
      </c>
      <c r="AU169" s="1">
        <f t="shared" si="54"/>
        <v>0.48499999999999999</v>
      </c>
      <c r="AV169" s="1">
        <f t="shared" si="67"/>
        <v>0.05</v>
      </c>
      <c r="AX169" s="1">
        <f t="shared" si="68"/>
        <v>1</v>
      </c>
      <c r="AY169" s="1">
        <f t="shared" si="55"/>
        <v>6.1855670103092786E-2</v>
      </c>
      <c r="AZ169" s="1">
        <f t="shared" si="56"/>
        <v>0.5625</v>
      </c>
      <c r="BA169" s="1">
        <f t="shared" si="57"/>
        <v>0.75</v>
      </c>
      <c r="BB169" s="1">
        <f t="shared" si="58"/>
        <v>6.1855670103092786E-2</v>
      </c>
      <c r="BC169" s="1">
        <f t="shared" si="59"/>
        <v>6.1855670103092786E-2</v>
      </c>
      <c r="BD169" s="1">
        <f t="shared" si="69"/>
        <v>1.1855670103092783E-2</v>
      </c>
      <c r="BF169">
        <f t="shared" si="60"/>
        <v>48.5</v>
      </c>
      <c r="BG169">
        <f t="shared" si="61"/>
        <v>3</v>
      </c>
      <c r="BH169" s="1">
        <f t="shared" si="62"/>
        <v>1</v>
      </c>
      <c r="BI169" s="1">
        <f t="shared" si="63"/>
        <v>6.1855670103092786E-2</v>
      </c>
      <c r="BJ169" s="1">
        <f t="shared" si="70"/>
        <v>0.49</v>
      </c>
      <c r="BK169" s="1">
        <f t="shared" si="71"/>
        <v>6.1855670103092786E-2</v>
      </c>
      <c r="BL169" s="22">
        <f t="shared" si="72"/>
        <v>6.1855670103092786E-2</v>
      </c>
      <c r="BM169" s="1">
        <f t="shared" si="64"/>
        <v>1.4055691359336804E-4</v>
      </c>
      <c r="BN169" s="1">
        <f t="shared" si="65"/>
        <v>0.12790703118007368</v>
      </c>
    </row>
    <row r="170" spans="1:66" x14ac:dyDescent="0.25">
      <c r="A170" s="3"/>
      <c r="B170" s="3"/>
      <c r="C170">
        <v>3</v>
      </c>
      <c r="D170" s="5">
        <v>1</v>
      </c>
      <c r="E170" s="9">
        <f t="shared" si="49"/>
        <v>5</v>
      </c>
      <c r="F170" s="9">
        <f t="shared" si="50"/>
        <v>0.10526315789473684</v>
      </c>
      <c r="G170">
        <v>0</v>
      </c>
      <c r="H170">
        <v>85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5</v>
      </c>
      <c r="P170">
        <v>0</v>
      </c>
      <c r="Q170">
        <v>10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</v>
      </c>
      <c r="AK170" t="s">
        <v>1</v>
      </c>
      <c r="AL170" t="s">
        <v>372</v>
      </c>
      <c r="AQ170" s="1">
        <f t="shared" si="66"/>
        <v>100</v>
      </c>
      <c r="AR170" s="1">
        <f t="shared" si="51"/>
        <v>0.05</v>
      </c>
      <c r="AS170" s="1">
        <f t="shared" si="52"/>
        <v>0</v>
      </c>
      <c r="AT170" s="1">
        <f t="shared" si="53"/>
        <v>0.85</v>
      </c>
      <c r="AU170" s="1">
        <f t="shared" si="54"/>
        <v>0.1</v>
      </c>
      <c r="AV170" s="1">
        <f t="shared" si="67"/>
        <v>0.02</v>
      </c>
      <c r="AX170" s="1">
        <f t="shared" si="68"/>
        <v>0.11764705882352942</v>
      </c>
      <c r="AY170" s="1">
        <f t="shared" si="55"/>
        <v>5.8823529411764712E-2</v>
      </c>
      <c r="AZ170" s="1">
        <f t="shared" si="56"/>
        <v>0.50735294117647056</v>
      </c>
      <c r="BA170" s="1">
        <f t="shared" si="57"/>
        <v>0.52941176470588236</v>
      </c>
      <c r="BB170" s="1">
        <f t="shared" si="58"/>
        <v>5.8823529411764712E-2</v>
      </c>
      <c r="BC170" s="1">
        <f t="shared" si="59"/>
        <v>5.8823529411764712E-2</v>
      </c>
      <c r="BD170" s="1">
        <f t="shared" si="69"/>
        <v>3.8823529411764715E-2</v>
      </c>
      <c r="BF170">
        <f t="shared" si="60"/>
        <v>85</v>
      </c>
      <c r="BG170">
        <f t="shared" si="61"/>
        <v>5</v>
      </c>
      <c r="BH170" s="1">
        <f t="shared" si="62"/>
        <v>0.11764705882352941</v>
      </c>
      <c r="BI170" s="1">
        <f t="shared" si="63"/>
        <v>5.8823529411764705E-2</v>
      </c>
      <c r="BJ170" s="1">
        <f t="shared" si="70"/>
        <v>0.43705882352941178</v>
      </c>
      <c r="BK170" s="1">
        <f t="shared" si="71"/>
        <v>5.8823529411764705E-2</v>
      </c>
      <c r="BL170" s="22">
        <f t="shared" si="72"/>
        <v>5.8823529411764705E-2</v>
      </c>
      <c r="BM170" s="1">
        <f t="shared" si="64"/>
        <v>1.5072664359861588E-3</v>
      </c>
      <c r="BN170" s="1">
        <f t="shared" si="65"/>
        <v>0.1502654866754784</v>
      </c>
    </row>
    <row r="171" spans="1:66" x14ac:dyDescent="0.25">
      <c r="A171" s="3"/>
      <c r="B171" s="3"/>
      <c r="C171">
        <v>4</v>
      </c>
      <c r="D171" s="5">
        <v>1</v>
      </c>
      <c r="E171" s="9">
        <f t="shared" si="49"/>
        <v>6.5</v>
      </c>
      <c r="F171" s="9">
        <f t="shared" si="50"/>
        <v>0.64171122994652408</v>
      </c>
      <c r="G171">
        <v>0</v>
      </c>
      <c r="H171">
        <v>33.5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6.5</v>
      </c>
      <c r="P171">
        <v>0</v>
      </c>
      <c r="Q171">
        <v>60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16</v>
      </c>
      <c r="AK171" t="s">
        <v>1</v>
      </c>
      <c r="AL171" t="s">
        <v>372</v>
      </c>
      <c r="AQ171" s="1">
        <f t="shared" si="66"/>
        <v>100</v>
      </c>
      <c r="AR171" s="1">
        <f t="shared" si="51"/>
        <v>6.5000000000000002E-2</v>
      </c>
      <c r="AS171" s="1">
        <f t="shared" si="52"/>
        <v>0</v>
      </c>
      <c r="AT171" s="1">
        <f t="shared" si="53"/>
        <v>0.33500000000000002</v>
      </c>
      <c r="AU171" s="1">
        <f t="shared" si="54"/>
        <v>0.6</v>
      </c>
      <c r="AV171" s="1">
        <f t="shared" si="67"/>
        <v>0.16</v>
      </c>
      <c r="AX171" s="1">
        <f t="shared" si="68"/>
        <v>1.7910447761194028</v>
      </c>
      <c r="AY171" s="1">
        <f t="shared" si="55"/>
        <v>0.19402985074626866</v>
      </c>
      <c r="AZ171" s="1">
        <f t="shared" si="56"/>
        <v>0.61194029850746268</v>
      </c>
      <c r="BA171" s="1">
        <f t="shared" si="57"/>
        <v>0.94776119402985071</v>
      </c>
      <c r="BB171" s="1">
        <f t="shared" si="58"/>
        <v>0.19402985074626866</v>
      </c>
      <c r="BC171" s="1">
        <f t="shared" si="59"/>
        <v>0.19402985074626866</v>
      </c>
      <c r="BD171" s="1">
        <f t="shared" si="69"/>
        <v>3.4029850746268658E-2</v>
      </c>
      <c r="BF171">
        <f t="shared" si="60"/>
        <v>33.5</v>
      </c>
      <c r="BG171">
        <f t="shared" si="61"/>
        <v>6.5</v>
      </c>
      <c r="BH171" s="1">
        <f t="shared" si="62"/>
        <v>1.791044776119403</v>
      </c>
      <c r="BI171" s="1">
        <f t="shared" si="63"/>
        <v>0.19402985074626866</v>
      </c>
      <c r="BJ171" s="1">
        <f t="shared" si="70"/>
        <v>0.53746268656716412</v>
      </c>
      <c r="BK171" s="1">
        <f t="shared" si="71"/>
        <v>0.19402985074626866</v>
      </c>
      <c r="BL171" s="22">
        <f t="shared" si="72"/>
        <v>0.19402985074626866</v>
      </c>
      <c r="BM171" s="1">
        <f t="shared" si="64"/>
        <v>1.1580307418133215E-3</v>
      </c>
      <c r="BN171" s="1">
        <f t="shared" si="65"/>
        <v>6.1326027696923018E-2</v>
      </c>
    </row>
    <row r="172" spans="1:66" x14ac:dyDescent="0.25">
      <c r="A172" s="3"/>
      <c r="B172" s="3"/>
      <c r="C172">
        <v>5</v>
      </c>
      <c r="D172" s="5">
        <v>1</v>
      </c>
      <c r="E172" s="9">
        <f t="shared" si="49"/>
        <v>11.8</v>
      </c>
      <c r="F172" s="9">
        <f t="shared" si="50"/>
        <v>0.93669527896995697</v>
      </c>
      <c r="G172">
        <v>0</v>
      </c>
      <c r="H172">
        <v>5.9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11.8</v>
      </c>
      <c r="P172">
        <v>0</v>
      </c>
      <c r="Q172">
        <v>87.3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67</v>
      </c>
      <c r="AK172" t="s">
        <v>1</v>
      </c>
      <c r="AL172" t="s">
        <v>372</v>
      </c>
      <c r="AQ172" s="1">
        <f t="shared" si="66"/>
        <v>105</v>
      </c>
      <c r="AR172" s="1">
        <f t="shared" si="51"/>
        <v>0.11800000000000001</v>
      </c>
      <c r="AS172" s="1">
        <f t="shared" si="52"/>
        <v>0</v>
      </c>
      <c r="AT172" s="1">
        <f t="shared" si="53"/>
        <v>5.9000000000000004E-2</v>
      </c>
      <c r="AU172" s="1">
        <f t="shared" si="54"/>
        <v>0.873</v>
      </c>
      <c r="AV172" s="1">
        <f t="shared" si="67"/>
        <v>0.67</v>
      </c>
      <c r="AX172" s="1">
        <f t="shared" si="68"/>
        <v>14.796610169491524</v>
      </c>
      <c r="AY172" s="1">
        <f t="shared" si="55"/>
        <v>2</v>
      </c>
      <c r="AZ172" s="1">
        <f t="shared" si="56"/>
        <v>1.4247881355932202</v>
      </c>
      <c r="BA172" s="1">
        <f t="shared" si="57"/>
        <v>4.1991525423728806</v>
      </c>
      <c r="BB172" s="1">
        <f t="shared" si="58"/>
        <v>1.4247881355932202</v>
      </c>
      <c r="BC172" s="1">
        <f t="shared" si="59"/>
        <v>1</v>
      </c>
      <c r="BD172" s="1">
        <f t="shared" si="69"/>
        <v>0.32999999999999996</v>
      </c>
      <c r="BF172">
        <f t="shared" si="60"/>
        <v>5.9</v>
      </c>
      <c r="BG172">
        <f t="shared" si="61"/>
        <v>11.8</v>
      </c>
      <c r="BH172" s="1">
        <f t="shared" si="62"/>
        <v>14.796610169491524</v>
      </c>
      <c r="BI172" s="1">
        <f t="shared" si="63"/>
        <v>2</v>
      </c>
      <c r="BJ172" s="1">
        <f t="shared" si="70"/>
        <v>1.3177966101694913</v>
      </c>
      <c r="BK172" s="1">
        <f t="shared" si="71"/>
        <v>1.3595633063749764</v>
      </c>
      <c r="BL172" s="22">
        <f t="shared" si="72"/>
        <v>1</v>
      </c>
      <c r="BM172" s="1">
        <f t="shared" si="64"/>
        <v>0.10889999999999997</v>
      </c>
      <c r="BN172" s="1">
        <f t="shared" si="65"/>
        <v>6.8832284275042718E-2</v>
      </c>
    </row>
    <row r="173" spans="1:66" x14ac:dyDescent="0.25">
      <c r="A173" s="3"/>
      <c r="B173" s="3"/>
      <c r="C173">
        <v>6</v>
      </c>
      <c r="D173" s="5">
        <v>1</v>
      </c>
      <c r="E173" s="9">
        <f t="shared" si="49"/>
        <v>12.5</v>
      </c>
      <c r="F173" s="9">
        <f t="shared" si="50"/>
        <v>0.2857142857142857</v>
      </c>
      <c r="G173">
        <v>0</v>
      </c>
      <c r="H173">
        <v>62.5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12.5</v>
      </c>
      <c r="P173">
        <v>0</v>
      </c>
      <c r="Q173">
        <v>25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24</v>
      </c>
      <c r="AK173" t="s">
        <v>1</v>
      </c>
      <c r="AL173" t="s">
        <v>372</v>
      </c>
      <c r="AQ173" s="1">
        <f t="shared" si="66"/>
        <v>100</v>
      </c>
      <c r="AR173" s="1">
        <f t="shared" si="51"/>
        <v>0.125</v>
      </c>
      <c r="AS173" s="1">
        <f t="shared" si="52"/>
        <v>0</v>
      </c>
      <c r="AT173" s="1">
        <f t="shared" si="53"/>
        <v>0.625</v>
      </c>
      <c r="AU173" s="1">
        <f t="shared" si="54"/>
        <v>0.25</v>
      </c>
      <c r="AV173" s="1">
        <f t="shared" si="67"/>
        <v>0.24</v>
      </c>
      <c r="AX173" s="1">
        <f t="shared" si="68"/>
        <v>0.4</v>
      </c>
      <c r="AY173" s="1">
        <f t="shared" si="55"/>
        <v>0.2</v>
      </c>
      <c r="AZ173" s="1">
        <f t="shared" si="56"/>
        <v>0.52500000000000002</v>
      </c>
      <c r="BA173" s="1">
        <f t="shared" si="57"/>
        <v>0.6</v>
      </c>
      <c r="BB173" s="1">
        <f t="shared" si="58"/>
        <v>0.2</v>
      </c>
      <c r="BC173" s="1">
        <f t="shared" si="59"/>
        <v>0.2</v>
      </c>
      <c r="BD173" s="1">
        <f t="shared" si="69"/>
        <v>3.999999999999998E-2</v>
      </c>
      <c r="BF173">
        <f t="shared" si="60"/>
        <v>62.5</v>
      </c>
      <c r="BG173">
        <f t="shared" si="61"/>
        <v>12.5</v>
      </c>
      <c r="BH173" s="1">
        <f t="shared" si="62"/>
        <v>0.4</v>
      </c>
      <c r="BI173" s="1">
        <f t="shared" si="63"/>
        <v>0.2</v>
      </c>
      <c r="BJ173" s="1">
        <f t="shared" si="70"/>
        <v>0.45400000000000001</v>
      </c>
      <c r="BK173" s="1">
        <f t="shared" si="71"/>
        <v>0.2</v>
      </c>
      <c r="BL173" s="22">
        <f t="shared" si="72"/>
        <v>0.2</v>
      </c>
      <c r="BM173" s="1">
        <f t="shared" si="64"/>
        <v>1.5999999999999983E-3</v>
      </c>
      <c r="BN173" s="1">
        <f t="shared" si="65"/>
        <v>2.8103479709177089E-2</v>
      </c>
    </row>
    <row r="174" spans="1:66" x14ac:dyDescent="0.25">
      <c r="A174" s="3"/>
      <c r="B174" s="3"/>
      <c r="C174">
        <v>7</v>
      </c>
      <c r="D174" s="5">
        <v>1</v>
      </c>
      <c r="E174" s="9">
        <f t="shared" si="49"/>
        <v>12.5</v>
      </c>
      <c r="F174" s="9">
        <f t="shared" si="50"/>
        <v>0.8571428571428571</v>
      </c>
      <c r="G174">
        <v>0</v>
      </c>
      <c r="H174">
        <v>12.5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12.5</v>
      </c>
      <c r="P174">
        <v>0</v>
      </c>
      <c r="Q174">
        <v>75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85</v>
      </c>
      <c r="AK174" t="s">
        <v>1</v>
      </c>
      <c r="AL174" t="s">
        <v>372</v>
      </c>
      <c r="AQ174" s="1">
        <f t="shared" si="66"/>
        <v>100</v>
      </c>
      <c r="AR174" s="1">
        <f t="shared" si="51"/>
        <v>0.125</v>
      </c>
      <c r="AS174" s="1">
        <f t="shared" si="52"/>
        <v>0</v>
      </c>
      <c r="AT174" s="1">
        <f t="shared" si="53"/>
        <v>0.125</v>
      </c>
      <c r="AU174" s="1">
        <f t="shared" si="54"/>
        <v>0.75</v>
      </c>
      <c r="AV174" s="1">
        <f t="shared" si="67"/>
        <v>0.85</v>
      </c>
      <c r="AX174" s="1">
        <f t="shared" si="68"/>
        <v>6</v>
      </c>
      <c r="AY174" s="1">
        <f t="shared" si="55"/>
        <v>1</v>
      </c>
      <c r="AZ174" s="1">
        <f t="shared" si="56"/>
        <v>0.875</v>
      </c>
      <c r="BA174" s="1">
        <f t="shared" si="57"/>
        <v>2</v>
      </c>
      <c r="BB174" s="1">
        <f t="shared" si="58"/>
        <v>0.875</v>
      </c>
      <c r="BC174" s="1">
        <f t="shared" si="59"/>
        <v>0.875</v>
      </c>
      <c r="BD174" s="1">
        <f t="shared" si="69"/>
        <v>2.5000000000000022E-2</v>
      </c>
      <c r="BF174">
        <f t="shared" si="60"/>
        <v>12.5</v>
      </c>
      <c r="BG174">
        <f t="shared" si="61"/>
        <v>12.5</v>
      </c>
      <c r="BH174" s="1">
        <f t="shared" si="62"/>
        <v>6</v>
      </c>
      <c r="BI174" s="1">
        <f t="shared" si="63"/>
        <v>1</v>
      </c>
      <c r="BJ174" s="1">
        <f t="shared" si="70"/>
        <v>0.79</v>
      </c>
      <c r="BK174" s="1">
        <f t="shared" si="71"/>
        <v>0.77369170391750541</v>
      </c>
      <c r="BL174" s="22">
        <f t="shared" si="72"/>
        <v>0.77369170391750541</v>
      </c>
      <c r="BM174" s="1">
        <f t="shared" si="64"/>
        <v>5.8229560510136549E-3</v>
      </c>
      <c r="BN174" s="1">
        <f t="shared" si="65"/>
        <v>0.19568155130261433</v>
      </c>
    </row>
    <row r="175" spans="1:66" x14ac:dyDescent="0.25">
      <c r="A175" s="3"/>
      <c r="B175" s="3"/>
      <c r="C175">
        <v>8</v>
      </c>
      <c r="D175" s="5">
        <v>1</v>
      </c>
      <c r="E175" s="9">
        <f t="shared" si="49"/>
        <v>13.3</v>
      </c>
      <c r="F175" s="9">
        <f t="shared" si="50"/>
        <v>0.76931949250288356</v>
      </c>
      <c r="G175">
        <v>0</v>
      </c>
      <c r="H175">
        <v>20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13.3</v>
      </c>
      <c r="P175">
        <v>0</v>
      </c>
      <c r="Q175">
        <v>66.7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50</v>
      </c>
      <c r="AK175" t="s">
        <v>1</v>
      </c>
      <c r="AL175" t="s">
        <v>372</v>
      </c>
      <c r="AQ175" s="1">
        <f t="shared" si="66"/>
        <v>100</v>
      </c>
      <c r="AR175" s="1">
        <f t="shared" si="51"/>
        <v>0.13300000000000001</v>
      </c>
      <c r="AS175" s="1">
        <f t="shared" si="52"/>
        <v>0</v>
      </c>
      <c r="AT175" s="1">
        <f t="shared" si="53"/>
        <v>0.2</v>
      </c>
      <c r="AU175" s="1">
        <f t="shared" si="54"/>
        <v>0.66700000000000004</v>
      </c>
      <c r="AV175" s="1">
        <f t="shared" si="67"/>
        <v>0.5</v>
      </c>
      <c r="AX175" s="1">
        <f t="shared" si="68"/>
        <v>3.335</v>
      </c>
      <c r="AY175" s="1">
        <f t="shared" si="55"/>
        <v>0.66500000000000004</v>
      </c>
      <c r="AZ175" s="1">
        <f t="shared" si="56"/>
        <v>0.70843750000000005</v>
      </c>
      <c r="BA175" s="1">
        <f t="shared" si="57"/>
        <v>1.33375</v>
      </c>
      <c r="BB175" s="1">
        <f t="shared" si="58"/>
        <v>0.66500000000000004</v>
      </c>
      <c r="BC175" s="1">
        <f t="shared" si="59"/>
        <v>0.66500000000000004</v>
      </c>
      <c r="BD175" s="1">
        <f t="shared" si="69"/>
        <v>0.16500000000000004</v>
      </c>
      <c r="BF175">
        <f t="shared" si="60"/>
        <v>20</v>
      </c>
      <c r="BG175">
        <f t="shared" si="61"/>
        <v>13.3</v>
      </c>
      <c r="BH175" s="1">
        <f t="shared" si="62"/>
        <v>3.335</v>
      </c>
      <c r="BI175" s="1">
        <f t="shared" si="63"/>
        <v>0.66500000000000004</v>
      </c>
      <c r="BJ175" s="1">
        <f t="shared" si="70"/>
        <v>0.63009999999999999</v>
      </c>
      <c r="BK175" s="1">
        <f t="shared" si="71"/>
        <v>0.58829801465041442</v>
      </c>
      <c r="BL175" s="22">
        <f t="shared" si="72"/>
        <v>0.58829801465041442</v>
      </c>
      <c r="BM175" s="1">
        <f t="shared" si="64"/>
        <v>7.7965393912048002E-3</v>
      </c>
      <c r="BN175" s="1">
        <f t="shared" si="65"/>
        <v>8.5301987490028035E-3</v>
      </c>
    </row>
    <row r="176" spans="1:66" x14ac:dyDescent="0.25">
      <c r="A176" s="3"/>
      <c r="B176" s="3"/>
      <c r="C176">
        <v>9</v>
      </c>
      <c r="D176" s="5">
        <v>1</v>
      </c>
      <c r="E176" s="9">
        <f t="shared" si="49"/>
        <v>15</v>
      </c>
      <c r="F176" s="9">
        <f t="shared" si="50"/>
        <v>0.5</v>
      </c>
      <c r="G176">
        <v>0</v>
      </c>
      <c r="H176">
        <v>42.5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</v>
      </c>
      <c r="P176">
        <v>0</v>
      </c>
      <c r="Q176">
        <v>42.5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39</v>
      </c>
      <c r="AK176" t="s">
        <v>1</v>
      </c>
      <c r="AL176" t="s">
        <v>372</v>
      </c>
      <c r="AQ176" s="1">
        <f t="shared" si="66"/>
        <v>100</v>
      </c>
      <c r="AR176" s="1">
        <f t="shared" si="51"/>
        <v>0.15</v>
      </c>
      <c r="AS176" s="1">
        <f t="shared" si="52"/>
        <v>0</v>
      </c>
      <c r="AT176" s="1">
        <f t="shared" si="53"/>
        <v>0.42499999999999999</v>
      </c>
      <c r="AU176" s="1">
        <f t="shared" si="54"/>
        <v>0.42499999999999999</v>
      </c>
      <c r="AV176" s="1">
        <f t="shared" si="67"/>
        <v>0.39</v>
      </c>
      <c r="AX176" s="1">
        <f t="shared" si="68"/>
        <v>1</v>
      </c>
      <c r="AY176" s="1">
        <f t="shared" si="55"/>
        <v>0.35294117647058826</v>
      </c>
      <c r="AZ176" s="1">
        <f t="shared" si="56"/>
        <v>0.5625</v>
      </c>
      <c r="BA176" s="1">
        <f t="shared" si="57"/>
        <v>0.75</v>
      </c>
      <c r="BB176" s="1">
        <f t="shared" si="58"/>
        <v>0.35294117647058826</v>
      </c>
      <c r="BC176" s="1">
        <f t="shared" si="59"/>
        <v>0.35294117647058826</v>
      </c>
      <c r="BD176" s="1">
        <f t="shared" si="69"/>
        <v>3.7058823529411755E-2</v>
      </c>
      <c r="BF176">
        <f t="shared" si="60"/>
        <v>42.5</v>
      </c>
      <c r="BG176">
        <f t="shared" si="61"/>
        <v>15</v>
      </c>
      <c r="BH176" s="1">
        <f t="shared" si="62"/>
        <v>1</v>
      </c>
      <c r="BI176" s="1">
        <f t="shared" si="63"/>
        <v>0.35294117647058826</v>
      </c>
      <c r="BJ176" s="1">
        <f t="shared" si="70"/>
        <v>0.49</v>
      </c>
      <c r="BK176" s="1">
        <f t="shared" si="71"/>
        <v>0.35294117647058826</v>
      </c>
      <c r="BL176" s="22">
        <f t="shared" si="72"/>
        <v>0.35294117647058826</v>
      </c>
      <c r="BM176" s="1">
        <f t="shared" si="64"/>
        <v>1.3733564013840823E-3</v>
      </c>
      <c r="BN176" s="1">
        <f t="shared" si="65"/>
        <v>3.1120223215346117E-4</v>
      </c>
    </row>
    <row r="177" spans="1:66" x14ac:dyDescent="0.25">
      <c r="A177" s="3"/>
      <c r="B177" s="3"/>
      <c r="C177">
        <v>10</v>
      </c>
      <c r="D177" s="5">
        <v>1</v>
      </c>
      <c r="E177" s="9">
        <f t="shared" si="49"/>
        <v>16.600000000000001</v>
      </c>
      <c r="F177" s="9">
        <f t="shared" si="50"/>
        <v>0.80095923261390878</v>
      </c>
      <c r="G177">
        <v>0</v>
      </c>
      <c r="H177">
        <v>16.600000000000001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16.600000000000001</v>
      </c>
      <c r="P177">
        <v>0</v>
      </c>
      <c r="Q177">
        <v>66.8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64</v>
      </c>
      <c r="AK177" t="s">
        <v>1</v>
      </c>
      <c r="AL177" t="s">
        <v>372</v>
      </c>
      <c r="AQ177" s="1">
        <f t="shared" si="66"/>
        <v>100</v>
      </c>
      <c r="AR177" s="1">
        <f t="shared" si="51"/>
        <v>0.16600000000000001</v>
      </c>
      <c r="AS177" s="1">
        <f t="shared" si="52"/>
        <v>0</v>
      </c>
      <c r="AT177" s="1">
        <f t="shared" si="53"/>
        <v>0.16600000000000001</v>
      </c>
      <c r="AU177" s="1">
        <f t="shared" si="54"/>
        <v>0.66799999999999993</v>
      </c>
      <c r="AV177" s="1">
        <f t="shared" si="67"/>
        <v>0.64</v>
      </c>
      <c r="AX177" s="1">
        <f t="shared" si="68"/>
        <v>4.0240963855421681</v>
      </c>
      <c r="AY177" s="1">
        <f t="shared" si="55"/>
        <v>1</v>
      </c>
      <c r="AZ177" s="1">
        <f t="shared" si="56"/>
        <v>0.75150602409638556</v>
      </c>
      <c r="BA177" s="1">
        <f t="shared" si="57"/>
        <v>1.506024096385542</v>
      </c>
      <c r="BB177" s="1">
        <f t="shared" si="58"/>
        <v>0.75150602409638556</v>
      </c>
      <c r="BC177" s="1">
        <f t="shared" si="59"/>
        <v>0.75150602409638556</v>
      </c>
      <c r="BD177" s="1">
        <f t="shared" si="69"/>
        <v>0.11150602409638555</v>
      </c>
      <c r="BF177">
        <f t="shared" si="60"/>
        <v>16.600000000000001</v>
      </c>
      <c r="BG177">
        <f t="shared" si="61"/>
        <v>16.600000000000001</v>
      </c>
      <c r="BH177" s="1">
        <f t="shared" si="62"/>
        <v>4.0240963855421681</v>
      </c>
      <c r="BI177" s="1">
        <f t="shared" si="63"/>
        <v>1</v>
      </c>
      <c r="BJ177" s="1">
        <f t="shared" si="70"/>
        <v>0.67144578313253001</v>
      </c>
      <c r="BK177" s="1">
        <f t="shared" si="71"/>
        <v>0.69240127464349122</v>
      </c>
      <c r="BL177" s="22">
        <f t="shared" si="72"/>
        <v>0.69240127464349122</v>
      </c>
      <c r="BM177" s="1">
        <f t="shared" si="64"/>
        <v>2.7458935842625942E-3</v>
      </c>
      <c r="BN177" s="1">
        <f t="shared" si="65"/>
        <v>5.3990739770447424E-2</v>
      </c>
    </row>
    <row r="178" spans="1:66" x14ac:dyDescent="0.25">
      <c r="A178" s="3"/>
      <c r="B178" s="3"/>
      <c r="C178">
        <v>11</v>
      </c>
      <c r="D178" s="5">
        <v>1</v>
      </c>
      <c r="E178" s="9">
        <f t="shared" si="49"/>
        <v>16.600000000000001</v>
      </c>
      <c r="F178" s="9">
        <f t="shared" si="50"/>
        <v>0.80095923261390878</v>
      </c>
      <c r="G178">
        <v>0</v>
      </c>
      <c r="H178">
        <v>16.600000000000001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16.600000000000001</v>
      </c>
      <c r="P178">
        <v>0</v>
      </c>
      <c r="Q178">
        <v>66.8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77</v>
      </c>
      <c r="AK178" t="s">
        <v>1</v>
      </c>
      <c r="AL178" t="s">
        <v>372</v>
      </c>
      <c r="AQ178" s="1">
        <f t="shared" si="66"/>
        <v>100</v>
      </c>
      <c r="AR178" s="1">
        <f t="shared" si="51"/>
        <v>0.16600000000000001</v>
      </c>
      <c r="AS178" s="1">
        <f t="shared" si="52"/>
        <v>0</v>
      </c>
      <c r="AT178" s="1">
        <f t="shared" si="53"/>
        <v>0.16600000000000001</v>
      </c>
      <c r="AU178" s="1">
        <f t="shared" si="54"/>
        <v>0.66799999999999993</v>
      </c>
      <c r="AV178" s="1">
        <f t="shared" si="67"/>
        <v>0.77</v>
      </c>
      <c r="AX178" s="1">
        <f t="shared" si="68"/>
        <v>4.0240963855421681</v>
      </c>
      <c r="AY178" s="1">
        <f t="shared" si="55"/>
        <v>1</v>
      </c>
      <c r="AZ178" s="1">
        <f t="shared" si="56"/>
        <v>0.75150602409638556</v>
      </c>
      <c r="BA178" s="1">
        <f t="shared" si="57"/>
        <v>1.506024096385542</v>
      </c>
      <c r="BB178" s="1">
        <f t="shared" si="58"/>
        <v>0.75150602409638556</v>
      </c>
      <c r="BC178" s="1">
        <f t="shared" si="59"/>
        <v>0.75150602409638556</v>
      </c>
      <c r="BD178" s="1">
        <f t="shared" si="69"/>
        <v>1.8493975903614457E-2</v>
      </c>
      <c r="BF178">
        <f t="shared" si="60"/>
        <v>16.600000000000001</v>
      </c>
      <c r="BG178">
        <f t="shared" si="61"/>
        <v>16.600000000000001</v>
      </c>
      <c r="BH178" s="1">
        <f t="shared" si="62"/>
        <v>4.0240963855421681</v>
      </c>
      <c r="BI178" s="1">
        <f t="shared" si="63"/>
        <v>1</v>
      </c>
      <c r="BJ178" s="1">
        <f t="shared" si="70"/>
        <v>0.67144578313253001</v>
      </c>
      <c r="BK178" s="1">
        <f t="shared" si="71"/>
        <v>0.69240127464349122</v>
      </c>
      <c r="BL178" s="22">
        <f t="shared" si="72"/>
        <v>0.69240127464349122</v>
      </c>
      <c r="BM178" s="1">
        <f t="shared" si="64"/>
        <v>6.0215621769548824E-3</v>
      </c>
      <c r="BN178" s="1">
        <f t="shared" si="65"/>
        <v>0.1313040992903603</v>
      </c>
    </row>
    <row r="179" spans="1:66" x14ac:dyDescent="0.25">
      <c r="A179" s="3"/>
      <c r="B179" s="3"/>
      <c r="C179">
        <v>12</v>
      </c>
      <c r="D179" s="5">
        <v>1</v>
      </c>
      <c r="E179" s="9">
        <f t="shared" si="49"/>
        <v>18.8</v>
      </c>
      <c r="F179" s="9">
        <f t="shared" si="50"/>
        <v>0.92364532019704426</v>
      </c>
      <c r="G179">
        <v>0</v>
      </c>
      <c r="H179">
        <v>6.2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18.8</v>
      </c>
      <c r="P179">
        <v>0</v>
      </c>
      <c r="Q179">
        <v>75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70</v>
      </c>
      <c r="AK179" t="s">
        <v>1</v>
      </c>
      <c r="AL179" t="s">
        <v>372</v>
      </c>
      <c r="AQ179" s="1">
        <f t="shared" si="66"/>
        <v>100</v>
      </c>
      <c r="AR179" s="1">
        <f t="shared" si="51"/>
        <v>0.188</v>
      </c>
      <c r="AS179" s="1">
        <f t="shared" si="52"/>
        <v>0</v>
      </c>
      <c r="AT179" s="1">
        <f t="shared" si="53"/>
        <v>6.2E-2</v>
      </c>
      <c r="AU179" s="1">
        <f t="shared" si="54"/>
        <v>0.75</v>
      </c>
      <c r="AV179" s="1">
        <f t="shared" si="67"/>
        <v>0.7</v>
      </c>
      <c r="AX179" s="1">
        <f t="shared" si="68"/>
        <v>12.096774193548388</v>
      </c>
      <c r="AY179" s="1">
        <f t="shared" si="55"/>
        <v>3.032258064516129</v>
      </c>
      <c r="AZ179" s="1">
        <f t="shared" si="56"/>
        <v>1.2560483870967742</v>
      </c>
      <c r="BA179" s="1">
        <f t="shared" si="57"/>
        <v>3.524193548387097</v>
      </c>
      <c r="BB179" s="1">
        <f t="shared" si="58"/>
        <v>1.2560483870967742</v>
      </c>
      <c r="BC179" s="1">
        <f t="shared" si="59"/>
        <v>1</v>
      </c>
      <c r="BD179" s="1">
        <f t="shared" si="69"/>
        <v>0.30000000000000004</v>
      </c>
      <c r="BF179">
        <f t="shared" si="60"/>
        <v>6.2</v>
      </c>
      <c r="BG179">
        <f t="shared" si="61"/>
        <v>18.8</v>
      </c>
      <c r="BH179" s="1">
        <f t="shared" si="62"/>
        <v>12.096774193548386</v>
      </c>
      <c r="BI179" s="1">
        <f t="shared" si="63"/>
        <v>3.032258064516129</v>
      </c>
      <c r="BJ179" s="1">
        <f t="shared" si="70"/>
        <v>1.1558064516129032</v>
      </c>
      <c r="BK179" s="1">
        <f t="shared" si="71"/>
        <v>1.3788921823043361</v>
      </c>
      <c r="BL179" s="22">
        <f t="shared" si="72"/>
        <v>1</v>
      </c>
      <c r="BM179" s="1">
        <f t="shared" si="64"/>
        <v>9.0000000000000024E-2</v>
      </c>
      <c r="BN179" s="1">
        <f t="shared" si="65"/>
        <v>8.5473828779637939E-2</v>
      </c>
    </row>
    <row r="180" spans="1:66" x14ac:dyDescent="0.25">
      <c r="A180" s="3"/>
      <c r="B180" s="3"/>
      <c r="C180">
        <v>13</v>
      </c>
      <c r="D180" s="5">
        <v>1</v>
      </c>
      <c r="E180" s="9">
        <f t="shared" si="49"/>
        <v>18.8</v>
      </c>
      <c r="F180" s="9">
        <f t="shared" si="50"/>
        <v>0.92364532019704426</v>
      </c>
      <c r="G180">
        <v>0</v>
      </c>
      <c r="H180">
        <v>6.2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18.8</v>
      </c>
      <c r="P180">
        <v>0</v>
      </c>
      <c r="Q180">
        <v>75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72</v>
      </c>
      <c r="AK180" t="s">
        <v>1</v>
      </c>
      <c r="AL180" t="s">
        <v>372</v>
      </c>
      <c r="AQ180" s="1">
        <f t="shared" si="66"/>
        <v>100</v>
      </c>
      <c r="AR180" s="1">
        <f t="shared" si="51"/>
        <v>0.188</v>
      </c>
      <c r="AS180" s="1">
        <f t="shared" si="52"/>
        <v>0</v>
      </c>
      <c r="AT180" s="1">
        <f t="shared" si="53"/>
        <v>6.2E-2</v>
      </c>
      <c r="AU180" s="1">
        <f t="shared" si="54"/>
        <v>0.75</v>
      </c>
      <c r="AV180" s="1">
        <f t="shared" si="67"/>
        <v>0.72</v>
      </c>
      <c r="AX180" s="1">
        <f t="shared" si="68"/>
        <v>12.096774193548388</v>
      </c>
      <c r="AY180" s="1">
        <f t="shared" si="55"/>
        <v>3.032258064516129</v>
      </c>
      <c r="AZ180" s="1">
        <f t="shared" si="56"/>
        <v>1.2560483870967742</v>
      </c>
      <c r="BA180" s="1">
        <f t="shared" si="57"/>
        <v>3.524193548387097</v>
      </c>
      <c r="BB180" s="1">
        <f t="shared" si="58"/>
        <v>1.2560483870967742</v>
      </c>
      <c r="BC180" s="1">
        <f t="shared" si="59"/>
        <v>1</v>
      </c>
      <c r="BD180" s="1">
        <f t="shared" si="69"/>
        <v>0.28000000000000003</v>
      </c>
      <c r="BF180">
        <f t="shared" si="60"/>
        <v>6.2</v>
      </c>
      <c r="BG180">
        <f t="shared" si="61"/>
        <v>18.8</v>
      </c>
      <c r="BH180" s="1">
        <f t="shared" si="62"/>
        <v>12.096774193548386</v>
      </c>
      <c r="BI180" s="1">
        <f t="shared" si="63"/>
        <v>3.032258064516129</v>
      </c>
      <c r="BJ180" s="1">
        <f t="shared" si="70"/>
        <v>1.1558064516129032</v>
      </c>
      <c r="BK180" s="1">
        <f t="shared" si="71"/>
        <v>1.3788921823043361</v>
      </c>
      <c r="BL180" s="22">
        <f t="shared" si="72"/>
        <v>1</v>
      </c>
      <c r="BM180" s="1">
        <f t="shared" si="64"/>
        <v>7.8400000000000011E-2</v>
      </c>
      <c r="BN180" s="1">
        <f t="shared" si="65"/>
        <v>9.7568191782701472E-2</v>
      </c>
    </row>
    <row r="181" spans="1:66" x14ac:dyDescent="0.25">
      <c r="A181" s="3"/>
      <c r="B181" s="3"/>
      <c r="C181">
        <v>14</v>
      </c>
      <c r="D181" s="5">
        <v>1</v>
      </c>
      <c r="E181" s="9">
        <f t="shared" si="49"/>
        <v>19.5</v>
      </c>
      <c r="F181" s="9">
        <f t="shared" si="50"/>
        <v>0.72298136645962741</v>
      </c>
      <c r="G181">
        <v>0</v>
      </c>
      <c r="H181">
        <v>22.3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19.5</v>
      </c>
      <c r="P181">
        <v>0</v>
      </c>
      <c r="Q181">
        <v>58.2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42</v>
      </c>
      <c r="AK181" t="s">
        <v>1</v>
      </c>
      <c r="AL181" t="s">
        <v>372</v>
      </c>
      <c r="AQ181" s="1">
        <f t="shared" si="66"/>
        <v>100</v>
      </c>
      <c r="AR181" s="1">
        <f t="shared" si="51"/>
        <v>0.19500000000000001</v>
      </c>
      <c r="AS181" s="1">
        <f t="shared" si="52"/>
        <v>0</v>
      </c>
      <c r="AT181" s="1">
        <f t="shared" si="53"/>
        <v>0.223</v>
      </c>
      <c r="AU181" s="1">
        <f t="shared" si="54"/>
        <v>0.58200000000000007</v>
      </c>
      <c r="AV181" s="1">
        <f t="shared" si="67"/>
        <v>0.42</v>
      </c>
      <c r="AX181" s="1">
        <f t="shared" si="68"/>
        <v>2.6098654708520184</v>
      </c>
      <c r="AY181" s="1">
        <f t="shared" si="55"/>
        <v>0.87443946188340804</v>
      </c>
      <c r="AZ181" s="1">
        <f t="shared" si="56"/>
        <v>0.66311659192825112</v>
      </c>
      <c r="BA181" s="1">
        <f t="shared" si="57"/>
        <v>1.1524663677130045</v>
      </c>
      <c r="BB181" s="1">
        <f t="shared" si="58"/>
        <v>0.66311659192825112</v>
      </c>
      <c r="BC181" s="1">
        <f t="shared" si="59"/>
        <v>0.66311659192825112</v>
      </c>
      <c r="BD181" s="1">
        <f t="shared" si="69"/>
        <v>0.24311659192825114</v>
      </c>
      <c r="BF181">
        <f t="shared" si="60"/>
        <v>22.3</v>
      </c>
      <c r="BG181">
        <f t="shared" si="61"/>
        <v>19.5</v>
      </c>
      <c r="BH181" s="1">
        <f t="shared" si="62"/>
        <v>2.6098654708520179</v>
      </c>
      <c r="BI181" s="1">
        <f t="shared" si="63"/>
        <v>0.87443946188340804</v>
      </c>
      <c r="BJ181" s="1">
        <f t="shared" si="70"/>
        <v>0.58659192825112105</v>
      </c>
      <c r="BK181" s="1">
        <f t="shared" si="71"/>
        <v>0.59942294209894131</v>
      </c>
      <c r="BL181" s="22">
        <f t="shared" si="72"/>
        <v>0.59942294209894131</v>
      </c>
      <c r="BM181" s="1">
        <f t="shared" si="64"/>
        <v>3.2192592151440054E-2</v>
      </c>
      <c r="BN181" s="1">
        <f t="shared" si="65"/>
        <v>1.527467367487362E-4</v>
      </c>
    </row>
    <row r="182" spans="1:66" x14ac:dyDescent="0.25">
      <c r="A182" s="3"/>
      <c r="B182" s="3"/>
      <c r="C182">
        <v>15</v>
      </c>
      <c r="D182" s="5">
        <v>1</v>
      </c>
      <c r="E182" s="9">
        <f t="shared" si="49"/>
        <v>19.5</v>
      </c>
      <c r="F182" s="9">
        <f t="shared" si="50"/>
        <v>0.72298136645962741</v>
      </c>
      <c r="G182">
        <v>0</v>
      </c>
      <c r="H182">
        <v>22.3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19.5</v>
      </c>
      <c r="P182">
        <v>0</v>
      </c>
      <c r="Q182">
        <v>58.2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51</v>
      </c>
      <c r="AK182" t="s">
        <v>1</v>
      </c>
      <c r="AL182" t="s">
        <v>372</v>
      </c>
      <c r="AQ182" s="1">
        <f t="shared" si="66"/>
        <v>100</v>
      </c>
      <c r="AR182" s="1">
        <f t="shared" si="51"/>
        <v>0.19500000000000001</v>
      </c>
      <c r="AS182" s="1">
        <f t="shared" si="52"/>
        <v>0</v>
      </c>
      <c r="AT182" s="1">
        <f t="shared" si="53"/>
        <v>0.223</v>
      </c>
      <c r="AU182" s="1">
        <f t="shared" si="54"/>
        <v>0.58200000000000007</v>
      </c>
      <c r="AV182" s="1">
        <f t="shared" si="67"/>
        <v>0.51</v>
      </c>
      <c r="AX182" s="1">
        <f t="shared" si="68"/>
        <v>2.6098654708520184</v>
      </c>
      <c r="AY182" s="1">
        <f t="shared" si="55"/>
        <v>0.87443946188340804</v>
      </c>
      <c r="AZ182" s="1">
        <f t="shared" si="56"/>
        <v>0.66311659192825112</v>
      </c>
      <c r="BA182" s="1">
        <f t="shared" si="57"/>
        <v>1.1524663677130045</v>
      </c>
      <c r="BB182" s="1">
        <f t="shared" si="58"/>
        <v>0.66311659192825112</v>
      </c>
      <c r="BC182" s="1">
        <f t="shared" si="59"/>
        <v>0.66311659192825112</v>
      </c>
      <c r="BD182" s="1">
        <f t="shared" si="69"/>
        <v>0.15311659192825111</v>
      </c>
      <c r="BF182">
        <f t="shared" si="60"/>
        <v>22.3</v>
      </c>
      <c r="BG182">
        <f t="shared" si="61"/>
        <v>19.5</v>
      </c>
      <c r="BH182" s="1">
        <f t="shared" si="62"/>
        <v>2.6098654708520179</v>
      </c>
      <c r="BI182" s="1">
        <f t="shared" si="63"/>
        <v>0.87443946188340804</v>
      </c>
      <c r="BJ182" s="1">
        <f t="shared" si="70"/>
        <v>0.58659192825112105</v>
      </c>
      <c r="BK182" s="1">
        <f t="shared" si="71"/>
        <v>0.59942294209894131</v>
      </c>
      <c r="BL182" s="22">
        <f t="shared" si="72"/>
        <v>0.59942294209894131</v>
      </c>
      <c r="BM182" s="1">
        <f t="shared" si="64"/>
        <v>7.9964625736306093E-3</v>
      </c>
      <c r="BN182" s="1">
        <f t="shared" si="65"/>
        <v>1.0477380250534563E-2</v>
      </c>
    </row>
    <row r="183" spans="1:66" x14ac:dyDescent="0.25">
      <c r="A183" s="3"/>
      <c r="B183" s="3"/>
      <c r="C183">
        <v>16</v>
      </c>
      <c r="D183" s="5">
        <v>1</v>
      </c>
      <c r="E183" s="9">
        <f t="shared" si="49"/>
        <v>20</v>
      </c>
      <c r="F183" s="9">
        <f t="shared" si="50"/>
        <v>0.125</v>
      </c>
      <c r="G183">
        <v>0</v>
      </c>
      <c r="H183">
        <v>70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20</v>
      </c>
      <c r="P183">
        <v>0</v>
      </c>
      <c r="Q183">
        <v>10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28</v>
      </c>
      <c r="AK183" t="s">
        <v>1</v>
      </c>
      <c r="AL183" t="s">
        <v>372</v>
      </c>
      <c r="AQ183" s="1">
        <f t="shared" si="66"/>
        <v>100</v>
      </c>
      <c r="AR183" s="1">
        <f t="shared" si="51"/>
        <v>0.2</v>
      </c>
      <c r="AS183" s="1">
        <f t="shared" si="52"/>
        <v>0</v>
      </c>
      <c r="AT183" s="1">
        <f t="shared" si="53"/>
        <v>0.7</v>
      </c>
      <c r="AU183" s="1">
        <f t="shared" si="54"/>
        <v>0.1</v>
      </c>
      <c r="AV183" s="1">
        <f t="shared" si="67"/>
        <v>0.28000000000000003</v>
      </c>
      <c r="AX183" s="1">
        <f t="shared" si="68"/>
        <v>0.14285714285714288</v>
      </c>
      <c r="AY183" s="1">
        <f t="shared" si="55"/>
        <v>0.28571428571428575</v>
      </c>
      <c r="AZ183" s="1">
        <f t="shared" si="56"/>
        <v>0.5089285714285714</v>
      </c>
      <c r="BA183" s="1">
        <f t="shared" si="57"/>
        <v>0.5357142857142857</v>
      </c>
      <c r="BB183" s="1">
        <f t="shared" si="58"/>
        <v>0.28571428571428575</v>
      </c>
      <c r="BC183" s="1">
        <f t="shared" si="59"/>
        <v>0.28571428571428575</v>
      </c>
      <c r="BD183" s="1">
        <f t="shared" si="69"/>
        <v>5.7142857142857273E-3</v>
      </c>
      <c r="BF183">
        <f t="shared" si="60"/>
        <v>70</v>
      </c>
      <c r="BG183">
        <f t="shared" si="61"/>
        <v>20</v>
      </c>
      <c r="BH183" s="1">
        <f t="shared" si="62"/>
        <v>0.14285714285714285</v>
      </c>
      <c r="BI183" s="1">
        <f t="shared" si="63"/>
        <v>0.2857142857142857</v>
      </c>
      <c r="BJ183" s="1">
        <f t="shared" si="70"/>
        <v>0.43857142857142856</v>
      </c>
      <c r="BK183" s="1">
        <f t="shared" si="71"/>
        <v>0.2857142857142857</v>
      </c>
      <c r="BL183" s="22">
        <f t="shared" si="72"/>
        <v>0.2857142857142857</v>
      </c>
      <c r="BM183" s="1">
        <f t="shared" si="64"/>
        <v>3.2653061224489312E-5</v>
      </c>
      <c r="BN183" s="1">
        <f t="shared" si="65"/>
        <v>1.6292205715304115E-2</v>
      </c>
    </row>
    <row r="184" spans="1:66" x14ac:dyDescent="0.25">
      <c r="A184" s="3"/>
      <c r="B184" s="3"/>
      <c r="C184">
        <v>17</v>
      </c>
      <c r="D184" s="5">
        <v>1</v>
      </c>
      <c r="E184" s="9">
        <f t="shared" si="49"/>
        <v>20</v>
      </c>
      <c r="F184" s="9">
        <f t="shared" si="50"/>
        <v>0.1875</v>
      </c>
      <c r="G184">
        <v>0</v>
      </c>
      <c r="H184">
        <v>65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20</v>
      </c>
      <c r="P184">
        <v>0</v>
      </c>
      <c r="Q184">
        <v>15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28</v>
      </c>
      <c r="AK184" t="s">
        <v>1</v>
      </c>
      <c r="AL184" t="s">
        <v>372</v>
      </c>
      <c r="AQ184" s="1">
        <f t="shared" si="66"/>
        <v>100</v>
      </c>
      <c r="AR184" s="1">
        <f t="shared" si="51"/>
        <v>0.2</v>
      </c>
      <c r="AS184" s="1">
        <f t="shared" si="52"/>
        <v>0</v>
      </c>
      <c r="AT184" s="1">
        <f t="shared" si="53"/>
        <v>0.65</v>
      </c>
      <c r="AU184" s="1">
        <f t="shared" si="54"/>
        <v>0.15</v>
      </c>
      <c r="AV184" s="1">
        <f t="shared" si="67"/>
        <v>0.28000000000000003</v>
      </c>
      <c r="AX184" s="1">
        <f t="shared" si="68"/>
        <v>0.23076923076923075</v>
      </c>
      <c r="AY184" s="1">
        <f t="shared" si="55"/>
        <v>0.30769230769230771</v>
      </c>
      <c r="AZ184" s="1">
        <f t="shared" si="56"/>
        <v>0.51442307692307687</v>
      </c>
      <c r="BA184" s="1">
        <f t="shared" si="57"/>
        <v>0.55769230769230771</v>
      </c>
      <c r="BB184" s="1">
        <f t="shared" si="58"/>
        <v>0.30769230769230771</v>
      </c>
      <c r="BC184" s="1">
        <f t="shared" si="59"/>
        <v>0.30769230769230771</v>
      </c>
      <c r="BD184" s="1">
        <f t="shared" si="69"/>
        <v>2.7692307692307683E-2</v>
      </c>
      <c r="BF184">
        <f t="shared" si="60"/>
        <v>65</v>
      </c>
      <c r="BG184">
        <f t="shared" si="61"/>
        <v>20</v>
      </c>
      <c r="BH184" s="1">
        <f t="shared" si="62"/>
        <v>0.23076923076923078</v>
      </c>
      <c r="BI184" s="1">
        <f t="shared" si="63"/>
        <v>0.30769230769230771</v>
      </c>
      <c r="BJ184" s="1">
        <f t="shared" si="70"/>
        <v>0.44384615384615383</v>
      </c>
      <c r="BK184" s="1">
        <f t="shared" si="71"/>
        <v>0.30769230769230771</v>
      </c>
      <c r="BL184" s="22">
        <f t="shared" si="72"/>
        <v>0.30769230769230771</v>
      </c>
      <c r="BM184" s="1">
        <f t="shared" si="64"/>
        <v>7.6686390532544331E-4</v>
      </c>
      <c r="BN184" s="1">
        <f t="shared" si="65"/>
        <v>1.6292205715304115E-2</v>
      </c>
    </row>
    <row r="185" spans="1:66" x14ac:dyDescent="0.25">
      <c r="A185" s="3"/>
      <c r="B185" s="3"/>
      <c r="C185">
        <v>18</v>
      </c>
      <c r="D185" s="5">
        <v>1</v>
      </c>
      <c r="E185" s="9">
        <f t="shared" si="49"/>
        <v>20</v>
      </c>
      <c r="F185" s="9">
        <f t="shared" si="50"/>
        <v>0.25</v>
      </c>
      <c r="G185">
        <v>0</v>
      </c>
      <c r="H185">
        <v>60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20</v>
      </c>
      <c r="P185">
        <v>0</v>
      </c>
      <c r="Q185">
        <v>20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34</v>
      </c>
      <c r="AK185" t="s">
        <v>1</v>
      </c>
      <c r="AL185" t="s">
        <v>372</v>
      </c>
      <c r="AQ185" s="1">
        <f t="shared" si="66"/>
        <v>100</v>
      </c>
      <c r="AR185" s="1">
        <f t="shared" si="51"/>
        <v>0.2</v>
      </c>
      <c r="AS185" s="1">
        <f t="shared" si="52"/>
        <v>0</v>
      </c>
      <c r="AT185" s="1">
        <f t="shared" si="53"/>
        <v>0.6</v>
      </c>
      <c r="AU185" s="1">
        <f t="shared" si="54"/>
        <v>0.2</v>
      </c>
      <c r="AV185" s="1">
        <f t="shared" si="67"/>
        <v>0.34</v>
      </c>
      <c r="AX185" s="1">
        <f t="shared" si="68"/>
        <v>0.33333333333333337</v>
      </c>
      <c r="AY185" s="1">
        <f t="shared" si="55"/>
        <v>0.33333333333333337</v>
      </c>
      <c r="AZ185" s="1">
        <f t="shared" si="56"/>
        <v>0.52083333333333337</v>
      </c>
      <c r="BA185" s="1">
        <f t="shared" si="57"/>
        <v>0.58333333333333337</v>
      </c>
      <c r="BB185" s="1">
        <f t="shared" si="58"/>
        <v>0.33333333333333337</v>
      </c>
      <c r="BC185" s="1">
        <f t="shared" si="59"/>
        <v>0.33333333333333337</v>
      </c>
      <c r="BD185" s="1">
        <f t="shared" si="69"/>
        <v>6.6666666666666541E-3</v>
      </c>
      <c r="BF185">
        <f t="shared" si="60"/>
        <v>60</v>
      </c>
      <c r="BG185">
        <f t="shared" si="61"/>
        <v>20</v>
      </c>
      <c r="BH185" s="1">
        <f t="shared" si="62"/>
        <v>0.33333333333333331</v>
      </c>
      <c r="BI185" s="1">
        <f t="shared" si="63"/>
        <v>0.33333333333333331</v>
      </c>
      <c r="BJ185" s="1">
        <f t="shared" si="70"/>
        <v>0.45</v>
      </c>
      <c r="BK185" s="1">
        <f t="shared" si="71"/>
        <v>0.33333333333333331</v>
      </c>
      <c r="BL185" s="22">
        <f t="shared" si="72"/>
        <v>0.33333333333333331</v>
      </c>
      <c r="BM185" s="1">
        <f t="shared" si="64"/>
        <v>4.4444444444445016E-5</v>
      </c>
      <c r="BN185" s="1">
        <f t="shared" si="65"/>
        <v>4.5752947244946671E-3</v>
      </c>
    </row>
    <row r="186" spans="1:66" x14ac:dyDescent="0.25">
      <c r="A186" s="3"/>
      <c r="B186" s="3"/>
      <c r="C186">
        <v>19</v>
      </c>
      <c r="D186" s="5">
        <v>1</v>
      </c>
      <c r="E186" s="9">
        <f t="shared" si="49"/>
        <v>20</v>
      </c>
      <c r="F186" s="9">
        <f t="shared" si="50"/>
        <v>0.375</v>
      </c>
      <c r="G186">
        <v>0</v>
      </c>
      <c r="H186">
        <v>50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20</v>
      </c>
      <c r="P186">
        <v>0</v>
      </c>
      <c r="Q186">
        <v>30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28</v>
      </c>
      <c r="AK186" t="s">
        <v>1</v>
      </c>
      <c r="AL186" t="s">
        <v>372</v>
      </c>
      <c r="AQ186" s="1">
        <f t="shared" si="66"/>
        <v>100</v>
      </c>
      <c r="AR186" s="1">
        <f t="shared" si="51"/>
        <v>0.2</v>
      </c>
      <c r="AS186" s="1">
        <f t="shared" si="52"/>
        <v>0</v>
      </c>
      <c r="AT186" s="1">
        <f t="shared" si="53"/>
        <v>0.5</v>
      </c>
      <c r="AU186" s="1">
        <f t="shared" si="54"/>
        <v>0.3</v>
      </c>
      <c r="AV186" s="1">
        <f t="shared" si="67"/>
        <v>0.28000000000000003</v>
      </c>
      <c r="AX186" s="1">
        <f t="shared" si="68"/>
        <v>0.6</v>
      </c>
      <c r="AY186" s="1">
        <f t="shared" si="55"/>
        <v>0.4</v>
      </c>
      <c r="AZ186" s="1">
        <f t="shared" si="56"/>
        <v>0.53749999999999998</v>
      </c>
      <c r="BA186" s="1">
        <f t="shared" si="57"/>
        <v>0.65</v>
      </c>
      <c r="BB186" s="1">
        <f t="shared" si="58"/>
        <v>0.4</v>
      </c>
      <c r="BC186" s="1">
        <f t="shared" si="59"/>
        <v>0.4</v>
      </c>
      <c r="BD186" s="1">
        <f t="shared" si="69"/>
        <v>0.12</v>
      </c>
      <c r="BF186">
        <f t="shared" si="60"/>
        <v>50</v>
      </c>
      <c r="BG186">
        <f t="shared" si="61"/>
        <v>20</v>
      </c>
      <c r="BH186" s="1">
        <f t="shared" si="62"/>
        <v>0.6</v>
      </c>
      <c r="BI186" s="1">
        <f t="shared" si="63"/>
        <v>0.4</v>
      </c>
      <c r="BJ186" s="1">
        <f t="shared" si="70"/>
        <v>0.46599999999999997</v>
      </c>
      <c r="BK186" s="1">
        <f t="shared" si="71"/>
        <v>0.4</v>
      </c>
      <c r="BL186" s="22">
        <f t="shared" si="72"/>
        <v>0.4</v>
      </c>
      <c r="BM186" s="1">
        <f t="shared" si="64"/>
        <v>1.44E-2</v>
      </c>
      <c r="BN186" s="1">
        <f t="shared" si="65"/>
        <v>1.6292205715304115E-2</v>
      </c>
    </row>
    <row r="187" spans="1:66" x14ac:dyDescent="0.25">
      <c r="A187" s="3"/>
      <c r="B187" s="3"/>
      <c r="C187">
        <v>20</v>
      </c>
      <c r="D187" s="5">
        <v>1</v>
      </c>
      <c r="E187" s="9">
        <f t="shared" si="49"/>
        <v>20</v>
      </c>
      <c r="F187" s="9">
        <f t="shared" si="50"/>
        <v>0.4375</v>
      </c>
      <c r="G187">
        <v>0</v>
      </c>
      <c r="H187">
        <v>45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20</v>
      </c>
      <c r="P187">
        <v>0</v>
      </c>
      <c r="Q187">
        <v>35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41</v>
      </c>
      <c r="AK187" t="s">
        <v>1</v>
      </c>
      <c r="AL187" t="s">
        <v>372</v>
      </c>
      <c r="AQ187" s="1">
        <f t="shared" si="66"/>
        <v>100</v>
      </c>
      <c r="AR187" s="1">
        <f t="shared" si="51"/>
        <v>0.2</v>
      </c>
      <c r="AS187" s="1">
        <f t="shared" si="52"/>
        <v>0</v>
      </c>
      <c r="AT187" s="1">
        <f t="shared" si="53"/>
        <v>0.45</v>
      </c>
      <c r="AU187" s="1">
        <f t="shared" si="54"/>
        <v>0.35</v>
      </c>
      <c r="AV187" s="1">
        <f t="shared" si="67"/>
        <v>0.41</v>
      </c>
      <c r="AX187" s="1">
        <f t="shared" si="68"/>
        <v>0.77777777777777768</v>
      </c>
      <c r="AY187" s="1">
        <f t="shared" si="55"/>
        <v>0.44444444444444448</v>
      </c>
      <c r="AZ187" s="1">
        <f t="shared" si="56"/>
        <v>0.54861111111111116</v>
      </c>
      <c r="BA187" s="1">
        <f t="shared" si="57"/>
        <v>0.69444444444444442</v>
      </c>
      <c r="BB187" s="1">
        <f t="shared" si="58"/>
        <v>0.44444444444444448</v>
      </c>
      <c r="BC187" s="1">
        <f t="shared" si="59"/>
        <v>0.44444444444444448</v>
      </c>
      <c r="BD187" s="1">
        <f t="shared" si="69"/>
        <v>3.44444444444445E-2</v>
      </c>
      <c r="BF187">
        <f t="shared" si="60"/>
        <v>45</v>
      </c>
      <c r="BG187">
        <f t="shared" si="61"/>
        <v>20</v>
      </c>
      <c r="BH187" s="1">
        <f t="shared" si="62"/>
        <v>0.77777777777777779</v>
      </c>
      <c r="BI187" s="1">
        <f t="shared" si="63"/>
        <v>0.44444444444444442</v>
      </c>
      <c r="BJ187" s="1">
        <f t="shared" si="70"/>
        <v>0.47666666666666668</v>
      </c>
      <c r="BK187" s="1">
        <f t="shared" si="71"/>
        <v>0.44444444444444442</v>
      </c>
      <c r="BL187" s="22">
        <f t="shared" si="72"/>
        <v>0.44444444444444442</v>
      </c>
      <c r="BM187" s="1">
        <f t="shared" si="64"/>
        <v>1.1864197530864198E-3</v>
      </c>
      <c r="BN187" s="1">
        <f t="shared" si="65"/>
        <v>5.5652352169781633E-6</v>
      </c>
    </row>
    <row r="188" spans="1:66" x14ac:dyDescent="0.25">
      <c r="A188" s="3"/>
      <c r="B188" s="3"/>
      <c r="C188">
        <v>21</v>
      </c>
      <c r="D188" s="5">
        <v>1</v>
      </c>
      <c r="E188" s="9">
        <f t="shared" si="49"/>
        <v>20</v>
      </c>
      <c r="F188" s="9">
        <f t="shared" si="50"/>
        <v>0.53125</v>
      </c>
      <c r="G188">
        <v>0</v>
      </c>
      <c r="H188">
        <v>37.5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20</v>
      </c>
      <c r="P188">
        <v>0</v>
      </c>
      <c r="Q188">
        <v>42.5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38</v>
      </c>
      <c r="AK188" t="s">
        <v>1</v>
      </c>
      <c r="AL188" t="s">
        <v>372</v>
      </c>
      <c r="AQ188" s="1">
        <f t="shared" si="66"/>
        <v>100</v>
      </c>
      <c r="AR188" s="1">
        <f t="shared" si="51"/>
        <v>0.2</v>
      </c>
      <c r="AS188" s="1">
        <f t="shared" si="52"/>
        <v>0</v>
      </c>
      <c r="AT188" s="1">
        <f t="shared" si="53"/>
        <v>0.375</v>
      </c>
      <c r="AU188" s="1">
        <f t="shared" si="54"/>
        <v>0.42499999999999999</v>
      </c>
      <c r="AV188" s="1">
        <f t="shared" si="67"/>
        <v>0.38</v>
      </c>
      <c r="AX188" s="1">
        <f t="shared" si="68"/>
        <v>1.1333333333333333</v>
      </c>
      <c r="AY188" s="1">
        <f t="shared" si="55"/>
        <v>0.53333333333333333</v>
      </c>
      <c r="AZ188" s="1">
        <f t="shared" si="56"/>
        <v>0.5708333333333333</v>
      </c>
      <c r="BA188" s="1">
        <f t="shared" si="57"/>
        <v>0.78333333333333333</v>
      </c>
      <c r="BB188" s="1">
        <f t="shared" si="58"/>
        <v>0.53333333333333333</v>
      </c>
      <c r="BC188" s="1">
        <f t="shared" si="59"/>
        <v>0.53333333333333333</v>
      </c>
      <c r="BD188" s="1">
        <f t="shared" si="69"/>
        <v>0.15333333333333332</v>
      </c>
      <c r="BF188">
        <f t="shared" si="60"/>
        <v>37.5</v>
      </c>
      <c r="BG188">
        <f t="shared" si="61"/>
        <v>20</v>
      </c>
      <c r="BH188" s="1">
        <f t="shared" si="62"/>
        <v>1.1333333333333333</v>
      </c>
      <c r="BI188" s="1">
        <f t="shared" si="63"/>
        <v>0.53333333333333333</v>
      </c>
      <c r="BJ188" s="1">
        <f t="shared" si="70"/>
        <v>0.498</v>
      </c>
      <c r="BK188" s="1">
        <f t="shared" si="71"/>
        <v>0.47219243402958155</v>
      </c>
      <c r="BL188" s="22">
        <f t="shared" si="72"/>
        <v>0.47219243402958155</v>
      </c>
      <c r="BM188" s="1">
        <f t="shared" si="64"/>
        <v>8.4994448922987454E-3</v>
      </c>
      <c r="BN188" s="1">
        <f t="shared" si="65"/>
        <v>7.6402073062170313E-4</v>
      </c>
    </row>
    <row r="189" spans="1:66" x14ac:dyDescent="0.25">
      <c r="A189" s="3"/>
      <c r="B189" s="3"/>
      <c r="C189">
        <v>22</v>
      </c>
      <c r="D189" s="5">
        <v>1</v>
      </c>
      <c r="E189" s="9">
        <f t="shared" si="49"/>
        <v>20</v>
      </c>
      <c r="F189" s="9">
        <f t="shared" si="50"/>
        <v>0.625</v>
      </c>
      <c r="G189">
        <v>0</v>
      </c>
      <c r="H189">
        <v>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20</v>
      </c>
      <c r="P189">
        <v>0</v>
      </c>
      <c r="Q189">
        <v>50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48</v>
      </c>
      <c r="AK189" t="s">
        <v>1</v>
      </c>
      <c r="AL189" t="s">
        <v>372</v>
      </c>
      <c r="AQ189" s="1">
        <f t="shared" si="66"/>
        <v>100</v>
      </c>
      <c r="AR189" s="1">
        <f t="shared" si="51"/>
        <v>0.2</v>
      </c>
      <c r="AS189" s="1">
        <f t="shared" si="52"/>
        <v>0</v>
      </c>
      <c r="AT189" s="1">
        <f t="shared" si="53"/>
        <v>0.3</v>
      </c>
      <c r="AU189" s="1">
        <f t="shared" si="54"/>
        <v>0.5</v>
      </c>
      <c r="AV189" s="1">
        <f t="shared" si="67"/>
        <v>0.48</v>
      </c>
      <c r="AX189" s="1">
        <f t="shared" si="68"/>
        <v>1.6666666666666667</v>
      </c>
      <c r="AY189" s="1">
        <f t="shared" si="55"/>
        <v>0.66666666666666674</v>
      </c>
      <c r="AZ189" s="1">
        <f t="shared" si="56"/>
        <v>0.60416666666666663</v>
      </c>
      <c r="BA189" s="1">
        <f t="shared" si="57"/>
        <v>0.91666666666666674</v>
      </c>
      <c r="BB189" s="1">
        <f t="shared" si="58"/>
        <v>0.60416666666666663</v>
      </c>
      <c r="BC189" s="1">
        <f t="shared" si="59"/>
        <v>0.60416666666666663</v>
      </c>
      <c r="BD189" s="1">
        <f t="shared" si="69"/>
        <v>0.12416666666666665</v>
      </c>
      <c r="BF189">
        <f t="shared" si="60"/>
        <v>30</v>
      </c>
      <c r="BG189">
        <f t="shared" si="61"/>
        <v>20</v>
      </c>
      <c r="BH189" s="1">
        <f t="shared" si="62"/>
        <v>1.6666666666666667</v>
      </c>
      <c r="BI189" s="1">
        <f t="shared" si="63"/>
        <v>0.66666666666666663</v>
      </c>
      <c r="BJ189" s="1">
        <f t="shared" si="70"/>
        <v>0.53</v>
      </c>
      <c r="BK189" s="1">
        <f t="shared" si="71"/>
        <v>0.52035253799810721</v>
      </c>
      <c r="BL189" s="22">
        <f t="shared" si="72"/>
        <v>0.52035253799810721</v>
      </c>
      <c r="BM189" s="1">
        <f t="shared" si="64"/>
        <v>1.6283273228886877E-3</v>
      </c>
      <c r="BN189" s="1">
        <f t="shared" si="65"/>
        <v>5.2358357459392837E-3</v>
      </c>
    </row>
    <row r="190" spans="1:66" x14ac:dyDescent="0.25">
      <c r="A190" s="3"/>
      <c r="B190" s="3"/>
      <c r="C190">
        <v>23</v>
      </c>
      <c r="D190" s="5">
        <v>1</v>
      </c>
      <c r="E190" s="9">
        <f t="shared" si="49"/>
        <v>20</v>
      </c>
      <c r="F190" s="9">
        <f t="shared" si="50"/>
        <v>0.75</v>
      </c>
      <c r="G190">
        <v>0</v>
      </c>
      <c r="H190">
        <v>20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20</v>
      </c>
      <c r="P190">
        <v>0</v>
      </c>
      <c r="Q190">
        <v>60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59</v>
      </c>
      <c r="AK190" t="s">
        <v>1</v>
      </c>
      <c r="AL190" t="s">
        <v>372</v>
      </c>
      <c r="AQ190" s="1">
        <f t="shared" si="66"/>
        <v>100</v>
      </c>
      <c r="AR190" s="1">
        <f t="shared" si="51"/>
        <v>0.2</v>
      </c>
      <c r="AS190" s="1">
        <f t="shared" si="52"/>
        <v>0</v>
      </c>
      <c r="AT190" s="1">
        <f t="shared" si="53"/>
        <v>0.2</v>
      </c>
      <c r="AU190" s="1">
        <f t="shared" si="54"/>
        <v>0.6</v>
      </c>
      <c r="AV190" s="1">
        <f t="shared" si="67"/>
        <v>0.59</v>
      </c>
      <c r="AX190" s="1">
        <f t="shared" si="68"/>
        <v>2.9999999999999996</v>
      </c>
      <c r="AY190" s="1">
        <f t="shared" si="55"/>
        <v>1</v>
      </c>
      <c r="AZ190" s="1">
        <f t="shared" si="56"/>
        <v>0.6875</v>
      </c>
      <c r="BA190" s="1">
        <f t="shared" si="57"/>
        <v>1.25</v>
      </c>
      <c r="BB190" s="1">
        <f t="shared" si="58"/>
        <v>0.6875</v>
      </c>
      <c r="BC190" s="1">
        <f t="shared" si="59"/>
        <v>0.6875</v>
      </c>
      <c r="BD190" s="1">
        <f t="shared" si="69"/>
        <v>9.7500000000000031E-2</v>
      </c>
      <c r="BF190">
        <f t="shared" si="60"/>
        <v>20</v>
      </c>
      <c r="BG190">
        <f t="shared" si="61"/>
        <v>20</v>
      </c>
      <c r="BH190" s="1">
        <f t="shared" si="62"/>
        <v>3</v>
      </c>
      <c r="BI190" s="1">
        <f t="shared" si="63"/>
        <v>1</v>
      </c>
      <c r="BJ190" s="1">
        <f t="shared" si="70"/>
        <v>0.61</v>
      </c>
      <c r="BK190" s="1">
        <f t="shared" si="71"/>
        <v>0.63596340716708433</v>
      </c>
      <c r="BL190" s="22">
        <f t="shared" si="72"/>
        <v>0.63596340716708433</v>
      </c>
      <c r="BM190" s="1">
        <f t="shared" si="64"/>
        <v>2.1126347984071819E-3</v>
      </c>
      <c r="BN190" s="1">
        <f t="shared" si="65"/>
        <v>3.3254832262788615E-2</v>
      </c>
    </row>
    <row r="191" spans="1:66" x14ac:dyDescent="0.25">
      <c r="A191" s="3"/>
      <c r="B191" s="3"/>
      <c r="C191">
        <v>24</v>
      </c>
      <c r="D191" s="5">
        <v>1</v>
      </c>
      <c r="E191" s="9">
        <f t="shared" si="49"/>
        <v>20</v>
      </c>
      <c r="F191" s="9">
        <f t="shared" si="50"/>
        <v>0.83374999999999999</v>
      </c>
      <c r="G191">
        <v>0</v>
      </c>
      <c r="H191">
        <v>13.3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20</v>
      </c>
      <c r="P191">
        <v>0</v>
      </c>
      <c r="Q191">
        <v>66.7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59</v>
      </c>
      <c r="AK191" t="s">
        <v>1</v>
      </c>
      <c r="AL191" t="s">
        <v>372</v>
      </c>
      <c r="AQ191" s="1">
        <f t="shared" si="66"/>
        <v>100</v>
      </c>
      <c r="AR191" s="1">
        <f t="shared" si="51"/>
        <v>0.2</v>
      </c>
      <c r="AS191" s="1">
        <f t="shared" si="52"/>
        <v>0</v>
      </c>
      <c r="AT191" s="1">
        <f t="shared" si="53"/>
        <v>0.13300000000000001</v>
      </c>
      <c r="AU191" s="1">
        <f t="shared" si="54"/>
        <v>0.66700000000000004</v>
      </c>
      <c r="AV191" s="1">
        <f t="shared" si="67"/>
        <v>0.59</v>
      </c>
      <c r="AX191" s="1">
        <f t="shared" si="68"/>
        <v>5.0150375939849621</v>
      </c>
      <c r="AY191" s="1">
        <f t="shared" si="55"/>
        <v>1.5037593984962405</v>
      </c>
      <c r="AZ191" s="1">
        <f t="shared" si="56"/>
        <v>0.81343984962406013</v>
      </c>
      <c r="BA191" s="1">
        <f t="shared" si="57"/>
        <v>1.7537593984962405</v>
      </c>
      <c r="BB191" s="1">
        <f t="shared" si="58"/>
        <v>0.81343984962406013</v>
      </c>
      <c r="BC191" s="1">
        <f t="shared" si="59"/>
        <v>0.81343984962406013</v>
      </c>
      <c r="BD191" s="1">
        <f t="shared" si="69"/>
        <v>0.22343984962406016</v>
      </c>
      <c r="BF191">
        <f t="shared" si="60"/>
        <v>13.3</v>
      </c>
      <c r="BG191">
        <f t="shared" si="61"/>
        <v>20</v>
      </c>
      <c r="BH191" s="1">
        <f t="shared" si="62"/>
        <v>5.0150375939849621</v>
      </c>
      <c r="BI191" s="1">
        <f t="shared" si="63"/>
        <v>1.5037593984962405</v>
      </c>
      <c r="BJ191" s="1">
        <f t="shared" si="70"/>
        <v>0.73090225563909772</v>
      </c>
      <c r="BK191" s="1">
        <f t="shared" si="71"/>
        <v>0.80456066451657471</v>
      </c>
      <c r="BL191" s="22">
        <f t="shared" si="72"/>
        <v>0.80456066451657471</v>
      </c>
      <c r="BM191" s="1">
        <f t="shared" si="64"/>
        <v>4.6036278757794133E-2</v>
      </c>
      <c r="BN191" s="1">
        <f t="shared" si="65"/>
        <v>3.3254832262788615E-2</v>
      </c>
    </row>
    <row r="192" spans="1:66" x14ac:dyDescent="0.25">
      <c r="A192" s="3"/>
      <c r="B192" s="3"/>
      <c r="C192">
        <v>25</v>
      </c>
      <c r="D192" s="5">
        <v>1</v>
      </c>
      <c r="E192" s="9">
        <f t="shared" si="49"/>
        <v>20</v>
      </c>
      <c r="F192" s="9">
        <f t="shared" si="50"/>
        <v>0.83374999999999999</v>
      </c>
      <c r="G192">
        <v>0</v>
      </c>
      <c r="H192">
        <v>13.3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20</v>
      </c>
      <c r="P192">
        <v>0</v>
      </c>
      <c r="Q192">
        <v>66.7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67</v>
      </c>
      <c r="AK192" t="s">
        <v>1</v>
      </c>
      <c r="AL192" t="s">
        <v>372</v>
      </c>
      <c r="AQ192" s="1">
        <f t="shared" si="66"/>
        <v>100</v>
      </c>
      <c r="AR192" s="1">
        <f t="shared" si="51"/>
        <v>0.2</v>
      </c>
      <c r="AS192" s="1">
        <f t="shared" si="52"/>
        <v>0</v>
      </c>
      <c r="AT192" s="1">
        <f t="shared" si="53"/>
        <v>0.13300000000000001</v>
      </c>
      <c r="AU192" s="1">
        <f t="shared" si="54"/>
        <v>0.66700000000000004</v>
      </c>
      <c r="AV192" s="1">
        <f t="shared" si="67"/>
        <v>0.67</v>
      </c>
      <c r="AX192" s="1">
        <f t="shared" si="68"/>
        <v>5.0150375939849621</v>
      </c>
      <c r="AY192" s="1">
        <f t="shared" si="55"/>
        <v>1.5037593984962405</v>
      </c>
      <c r="AZ192" s="1">
        <f t="shared" si="56"/>
        <v>0.81343984962406013</v>
      </c>
      <c r="BA192" s="1">
        <f t="shared" si="57"/>
        <v>1.7537593984962405</v>
      </c>
      <c r="BB192" s="1">
        <f t="shared" si="58"/>
        <v>0.81343984962406013</v>
      </c>
      <c r="BC192" s="1">
        <f t="shared" si="59"/>
        <v>0.81343984962406013</v>
      </c>
      <c r="BD192" s="1">
        <f t="shared" si="69"/>
        <v>0.14343984962406009</v>
      </c>
      <c r="BF192">
        <f t="shared" si="60"/>
        <v>13.3</v>
      </c>
      <c r="BG192">
        <f t="shared" si="61"/>
        <v>20</v>
      </c>
      <c r="BH192" s="1">
        <f t="shared" si="62"/>
        <v>5.0150375939849621</v>
      </c>
      <c r="BI192" s="1">
        <f t="shared" si="63"/>
        <v>1.5037593984962405</v>
      </c>
      <c r="BJ192" s="1">
        <f t="shared" si="70"/>
        <v>0.73090225563909772</v>
      </c>
      <c r="BK192" s="1">
        <f t="shared" si="71"/>
        <v>0.80456066451657471</v>
      </c>
      <c r="BL192" s="22">
        <f t="shared" si="72"/>
        <v>0.80456066451657471</v>
      </c>
      <c r="BM192" s="1">
        <f t="shared" si="64"/>
        <v>1.8106572435142156E-2</v>
      </c>
      <c r="BN192" s="1">
        <f t="shared" si="65"/>
        <v>6.8832284275042718E-2</v>
      </c>
    </row>
    <row r="193" spans="1:66" x14ac:dyDescent="0.25">
      <c r="A193" s="3"/>
      <c r="B193" s="3"/>
      <c r="C193">
        <v>26</v>
      </c>
      <c r="D193" s="5">
        <v>1</v>
      </c>
      <c r="E193" s="9">
        <f t="shared" si="49"/>
        <v>22.2</v>
      </c>
      <c r="F193" s="9">
        <f t="shared" si="50"/>
        <v>0.66580976863753216</v>
      </c>
      <c r="G193">
        <v>0</v>
      </c>
      <c r="H193">
        <v>26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22.2</v>
      </c>
      <c r="P193">
        <v>0</v>
      </c>
      <c r="Q193">
        <v>51.8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30</v>
      </c>
      <c r="AK193" t="s">
        <v>1</v>
      </c>
      <c r="AL193" t="s">
        <v>372</v>
      </c>
      <c r="AQ193" s="1">
        <f t="shared" si="66"/>
        <v>100</v>
      </c>
      <c r="AR193" s="1">
        <f t="shared" si="51"/>
        <v>0.222</v>
      </c>
      <c r="AS193" s="1">
        <f t="shared" si="52"/>
        <v>0</v>
      </c>
      <c r="AT193" s="1">
        <f t="shared" si="53"/>
        <v>0.26</v>
      </c>
      <c r="AU193" s="1">
        <f t="shared" si="54"/>
        <v>0.51800000000000002</v>
      </c>
      <c r="AV193" s="1">
        <f t="shared" si="67"/>
        <v>0.3</v>
      </c>
      <c r="AX193" s="1">
        <f t="shared" si="68"/>
        <v>1.9923076923076923</v>
      </c>
      <c r="AY193" s="1">
        <f t="shared" si="55"/>
        <v>0.85384615384615381</v>
      </c>
      <c r="AZ193" s="1">
        <f t="shared" si="56"/>
        <v>0.62451923076923077</v>
      </c>
      <c r="BA193" s="1">
        <f t="shared" si="57"/>
        <v>0.99807692307692308</v>
      </c>
      <c r="BB193" s="1">
        <f t="shared" si="58"/>
        <v>0.62451923076923077</v>
      </c>
      <c r="BC193" s="1">
        <f t="shared" si="59"/>
        <v>0.62451923076923077</v>
      </c>
      <c r="BD193" s="1">
        <f t="shared" si="69"/>
        <v>0.32451923076923078</v>
      </c>
      <c r="BF193">
        <f t="shared" si="60"/>
        <v>26</v>
      </c>
      <c r="BG193">
        <f t="shared" si="61"/>
        <v>22.2</v>
      </c>
      <c r="BH193" s="1">
        <f t="shared" si="62"/>
        <v>1.9923076923076921</v>
      </c>
      <c r="BI193" s="1">
        <f t="shared" si="63"/>
        <v>0.85384615384615381</v>
      </c>
      <c r="BJ193" s="1">
        <f t="shared" si="70"/>
        <v>0.54953846153846153</v>
      </c>
      <c r="BK193" s="1">
        <f t="shared" si="71"/>
        <v>0.56019099085379698</v>
      </c>
      <c r="BL193" s="22">
        <f t="shared" si="72"/>
        <v>0.56019099085379698</v>
      </c>
      <c r="BM193" s="1">
        <f t="shared" si="64"/>
        <v>6.7699351721480672E-2</v>
      </c>
      <c r="BN193" s="1">
        <f t="shared" si="65"/>
        <v>1.158656871836764E-2</v>
      </c>
    </row>
    <row r="194" spans="1:66" x14ac:dyDescent="0.25">
      <c r="A194" s="3"/>
      <c r="B194" s="3"/>
      <c r="C194">
        <v>27</v>
      </c>
      <c r="D194" s="5">
        <v>1</v>
      </c>
      <c r="E194" s="9">
        <f t="shared" ref="E194:E257" si="73">I194+L194+M194+N194+O194+V194+X194+AB194+AD194</f>
        <v>22.2</v>
      </c>
      <c r="F194" s="9">
        <f t="shared" ref="F194:F257" si="74">Q194/(H194+P194+Q194+AC194)</f>
        <v>0.66580976863753216</v>
      </c>
      <c r="G194">
        <v>0</v>
      </c>
      <c r="H194">
        <v>26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22.2</v>
      </c>
      <c r="P194">
        <v>0</v>
      </c>
      <c r="Q194">
        <v>51.8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55</v>
      </c>
      <c r="AK194" t="s">
        <v>1</v>
      </c>
      <c r="AL194" t="s">
        <v>372</v>
      </c>
      <c r="AQ194" s="1">
        <f t="shared" si="66"/>
        <v>100</v>
      </c>
      <c r="AR194" s="1">
        <f t="shared" ref="AR194:AR257" si="75">(L194+M194+O194+X194)/100</f>
        <v>0.222</v>
      </c>
      <c r="AS194" s="1">
        <f t="shared" ref="AS194:AS257" si="76">G194/100</f>
        <v>0</v>
      </c>
      <c r="AT194" s="1">
        <f t="shared" ref="AT194:AT257" si="77">H194/100</f>
        <v>0.26</v>
      </c>
      <c r="AU194" s="1">
        <f t="shared" ref="AU194:AU257" si="78">Q194/100</f>
        <v>0.51800000000000002</v>
      </c>
      <c r="AV194" s="1">
        <f t="shared" si="67"/>
        <v>0.55000000000000004</v>
      </c>
      <c r="AX194" s="1">
        <f t="shared" si="68"/>
        <v>1.9923076923076923</v>
      </c>
      <c r="AY194" s="1">
        <f t="shared" ref="AY194:AY257" si="79">AR194/(AS194+AT194)</f>
        <v>0.85384615384615381</v>
      </c>
      <c r="AZ194" s="1">
        <f t="shared" ref="AZ194:AZ257" si="80">0.5+AX194/16</f>
        <v>0.62451923076923077</v>
      </c>
      <c r="BA194" s="1">
        <f t="shared" ref="BA194:BA257" si="81">0.5+AX194/4</f>
        <v>0.99807692307692308</v>
      </c>
      <c r="BB194" s="1">
        <f t="shared" ref="BB194:BB257" si="82">IF(AY194&lt;=AZ194,AY194,IF(AY194&lt;=BA194,AZ194,AZ194-(AY194-BA194)*(8+AX194)/(12*(2+AX194))))</f>
        <v>0.62451923076923077</v>
      </c>
      <c r="BC194" s="1">
        <f t="shared" ref="BC194:BC257" si="83">IF(BB194&lt;1,BB194,1)</f>
        <v>0.62451923076923077</v>
      </c>
      <c r="BD194" s="1">
        <f t="shared" si="69"/>
        <v>7.4519230769230727E-2</v>
      </c>
      <c r="BF194">
        <f t="shared" ref="BF194:BF257" si="84">$BQ$3*H194+$BQ$4*G194+$BQ$5*P194+$BQ$6*K194+$BQ$7*S194+$BQ$8*U194+$BQ$9*Y194+$BQ$10*J194+$BQ$11*AC194+$BQ$12*AG194+$BQ$13*AH194+$BQ$14*R194+$BQ$15*AE194</f>
        <v>26</v>
      </c>
      <c r="BG194">
        <f t="shared" ref="BG194:BG257" si="85">O194+$BQ$17*M194+$BQ$18*L194+$BQ$19*X194+$BQ$20*AD194+$BQ$21*I194+$BQ$22*N194+$BQ$23*AB194+$BQ$24*V194+$BQ$25*T194+$BQ$26*AA194+$BQ$28*Z194+$BQ$29*AF194+$BQ$30*W194+$BQ$27*AI194</f>
        <v>22.2</v>
      </c>
      <c r="BH194" s="1">
        <f t="shared" ref="BH194:BH257" si="86">(Q194)/BF194</f>
        <v>1.9923076923076921</v>
      </c>
      <c r="BI194" s="1">
        <f t="shared" ref="BI194:BI257" si="87">BG194/BF194</f>
        <v>0.85384615384615381</v>
      </c>
      <c r="BJ194" s="1">
        <f t="shared" si="70"/>
        <v>0.54953846153846153</v>
      </c>
      <c r="BK194" s="1">
        <f t="shared" si="71"/>
        <v>0.56019099085379698</v>
      </c>
      <c r="BL194" s="22">
        <f t="shared" si="72"/>
        <v>0.56019099085379698</v>
      </c>
      <c r="BM194" s="1">
        <f t="shared" ref="BM194:BM257" si="88">(BL194-AV194)^2</f>
        <v>1.0385629458217275E-4</v>
      </c>
      <c r="BN194" s="1">
        <f t="shared" ref="BN194:BN257" si="89">(AV194-AVERAGE($AV$2:$AV$638))^2</f>
        <v>2.0266106256661608E-2</v>
      </c>
    </row>
    <row r="195" spans="1:66" x14ac:dyDescent="0.25">
      <c r="A195" s="3"/>
      <c r="B195" s="3"/>
      <c r="C195">
        <v>28</v>
      </c>
      <c r="D195" s="5">
        <v>1</v>
      </c>
      <c r="E195" s="9">
        <f t="shared" si="73"/>
        <v>25</v>
      </c>
      <c r="F195" s="9">
        <f t="shared" si="74"/>
        <v>6.6666666666666666E-2</v>
      </c>
      <c r="G195">
        <v>0</v>
      </c>
      <c r="H195">
        <v>70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25</v>
      </c>
      <c r="P195">
        <v>0</v>
      </c>
      <c r="Q195">
        <v>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26</v>
      </c>
      <c r="AK195" t="s">
        <v>1</v>
      </c>
      <c r="AL195" t="s">
        <v>372</v>
      </c>
      <c r="AQ195" s="1">
        <f t="shared" ref="AQ195:AQ258" si="90">SUM(G195:AI195)</f>
        <v>100</v>
      </c>
      <c r="AR195" s="1">
        <f t="shared" si="75"/>
        <v>0.25</v>
      </c>
      <c r="AS195" s="1">
        <f t="shared" si="76"/>
        <v>0</v>
      </c>
      <c r="AT195" s="1">
        <f t="shared" si="77"/>
        <v>0.7</v>
      </c>
      <c r="AU195" s="1">
        <f t="shared" si="78"/>
        <v>0.05</v>
      </c>
      <c r="AV195" s="1">
        <f t="shared" ref="AV195:AV258" si="91">AJ195/100</f>
        <v>0.26</v>
      </c>
      <c r="AX195" s="1">
        <f t="shared" ref="AX195:AX258" si="92">AU195/(AT195+AS195)</f>
        <v>7.1428571428571438E-2</v>
      </c>
      <c r="AY195" s="1">
        <f t="shared" si="79"/>
        <v>0.35714285714285715</v>
      </c>
      <c r="AZ195" s="1">
        <f t="shared" si="80"/>
        <v>0.5044642857142857</v>
      </c>
      <c r="BA195" s="1">
        <f t="shared" si="81"/>
        <v>0.5178571428571429</v>
      </c>
      <c r="BB195" s="1">
        <f t="shared" si="82"/>
        <v>0.35714285714285715</v>
      </c>
      <c r="BC195" s="1">
        <f t="shared" si="83"/>
        <v>0.35714285714285715</v>
      </c>
      <c r="BD195" s="1">
        <f t="shared" ref="BD195:BD258" si="93">ABS(BC195-AV195)</f>
        <v>9.7142857142857142E-2</v>
      </c>
      <c r="BF195">
        <f t="shared" si="84"/>
        <v>70</v>
      </c>
      <c r="BG195">
        <f t="shared" si="85"/>
        <v>25</v>
      </c>
      <c r="BH195" s="1">
        <f t="shared" si="86"/>
        <v>7.1428571428571425E-2</v>
      </c>
      <c r="BI195" s="1">
        <f t="shared" si="87"/>
        <v>0.35714285714285715</v>
      </c>
      <c r="BJ195" s="1">
        <f t="shared" ref="BJ195:BJ258" si="94">$BQ$32+BH195*$BQ$33</f>
        <v>0.43428571428571427</v>
      </c>
      <c r="BK195" s="1">
        <f t="shared" ref="BK195:BK258" si="95">IF(BI195&lt;BJ195,BI195,$BQ$35*($BQ$36+BI195)*($BQ$37-BI195/($BQ$38+BH195)*$BQ$39)^5)</f>
        <v>0.35714285714285715</v>
      </c>
      <c r="BL195" s="22">
        <f t="shared" ref="BL195:BL258" si="96">IF(BK195&lt;1,IF(BK195&gt;0,BK195,0),1)</f>
        <v>0.35714285714285715</v>
      </c>
      <c r="BM195" s="1">
        <f t="shared" si="88"/>
        <v>9.4367346938775513E-3</v>
      </c>
      <c r="BN195" s="1">
        <f t="shared" si="89"/>
        <v>2.1797842712240601E-2</v>
      </c>
    </row>
    <row r="196" spans="1:66" x14ac:dyDescent="0.25">
      <c r="A196" s="3"/>
      <c r="B196" s="3"/>
      <c r="C196">
        <v>29</v>
      </c>
      <c r="D196" s="5">
        <v>1</v>
      </c>
      <c r="E196" s="9">
        <f t="shared" si="73"/>
        <v>25</v>
      </c>
      <c r="F196" s="9">
        <f t="shared" si="74"/>
        <v>0.2</v>
      </c>
      <c r="G196">
        <v>0</v>
      </c>
      <c r="H196">
        <v>60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25</v>
      </c>
      <c r="P196">
        <v>0</v>
      </c>
      <c r="Q196">
        <v>15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32</v>
      </c>
      <c r="AK196" t="s">
        <v>1</v>
      </c>
      <c r="AL196" t="s">
        <v>372</v>
      </c>
      <c r="AQ196" s="1">
        <f t="shared" si="90"/>
        <v>100</v>
      </c>
      <c r="AR196" s="1">
        <f t="shared" si="75"/>
        <v>0.25</v>
      </c>
      <c r="AS196" s="1">
        <f t="shared" si="76"/>
        <v>0</v>
      </c>
      <c r="AT196" s="1">
        <f t="shared" si="77"/>
        <v>0.6</v>
      </c>
      <c r="AU196" s="1">
        <f t="shared" si="78"/>
        <v>0.15</v>
      </c>
      <c r="AV196" s="1">
        <f t="shared" si="91"/>
        <v>0.32</v>
      </c>
      <c r="AX196" s="1">
        <f t="shared" si="92"/>
        <v>0.25</v>
      </c>
      <c r="AY196" s="1">
        <f t="shared" si="79"/>
        <v>0.41666666666666669</v>
      </c>
      <c r="AZ196" s="1">
        <f t="shared" si="80"/>
        <v>0.515625</v>
      </c>
      <c r="BA196" s="1">
        <f t="shared" si="81"/>
        <v>0.5625</v>
      </c>
      <c r="BB196" s="1">
        <f t="shared" si="82"/>
        <v>0.41666666666666669</v>
      </c>
      <c r="BC196" s="1">
        <f t="shared" si="83"/>
        <v>0.41666666666666669</v>
      </c>
      <c r="BD196" s="1">
        <f t="shared" si="93"/>
        <v>9.6666666666666679E-2</v>
      </c>
      <c r="BF196">
        <f t="shared" si="84"/>
        <v>60</v>
      </c>
      <c r="BG196">
        <f t="shared" si="85"/>
        <v>25</v>
      </c>
      <c r="BH196" s="1">
        <f t="shared" si="86"/>
        <v>0.25</v>
      </c>
      <c r="BI196" s="1">
        <f t="shared" si="87"/>
        <v>0.41666666666666669</v>
      </c>
      <c r="BJ196" s="1">
        <f t="shared" si="94"/>
        <v>0.44500000000000001</v>
      </c>
      <c r="BK196" s="1">
        <f t="shared" si="95"/>
        <v>0.41666666666666669</v>
      </c>
      <c r="BL196" s="22">
        <f t="shared" si="96"/>
        <v>0.41666666666666669</v>
      </c>
      <c r="BM196" s="1">
        <f t="shared" si="88"/>
        <v>9.3444444444444469E-3</v>
      </c>
      <c r="BN196" s="1">
        <f t="shared" si="89"/>
        <v>7.680931721431152E-3</v>
      </c>
    </row>
    <row r="197" spans="1:66" x14ac:dyDescent="0.25">
      <c r="A197" s="3"/>
      <c r="B197" s="3"/>
      <c r="C197">
        <v>30</v>
      </c>
      <c r="D197" s="5">
        <v>1</v>
      </c>
      <c r="E197" s="9">
        <f t="shared" si="73"/>
        <v>25</v>
      </c>
      <c r="F197" s="9">
        <f t="shared" si="74"/>
        <v>0.33333333333333331</v>
      </c>
      <c r="G197">
        <v>0</v>
      </c>
      <c r="H197">
        <v>50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25</v>
      </c>
      <c r="P197">
        <v>0</v>
      </c>
      <c r="Q197">
        <v>25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38</v>
      </c>
      <c r="AK197" t="s">
        <v>1</v>
      </c>
      <c r="AL197" t="s">
        <v>372</v>
      </c>
      <c r="AQ197" s="1">
        <f t="shared" si="90"/>
        <v>100</v>
      </c>
      <c r="AR197" s="1">
        <f t="shared" si="75"/>
        <v>0.25</v>
      </c>
      <c r="AS197" s="1">
        <f t="shared" si="76"/>
        <v>0</v>
      </c>
      <c r="AT197" s="1">
        <f t="shared" si="77"/>
        <v>0.5</v>
      </c>
      <c r="AU197" s="1">
        <f t="shared" si="78"/>
        <v>0.25</v>
      </c>
      <c r="AV197" s="1">
        <f t="shared" si="91"/>
        <v>0.38</v>
      </c>
      <c r="AX197" s="1">
        <f t="shared" si="92"/>
        <v>0.5</v>
      </c>
      <c r="AY197" s="1">
        <f t="shared" si="79"/>
        <v>0.5</v>
      </c>
      <c r="AZ197" s="1">
        <f t="shared" si="80"/>
        <v>0.53125</v>
      </c>
      <c r="BA197" s="1">
        <f t="shared" si="81"/>
        <v>0.625</v>
      </c>
      <c r="BB197" s="1">
        <f t="shared" si="82"/>
        <v>0.5</v>
      </c>
      <c r="BC197" s="1">
        <f t="shared" si="83"/>
        <v>0.5</v>
      </c>
      <c r="BD197" s="1">
        <f t="shared" si="93"/>
        <v>0.12</v>
      </c>
      <c r="BF197">
        <f t="shared" si="84"/>
        <v>50</v>
      </c>
      <c r="BG197">
        <f t="shared" si="85"/>
        <v>25</v>
      </c>
      <c r="BH197" s="1">
        <f t="shared" si="86"/>
        <v>0.5</v>
      </c>
      <c r="BI197" s="1">
        <f t="shared" si="87"/>
        <v>0.5</v>
      </c>
      <c r="BJ197" s="1">
        <f t="shared" si="94"/>
        <v>0.45999999999999996</v>
      </c>
      <c r="BK197" s="1">
        <f t="shared" si="95"/>
        <v>0.43597140375156029</v>
      </c>
      <c r="BL197" s="22">
        <f t="shared" si="96"/>
        <v>0.43597140375156029</v>
      </c>
      <c r="BM197" s="1">
        <f t="shared" si="88"/>
        <v>3.1327980379201774E-3</v>
      </c>
      <c r="BN197" s="1">
        <f t="shared" si="89"/>
        <v>7.6402073062170313E-4</v>
      </c>
    </row>
    <row r="198" spans="1:66" x14ac:dyDescent="0.25">
      <c r="A198" s="3"/>
      <c r="B198" s="3"/>
      <c r="C198">
        <v>31</v>
      </c>
      <c r="D198" s="5">
        <v>1</v>
      </c>
      <c r="E198" s="9">
        <f t="shared" si="73"/>
        <v>25</v>
      </c>
      <c r="F198" s="9">
        <f t="shared" si="74"/>
        <v>0.46666666666666667</v>
      </c>
      <c r="G198">
        <v>0</v>
      </c>
      <c r="H198">
        <v>40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25</v>
      </c>
      <c r="P198">
        <v>0</v>
      </c>
      <c r="Q198">
        <v>35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45</v>
      </c>
      <c r="AK198" t="s">
        <v>1</v>
      </c>
      <c r="AL198" t="s">
        <v>372</v>
      </c>
      <c r="AQ198" s="1">
        <f t="shared" si="90"/>
        <v>100</v>
      </c>
      <c r="AR198" s="1">
        <f t="shared" si="75"/>
        <v>0.25</v>
      </c>
      <c r="AS198" s="1">
        <f t="shared" si="76"/>
        <v>0</v>
      </c>
      <c r="AT198" s="1">
        <f t="shared" si="77"/>
        <v>0.4</v>
      </c>
      <c r="AU198" s="1">
        <f t="shared" si="78"/>
        <v>0.35</v>
      </c>
      <c r="AV198" s="1">
        <f t="shared" si="91"/>
        <v>0.45</v>
      </c>
      <c r="AX198" s="1">
        <f t="shared" si="92"/>
        <v>0.87499999999999989</v>
      </c>
      <c r="AY198" s="1">
        <f t="shared" si="79"/>
        <v>0.625</v>
      </c>
      <c r="AZ198" s="1">
        <f t="shared" si="80"/>
        <v>0.5546875</v>
      </c>
      <c r="BA198" s="1">
        <f t="shared" si="81"/>
        <v>0.71875</v>
      </c>
      <c r="BB198" s="1">
        <f t="shared" si="82"/>
        <v>0.5546875</v>
      </c>
      <c r="BC198" s="1">
        <f t="shared" si="83"/>
        <v>0.5546875</v>
      </c>
      <c r="BD198" s="1">
        <f t="shared" si="93"/>
        <v>0.10468749999999999</v>
      </c>
      <c r="BF198">
        <f t="shared" si="84"/>
        <v>40</v>
      </c>
      <c r="BG198">
        <f t="shared" si="85"/>
        <v>25</v>
      </c>
      <c r="BH198" s="1">
        <f t="shared" si="86"/>
        <v>0.875</v>
      </c>
      <c r="BI198" s="1">
        <f t="shared" si="87"/>
        <v>0.625</v>
      </c>
      <c r="BJ198" s="1">
        <f t="shared" si="94"/>
        <v>0.48249999999999998</v>
      </c>
      <c r="BK198" s="1">
        <f t="shared" si="95"/>
        <v>0.47125106936995648</v>
      </c>
      <c r="BL198" s="22">
        <f t="shared" si="96"/>
        <v>0.47125106936995648</v>
      </c>
      <c r="BM198" s="1">
        <f t="shared" si="88"/>
        <v>4.5160794936670187E-4</v>
      </c>
      <c r="BN198" s="1">
        <f t="shared" si="89"/>
        <v>1.7942912413440124E-3</v>
      </c>
    </row>
    <row r="199" spans="1:66" x14ac:dyDescent="0.25">
      <c r="A199" s="3"/>
      <c r="B199" s="3"/>
      <c r="C199">
        <v>32</v>
      </c>
      <c r="D199" s="5">
        <v>1</v>
      </c>
      <c r="E199" s="9">
        <f t="shared" si="73"/>
        <v>25</v>
      </c>
      <c r="F199" s="9">
        <f t="shared" si="74"/>
        <v>0.53333333333333333</v>
      </c>
      <c r="G199">
        <v>0</v>
      </c>
      <c r="H199">
        <v>35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25</v>
      </c>
      <c r="P199">
        <v>0</v>
      </c>
      <c r="Q199">
        <v>40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45</v>
      </c>
      <c r="AK199" t="s">
        <v>1</v>
      </c>
      <c r="AL199" t="s">
        <v>372</v>
      </c>
      <c r="AQ199" s="1">
        <f t="shared" si="90"/>
        <v>100</v>
      </c>
      <c r="AR199" s="1">
        <f t="shared" si="75"/>
        <v>0.25</v>
      </c>
      <c r="AS199" s="1">
        <f t="shared" si="76"/>
        <v>0</v>
      </c>
      <c r="AT199" s="1">
        <f t="shared" si="77"/>
        <v>0.35</v>
      </c>
      <c r="AU199" s="1">
        <f t="shared" si="78"/>
        <v>0.4</v>
      </c>
      <c r="AV199" s="1">
        <f t="shared" si="91"/>
        <v>0.45</v>
      </c>
      <c r="AX199" s="1">
        <f t="shared" si="92"/>
        <v>1.142857142857143</v>
      </c>
      <c r="AY199" s="1">
        <f t="shared" si="79"/>
        <v>0.7142857142857143</v>
      </c>
      <c r="AZ199" s="1">
        <f t="shared" si="80"/>
        <v>0.5714285714285714</v>
      </c>
      <c r="BA199" s="1">
        <f t="shared" si="81"/>
        <v>0.78571428571428581</v>
      </c>
      <c r="BB199" s="1">
        <f t="shared" si="82"/>
        <v>0.5714285714285714</v>
      </c>
      <c r="BC199" s="1">
        <f t="shared" si="83"/>
        <v>0.5714285714285714</v>
      </c>
      <c r="BD199" s="1">
        <f t="shared" si="93"/>
        <v>0.12142857142857139</v>
      </c>
      <c r="BF199">
        <f t="shared" si="84"/>
        <v>35</v>
      </c>
      <c r="BG199">
        <f t="shared" si="85"/>
        <v>25</v>
      </c>
      <c r="BH199" s="1">
        <f t="shared" si="86"/>
        <v>1.1428571428571428</v>
      </c>
      <c r="BI199" s="1">
        <f t="shared" si="87"/>
        <v>0.7142857142857143</v>
      </c>
      <c r="BJ199" s="1">
        <f t="shared" si="94"/>
        <v>0.49857142857142855</v>
      </c>
      <c r="BK199" s="1">
        <f t="shared" si="95"/>
        <v>0.49514610065070547</v>
      </c>
      <c r="BL199" s="22">
        <f t="shared" si="96"/>
        <v>0.49514610065070547</v>
      </c>
      <c r="BM199" s="1">
        <f t="shared" si="88"/>
        <v>2.0381704039636275E-3</v>
      </c>
      <c r="BN199" s="1">
        <f t="shared" si="89"/>
        <v>1.7942912413440124E-3</v>
      </c>
    </row>
    <row r="200" spans="1:66" x14ac:dyDescent="0.25">
      <c r="A200" s="3"/>
      <c r="B200" s="3"/>
      <c r="C200">
        <v>33</v>
      </c>
      <c r="D200" s="5">
        <v>1</v>
      </c>
      <c r="E200" s="9">
        <f t="shared" si="73"/>
        <v>25</v>
      </c>
      <c r="F200" s="9">
        <f t="shared" si="74"/>
        <v>0.66666666666666663</v>
      </c>
      <c r="G200">
        <v>0</v>
      </c>
      <c r="H200">
        <v>25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25</v>
      </c>
      <c r="P200">
        <v>0</v>
      </c>
      <c r="Q200">
        <v>50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70</v>
      </c>
      <c r="AK200" t="s">
        <v>1</v>
      </c>
      <c r="AL200" t="s">
        <v>372</v>
      </c>
      <c r="AQ200" s="1">
        <f t="shared" si="90"/>
        <v>100</v>
      </c>
      <c r="AR200" s="1">
        <f t="shared" si="75"/>
        <v>0.25</v>
      </c>
      <c r="AS200" s="1">
        <f t="shared" si="76"/>
        <v>0</v>
      </c>
      <c r="AT200" s="1">
        <f t="shared" si="77"/>
        <v>0.25</v>
      </c>
      <c r="AU200" s="1">
        <f t="shared" si="78"/>
        <v>0.5</v>
      </c>
      <c r="AV200" s="1">
        <f t="shared" si="91"/>
        <v>0.7</v>
      </c>
      <c r="AX200" s="1">
        <f t="shared" si="92"/>
        <v>2</v>
      </c>
      <c r="AY200" s="1">
        <f t="shared" si="79"/>
        <v>1</v>
      </c>
      <c r="AZ200" s="1">
        <f t="shared" si="80"/>
        <v>0.625</v>
      </c>
      <c r="BA200" s="1">
        <f t="shared" si="81"/>
        <v>1</v>
      </c>
      <c r="BB200" s="1">
        <f t="shared" si="82"/>
        <v>0.625</v>
      </c>
      <c r="BC200" s="1">
        <f t="shared" si="83"/>
        <v>0.625</v>
      </c>
      <c r="BD200" s="1">
        <f t="shared" si="93"/>
        <v>7.4999999999999956E-2</v>
      </c>
      <c r="BF200">
        <f t="shared" si="84"/>
        <v>25</v>
      </c>
      <c r="BG200">
        <f t="shared" si="85"/>
        <v>25</v>
      </c>
      <c r="BH200" s="1">
        <f t="shared" si="86"/>
        <v>2</v>
      </c>
      <c r="BI200" s="1">
        <f t="shared" si="87"/>
        <v>1</v>
      </c>
      <c r="BJ200" s="1">
        <f t="shared" si="94"/>
        <v>0.55000000000000004</v>
      </c>
      <c r="BK200" s="1">
        <f t="shared" si="95"/>
        <v>0.56694271147394415</v>
      </c>
      <c r="BL200" s="22">
        <f t="shared" si="96"/>
        <v>0.56694271147394415</v>
      </c>
      <c r="BM200" s="1">
        <f t="shared" si="88"/>
        <v>1.7704242029906062E-2</v>
      </c>
      <c r="BN200" s="1">
        <f t="shared" si="89"/>
        <v>8.5473828779637939E-2</v>
      </c>
    </row>
    <row r="201" spans="1:66" x14ac:dyDescent="0.25">
      <c r="A201" s="3"/>
      <c r="B201" s="3"/>
      <c r="C201">
        <v>34</v>
      </c>
      <c r="D201" s="5">
        <v>1</v>
      </c>
      <c r="E201" s="9">
        <f t="shared" si="73"/>
        <v>25</v>
      </c>
      <c r="F201" s="9">
        <f t="shared" si="74"/>
        <v>0.66666666666666663</v>
      </c>
      <c r="G201">
        <v>0</v>
      </c>
      <c r="H201">
        <v>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25</v>
      </c>
      <c r="P201">
        <v>0</v>
      </c>
      <c r="Q201">
        <v>50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73</v>
      </c>
      <c r="AK201" t="s">
        <v>1</v>
      </c>
      <c r="AL201" t="s">
        <v>372</v>
      </c>
      <c r="AQ201" s="1">
        <f t="shared" si="90"/>
        <v>100</v>
      </c>
      <c r="AR201" s="1">
        <f t="shared" si="75"/>
        <v>0.25</v>
      </c>
      <c r="AS201" s="1">
        <f t="shared" si="76"/>
        <v>0</v>
      </c>
      <c r="AT201" s="1">
        <f t="shared" si="77"/>
        <v>0.25</v>
      </c>
      <c r="AU201" s="1">
        <f t="shared" si="78"/>
        <v>0.5</v>
      </c>
      <c r="AV201" s="1">
        <f t="shared" si="91"/>
        <v>0.73</v>
      </c>
      <c r="AX201" s="1">
        <f t="shared" si="92"/>
        <v>2</v>
      </c>
      <c r="AY201" s="1">
        <f t="shared" si="79"/>
        <v>1</v>
      </c>
      <c r="AZ201" s="1">
        <f t="shared" si="80"/>
        <v>0.625</v>
      </c>
      <c r="BA201" s="1">
        <f t="shared" si="81"/>
        <v>1</v>
      </c>
      <c r="BB201" s="1">
        <f t="shared" si="82"/>
        <v>0.625</v>
      </c>
      <c r="BC201" s="1">
        <f t="shared" si="83"/>
        <v>0.625</v>
      </c>
      <c r="BD201" s="1">
        <f t="shared" si="93"/>
        <v>0.10499999999999998</v>
      </c>
      <c r="BF201">
        <f t="shared" si="84"/>
        <v>25</v>
      </c>
      <c r="BG201">
        <f t="shared" si="85"/>
        <v>25</v>
      </c>
      <c r="BH201" s="1">
        <f t="shared" si="86"/>
        <v>2</v>
      </c>
      <c r="BI201" s="1">
        <f t="shared" si="87"/>
        <v>1</v>
      </c>
      <c r="BJ201" s="1">
        <f t="shared" si="94"/>
        <v>0.55000000000000004</v>
      </c>
      <c r="BK201" s="1">
        <f t="shared" si="95"/>
        <v>0.56694271147394415</v>
      </c>
      <c r="BL201" s="22">
        <f t="shared" si="96"/>
        <v>0.56694271147394415</v>
      </c>
      <c r="BM201" s="1">
        <f t="shared" si="88"/>
        <v>2.6587679341469418E-2</v>
      </c>
      <c r="BN201" s="1">
        <f t="shared" si="89"/>
        <v>0.10391537328423324</v>
      </c>
    </row>
    <row r="202" spans="1:66" x14ac:dyDescent="0.25">
      <c r="A202" s="3"/>
      <c r="B202" s="3"/>
      <c r="C202">
        <v>35</v>
      </c>
      <c r="D202" s="5">
        <v>1</v>
      </c>
      <c r="E202" s="9">
        <f t="shared" si="73"/>
        <v>25</v>
      </c>
      <c r="F202" s="9">
        <f t="shared" si="74"/>
        <v>0.8</v>
      </c>
      <c r="G202">
        <v>0</v>
      </c>
      <c r="H202">
        <v>15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25</v>
      </c>
      <c r="P202">
        <v>0</v>
      </c>
      <c r="Q202">
        <v>60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50</v>
      </c>
      <c r="AK202" t="s">
        <v>1</v>
      </c>
      <c r="AL202" t="s">
        <v>372</v>
      </c>
      <c r="AQ202" s="1">
        <f t="shared" si="90"/>
        <v>100</v>
      </c>
      <c r="AR202" s="1">
        <f t="shared" si="75"/>
        <v>0.25</v>
      </c>
      <c r="AS202" s="1">
        <f t="shared" si="76"/>
        <v>0</v>
      </c>
      <c r="AT202" s="1">
        <f t="shared" si="77"/>
        <v>0.15</v>
      </c>
      <c r="AU202" s="1">
        <f t="shared" si="78"/>
        <v>0.6</v>
      </c>
      <c r="AV202" s="1">
        <f t="shared" si="91"/>
        <v>0.5</v>
      </c>
      <c r="AX202" s="1">
        <f t="shared" si="92"/>
        <v>4</v>
      </c>
      <c r="AY202" s="1">
        <f t="shared" si="79"/>
        <v>1.6666666666666667</v>
      </c>
      <c r="AZ202" s="1">
        <f t="shared" si="80"/>
        <v>0.75</v>
      </c>
      <c r="BA202" s="1">
        <f t="shared" si="81"/>
        <v>1.5</v>
      </c>
      <c r="BB202" s="1">
        <f t="shared" si="82"/>
        <v>0.72222222222222221</v>
      </c>
      <c r="BC202" s="1">
        <f t="shared" si="83"/>
        <v>0.72222222222222221</v>
      </c>
      <c r="BD202" s="1">
        <f t="shared" si="93"/>
        <v>0.22222222222222221</v>
      </c>
      <c r="BF202">
        <f t="shared" si="84"/>
        <v>15</v>
      </c>
      <c r="BG202">
        <f t="shared" si="85"/>
        <v>25</v>
      </c>
      <c r="BH202" s="1">
        <f t="shared" si="86"/>
        <v>4</v>
      </c>
      <c r="BI202" s="1">
        <f t="shared" si="87"/>
        <v>1.6666666666666667</v>
      </c>
      <c r="BJ202" s="1">
        <f t="shared" si="94"/>
        <v>0.66999999999999993</v>
      </c>
      <c r="BK202" s="1">
        <f t="shared" si="95"/>
        <v>0.72125866188470444</v>
      </c>
      <c r="BL202" s="22">
        <f t="shared" si="96"/>
        <v>0.72125866188470444</v>
      </c>
      <c r="BM202" s="1">
        <f t="shared" si="88"/>
        <v>4.8955395459009961E-2</v>
      </c>
      <c r="BN202" s="1">
        <f t="shared" si="89"/>
        <v>8.5301987490028035E-3</v>
      </c>
    </row>
    <row r="203" spans="1:66" x14ac:dyDescent="0.25">
      <c r="A203" s="3"/>
      <c r="B203" s="3"/>
      <c r="C203">
        <v>36</v>
      </c>
      <c r="D203" s="5">
        <v>1</v>
      </c>
      <c r="E203" s="9">
        <f t="shared" si="73"/>
        <v>26.6</v>
      </c>
      <c r="F203" s="9">
        <f t="shared" si="74"/>
        <v>0.90871934604904625</v>
      </c>
      <c r="G203">
        <v>0</v>
      </c>
      <c r="H203">
        <v>6.7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26.6</v>
      </c>
      <c r="P203">
        <v>0</v>
      </c>
      <c r="Q203">
        <v>66.7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68</v>
      </c>
      <c r="AK203" t="s">
        <v>1</v>
      </c>
      <c r="AL203" t="s">
        <v>372</v>
      </c>
      <c r="AQ203" s="1">
        <f t="shared" si="90"/>
        <v>100</v>
      </c>
      <c r="AR203" s="1">
        <f t="shared" si="75"/>
        <v>0.26600000000000001</v>
      </c>
      <c r="AS203" s="1">
        <f t="shared" si="76"/>
        <v>0</v>
      </c>
      <c r="AT203" s="1">
        <f t="shared" si="77"/>
        <v>6.7000000000000004E-2</v>
      </c>
      <c r="AU203" s="1">
        <f t="shared" si="78"/>
        <v>0.66700000000000004</v>
      </c>
      <c r="AV203" s="1">
        <f t="shared" si="91"/>
        <v>0.68</v>
      </c>
      <c r="AX203" s="1">
        <f t="shared" si="92"/>
        <v>9.9552238805970141</v>
      </c>
      <c r="AY203" s="1">
        <f t="shared" si="79"/>
        <v>3.9701492537313432</v>
      </c>
      <c r="AZ203" s="1">
        <f t="shared" si="80"/>
        <v>1.1222014925373134</v>
      </c>
      <c r="BA203" s="1">
        <f t="shared" si="81"/>
        <v>2.9888059701492535</v>
      </c>
      <c r="BB203" s="1">
        <f t="shared" si="82"/>
        <v>0.99938043863081583</v>
      </c>
      <c r="BC203" s="1">
        <f t="shared" si="83"/>
        <v>0.99938043863081583</v>
      </c>
      <c r="BD203" s="1">
        <f t="shared" si="93"/>
        <v>0.31938043863081578</v>
      </c>
      <c r="BF203">
        <f t="shared" si="84"/>
        <v>6.7</v>
      </c>
      <c r="BG203">
        <f t="shared" si="85"/>
        <v>26.6</v>
      </c>
      <c r="BH203" s="1">
        <f t="shared" si="86"/>
        <v>9.9552238805970159</v>
      </c>
      <c r="BI203" s="1">
        <f t="shared" si="87"/>
        <v>3.9701492537313432</v>
      </c>
      <c r="BJ203" s="1">
        <f t="shared" si="94"/>
        <v>1.0273134328358209</v>
      </c>
      <c r="BK203" s="1">
        <f t="shared" si="95"/>
        <v>1.1144959817692386</v>
      </c>
      <c r="BL203" s="22">
        <f t="shared" si="96"/>
        <v>1</v>
      </c>
      <c r="BM203" s="1">
        <f t="shared" si="88"/>
        <v>0.10239999999999996</v>
      </c>
      <c r="BN203" s="1">
        <f t="shared" si="89"/>
        <v>7.4179465776574485E-2</v>
      </c>
    </row>
    <row r="204" spans="1:66" x14ac:dyDescent="0.25">
      <c r="A204" s="3"/>
      <c r="B204" s="3"/>
      <c r="C204">
        <v>37</v>
      </c>
      <c r="D204" s="5">
        <v>1</v>
      </c>
      <c r="E204" s="9">
        <f t="shared" si="73"/>
        <v>29</v>
      </c>
      <c r="F204" s="9">
        <f t="shared" si="74"/>
        <v>9.154929577464789E-2</v>
      </c>
      <c r="G204">
        <v>0</v>
      </c>
      <c r="H204">
        <v>64.5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29</v>
      </c>
      <c r="P204">
        <v>0</v>
      </c>
      <c r="Q204">
        <v>6.5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33</v>
      </c>
      <c r="AK204" t="s">
        <v>1</v>
      </c>
      <c r="AL204" t="s">
        <v>372</v>
      </c>
      <c r="AQ204" s="1">
        <f t="shared" si="90"/>
        <v>100</v>
      </c>
      <c r="AR204" s="1">
        <f t="shared" si="75"/>
        <v>0.28999999999999998</v>
      </c>
      <c r="AS204" s="1">
        <f t="shared" si="76"/>
        <v>0</v>
      </c>
      <c r="AT204" s="1">
        <f t="shared" si="77"/>
        <v>0.64500000000000002</v>
      </c>
      <c r="AU204" s="1">
        <f t="shared" si="78"/>
        <v>6.5000000000000002E-2</v>
      </c>
      <c r="AV204" s="1">
        <f t="shared" si="91"/>
        <v>0.33</v>
      </c>
      <c r="AX204" s="1">
        <f t="shared" si="92"/>
        <v>0.10077519379844961</v>
      </c>
      <c r="AY204" s="1">
        <f t="shared" si="79"/>
        <v>0.44961240310077516</v>
      </c>
      <c r="AZ204" s="1">
        <f t="shared" si="80"/>
        <v>0.50629844961240311</v>
      </c>
      <c r="BA204" s="1">
        <f t="shared" si="81"/>
        <v>0.52519379844961245</v>
      </c>
      <c r="BB204" s="1">
        <f t="shared" si="82"/>
        <v>0.44961240310077516</v>
      </c>
      <c r="BC204" s="1">
        <f t="shared" si="83"/>
        <v>0.44961240310077516</v>
      </c>
      <c r="BD204" s="1">
        <f t="shared" si="93"/>
        <v>0.11961240310077514</v>
      </c>
      <c r="BF204">
        <f t="shared" si="84"/>
        <v>64.5</v>
      </c>
      <c r="BG204">
        <f t="shared" si="85"/>
        <v>29</v>
      </c>
      <c r="BH204" s="1">
        <f t="shared" si="86"/>
        <v>0.10077519379844961</v>
      </c>
      <c r="BI204" s="1">
        <f t="shared" si="87"/>
        <v>0.44961240310077522</v>
      </c>
      <c r="BJ204" s="1">
        <f t="shared" si="94"/>
        <v>0.43604651162790697</v>
      </c>
      <c r="BK204" s="1">
        <f t="shared" si="95"/>
        <v>0.4082590670874251</v>
      </c>
      <c r="BL204" s="22">
        <f t="shared" si="96"/>
        <v>0.4082590670874251</v>
      </c>
      <c r="BM204" s="1">
        <f t="shared" si="88"/>
        <v>6.1244815813940997E-3</v>
      </c>
      <c r="BN204" s="1">
        <f t="shared" si="89"/>
        <v>6.0281132229629093E-3</v>
      </c>
    </row>
    <row r="205" spans="1:66" x14ac:dyDescent="0.25">
      <c r="A205" s="3"/>
      <c r="B205" s="3"/>
      <c r="C205">
        <v>38</v>
      </c>
      <c r="D205" s="5">
        <v>1</v>
      </c>
      <c r="E205" s="9">
        <f t="shared" si="73"/>
        <v>30</v>
      </c>
      <c r="F205" s="9">
        <f t="shared" si="74"/>
        <v>0.14285714285714285</v>
      </c>
      <c r="G205">
        <v>0</v>
      </c>
      <c r="H205">
        <v>60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30</v>
      </c>
      <c r="P205">
        <v>0</v>
      </c>
      <c r="Q205">
        <v>10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27</v>
      </c>
      <c r="AK205" t="s">
        <v>1</v>
      </c>
      <c r="AL205" t="s">
        <v>372</v>
      </c>
      <c r="AQ205" s="1">
        <f t="shared" si="90"/>
        <v>100</v>
      </c>
      <c r="AR205" s="1">
        <f t="shared" si="75"/>
        <v>0.3</v>
      </c>
      <c r="AS205" s="1">
        <f t="shared" si="76"/>
        <v>0</v>
      </c>
      <c r="AT205" s="1">
        <f t="shared" si="77"/>
        <v>0.6</v>
      </c>
      <c r="AU205" s="1">
        <f t="shared" si="78"/>
        <v>0.1</v>
      </c>
      <c r="AV205" s="1">
        <f t="shared" si="91"/>
        <v>0.27</v>
      </c>
      <c r="AX205" s="1">
        <f t="shared" si="92"/>
        <v>0.16666666666666669</v>
      </c>
      <c r="AY205" s="1">
        <f t="shared" si="79"/>
        <v>0.5</v>
      </c>
      <c r="AZ205" s="1">
        <f t="shared" si="80"/>
        <v>0.51041666666666663</v>
      </c>
      <c r="BA205" s="1">
        <f t="shared" si="81"/>
        <v>0.54166666666666663</v>
      </c>
      <c r="BB205" s="1">
        <f t="shared" si="82"/>
        <v>0.5</v>
      </c>
      <c r="BC205" s="1">
        <f t="shared" si="83"/>
        <v>0.5</v>
      </c>
      <c r="BD205" s="1">
        <f t="shared" si="93"/>
        <v>0.22999999999999998</v>
      </c>
      <c r="BF205">
        <f t="shared" si="84"/>
        <v>60</v>
      </c>
      <c r="BG205">
        <f t="shared" si="85"/>
        <v>30</v>
      </c>
      <c r="BH205" s="1">
        <f t="shared" si="86"/>
        <v>0.16666666666666666</v>
      </c>
      <c r="BI205" s="1">
        <f t="shared" si="87"/>
        <v>0.5</v>
      </c>
      <c r="BJ205" s="1">
        <f t="shared" si="94"/>
        <v>0.44</v>
      </c>
      <c r="BK205" s="1">
        <f t="shared" si="95"/>
        <v>0.41731765985344066</v>
      </c>
      <c r="BL205" s="22">
        <f t="shared" si="96"/>
        <v>0.41731765985344066</v>
      </c>
      <c r="BM205" s="1">
        <f t="shared" si="88"/>
        <v>2.1702492904694035E-2</v>
      </c>
      <c r="BN205" s="1">
        <f t="shared" si="89"/>
        <v>1.8945024213772359E-2</v>
      </c>
    </row>
    <row r="206" spans="1:66" x14ac:dyDescent="0.25">
      <c r="A206" s="3"/>
      <c r="B206" s="3"/>
      <c r="C206">
        <v>39</v>
      </c>
      <c r="D206" s="5">
        <v>1</v>
      </c>
      <c r="E206" s="9">
        <f t="shared" si="73"/>
        <v>30</v>
      </c>
      <c r="F206" s="9">
        <f t="shared" si="74"/>
        <v>0.2857142857142857</v>
      </c>
      <c r="G206">
        <v>0</v>
      </c>
      <c r="H206">
        <v>50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30</v>
      </c>
      <c r="P206">
        <v>0</v>
      </c>
      <c r="Q206">
        <v>20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35</v>
      </c>
      <c r="AK206" t="s">
        <v>1</v>
      </c>
      <c r="AL206" t="s">
        <v>372</v>
      </c>
      <c r="AQ206" s="1">
        <f t="shared" si="90"/>
        <v>100</v>
      </c>
      <c r="AR206" s="1">
        <f t="shared" si="75"/>
        <v>0.3</v>
      </c>
      <c r="AS206" s="1">
        <f t="shared" si="76"/>
        <v>0</v>
      </c>
      <c r="AT206" s="1">
        <f t="shared" si="77"/>
        <v>0.5</v>
      </c>
      <c r="AU206" s="1">
        <f t="shared" si="78"/>
        <v>0.2</v>
      </c>
      <c r="AV206" s="1">
        <f t="shared" si="91"/>
        <v>0.35</v>
      </c>
      <c r="AX206" s="1">
        <f t="shared" si="92"/>
        <v>0.4</v>
      </c>
      <c r="AY206" s="1">
        <f t="shared" si="79"/>
        <v>0.6</v>
      </c>
      <c r="AZ206" s="1">
        <f t="shared" si="80"/>
        <v>0.52500000000000002</v>
      </c>
      <c r="BA206" s="1">
        <f t="shared" si="81"/>
        <v>0.6</v>
      </c>
      <c r="BB206" s="1">
        <f t="shared" si="82"/>
        <v>0.52500000000000002</v>
      </c>
      <c r="BC206" s="1">
        <f t="shared" si="83"/>
        <v>0.52500000000000002</v>
      </c>
      <c r="BD206" s="1">
        <f t="shared" si="93"/>
        <v>0.17500000000000004</v>
      </c>
      <c r="BF206">
        <f t="shared" si="84"/>
        <v>50</v>
      </c>
      <c r="BG206">
        <f t="shared" si="85"/>
        <v>30</v>
      </c>
      <c r="BH206" s="1">
        <f t="shared" si="86"/>
        <v>0.4</v>
      </c>
      <c r="BI206" s="1">
        <f t="shared" si="87"/>
        <v>0.6</v>
      </c>
      <c r="BJ206" s="1">
        <f t="shared" si="94"/>
        <v>0.45400000000000001</v>
      </c>
      <c r="BK206" s="1">
        <f t="shared" si="95"/>
        <v>0.43903428116432613</v>
      </c>
      <c r="BL206" s="22">
        <f t="shared" si="96"/>
        <v>0.43903428116432613</v>
      </c>
      <c r="BM206" s="1">
        <f t="shared" si="88"/>
        <v>7.9271032224482833E-3</v>
      </c>
      <c r="BN206" s="1">
        <f t="shared" si="89"/>
        <v>3.3224762260264311E-3</v>
      </c>
    </row>
    <row r="207" spans="1:66" x14ac:dyDescent="0.25">
      <c r="A207" s="3"/>
      <c r="B207" s="3"/>
      <c r="C207">
        <v>40</v>
      </c>
      <c r="D207" s="5">
        <v>1</v>
      </c>
      <c r="E207" s="9">
        <f t="shared" si="73"/>
        <v>30</v>
      </c>
      <c r="F207" s="9">
        <f t="shared" si="74"/>
        <v>0.42857142857142855</v>
      </c>
      <c r="G207">
        <v>0</v>
      </c>
      <c r="H207">
        <v>40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30</v>
      </c>
      <c r="P207">
        <v>0</v>
      </c>
      <c r="Q207">
        <v>30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43</v>
      </c>
      <c r="AK207" t="s">
        <v>1</v>
      </c>
      <c r="AL207" t="s">
        <v>372</v>
      </c>
      <c r="AQ207" s="1">
        <f t="shared" si="90"/>
        <v>100</v>
      </c>
      <c r="AR207" s="1">
        <f t="shared" si="75"/>
        <v>0.3</v>
      </c>
      <c r="AS207" s="1">
        <f t="shared" si="76"/>
        <v>0</v>
      </c>
      <c r="AT207" s="1">
        <f t="shared" si="77"/>
        <v>0.4</v>
      </c>
      <c r="AU207" s="1">
        <f t="shared" si="78"/>
        <v>0.3</v>
      </c>
      <c r="AV207" s="1">
        <f t="shared" si="91"/>
        <v>0.43</v>
      </c>
      <c r="AX207" s="1">
        <f t="shared" si="92"/>
        <v>0.74999999999999989</v>
      </c>
      <c r="AY207" s="1">
        <f t="shared" si="79"/>
        <v>0.74999999999999989</v>
      </c>
      <c r="AZ207" s="1">
        <f t="shared" si="80"/>
        <v>0.546875</v>
      </c>
      <c r="BA207" s="1">
        <f t="shared" si="81"/>
        <v>0.6875</v>
      </c>
      <c r="BB207" s="1">
        <f t="shared" si="82"/>
        <v>0.53030303030303028</v>
      </c>
      <c r="BC207" s="1">
        <f t="shared" si="83"/>
        <v>0.53030303030303028</v>
      </c>
      <c r="BD207" s="1">
        <f t="shared" si="93"/>
        <v>0.10030303030303028</v>
      </c>
      <c r="BF207">
        <f t="shared" si="84"/>
        <v>40</v>
      </c>
      <c r="BG207">
        <f t="shared" si="85"/>
        <v>30</v>
      </c>
      <c r="BH207" s="1">
        <f t="shared" si="86"/>
        <v>0.75</v>
      </c>
      <c r="BI207" s="1">
        <f t="shared" si="87"/>
        <v>0.75</v>
      </c>
      <c r="BJ207" s="1">
        <f t="shared" si="94"/>
        <v>0.47499999999999998</v>
      </c>
      <c r="BK207" s="1">
        <f t="shared" si="95"/>
        <v>0.4681547061560683</v>
      </c>
      <c r="BL207" s="22">
        <f t="shared" si="96"/>
        <v>0.4681547061560683</v>
      </c>
      <c r="BM207" s="1">
        <f t="shared" si="88"/>
        <v>1.4557816018559168E-3</v>
      </c>
      <c r="BN207" s="1">
        <f t="shared" si="89"/>
        <v>4.9992823828049458E-4</v>
      </c>
    </row>
    <row r="208" spans="1:66" x14ac:dyDescent="0.25">
      <c r="A208" s="3"/>
      <c r="B208" s="3"/>
      <c r="C208">
        <v>41</v>
      </c>
      <c r="D208" s="5">
        <v>1</v>
      </c>
      <c r="E208" s="9">
        <f t="shared" si="73"/>
        <v>30</v>
      </c>
      <c r="F208" s="9">
        <f t="shared" si="74"/>
        <v>0.5714285714285714</v>
      </c>
      <c r="G208">
        <v>0</v>
      </c>
      <c r="H208">
        <v>30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30</v>
      </c>
      <c r="P208">
        <v>0</v>
      </c>
      <c r="Q208">
        <v>40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44</v>
      </c>
      <c r="AK208" t="s">
        <v>1</v>
      </c>
      <c r="AL208" t="s">
        <v>372</v>
      </c>
      <c r="AQ208" s="1">
        <f t="shared" si="90"/>
        <v>100</v>
      </c>
      <c r="AR208" s="1">
        <f t="shared" si="75"/>
        <v>0.3</v>
      </c>
      <c r="AS208" s="1">
        <f t="shared" si="76"/>
        <v>0</v>
      </c>
      <c r="AT208" s="1">
        <f t="shared" si="77"/>
        <v>0.3</v>
      </c>
      <c r="AU208" s="1">
        <f t="shared" si="78"/>
        <v>0.4</v>
      </c>
      <c r="AV208" s="1">
        <f t="shared" si="91"/>
        <v>0.44</v>
      </c>
      <c r="AX208" s="1">
        <f t="shared" si="92"/>
        <v>1.3333333333333335</v>
      </c>
      <c r="AY208" s="1">
        <f t="shared" si="79"/>
        <v>1</v>
      </c>
      <c r="AZ208" s="1">
        <f t="shared" si="80"/>
        <v>0.58333333333333337</v>
      </c>
      <c r="BA208" s="1">
        <f t="shared" si="81"/>
        <v>0.83333333333333337</v>
      </c>
      <c r="BB208" s="1">
        <f t="shared" si="82"/>
        <v>0.54444444444444451</v>
      </c>
      <c r="BC208" s="1">
        <f t="shared" si="83"/>
        <v>0.54444444444444451</v>
      </c>
      <c r="BD208" s="1">
        <f t="shared" si="93"/>
        <v>0.10444444444444451</v>
      </c>
      <c r="BF208">
        <f t="shared" si="84"/>
        <v>30</v>
      </c>
      <c r="BG208">
        <f t="shared" si="85"/>
        <v>30</v>
      </c>
      <c r="BH208" s="1">
        <f t="shared" si="86"/>
        <v>1.3333333333333333</v>
      </c>
      <c r="BI208" s="1">
        <f t="shared" si="87"/>
        <v>1</v>
      </c>
      <c r="BJ208" s="1">
        <f t="shared" si="94"/>
        <v>0.51</v>
      </c>
      <c r="BK208" s="1">
        <f t="shared" si="95"/>
        <v>0.51078367299764349</v>
      </c>
      <c r="BL208" s="22">
        <f t="shared" si="96"/>
        <v>0.51078367299764349</v>
      </c>
      <c r="BM208" s="1">
        <f t="shared" si="88"/>
        <v>5.0103283630373238E-3</v>
      </c>
      <c r="BN208" s="1">
        <f t="shared" si="89"/>
        <v>1.0471097398122534E-3</v>
      </c>
    </row>
    <row r="209" spans="1:66" x14ac:dyDescent="0.25">
      <c r="A209" s="3"/>
      <c r="B209" s="3"/>
      <c r="C209">
        <v>42</v>
      </c>
      <c r="D209" s="5">
        <v>1</v>
      </c>
      <c r="E209" s="9">
        <f t="shared" si="73"/>
        <v>30</v>
      </c>
      <c r="F209" s="9">
        <f t="shared" si="74"/>
        <v>0.5714285714285714</v>
      </c>
      <c r="G209">
        <v>0</v>
      </c>
      <c r="H209">
        <v>30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30</v>
      </c>
      <c r="P209">
        <v>0</v>
      </c>
      <c r="Q209">
        <v>40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62</v>
      </c>
      <c r="AK209" t="s">
        <v>1</v>
      </c>
      <c r="AL209" t="s">
        <v>372</v>
      </c>
      <c r="AQ209" s="1">
        <f t="shared" si="90"/>
        <v>100</v>
      </c>
      <c r="AR209" s="1">
        <f t="shared" si="75"/>
        <v>0.3</v>
      </c>
      <c r="AS209" s="1">
        <f t="shared" si="76"/>
        <v>0</v>
      </c>
      <c r="AT209" s="1">
        <f t="shared" si="77"/>
        <v>0.3</v>
      </c>
      <c r="AU209" s="1">
        <f t="shared" si="78"/>
        <v>0.4</v>
      </c>
      <c r="AV209" s="1">
        <f t="shared" si="91"/>
        <v>0.62</v>
      </c>
      <c r="AX209" s="1">
        <f t="shared" si="92"/>
        <v>1.3333333333333335</v>
      </c>
      <c r="AY209" s="1">
        <f t="shared" si="79"/>
        <v>1</v>
      </c>
      <c r="AZ209" s="1">
        <f t="shared" si="80"/>
        <v>0.58333333333333337</v>
      </c>
      <c r="BA209" s="1">
        <f t="shared" si="81"/>
        <v>0.83333333333333337</v>
      </c>
      <c r="BB209" s="1">
        <f t="shared" si="82"/>
        <v>0.54444444444444451</v>
      </c>
      <c r="BC209" s="1">
        <f t="shared" si="83"/>
        <v>0.54444444444444451</v>
      </c>
      <c r="BD209" s="1">
        <f t="shared" si="93"/>
        <v>7.5555555555555487E-2</v>
      </c>
      <c r="BF209">
        <f t="shared" si="84"/>
        <v>30</v>
      </c>
      <c r="BG209">
        <f t="shared" si="85"/>
        <v>30</v>
      </c>
      <c r="BH209" s="1">
        <f t="shared" si="86"/>
        <v>1.3333333333333333</v>
      </c>
      <c r="BI209" s="1">
        <f t="shared" si="87"/>
        <v>1</v>
      </c>
      <c r="BJ209" s="1">
        <f t="shared" si="94"/>
        <v>0.51</v>
      </c>
      <c r="BK209" s="1">
        <f t="shared" si="95"/>
        <v>0.51078367299764349</v>
      </c>
      <c r="BL209" s="22">
        <f t="shared" si="96"/>
        <v>0.51078367299764349</v>
      </c>
      <c r="BM209" s="1">
        <f t="shared" si="88"/>
        <v>1.1928206083885666E-2</v>
      </c>
      <c r="BN209" s="1">
        <f t="shared" si="89"/>
        <v>4.50963767673839E-2</v>
      </c>
    </row>
    <row r="210" spans="1:66" x14ac:dyDescent="0.25">
      <c r="A210" s="3"/>
      <c r="B210" s="3"/>
      <c r="C210">
        <v>43</v>
      </c>
      <c r="D210" s="5">
        <v>1</v>
      </c>
      <c r="E210" s="9">
        <f t="shared" si="73"/>
        <v>30</v>
      </c>
      <c r="F210" s="9">
        <f t="shared" si="74"/>
        <v>0.7857142857142857</v>
      </c>
      <c r="G210">
        <v>0</v>
      </c>
      <c r="H210">
        <v>15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30</v>
      </c>
      <c r="P210">
        <v>0</v>
      </c>
      <c r="Q210">
        <v>55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50</v>
      </c>
      <c r="AK210" t="s">
        <v>1</v>
      </c>
      <c r="AL210" t="s">
        <v>372</v>
      </c>
      <c r="AQ210" s="1">
        <f t="shared" si="90"/>
        <v>100</v>
      </c>
      <c r="AR210" s="1">
        <f t="shared" si="75"/>
        <v>0.3</v>
      </c>
      <c r="AS210" s="1">
        <f t="shared" si="76"/>
        <v>0</v>
      </c>
      <c r="AT210" s="1">
        <f t="shared" si="77"/>
        <v>0.15</v>
      </c>
      <c r="AU210" s="1">
        <f t="shared" si="78"/>
        <v>0.55000000000000004</v>
      </c>
      <c r="AV210" s="1">
        <f t="shared" si="91"/>
        <v>0.5</v>
      </c>
      <c r="AX210" s="1">
        <f t="shared" si="92"/>
        <v>3.666666666666667</v>
      </c>
      <c r="AY210" s="1">
        <f t="shared" si="79"/>
        <v>2</v>
      </c>
      <c r="AZ210" s="1">
        <f t="shared" si="80"/>
        <v>0.72916666666666674</v>
      </c>
      <c r="BA210" s="1">
        <f t="shared" si="81"/>
        <v>1.4166666666666667</v>
      </c>
      <c r="BB210" s="1">
        <f t="shared" si="82"/>
        <v>0.62908496732026153</v>
      </c>
      <c r="BC210" s="1">
        <f t="shared" si="83"/>
        <v>0.62908496732026153</v>
      </c>
      <c r="BD210" s="1">
        <f t="shared" si="93"/>
        <v>0.12908496732026153</v>
      </c>
      <c r="BF210">
        <f t="shared" si="84"/>
        <v>15</v>
      </c>
      <c r="BG210">
        <f t="shared" si="85"/>
        <v>30</v>
      </c>
      <c r="BH210" s="1">
        <f t="shared" si="86"/>
        <v>3.6666666666666665</v>
      </c>
      <c r="BI210" s="1">
        <f t="shared" si="87"/>
        <v>2</v>
      </c>
      <c r="BJ210" s="1">
        <f t="shared" si="94"/>
        <v>0.64999999999999991</v>
      </c>
      <c r="BK210" s="1">
        <f t="shared" si="95"/>
        <v>0.65286053633059804</v>
      </c>
      <c r="BL210" s="22">
        <f t="shared" si="96"/>
        <v>0.65286053633059804</v>
      </c>
      <c r="BM210" s="1">
        <f t="shared" si="88"/>
        <v>2.3366343567278083E-2</v>
      </c>
      <c r="BN210" s="1">
        <f t="shared" si="89"/>
        <v>8.5301987490028035E-3</v>
      </c>
    </row>
    <row r="211" spans="1:66" x14ac:dyDescent="0.25">
      <c r="A211" s="3"/>
      <c r="B211" s="3"/>
      <c r="C211">
        <v>44</v>
      </c>
      <c r="D211" s="5">
        <v>1</v>
      </c>
      <c r="E211" s="9">
        <f t="shared" si="73"/>
        <v>30.8</v>
      </c>
      <c r="F211" s="9">
        <f t="shared" si="74"/>
        <v>0.66763005780346818</v>
      </c>
      <c r="G211">
        <v>0</v>
      </c>
      <c r="H211">
        <v>23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30.8</v>
      </c>
      <c r="P211">
        <v>0</v>
      </c>
      <c r="Q211">
        <v>46.2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57</v>
      </c>
      <c r="AK211" t="s">
        <v>1</v>
      </c>
      <c r="AL211" t="s">
        <v>372</v>
      </c>
      <c r="AQ211" s="1">
        <f t="shared" si="90"/>
        <v>100</v>
      </c>
      <c r="AR211" s="1">
        <f t="shared" si="75"/>
        <v>0.308</v>
      </c>
      <c r="AS211" s="1">
        <f t="shared" si="76"/>
        <v>0</v>
      </c>
      <c r="AT211" s="1">
        <f t="shared" si="77"/>
        <v>0.23</v>
      </c>
      <c r="AU211" s="1">
        <f t="shared" si="78"/>
        <v>0.46200000000000002</v>
      </c>
      <c r="AV211" s="1">
        <f t="shared" si="91"/>
        <v>0.56999999999999995</v>
      </c>
      <c r="AX211" s="1">
        <f t="shared" si="92"/>
        <v>2.008695652173913</v>
      </c>
      <c r="AY211" s="1">
        <f t="shared" si="79"/>
        <v>1.3391304347826085</v>
      </c>
      <c r="AZ211" s="1">
        <f t="shared" si="80"/>
        <v>0.62554347826086953</v>
      </c>
      <c r="BA211" s="1">
        <f t="shared" si="81"/>
        <v>1.0021739130434781</v>
      </c>
      <c r="BB211" s="1">
        <f t="shared" si="82"/>
        <v>0.55543556854978149</v>
      </c>
      <c r="BC211" s="1">
        <f t="shared" si="83"/>
        <v>0.55543556854978149</v>
      </c>
      <c r="BD211" s="1">
        <f t="shared" si="93"/>
        <v>1.4564431450218462E-2</v>
      </c>
      <c r="BF211">
        <f t="shared" si="84"/>
        <v>23</v>
      </c>
      <c r="BG211">
        <f t="shared" si="85"/>
        <v>30.8</v>
      </c>
      <c r="BH211" s="1">
        <f t="shared" si="86"/>
        <v>2.008695652173913</v>
      </c>
      <c r="BI211" s="1">
        <f t="shared" si="87"/>
        <v>1.3391304347826087</v>
      </c>
      <c r="BJ211" s="1">
        <f t="shared" si="94"/>
        <v>0.55052173913043478</v>
      </c>
      <c r="BK211" s="1">
        <f t="shared" si="95"/>
        <v>0.54995256818925087</v>
      </c>
      <c r="BL211" s="22">
        <f t="shared" si="96"/>
        <v>0.54995256818925087</v>
      </c>
      <c r="BM211" s="1">
        <f t="shared" si="88"/>
        <v>4.0189952220663427E-4</v>
      </c>
      <c r="BN211" s="1">
        <f t="shared" si="89"/>
        <v>2.6360469259725097E-2</v>
      </c>
    </row>
    <row r="212" spans="1:66" x14ac:dyDescent="0.25">
      <c r="A212" s="3"/>
      <c r="B212" s="3"/>
      <c r="C212">
        <v>45</v>
      </c>
      <c r="D212" s="5">
        <v>1</v>
      </c>
      <c r="E212" s="9">
        <f t="shared" si="73"/>
        <v>35</v>
      </c>
      <c r="F212" s="9">
        <f t="shared" si="74"/>
        <v>0.15384615384615385</v>
      </c>
      <c r="G212">
        <v>0</v>
      </c>
      <c r="H212">
        <v>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35</v>
      </c>
      <c r="P212">
        <v>0</v>
      </c>
      <c r="Q212">
        <v>10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39</v>
      </c>
      <c r="AK212" t="s">
        <v>1</v>
      </c>
      <c r="AL212" t="s">
        <v>372</v>
      </c>
      <c r="AQ212" s="1">
        <f t="shared" si="90"/>
        <v>100</v>
      </c>
      <c r="AR212" s="1">
        <f t="shared" si="75"/>
        <v>0.35</v>
      </c>
      <c r="AS212" s="1">
        <f t="shared" si="76"/>
        <v>0</v>
      </c>
      <c r="AT212" s="1">
        <f t="shared" si="77"/>
        <v>0.55000000000000004</v>
      </c>
      <c r="AU212" s="1">
        <f t="shared" si="78"/>
        <v>0.1</v>
      </c>
      <c r="AV212" s="1">
        <f t="shared" si="91"/>
        <v>0.39</v>
      </c>
      <c r="AX212" s="1">
        <f t="shared" si="92"/>
        <v>0.18181818181818182</v>
      </c>
      <c r="AY212" s="1">
        <f t="shared" si="79"/>
        <v>0.63636363636363624</v>
      </c>
      <c r="AZ212" s="1">
        <f t="shared" si="80"/>
        <v>0.51136363636363635</v>
      </c>
      <c r="BA212" s="1">
        <f t="shared" si="81"/>
        <v>0.54545454545454541</v>
      </c>
      <c r="BB212" s="1">
        <f t="shared" si="82"/>
        <v>0.48295454545454547</v>
      </c>
      <c r="BC212" s="1">
        <f t="shared" si="83"/>
        <v>0.48295454545454547</v>
      </c>
      <c r="BD212" s="1">
        <f t="shared" si="93"/>
        <v>9.2954545454545456E-2</v>
      </c>
      <c r="BF212">
        <f t="shared" si="84"/>
        <v>55</v>
      </c>
      <c r="BG212">
        <f t="shared" si="85"/>
        <v>35</v>
      </c>
      <c r="BH212" s="1">
        <f t="shared" si="86"/>
        <v>0.18181818181818182</v>
      </c>
      <c r="BI212" s="1">
        <f t="shared" si="87"/>
        <v>0.63636363636363635</v>
      </c>
      <c r="BJ212" s="1">
        <f t="shared" si="94"/>
        <v>0.44090909090909092</v>
      </c>
      <c r="BK212" s="1">
        <f t="shared" si="95"/>
        <v>0.42377330160504134</v>
      </c>
      <c r="BL212" s="22">
        <f t="shared" si="96"/>
        <v>0.42377330160504134</v>
      </c>
      <c r="BM212" s="1">
        <f t="shared" si="88"/>
        <v>1.1406359013050871E-3</v>
      </c>
      <c r="BN212" s="1">
        <f t="shared" si="89"/>
        <v>3.1120223215346117E-4</v>
      </c>
    </row>
    <row r="213" spans="1:66" x14ac:dyDescent="0.25">
      <c r="A213" s="3"/>
      <c r="B213" s="3"/>
      <c r="C213">
        <v>46</v>
      </c>
      <c r="D213" s="5">
        <v>1</v>
      </c>
      <c r="E213" s="9">
        <f t="shared" si="73"/>
        <v>35</v>
      </c>
      <c r="F213" s="9">
        <f t="shared" si="74"/>
        <v>0.15384615384615385</v>
      </c>
      <c r="G213">
        <v>0</v>
      </c>
      <c r="H213">
        <v>55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35</v>
      </c>
      <c r="P213">
        <v>0</v>
      </c>
      <c r="Q213">
        <v>10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45</v>
      </c>
      <c r="AK213" t="s">
        <v>1</v>
      </c>
      <c r="AL213" t="s">
        <v>372</v>
      </c>
      <c r="AQ213" s="1">
        <f t="shared" si="90"/>
        <v>100</v>
      </c>
      <c r="AR213" s="1">
        <f t="shared" si="75"/>
        <v>0.35</v>
      </c>
      <c r="AS213" s="1">
        <f t="shared" si="76"/>
        <v>0</v>
      </c>
      <c r="AT213" s="1">
        <f t="shared" si="77"/>
        <v>0.55000000000000004</v>
      </c>
      <c r="AU213" s="1">
        <f t="shared" si="78"/>
        <v>0.1</v>
      </c>
      <c r="AV213" s="1">
        <f t="shared" si="91"/>
        <v>0.45</v>
      </c>
      <c r="AX213" s="1">
        <f t="shared" si="92"/>
        <v>0.18181818181818182</v>
      </c>
      <c r="AY213" s="1">
        <f t="shared" si="79"/>
        <v>0.63636363636363624</v>
      </c>
      <c r="AZ213" s="1">
        <f t="shared" si="80"/>
        <v>0.51136363636363635</v>
      </c>
      <c r="BA213" s="1">
        <f t="shared" si="81"/>
        <v>0.54545454545454541</v>
      </c>
      <c r="BB213" s="1">
        <f t="shared" si="82"/>
        <v>0.48295454545454547</v>
      </c>
      <c r="BC213" s="1">
        <f t="shared" si="83"/>
        <v>0.48295454545454547</v>
      </c>
      <c r="BD213" s="1">
        <f t="shared" si="93"/>
        <v>3.2954545454545459E-2</v>
      </c>
      <c r="BF213">
        <f t="shared" si="84"/>
        <v>55</v>
      </c>
      <c r="BG213">
        <f t="shared" si="85"/>
        <v>35</v>
      </c>
      <c r="BH213" s="1">
        <f t="shared" si="86"/>
        <v>0.18181818181818182</v>
      </c>
      <c r="BI213" s="1">
        <f t="shared" si="87"/>
        <v>0.63636363636363635</v>
      </c>
      <c r="BJ213" s="1">
        <f t="shared" si="94"/>
        <v>0.44090909090909092</v>
      </c>
      <c r="BK213" s="1">
        <f t="shared" si="95"/>
        <v>0.42377330160504134</v>
      </c>
      <c r="BL213" s="22">
        <f t="shared" si="96"/>
        <v>0.42377330160504134</v>
      </c>
      <c r="BM213" s="1">
        <f t="shared" si="88"/>
        <v>6.8783970870012765E-4</v>
      </c>
      <c r="BN213" s="1">
        <f t="shared" si="89"/>
        <v>1.7942912413440124E-3</v>
      </c>
    </row>
    <row r="214" spans="1:66" x14ac:dyDescent="0.25">
      <c r="A214" s="3"/>
      <c r="B214" s="3"/>
      <c r="C214">
        <v>47</v>
      </c>
      <c r="D214" s="5">
        <v>1</v>
      </c>
      <c r="E214" s="9">
        <f t="shared" si="73"/>
        <v>35</v>
      </c>
      <c r="F214" s="9">
        <f t="shared" si="74"/>
        <v>0.30769230769230771</v>
      </c>
      <c r="G214">
        <v>0</v>
      </c>
      <c r="H214">
        <v>45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35</v>
      </c>
      <c r="P214">
        <v>0</v>
      </c>
      <c r="Q214">
        <v>20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40</v>
      </c>
      <c r="AK214" t="s">
        <v>1</v>
      </c>
      <c r="AL214" t="s">
        <v>372</v>
      </c>
      <c r="AQ214" s="1">
        <f t="shared" si="90"/>
        <v>100</v>
      </c>
      <c r="AR214" s="1">
        <f t="shared" si="75"/>
        <v>0.35</v>
      </c>
      <c r="AS214" s="1">
        <f t="shared" si="76"/>
        <v>0</v>
      </c>
      <c r="AT214" s="1">
        <f t="shared" si="77"/>
        <v>0.45</v>
      </c>
      <c r="AU214" s="1">
        <f t="shared" si="78"/>
        <v>0.2</v>
      </c>
      <c r="AV214" s="1">
        <f t="shared" si="91"/>
        <v>0.4</v>
      </c>
      <c r="AX214" s="1">
        <f t="shared" si="92"/>
        <v>0.44444444444444448</v>
      </c>
      <c r="AY214" s="1">
        <f t="shared" si="79"/>
        <v>0.77777777777777768</v>
      </c>
      <c r="AZ214" s="1">
        <f t="shared" si="80"/>
        <v>0.52777777777777779</v>
      </c>
      <c r="BA214" s="1">
        <f t="shared" si="81"/>
        <v>0.61111111111111116</v>
      </c>
      <c r="BB214" s="1">
        <f t="shared" si="82"/>
        <v>0.47979797979797983</v>
      </c>
      <c r="BC214" s="1">
        <f t="shared" si="83"/>
        <v>0.47979797979797983</v>
      </c>
      <c r="BD214" s="1">
        <f t="shared" si="93"/>
        <v>7.9797979797979812E-2</v>
      </c>
      <c r="BF214">
        <f t="shared" si="84"/>
        <v>45</v>
      </c>
      <c r="BG214">
        <f t="shared" si="85"/>
        <v>35</v>
      </c>
      <c r="BH214" s="1">
        <f t="shared" si="86"/>
        <v>0.44444444444444442</v>
      </c>
      <c r="BI214" s="1">
        <f t="shared" si="87"/>
        <v>0.77777777777777779</v>
      </c>
      <c r="BJ214" s="1">
        <f t="shared" si="94"/>
        <v>0.45666666666666667</v>
      </c>
      <c r="BK214" s="1">
        <f t="shared" si="95"/>
        <v>0.44173495700796944</v>
      </c>
      <c r="BL214" s="22">
        <f t="shared" si="96"/>
        <v>0.44173495700796944</v>
      </c>
      <c r="BM214" s="1">
        <f t="shared" si="88"/>
        <v>1.7418066364570557E-3</v>
      </c>
      <c r="BN214" s="1">
        <f t="shared" si="89"/>
        <v>5.8383733685219634E-5</v>
      </c>
    </row>
    <row r="215" spans="1:66" x14ac:dyDescent="0.25">
      <c r="A215" s="3"/>
      <c r="B215" s="3"/>
      <c r="C215">
        <v>48</v>
      </c>
      <c r="D215" s="5">
        <v>1</v>
      </c>
      <c r="E215" s="9">
        <f t="shared" si="73"/>
        <v>35</v>
      </c>
      <c r="F215" s="9">
        <f t="shared" si="74"/>
        <v>0.46153846153846156</v>
      </c>
      <c r="G215">
        <v>0</v>
      </c>
      <c r="H215">
        <v>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35</v>
      </c>
      <c r="P215">
        <v>0</v>
      </c>
      <c r="Q215">
        <v>30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30</v>
      </c>
      <c r="AK215" t="s">
        <v>1</v>
      </c>
      <c r="AL215" t="s">
        <v>372</v>
      </c>
      <c r="AQ215" s="1">
        <f t="shared" si="90"/>
        <v>100</v>
      </c>
      <c r="AR215" s="1">
        <f t="shared" si="75"/>
        <v>0.35</v>
      </c>
      <c r="AS215" s="1">
        <f t="shared" si="76"/>
        <v>0</v>
      </c>
      <c r="AT215" s="1">
        <f t="shared" si="77"/>
        <v>0.35</v>
      </c>
      <c r="AU215" s="1">
        <f t="shared" si="78"/>
        <v>0.3</v>
      </c>
      <c r="AV215" s="1">
        <f t="shared" si="91"/>
        <v>0.3</v>
      </c>
      <c r="AX215" s="1">
        <f t="shared" si="92"/>
        <v>0.85714285714285721</v>
      </c>
      <c r="AY215" s="1">
        <f t="shared" si="79"/>
        <v>1</v>
      </c>
      <c r="AZ215" s="1">
        <f t="shared" si="80"/>
        <v>0.5535714285714286</v>
      </c>
      <c r="BA215" s="1">
        <f t="shared" si="81"/>
        <v>0.7142857142857143</v>
      </c>
      <c r="BB215" s="1">
        <f t="shared" si="82"/>
        <v>0.47976190476190478</v>
      </c>
      <c r="BC215" s="1">
        <f t="shared" si="83"/>
        <v>0.47976190476190478</v>
      </c>
      <c r="BD215" s="1">
        <f t="shared" si="93"/>
        <v>0.17976190476190479</v>
      </c>
      <c r="BF215">
        <f t="shared" si="84"/>
        <v>35</v>
      </c>
      <c r="BG215">
        <f t="shared" si="85"/>
        <v>35</v>
      </c>
      <c r="BH215" s="1">
        <f t="shared" si="86"/>
        <v>0.8571428571428571</v>
      </c>
      <c r="BI215" s="1">
        <f t="shared" si="87"/>
        <v>1</v>
      </c>
      <c r="BJ215" s="1">
        <f t="shared" si="94"/>
        <v>0.48142857142857143</v>
      </c>
      <c r="BK215" s="1">
        <f t="shared" si="95"/>
        <v>0.46442034394224518</v>
      </c>
      <c r="BL215" s="22">
        <f t="shared" si="96"/>
        <v>0.46442034394224518</v>
      </c>
      <c r="BM215" s="1">
        <f t="shared" si="88"/>
        <v>2.7034049502086207E-2</v>
      </c>
      <c r="BN215" s="1">
        <f t="shared" si="89"/>
        <v>1.158656871836764E-2</v>
      </c>
    </row>
    <row r="216" spans="1:66" x14ac:dyDescent="0.25">
      <c r="A216" s="3"/>
      <c r="B216" s="3"/>
      <c r="C216">
        <v>49</v>
      </c>
      <c r="D216" s="5">
        <v>1</v>
      </c>
      <c r="E216" s="9">
        <f t="shared" si="73"/>
        <v>35</v>
      </c>
      <c r="F216" s="9">
        <f t="shared" si="74"/>
        <v>0.61538461538461542</v>
      </c>
      <c r="G216">
        <v>0</v>
      </c>
      <c r="H216">
        <v>25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35</v>
      </c>
      <c r="P216">
        <v>0</v>
      </c>
      <c r="Q216">
        <v>40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44</v>
      </c>
      <c r="AK216" t="s">
        <v>1</v>
      </c>
      <c r="AL216" t="s">
        <v>372</v>
      </c>
      <c r="AQ216" s="1">
        <f t="shared" si="90"/>
        <v>100</v>
      </c>
      <c r="AR216" s="1">
        <f t="shared" si="75"/>
        <v>0.35</v>
      </c>
      <c r="AS216" s="1">
        <f t="shared" si="76"/>
        <v>0</v>
      </c>
      <c r="AT216" s="1">
        <f t="shared" si="77"/>
        <v>0.25</v>
      </c>
      <c r="AU216" s="1">
        <f t="shared" si="78"/>
        <v>0.4</v>
      </c>
      <c r="AV216" s="1">
        <f t="shared" si="91"/>
        <v>0.44</v>
      </c>
      <c r="AX216" s="1">
        <f t="shared" si="92"/>
        <v>1.6</v>
      </c>
      <c r="AY216" s="1">
        <f t="shared" si="79"/>
        <v>1.4</v>
      </c>
      <c r="AZ216" s="1">
        <f t="shared" si="80"/>
        <v>0.6</v>
      </c>
      <c r="BA216" s="1">
        <f t="shared" si="81"/>
        <v>0.9</v>
      </c>
      <c r="BB216" s="1">
        <f t="shared" si="82"/>
        <v>0.48888888888888893</v>
      </c>
      <c r="BC216" s="1">
        <f t="shared" si="83"/>
        <v>0.48888888888888893</v>
      </c>
      <c r="BD216" s="1">
        <f t="shared" si="93"/>
        <v>4.8888888888888926E-2</v>
      </c>
      <c r="BF216">
        <f t="shared" si="84"/>
        <v>25</v>
      </c>
      <c r="BG216">
        <f t="shared" si="85"/>
        <v>35</v>
      </c>
      <c r="BH216" s="1">
        <f t="shared" si="86"/>
        <v>1.6</v>
      </c>
      <c r="BI216" s="1">
        <f t="shared" si="87"/>
        <v>1.4</v>
      </c>
      <c r="BJ216" s="1">
        <f t="shared" si="94"/>
        <v>0.52600000000000002</v>
      </c>
      <c r="BK216" s="1">
        <f t="shared" si="95"/>
        <v>0.49611906452116505</v>
      </c>
      <c r="BL216" s="22">
        <f t="shared" si="96"/>
        <v>0.49611906452116505</v>
      </c>
      <c r="BM216" s="1">
        <f t="shared" si="88"/>
        <v>3.1493494027306861E-3</v>
      </c>
      <c r="BN216" s="1">
        <f t="shared" si="89"/>
        <v>1.0471097398122534E-3</v>
      </c>
    </row>
    <row r="217" spans="1:66" x14ac:dyDescent="0.25">
      <c r="A217" s="3"/>
      <c r="B217" s="3"/>
      <c r="C217">
        <v>50</v>
      </c>
      <c r="D217" s="5">
        <v>1</v>
      </c>
      <c r="E217" s="9">
        <f t="shared" si="73"/>
        <v>35</v>
      </c>
      <c r="F217" s="9">
        <f t="shared" si="74"/>
        <v>0.76923076923076927</v>
      </c>
      <c r="G217">
        <v>0</v>
      </c>
      <c r="H217">
        <v>15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35</v>
      </c>
      <c r="P217">
        <v>0</v>
      </c>
      <c r="Q217">
        <v>50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49</v>
      </c>
      <c r="AK217" t="s">
        <v>1</v>
      </c>
      <c r="AL217" t="s">
        <v>372</v>
      </c>
      <c r="AQ217" s="1">
        <f t="shared" si="90"/>
        <v>100</v>
      </c>
      <c r="AR217" s="1">
        <f t="shared" si="75"/>
        <v>0.35</v>
      </c>
      <c r="AS217" s="1">
        <f t="shared" si="76"/>
        <v>0</v>
      </c>
      <c r="AT217" s="1">
        <f t="shared" si="77"/>
        <v>0.15</v>
      </c>
      <c r="AU217" s="1">
        <f t="shared" si="78"/>
        <v>0.5</v>
      </c>
      <c r="AV217" s="1">
        <f t="shared" si="91"/>
        <v>0.49</v>
      </c>
      <c r="AX217" s="1">
        <f t="shared" si="92"/>
        <v>3.3333333333333335</v>
      </c>
      <c r="AY217" s="1">
        <f t="shared" si="79"/>
        <v>2.3333333333333335</v>
      </c>
      <c r="AZ217" s="1">
        <f t="shared" si="80"/>
        <v>0.70833333333333337</v>
      </c>
      <c r="BA217" s="1">
        <f t="shared" si="81"/>
        <v>1.3333333333333335</v>
      </c>
      <c r="BB217" s="1">
        <f t="shared" si="82"/>
        <v>0.53125</v>
      </c>
      <c r="BC217" s="1">
        <f t="shared" si="83"/>
        <v>0.53125</v>
      </c>
      <c r="BD217" s="1">
        <f t="shared" si="93"/>
        <v>4.1250000000000009E-2</v>
      </c>
      <c r="BF217">
        <f t="shared" si="84"/>
        <v>15</v>
      </c>
      <c r="BG217">
        <f t="shared" si="85"/>
        <v>35</v>
      </c>
      <c r="BH217" s="1">
        <f t="shared" si="86"/>
        <v>3.3333333333333335</v>
      </c>
      <c r="BI217" s="1">
        <f t="shared" si="87"/>
        <v>2.3333333333333335</v>
      </c>
      <c r="BJ217" s="1">
        <f t="shared" si="94"/>
        <v>0.63</v>
      </c>
      <c r="BK217" s="1">
        <f t="shared" si="95"/>
        <v>0.55489386430718024</v>
      </c>
      <c r="BL217" s="22">
        <f t="shared" si="96"/>
        <v>0.55489386430718024</v>
      </c>
      <c r="BM217" s="1">
        <f t="shared" si="88"/>
        <v>4.211213624718723E-3</v>
      </c>
      <c r="BN217" s="1">
        <f t="shared" si="89"/>
        <v>6.7830172474710433E-3</v>
      </c>
    </row>
    <row r="218" spans="1:66" x14ac:dyDescent="0.25">
      <c r="A218" s="3"/>
      <c r="B218" s="3"/>
      <c r="C218">
        <v>51</v>
      </c>
      <c r="D218" s="5">
        <v>1</v>
      </c>
      <c r="E218" s="9">
        <f t="shared" si="73"/>
        <v>35.700000000000003</v>
      </c>
      <c r="F218" s="9">
        <f t="shared" si="74"/>
        <v>0.88958009331259724</v>
      </c>
      <c r="G218">
        <v>0</v>
      </c>
      <c r="H218">
        <v>7.1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35.700000000000003</v>
      </c>
      <c r="P218">
        <v>0</v>
      </c>
      <c r="Q218">
        <v>57.2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60</v>
      </c>
      <c r="AK218" t="s">
        <v>1</v>
      </c>
      <c r="AL218" t="s">
        <v>372</v>
      </c>
      <c r="AQ218" s="1">
        <f t="shared" si="90"/>
        <v>100</v>
      </c>
      <c r="AR218" s="1">
        <f t="shared" si="75"/>
        <v>0.35700000000000004</v>
      </c>
      <c r="AS218" s="1">
        <f t="shared" si="76"/>
        <v>0</v>
      </c>
      <c r="AT218" s="1">
        <f t="shared" si="77"/>
        <v>7.0999999999999994E-2</v>
      </c>
      <c r="AU218" s="1">
        <f t="shared" si="78"/>
        <v>0.57200000000000006</v>
      </c>
      <c r="AV218" s="1">
        <f t="shared" si="91"/>
        <v>0.6</v>
      </c>
      <c r="AX218" s="1">
        <f t="shared" si="92"/>
        <v>8.0563380281690158</v>
      </c>
      <c r="AY218" s="1">
        <f t="shared" si="79"/>
        <v>5.0281690140845079</v>
      </c>
      <c r="AZ218" s="1">
        <f t="shared" si="80"/>
        <v>1.0035211267605635</v>
      </c>
      <c r="BA218" s="1">
        <f t="shared" si="81"/>
        <v>2.5140845070422539</v>
      </c>
      <c r="BB218" s="1">
        <f t="shared" si="82"/>
        <v>0.66901408450704225</v>
      </c>
      <c r="BC218" s="1">
        <f t="shared" si="83"/>
        <v>0.66901408450704225</v>
      </c>
      <c r="BD218" s="1">
        <f t="shared" si="93"/>
        <v>6.9014084507042273E-2</v>
      </c>
      <c r="BF218">
        <f t="shared" si="84"/>
        <v>7.1</v>
      </c>
      <c r="BG218">
        <f t="shared" si="85"/>
        <v>35.700000000000003</v>
      </c>
      <c r="BH218" s="1">
        <f t="shared" si="86"/>
        <v>8.056338028169014</v>
      </c>
      <c r="BI218" s="1">
        <f t="shared" si="87"/>
        <v>5.0281690140845079</v>
      </c>
      <c r="BJ218" s="1">
        <f t="shared" si="94"/>
        <v>0.91338028169014085</v>
      </c>
      <c r="BK218" s="1">
        <f t="shared" si="95"/>
        <v>0.67578249601716589</v>
      </c>
      <c r="BL218" s="22">
        <f t="shared" si="96"/>
        <v>0.67578249601716589</v>
      </c>
      <c r="BM218" s="1">
        <f t="shared" si="88"/>
        <v>5.7429867025917672E-3</v>
      </c>
      <c r="BN218" s="1">
        <f t="shared" si="89"/>
        <v>3.7002013764320378E-2</v>
      </c>
    </row>
    <row r="219" spans="1:66" x14ac:dyDescent="0.25">
      <c r="A219" s="3"/>
      <c r="B219" s="3"/>
      <c r="C219">
        <v>52</v>
      </c>
      <c r="D219" s="5">
        <v>1</v>
      </c>
      <c r="E219" s="9">
        <f t="shared" si="73"/>
        <v>40</v>
      </c>
      <c r="F219" s="9">
        <f t="shared" si="74"/>
        <v>0.33333333333333331</v>
      </c>
      <c r="G219">
        <v>0</v>
      </c>
      <c r="H219">
        <v>40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40</v>
      </c>
      <c r="P219">
        <v>0</v>
      </c>
      <c r="Q219">
        <v>20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18</v>
      </c>
      <c r="AK219" t="s">
        <v>1</v>
      </c>
      <c r="AL219" t="s">
        <v>372</v>
      </c>
      <c r="AQ219" s="1">
        <f t="shared" si="90"/>
        <v>100</v>
      </c>
      <c r="AR219" s="1">
        <f t="shared" si="75"/>
        <v>0.4</v>
      </c>
      <c r="AS219" s="1">
        <f t="shared" si="76"/>
        <v>0</v>
      </c>
      <c r="AT219" s="1">
        <f t="shared" si="77"/>
        <v>0.4</v>
      </c>
      <c r="AU219" s="1">
        <f t="shared" si="78"/>
        <v>0.2</v>
      </c>
      <c r="AV219" s="1">
        <f t="shared" si="91"/>
        <v>0.18</v>
      </c>
      <c r="AX219" s="1">
        <f t="shared" si="92"/>
        <v>0.5</v>
      </c>
      <c r="AY219" s="1">
        <f t="shared" si="79"/>
        <v>1</v>
      </c>
      <c r="AZ219" s="1">
        <f t="shared" si="80"/>
        <v>0.53125</v>
      </c>
      <c r="BA219" s="1">
        <f t="shared" si="81"/>
        <v>0.625</v>
      </c>
      <c r="BB219" s="1">
        <f t="shared" si="82"/>
        <v>0.42499999999999999</v>
      </c>
      <c r="BC219" s="1">
        <f t="shared" si="83"/>
        <v>0.42499999999999999</v>
      </c>
      <c r="BD219" s="1">
        <f t="shared" si="93"/>
        <v>0.245</v>
      </c>
      <c r="BF219">
        <f t="shared" si="84"/>
        <v>40</v>
      </c>
      <c r="BG219">
        <f t="shared" si="85"/>
        <v>40</v>
      </c>
      <c r="BH219" s="1">
        <f t="shared" si="86"/>
        <v>0.5</v>
      </c>
      <c r="BI219" s="1">
        <f t="shared" si="87"/>
        <v>1</v>
      </c>
      <c r="BJ219" s="1">
        <f t="shared" si="94"/>
        <v>0.45999999999999996</v>
      </c>
      <c r="BK219" s="1">
        <f t="shared" si="95"/>
        <v>0.42565107808197022</v>
      </c>
      <c r="BL219" s="22">
        <f t="shared" si="96"/>
        <v>0.42565107808197022</v>
      </c>
      <c r="BM219" s="1">
        <f t="shared" si="88"/>
        <v>6.0344452162834232E-2</v>
      </c>
      <c r="BN219" s="1">
        <f t="shared" si="89"/>
        <v>5.1820390699986542E-2</v>
      </c>
    </row>
    <row r="220" spans="1:66" x14ac:dyDescent="0.25">
      <c r="A220" s="3"/>
      <c r="B220" s="3"/>
      <c r="C220">
        <v>53</v>
      </c>
      <c r="D220" s="5">
        <v>1</v>
      </c>
      <c r="E220" s="9">
        <f t="shared" si="73"/>
        <v>40</v>
      </c>
      <c r="F220" s="9">
        <f t="shared" si="74"/>
        <v>0.66666666666666663</v>
      </c>
      <c r="G220">
        <v>0</v>
      </c>
      <c r="H220">
        <v>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40</v>
      </c>
      <c r="P220">
        <v>0</v>
      </c>
      <c r="Q220">
        <v>40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55</v>
      </c>
      <c r="AK220" t="s">
        <v>1</v>
      </c>
      <c r="AL220" t="s">
        <v>372</v>
      </c>
      <c r="AQ220" s="1">
        <f t="shared" si="90"/>
        <v>100</v>
      </c>
      <c r="AR220" s="1">
        <f t="shared" si="75"/>
        <v>0.4</v>
      </c>
      <c r="AS220" s="1">
        <f t="shared" si="76"/>
        <v>0</v>
      </c>
      <c r="AT220" s="1">
        <f t="shared" si="77"/>
        <v>0.2</v>
      </c>
      <c r="AU220" s="1">
        <f t="shared" si="78"/>
        <v>0.4</v>
      </c>
      <c r="AV220" s="1">
        <f t="shared" si="91"/>
        <v>0.55000000000000004</v>
      </c>
      <c r="AX220" s="1">
        <f t="shared" si="92"/>
        <v>2</v>
      </c>
      <c r="AY220" s="1">
        <f t="shared" si="79"/>
        <v>2</v>
      </c>
      <c r="AZ220" s="1">
        <f t="shared" si="80"/>
        <v>0.625</v>
      </c>
      <c r="BA220" s="1">
        <f t="shared" si="81"/>
        <v>1</v>
      </c>
      <c r="BB220" s="1">
        <f t="shared" si="82"/>
        <v>0.41666666666666663</v>
      </c>
      <c r="BC220" s="1">
        <f t="shared" si="83"/>
        <v>0.41666666666666663</v>
      </c>
      <c r="BD220" s="1">
        <f t="shared" si="93"/>
        <v>0.13333333333333341</v>
      </c>
      <c r="BF220">
        <f t="shared" si="84"/>
        <v>20</v>
      </c>
      <c r="BG220">
        <f t="shared" si="85"/>
        <v>40</v>
      </c>
      <c r="BH220" s="1">
        <f t="shared" si="86"/>
        <v>2</v>
      </c>
      <c r="BI220" s="1">
        <f t="shared" si="87"/>
        <v>2</v>
      </c>
      <c r="BJ220" s="1">
        <f t="shared" si="94"/>
        <v>0.55000000000000004</v>
      </c>
      <c r="BK220" s="1">
        <f t="shared" si="95"/>
        <v>0.43741312618371181</v>
      </c>
      <c r="BL220" s="22">
        <f t="shared" si="96"/>
        <v>0.43741312618371181</v>
      </c>
      <c r="BM220" s="1">
        <f t="shared" si="88"/>
        <v>1.2675804155724809E-2</v>
      </c>
      <c r="BN220" s="1">
        <f t="shared" si="89"/>
        <v>2.0266106256661608E-2</v>
      </c>
    </row>
    <row r="221" spans="1:66" x14ac:dyDescent="0.25">
      <c r="A221" s="3"/>
      <c r="B221" s="3"/>
      <c r="C221">
        <v>54</v>
      </c>
      <c r="D221" s="5">
        <v>1</v>
      </c>
      <c r="E221" s="9">
        <f t="shared" si="73"/>
        <v>40</v>
      </c>
      <c r="F221" s="9">
        <f t="shared" si="74"/>
        <v>0.83333333333333337</v>
      </c>
      <c r="G221">
        <v>0</v>
      </c>
      <c r="H221">
        <v>10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40</v>
      </c>
      <c r="P221">
        <v>0</v>
      </c>
      <c r="Q221">
        <v>50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50</v>
      </c>
      <c r="AK221" t="s">
        <v>1</v>
      </c>
      <c r="AL221" t="s">
        <v>372</v>
      </c>
      <c r="AQ221" s="1">
        <f t="shared" si="90"/>
        <v>100</v>
      </c>
      <c r="AR221" s="1">
        <f t="shared" si="75"/>
        <v>0.4</v>
      </c>
      <c r="AS221" s="1">
        <f t="shared" si="76"/>
        <v>0</v>
      </c>
      <c r="AT221" s="1">
        <f t="shared" si="77"/>
        <v>0.1</v>
      </c>
      <c r="AU221" s="1">
        <f t="shared" si="78"/>
        <v>0.5</v>
      </c>
      <c r="AV221" s="1">
        <f t="shared" si="91"/>
        <v>0.5</v>
      </c>
      <c r="AX221" s="1">
        <f t="shared" si="92"/>
        <v>5</v>
      </c>
      <c r="AY221" s="1">
        <f t="shared" si="79"/>
        <v>4</v>
      </c>
      <c r="AZ221" s="1">
        <f t="shared" si="80"/>
        <v>0.8125</v>
      </c>
      <c r="BA221" s="1">
        <f t="shared" si="81"/>
        <v>1.75</v>
      </c>
      <c r="BB221" s="1">
        <f t="shared" si="82"/>
        <v>0.4642857142857143</v>
      </c>
      <c r="BC221" s="1">
        <f t="shared" si="83"/>
        <v>0.4642857142857143</v>
      </c>
      <c r="BD221" s="1">
        <f t="shared" si="93"/>
        <v>3.5714285714285698E-2</v>
      </c>
      <c r="BF221">
        <f t="shared" si="84"/>
        <v>10</v>
      </c>
      <c r="BG221">
        <f t="shared" si="85"/>
        <v>40</v>
      </c>
      <c r="BH221" s="1">
        <f t="shared" si="86"/>
        <v>5</v>
      </c>
      <c r="BI221" s="1">
        <f t="shared" si="87"/>
        <v>4</v>
      </c>
      <c r="BJ221" s="1">
        <f t="shared" si="94"/>
        <v>0.73</v>
      </c>
      <c r="BK221" s="1">
        <f t="shared" si="95"/>
        <v>0.45143512853450646</v>
      </c>
      <c r="BL221" s="22">
        <f t="shared" si="96"/>
        <v>0.45143512853450646</v>
      </c>
      <c r="BM221" s="1">
        <f t="shared" si="88"/>
        <v>2.3585467404599087E-3</v>
      </c>
      <c r="BN221" s="1">
        <f t="shared" si="89"/>
        <v>8.5301987490028035E-3</v>
      </c>
    </row>
    <row r="222" spans="1:66" x14ac:dyDescent="0.25">
      <c r="A222" s="3"/>
      <c r="B222" s="3"/>
      <c r="C222" t="s">
        <v>482</v>
      </c>
      <c r="D222" s="5">
        <v>1</v>
      </c>
      <c r="E222" s="9">
        <f t="shared" si="73"/>
        <v>9.9099099099099082</v>
      </c>
      <c r="F222" s="9">
        <f t="shared" si="74"/>
        <v>0</v>
      </c>
      <c r="G222">
        <v>0</v>
      </c>
      <c r="H222">
        <v>90.090090090090087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9.9099099099099082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11.6</v>
      </c>
      <c r="AK222" t="s">
        <v>1</v>
      </c>
      <c r="AL222" t="s">
        <v>374</v>
      </c>
      <c r="AO222" t="s">
        <v>378</v>
      </c>
      <c r="AQ222" s="1">
        <f t="shared" si="90"/>
        <v>100</v>
      </c>
      <c r="AR222" s="1">
        <f t="shared" si="75"/>
        <v>9.9099099099099086E-2</v>
      </c>
      <c r="AS222" s="1">
        <f t="shared" si="76"/>
        <v>0</v>
      </c>
      <c r="AT222" s="1">
        <f t="shared" si="77"/>
        <v>0.90090090090090091</v>
      </c>
      <c r="AU222" s="1">
        <f t="shared" si="78"/>
        <v>0</v>
      </c>
      <c r="AV222" s="1">
        <f t="shared" si="91"/>
        <v>0.11599999999999999</v>
      </c>
      <c r="AX222" s="1">
        <f t="shared" si="92"/>
        <v>0</v>
      </c>
      <c r="AY222" s="1">
        <f t="shared" si="79"/>
        <v>0.10999999999999999</v>
      </c>
      <c r="AZ222" s="1">
        <f t="shared" si="80"/>
        <v>0.5</v>
      </c>
      <c r="BA222" s="1">
        <f t="shared" si="81"/>
        <v>0.5</v>
      </c>
      <c r="BB222" s="1">
        <f t="shared" si="82"/>
        <v>0.10999999999999999</v>
      </c>
      <c r="BC222" s="1">
        <f t="shared" si="83"/>
        <v>0.10999999999999999</v>
      </c>
      <c r="BD222" s="1">
        <f t="shared" si="93"/>
        <v>6.0000000000000053E-3</v>
      </c>
      <c r="BF222">
        <f t="shared" si="84"/>
        <v>90.090090090090087</v>
      </c>
      <c r="BG222">
        <f t="shared" si="85"/>
        <v>9.9099099099099082</v>
      </c>
      <c r="BH222" s="1">
        <f t="shared" si="86"/>
        <v>0</v>
      </c>
      <c r="BI222" s="1">
        <f t="shared" si="87"/>
        <v>0.10999999999999999</v>
      </c>
      <c r="BJ222" s="1">
        <f t="shared" si="94"/>
        <v>0.43</v>
      </c>
      <c r="BK222" s="1">
        <f t="shared" si="95"/>
        <v>0.10999999999999999</v>
      </c>
      <c r="BL222" s="22">
        <f t="shared" si="96"/>
        <v>0.10999999999999999</v>
      </c>
      <c r="BM222" s="1">
        <f t="shared" si="88"/>
        <v>3.6000000000000062E-5</v>
      </c>
      <c r="BN222" s="1">
        <f t="shared" si="89"/>
        <v>8.5054429090183292E-2</v>
      </c>
    </row>
    <row r="223" spans="1:66" x14ac:dyDescent="0.25">
      <c r="A223" s="3"/>
      <c r="B223" s="3"/>
      <c r="C223" t="s">
        <v>483</v>
      </c>
      <c r="D223" s="5">
        <v>1</v>
      </c>
      <c r="E223" s="9">
        <f t="shared" si="73"/>
        <v>15.03823279524214</v>
      </c>
      <c r="F223" s="9">
        <f t="shared" si="74"/>
        <v>0</v>
      </c>
      <c r="G223">
        <v>0</v>
      </c>
      <c r="H223">
        <v>84.961767204757848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15.03823279524214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16</v>
      </c>
      <c r="AK223" t="s">
        <v>1</v>
      </c>
      <c r="AL223" t="s">
        <v>374</v>
      </c>
      <c r="AQ223" s="1">
        <f t="shared" si="90"/>
        <v>99.999999999999986</v>
      </c>
      <c r="AR223" s="1">
        <f t="shared" si="75"/>
        <v>0.1503823279524214</v>
      </c>
      <c r="AS223" s="1">
        <f t="shared" si="76"/>
        <v>0</v>
      </c>
      <c r="AT223" s="1">
        <f t="shared" si="77"/>
        <v>0.84961767204757843</v>
      </c>
      <c r="AU223" s="1">
        <f t="shared" si="78"/>
        <v>0</v>
      </c>
      <c r="AV223" s="1">
        <f t="shared" si="91"/>
        <v>0.16</v>
      </c>
      <c r="AX223" s="1">
        <f t="shared" si="92"/>
        <v>0</v>
      </c>
      <c r="AY223" s="1">
        <f t="shared" si="79"/>
        <v>0.17700000000000002</v>
      </c>
      <c r="AZ223" s="1">
        <f t="shared" si="80"/>
        <v>0.5</v>
      </c>
      <c r="BA223" s="1">
        <f t="shared" si="81"/>
        <v>0.5</v>
      </c>
      <c r="BB223" s="1">
        <f t="shared" si="82"/>
        <v>0.17700000000000002</v>
      </c>
      <c r="BC223" s="1">
        <f t="shared" si="83"/>
        <v>0.17700000000000002</v>
      </c>
      <c r="BD223" s="1">
        <f t="shared" si="93"/>
        <v>1.7000000000000015E-2</v>
      </c>
      <c r="BF223">
        <f t="shared" si="84"/>
        <v>84.961767204757848</v>
      </c>
      <c r="BG223">
        <f t="shared" si="85"/>
        <v>15.03823279524214</v>
      </c>
      <c r="BH223" s="1">
        <f t="shared" si="86"/>
        <v>0</v>
      </c>
      <c r="BI223" s="1">
        <f t="shared" si="87"/>
        <v>0.17700000000000002</v>
      </c>
      <c r="BJ223" s="1">
        <f t="shared" si="94"/>
        <v>0.43</v>
      </c>
      <c r="BK223" s="1">
        <f t="shared" si="95"/>
        <v>0.17700000000000002</v>
      </c>
      <c r="BL223" s="22">
        <f t="shared" si="96"/>
        <v>0.17700000000000002</v>
      </c>
      <c r="BM223" s="1">
        <f t="shared" si="88"/>
        <v>2.8900000000000052E-4</v>
      </c>
      <c r="BN223" s="1">
        <f t="shared" si="89"/>
        <v>6.1326027696923018E-2</v>
      </c>
    </row>
    <row r="224" spans="1:66" x14ac:dyDescent="0.25">
      <c r="A224" s="3"/>
      <c r="B224" s="3"/>
      <c r="C224" t="s">
        <v>484</v>
      </c>
      <c r="D224" s="5">
        <v>1</v>
      </c>
      <c r="E224" s="9">
        <f t="shared" si="73"/>
        <v>17.012448132780079</v>
      </c>
      <c r="F224" s="9">
        <f t="shared" si="74"/>
        <v>0</v>
      </c>
      <c r="G224">
        <v>0</v>
      </c>
      <c r="H224">
        <v>82.987551867219906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17.012448132780079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22.5</v>
      </c>
      <c r="AK224" t="s">
        <v>1</v>
      </c>
      <c r="AL224" t="s">
        <v>374</v>
      </c>
      <c r="AQ224" s="1">
        <f t="shared" si="90"/>
        <v>99.999999999999986</v>
      </c>
      <c r="AR224" s="1">
        <f t="shared" si="75"/>
        <v>0.17012448132780078</v>
      </c>
      <c r="AS224" s="1">
        <f t="shared" si="76"/>
        <v>0</v>
      </c>
      <c r="AT224" s="1">
        <f t="shared" si="77"/>
        <v>0.82987551867219911</v>
      </c>
      <c r="AU224" s="1">
        <f t="shared" si="78"/>
        <v>0</v>
      </c>
      <c r="AV224" s="1">
        <f t="shared" si="91"/>
        <v>0.22500000000000001</v>
      </c>
      <c r="AX224" s="1">
        <f t="shared" si="92"/>
        <v>0</v>
      </c>
      <c r="AY224" s="1">
        <f t="shared" si="79"/>
        <v>0.20499999999999996</v>
      </c>
      <c r="AZ224" s="1">
        <f t="shared" si="80"/>
        <v>0.5</v>
      </c>
      <c r="BA224" s="1">
        <f t="shared" si="81"/>
        <v>0.5</v>
      </c>
      <c r="BB224" s="1">
        <f t="shared" si="82"/>
        <v>0.20499999999999996</v>
      </c>
      <c r="BC224" s="1">
        <f t="shared" si="83"/>
        <v>0.20499999999999996</v>
      </c>
      <c r="BD224" s="1">
        <f t="shared" si="93"/>
        <v>2.0000000000000046E-2</v>
      </c>
      <c r="BF224">
        <f t="shared" si="84"/>
        <v>82.987551867219906</v>
      </c>
      <c r="BG224">
        <f t="shared" si="85"/>
        <v>17.012448132780079</v>
      </c>
      <c r="BH224" s="1">
        <f t="shared" si="86"/>
        <v>0</v>
      </c>
      <c r="BI224" s="1">
        <f t="shared" si="87"/>
        <v>0.20499999999999999</v>
      </c>
      <c r="BJ224" s="1">
        <f t="shared" si="94"/>
        <v>0.43</v>
      </c>
      <c r="BK224" s="1">
        <f t="shared" si="95"/>
        <v>0.20499999999999999</v>
      </c>
      <c r="BL224" s="22">
        <f t="shared" si="96"/>
        <v>0.20499999999999999</v>
      </c>
      <c r="BM224" s="1">
        <f t="shared" si="88"/>
        <v>4.0000000000000072E-4</v>
      </c>
      <c r="BN224" s="1">
        <f t="shared" si="89"/>
        <v>3.3357707456879444E-2</v>
      </c>
    </row>
    <row r="225" spans="1:66" x14ac:dyDescent="0.25">
      <c r="A225" s="3"/>
      <c r="B225" s="3"/>
      <c r="C225" t="s">
        <v>485</v>
      </c>
      <c r="D225" s="5">
        <v>1</v>
      </c>
      <c r="E225" s="9">
        <f t="shared" si="73"/>
        <v>20</v>
      </c>
      <c r="F225" s="9">
        <f t="shared" si="74"/>
        <v>0</v>
      </c>
      <c r="G225">
        <v>0</v>
      </c>
      <c r="H225">
        <v>80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28</v>
      </c>
      <c r="AK225" t="s">
        <v>1</v>
      </c>
      <c r="AL225" t="s">
        <v>374</v>
      </c>
      <c r="AQ225" s="1">
        <f t="shared" si="90"/>
        <v>100</v>
      </c>
      <c r="AR225" s="1">
        <f t="shared" si="75"/>
        <v>0.2</v>
      </c>
      <c r="AS225" s="1">
        <f t="shared" si="76"/>
        <v>0</v>
      </c>
      <c r="AT225" s="1">
        <f t="shared" si="77"/>
        <v>0.8</v>
      </c>
      <c r="AU225" s="1">
        <f t="shared" si="78"/>
        <v>0</v>
      </c>
      <c r="AV225" s="1">
        <f t="shared" si="91"/>
        <v>0.28000000000000003</v>
      </c>
      <c r="AX225" s="1">
        <f t="shared" si="92"/>
        <v>0</v>
      </c>
      <c r="AY225" s="1">
        <f t="shared" si="79"/>
        <v>0.25</v>
      </c>
      <c r="AZ225" s="1">
        <f t="shared" si="80"/>
        <v>0.5</v>
      </c>
      <c r="BA225" s="1">
        <f t="shared" si="81"/>
        <v>0.5</v>
      </c>
      <c r="BB225" s="1">
        <f t="shared" si="82"/>
        <v>0.25</v>
      </c>
      <c r="BC225" s="1">
        <f t="shared" si="83"/>
        <v>0.25</v>
      </c>
      <c r="BD225" s="1">
        <f t="shared" si="93"/>
        <v>3.0000000000000027E-2</v>
      </c>
      <c r="BF225">
        <f t="shared" si="84"/>
        <v>80</v>
      </c>
      <c r="BG225">
        <f t="shared" si="85"/>
        <v>20</v>
      </c>
      <c r="BH225" s="1">
        <f t="shared" si="86"/>
        <v>0</v>
      </c>
      <c r="BI225" s="1">
        <f t="shared" si="87"/>
        <v>0.25</v>
      </c>
      <c r="BJ225" s="1">
        <f t="shared" si="94"/>
        <v>0.43</v>
      </c>
      <c r="BK225" s="1">
        <f t="shared" si="95"/>
        <v>0.25</v>
      </c>
      <c r="BL225" s="22">
        <f t="shared" si="96"/>
        <v>0.25</v>
      </c>
      <c r="BM225" s="1">
        <f t="shared" si="88"/>
        <v>9.000000000000016E-4</v>
      </c>
      <c r="BN225" s="1">
        <f t="shared" si="89"/>
        <v>1.6292205715304115E-2</v>
      </c>
    </row>
    <row r="226" spans="1:66" x14ac:dyDescent="0.25">
      <c r="A226" s="3"/>
      <c r="B226" s="3"/>
      <c r="C226" t="s">
        <v>486</v>
      </c>
      <c r="D226" s="5">
        <v>1</v>
      </c>
      <c r="E226" s="9">
        <f t="shared" si="73"/>
        <v>21.99687987519501</v>
      </c>
      <c r="F226" s="9">
        <f t="shared" si="74"/>
        <v>0</v>
      </c>
      <c r="G226">
        <v>0</v>
      </c>
      <c r="H226">
        <v>78.003120124804994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21.99687987519501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27.5</v>
      </c>
      <c r="AK226" t="s">
        <v>1</v>
      </c>
      <c r="AL226" t="s">
        <v>374</v>
      </c>
      <c r="AQ226" s="1">
        <f t="shared" si="90"/>
        <v>100</v>
      </c>
      <c r="AR226" s="1">
        <f t="shared" si="75"/>
        <v>0.21996879875195011</v>
      </c>
      <c r="AS226" s="1">
        <f t="shared" si="76"/>
        <v>0</v>
      </c>
      <c r="AT226" s="1">
        <f t="shared" si="77"/>
        <v>0.78003120124804992</v>
      </c>
      <c r="AU226" s="1">
        <f t="shared" si="78"/>
        <v>0</v>
      </c>
      <c r="AV226" s="1">
        <f t="shared" si="91"/>
        <v>0.27500000000000002</v>
      </c>
      <c r="AX226" s="1">
        <f t="shared" si="92"/>
        <v>0</v>
      </c>
      <c r="AY226" s="1">
        <f t="shared" si="79"/>
        <v>0.28200000000000003</v>
      </c>
      <c r="AZ226" s="1">
        <f t="shared" si="80"/>
        <v>0.5</v>
      </c>
      <c r="BA226" s="1">
        <f t="shared" si="81"/>
        <v>0.5</v>
      </c>
      <c r="BB226" s="1">
        <f t="shared" si="82"/>
        <v>0.28200000000000003</v>
      </c>
      <c r="BC226" s="1">
        <f t="shared" si="83"/>
        <v>0.28200000000000003</v>
      </c>
      <c r="BD226" s="1">
        <f t="shared" si="93"/>
        <v>7.0000000000000062E-3</v>
      </c>
      <c r="BF226">
        <f t="shared" si="84"/>
        <v>78.003120124804994</v>
      </c>
      <c r="BG226">
        <f t="shared" si="85"/>
        <v>21.99687987519501</v>
      </c>
      <c r="BH226" s="1">
        <f t="shared" si="86"/>
        <v>0</v>
      </c>
      <c r="BI226" s="1">
        <f t="shared" si="87"/>
        <v>0.28200000000000003</v>
      </c>
      <c r="BJ226" s="1">
        <f t="shared" si="94"/>
        <v>0.43</v>
      </c>
      <c r="BK226" s="1">
        <f t="shared" si="95"/>
        <v>0.28200000000000003</v>
      </c>
      <c r="BL226" s="22">
        <f t="shared" si="96"/>
        <v>0.28200000000000003</v>
      </c>
      <c r="BM226" s="1">
        <f t="shared" si="88"/>
        <v>4.9000000000000087E-5</v>
      </c>
      <c r="BN226" s="1">
        <f t="shared" si="89"/>
        <v>1.7593614964538234E-2</v>
      </c>
    </row>
    <row r="227" spans="1:66" x14ac:dyDescent="0.25">
      <c r="A227" s="3"/>
      <c r="B227" s="3"/>
      <c r="C227" t="s">
        <v>487</v>
      </c>
      <c r="D227" s="5">
        <v>1</v>
      </c>
      <c r="E227" s="9">
        <f t="shared" si="73"/>
        <v>24.981245311327839</v>
      </c>
      <c r="F227" s="9">
        <f t="shared" si="74"/>
        <v>0</v>
      </c>
      <c r="G227">
        <v>0</v>
      </c>
      <c r="H227">
        <v>75.018754688672175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24.981245311327839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38</v>
      </c>
      <c r="AK227" t="s">
        <v>1</v>
      </c>
      <c r="AL227" t="s">
        <v>374</v>
      </c>
      <c r="AQ227" s="1">
        <f t="shared" si="90"/>
        <v>100.00000000000001</v>
      </c>
      <c r="AR227" s="1">
        <f t="shared" si="75"/>
        <v>0.2498124531132784</v>
      </c>
      <c r="AS227" s="1">
        <f t="shared" si="76"/>
        <v>0</v>
      </c>
      <c r="AT227" s="1">
        <f t="shared" si="77"/>
        <v>0.75018754688672173</v>
      </c>
      <c r="AU227" s="1">
        <f t="shared" si="78"/>
        <v>0</v>
      </c>
      <c r="AV227" s="1">
        <f t="shared" si="91"/>
        <v>0.38</v>
      </c>
      <c r="AX227" s="1">
        <f t="shared" si="92"/>
        <v>0</v>
      </c>
      <c r="AY227" s="1">
        <f t="shared" si="79"/>
        <v>0.33300000000000007</v>
      </c>
      <c r="AZ227" s="1">
        <f t="shared" si="80"/>
        <v>0.5</v>
      </c>
      <c r="BA227" s="1">
        <f t="shared" si="81"/>
        <v>0.5</v>
      </c>
      <c r="BB227" s="1">
        <f t="shared" si="82"/>
        <v>0.33300000000000007</v>
      </c>
      <c r="BC227" s="1">
        <f t="shared" si="83"/>
        <v>0.33300000000000007</v>
      </c>
      <c r="BD227" s="1">
        <f t="shared" si="93"/>
        <v>4.6999999999999931E-2</v>
      </c>
      <c r="BF227">
        <f t="shared" si="84"/>
        <v>75.018754688672175</v>
      </c>
      <c r="BG227">
        <f t="shared" si="85"/>
        <v>24.981245311327839</v>
      </c>
      <c r="BH227" s="1">
        <f t="shared" si="86"/>
        <v>0</v>
      </c>
      <c r="BI227" s="1">
        <f t="shared" si="87"/>
        <v>0.33300000000000007</v>
      </c>
      <c r="BJ227" s="1">
        <f t="shared" si="94"/>
        <v>0.43</v>
      </c>
      <c r="BK227" s="1">
        <f t="shared" si="95"/>
        <v>0.33300000000000007</v>
      </c>
      <c r="BL227" s="22">
        <f t="shared" si="96"/>
        <v>0.33300000000000007</v>
      </c>
      <c r="BM227" s="1">
        <f t="shared" si="88"/>
        <v>2.2089999999999935E-3</v>
      </c>
      <c r="BN227" s="1">
        <f t="shared" si="89"/>
        <v>7.6402073062170313E-4</v>
      </c>
    </row>
    <row r="228" spans="1:66" x14ac:dyDescent="0.25">
      <c r="A228" s="3"/>
      <c r="B228" s="3"/>
      <c r="C228" t="s">
        <v>488</v>
      </c>
      <c r="D228" s="5">
        <v>1</v>
      </c>
      <c r="E228" s="9">
        <f t="shared" si="73"/>
        <v>27.007299270072991</v>
      </c>
      <c r="F228" s="9">
        <f t="shared" si="74"/>
        <v>0</v>
      </c>
      <c r="G228">
        <v>0</v>
      </c>
      <c r="H228">
        <v>72.992700729927009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27.007299270072991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34</v>
      </c>
      <c r="AK228" t="s">
        <v>1</v>
      </c>
      <c r="AL228" t="s">
        <v>374</v>
      </c>
      <c r="AQ228" s="1">
        <f t="shared" si="90"/>
        <v>100</v>
      </c>
      <c r="AR228" s="1">
        <f t="shared" si="75"/>
        <v>0.27007299270072993</v>
      </c>
      <c r="AS228" s="1">
        <f t="shared" si="76"/>
        <v>0</v>
      </c>
      <c r="AT228" s="1">
        <f t="shared" si="77"/>
        <v>0.72992700729927007</v>
      </c>
      <c r="AU228" s="1">
        <f t="shared" si="78"/>
        <v>0</v>
      </c>
      <c r="AV228" s="1">
        <f t="shared" si="91"/>
        <v>0.34</v>
      </c>
      <c r="AX228" s="1">
        <f t="shared" si="92"/>
        <v>0</v>
      </c>
      <c r="AY228" s="1">
        <f t="shared" si="79"/>
        <v>0.37</v>
      </c>
      <c r="AZ228" s="1">
        <f t="shared" si="80"/>
        <v>0.5</v>
      </c>
      <c r="BA228" s="1">
        <f t="shared" si="81"/>
        <v>0.5</v>
      </c>
      <c r="BB228" s="1">
        <f t="shared" si="82"/>
        <v>0.37</v>
      </c>
      <c r="BC228" s="1">
        <f t="shared" si="83"/>
        <v>0.37</v>
      </c>
      <c r="BD228" s="1">
        <f t="shared" si="93"/>
        <v>2.9999999999999971E-2</v>
      </c>
      <c r="BF228">
        <f t="shared" si="84"/>
        <v>72.992700729927009</v>
      </c>
      <c r="BG228">
        <f t="shared" si="85"/>
        <v>27.007299270072991</v>
      </c>
      <c r="BH228" s="1">
        <f t="shared" si="86"/>
        <v>0</v>
      </c>
      <c r="BI228" s="1">
        <f t="shared" si="87"/>
        <v>0.37</v>
      </c>
      <c r="BJ228" s="1">
        <f t="shared" si="94"/>
        <v>0.43</v>
      </c>
      <c r="BK228" s="1">
        <f t="shared" si="95"/>
        <v>0.37</v>
      </c>
      <c r="BL228" s="22">
        <f t="shared" si="96"/>
        <v>0.37</v>
      </c>
      <c r="BM228" s="1">
        <f t="shared" si="88"/>
        <v>8.9999999999999824E-4</v>
      </c>
      <c r="BN228" s="1">
        <f t="shared" si="89"/>
        <v>4.5752947244946671E-3</v>
      </c>
    </row>
    <row r="229" spans="1:66" x14ac:dyDescent="0.25">
      <c r="A229" s="3"/>
      <c r="B229" s="3"/>
      <c r="C229" t="s">
        <v>489</v>
      </c>
      <c r="D229" s="5">
        <v>1</v>
      </c>
      <c r="E229" s="9">
        <f t="shared" si="73"/>
        <v>28.97727272727273</v>
      </c>
      <c r="F229" s="9">
        <f t="shared" si="74"/>
        <v>0</v>
      </c>
      <c r="G229">
        <v>0</v>
      </c>
      <c r="H229">
        <v>71.02272727272728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28.97727272727273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38</v>
      </c>
      <c r="AK229" t="s">
        <v>1</v>
      </c>
      <c r="AL229" t="s">
        <v>374</v>
      </c>
      <c r="AQ229" s="1">
        <f t="shared" si="90"/>
        <v>100.00000000000001</v>
      </c>
      <c r="AR229" s="1">
        <f t="shared" si="75"/>
        <v>0.28977272727272729</v>
      </c>
      <c r="AS229" s="1">
        <f t="shared" si="76"/>
        <v>0</v>
      </c>
      <c r="AT229" s="1">
        <f t="shared" si="77"/>
        <v>0.71022727272727282</v>
      </c>
      <c r="AU229" s="1">
        <f t="shared" si="78"/>
        <v>0</v>
      </c>
      <c r="AV229" s="1">
        <f t="shared" si="91"/>
        <v>0.38</v>
      </c>
      <c r="AX229" s="1">
        <f t="shared" si="92"/>
        <v>0</v>
      </c>
      <c r="AY229" s="1">
        <f t="shared" si="79"/>
        <v>0.40799999999999997</v>
      </c>
      <c r="AZ229" s="1">
        <f t="shared" si="80"/>
        <v>0.5</v>
      </c>
      <c r="BA229" s="1">
        <f t="shared" si="81"/>
        <v>0.5</v>
      </c>
      <c r="BB229" s="1">
        <f t="shared" si="82"/>
        <v>0.40799999999999997</v>
      </c>
      <c r="BC229" s="1">
        <f t="shared" si="83"/>
        <v>0.40799999999999997</v>
      </c>
      <c r="BD229" s="1">
        <f t="shared" si="93"/>
        <v>2.7999999999999969E-2</v>
      </c>
      <c r="BF229">
        <f t="shared" si="84"/>
        <v>71.02272727272728</v>
      </c>
      <c r="BG229">
        <f t="shared" si="85"/>
        <v>28.97727272727273</v>
      </c>
      <c r="BH229" s="1">
        <f t="shared" si="86"/>
        <v>0</v>
      </c>
      <c r="BI229" s="1">
        <f t="shared" si="87"/>
        <v>0.40799999999999997</v>
      </c>
      <c r="BJ229" s="1">
        <f t="shared" si="94"/>
        <v>0.43</v>
      </c>
      <c r="BK229" s="1">
        <f t="shared" si="95"/>
        <v>0.40799999999999997</v>
      </c>
      <c r="BL229" s="22">
        <f t="shared" si="96"/>
        <v>0.40799999999999997</v>
      </c>
      <c r="BM229" s="1">
        <f t="shared" si="88"/>
        <v>7.8399999999999824E-4</v>
      </c>
      <c r="BN229" s="1">
        <f t="shared" si="89"/>
        <v>7.6402073062170313E-4</v>
      </c>
    </row>
    <row r="230" spans="1:66" x14ac:dyDescent="0.25">
      <c r="A230" s="3"/>
      <c r="B230" s="3"/>
      <c r="C230" t="s">
        <v>490</v>
      </c>
      <c r="D230" s="5">
        <v>1</v>
      </c>
      <c r="E230" s="9">
        <f t="shared" si="73"/>
        <v>31.03448275862069</v>
      </c>
      <c r="F230" s="9">
        <f t="shared" si="74"/>
        <v>0</v>
      </c>
      <c r="G230">
        <v>0</v>
      </c>
      <c r="H230">
        <v>68.965517241379317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31.03448275862069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42</v>
      </c>
      <c r="AK230" t="s">
        <v>1</v>
      </c>
      <c r="AL230" t="s">
        <v>374</v>
      </c>
      <c r="AQ230" s="1">
        <f t="shared" si="90"/>
        <v>100</v>
      </c>
      <c r="AR230" s="1">
        <f t="shared" si="75"/>
        <v>0.31034482758620691</v>
      </c>
      <c r="AS230" s="1">
        <f t="shared" si="76"/>
        <v>0</v>
      </c>
      <c r="AT230" s="1">
        <f t="shared" si="77"/>
        <v>0.68965517241379315</v>
      </c>
      <c r="AU230" s="1">
        <f t="shared" si="78"/>
        <v>0</v>
      </c>
      <c r="AV230" s="1">
        <f t="shared" si="91"/>
        <v>0.42</v>
      </c>
      <c r="AX230" s="1">
        <f t="shared" si="92"/>
        <v>0</v>
      </c>
      <c r="AY230" s="1">
        <f t="shared" si="79"/>
        <v>0.45</v>
      </c>
      <c r="AZ230" s="1">
        <f t="shared" si="80"/>
        <v>0.5</v>
      </c>
      <c r="BA230" s="1">
        <f t="shared" si="81"/>
        <v>0.5</v>
      </c>
      <c r="BB230" s="1">
        <f t="shared" si="82"/>
        <v>0.45</v>
      </c>
      <c r="BC230" s="1">
        <f t="shared" si="83"/>
        <v>0.45</v>
      </c>
      <c r="BD230" s="1">
        <f t="shared" si="93"/>
        <v>3.0000000000000027E-2</v>
      </c>
      <c r="BF230">
        <f t="shared" si="84"/>
        <v>68.965517241379317</v>
      </c>
      <c r="BG230">
        <f t="shared" si="85"/>
        <v>31.03448275862069</v>
      </c>
      <c r="BH230" s="1">
        <f t="shared" si="86"/>
        <v>0</v>
      </c>
      <c r="BI230" s="1">
        <f t="shared" si="87"/>
        <v>0.44999999999999996</v>
      </c>
      <c r="BJ230" s="1">
        <f t="shared" si="94"/>
        <v>0.43</v>
      </c>
      <c r="BK230" s="1">
        <f t="shared" si="95"/>
        <v>0.40274964759640142</v>
      </c>
      <c r="BL230" s="22">
        <f t="shared" si="96"/>
        <v>0.40274964759640142</v>
      </c>
      <c r="BM230" s="1">
        <f t="shared" si="88"/>
        <v>2.975746580483389E-4</v>
      </c>
      <c r="BN230" s="1">
        <f t="shared" si="89"/>
        <v>1.527467367487362E-4</v>
      </c>
    </row>
    <row r="231" spans="1:66" x14ac:dyDescent="0.25">
      <c r="A231" s="3"/>
      <c r="B231" s="3"/>
      <c r="C231" t="s">
        <v>491</v>
      </c>
      <c r="D231" s="5">
        <v>1</v>
      </c>
      <c r="E231" s="9">
        <f t="shared" si="73"/>
        <v>33.333333333333329</v>
      </c>
      <c r="F231" s="9">
        <f t="shared" si="74"/>
        <v>0</v>
      </c>
      <c r="G231">
        <v>0</v>
      </c>
      <c r="H231">
        <v>66.666666666666657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33.333333333333329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43</v>
      </c>
      <c r="AK231" t="s">
        <v>1</v>
      </c>
      <c r="AL231" t="s">
        <v>374</v>
      </c>
      <c r="AQ231" s="1">
        <f t="shared" si="90"/>
        <v>99.999999999999986</v>
      </c>
      <c r="AR231" s="1">
        <f t="shared" si="75"/>
        <v>0.33333333333333326</v>
      </c>
      <c r="AS231" s="1">
        <f t="shared" si="76"/>
        <v>0</v>
      </c>
      <c r="AT231" s="1">
        <f t="shared" si="77"/>
        <v>0.66666666666666652</v>
      </c>
      <c r="AU231" s="1">
        <f t="shared" si="78"/>
        <v>0</v>
      </c>
      <c r="AV231" s="1">
        <f t="shared" si="91"/>
        <v>0.43</v>
      </c>
      <c r="AX231" s="1">
        <f t="shared" si="92"/>
        <v>0</v>
      </c>
      <c r="AY231" s="1">
        <f t="shared" si="79"/>
        <v>0.5</v>
      </c>
      <c r="AZ231" s="1">
        <f t="shared" si="80"/>
        <v>0.5</v>
      </c>
      <c r="BA231" s="1">
        <f t="shared" si="81"/>
        <v>0.5</v>
      </c>
      <c r="BB231" s="1">
        <f t="shared" si="82"/>
        <v>0.5</v>
      </c>
      <c r="BC231" s="1">
        <f t="shared" si="83"/>
        <v>0.5</v>
      </c>
      <c r="BD231" s="1">
        <f t="shared" si="93"/>
        <v>7.0000000000000007E-2</v>
      </c>
      <c r="BF231">
        <f t="shared" si="84"/>
        <v>66.666666666666657</v>
      </c>
      <c r="BG231">
        <f t="shared" si="85"/>
        <v>33.333333333333329</v>
      </c>
      <c r="BH231" s="1">
        <f t="shared" si="86"/>
        <v>0</v>
      </c>
      <c r="BI231" s="1">
        <f t="shared" si="87"/>
        <v>0.5</v>
      </c>
      <c r="BJ231" s="1">
        <f t="shared" si="94"/>
        <v>0.43</v>
      </c>
      <c r="BK231" s="1">
        <f t="shared" si="95"/>
        <v>0.40701138914924623</v>
      </c>
      <c r="BL231" s="22">
        <f t="shared" si="96"/>
        <v>0.40701138914924623</v>
      </c>
      <c r="BM231" s="1">
        <f t="shared" si="88"/>
        <v>5.2847622884739378E-4</v>
      </c>
      <c r="BN231" s="1">
        <f t="shared" si="89"/>
        <v>4.9992823828049458E-4</v>
      </c>
    </row>
    <row r="232" spans="1:66" x14ac:dyDescent="0.25">
      <c r="A232" s="3"/>
      <c r="B232" s="3"/>
      <c r="C232" t="s">
        <v>492</v>
      </c>
      <c r="D232" s="5">
        <v>1</v>
      </c>
      <c r="E232" s="9">
        <f t="shared" si="73"/>
        <v>40.011997600479901</v>
      </c>
      <c r="F232" s="9">
        <f t="shared" si="74"/>
        <v>0</v>
      </c>
      <c r="G232">
        <v>0</v>
      </c>
      <c r="H232">
        <v>59.988002399520092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40.011997600479901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44.5</v>
      </c>
      <c r="AK232" t="s">
        <v>1</v>
      </c>
      <c r="AL232" t="s">
        <v>374</v>
      </c>
      <c r="AQ232" s="1">
        <f t="shared" si="90"/>
        <v>100</v>
      </c>
      <c r="AR232" s="1">
        <f t="shared" si="75"/>
        <v>0.40011997600479904</v>
      </c>
      <c r="AS232" s="1">
        <f t="shared" si="76"/>
        <v>0</v>
      </c>
      <c r="AT232" s="1">
        <f t="shared" si="77"/>
        <v>0.59988002399520091</v>
      </c>
      <c r="AU232" s="1">
        <f t="shared" si="78"/>
        <v>0</v>
      </c>
      <c r="AV232" s="1">
        <f t="shared" si="91"/>
        <v>0.44500000000000001</v>
      </c>
      <c r="AX232" s="1">
        <f t="shared" si="92"/>
        <v>0</v>
      </c>
      <c r="AY232" s="1">
        <f t="shared" si="79"/>
        <v>0.66700000000000004</v>
      </c>
      <c r="AZ232" s="1">
        <f t="shared" si="80"/>
        <v>0.5</v>
      </c>
      <c r="BA232" s="1">
        <f t="shared" si="81"/>
        <v>0.5</v>
      </c>
      <c r="BB232" s="1">
        <f t="shared" si="82"/>
        <v>0.4443333333333333</v>
      </c>
      <c r="BC232" s="1">
        <f t="shared" si="83"/>
        <v>0.4443333333333333</v>
      </c>
      <c r="BD232" s="1">
        <f t="shared" si="93"/>
        <v>6.6666666666670427E-4</v>
      </c>
      <c r="BF232">
        <f t="shared" si="84"/>
        <v>59.988002399520092</v>
      </c>
      <c r="BG232">
        <f t="shared" si="85"/>
        <v>40.011997600479901</v>
      </c>
      <c r="BH232" s="1">
        <f t="shared" si="86"/>
        <v>0</v>
      </c>
      <c r="BI232" s="1">
        <f t="shared" si="87"/>
        <v>0.66700000000000004</v>
      </c>
      <c r="BJ232" s="1">
        <f t="shared" si="94"/>
        <v>0.43</v>
      </c>
      <c r="BK232" s="1">
        <f t="shared" si="95"/>
        <v>0.40764281546119419</v>
      </c>
      <c r="BL232" s="22">
        <f t="shared" si="96"/>
        <v>0.40764281546119419</v>
      </c>
      <c r="BM232" s="1">
        <f t="shared" si="88"/>
        <v>1.3955592366663926E-3</v>
      </c>
      <c r="BN232" s="1">
        <f t="shared" si="89"/>
        <v>1.395700490578133E-3</v>
      </c>
    </row>
    <row r="233" spans="1:66" x14ac:dyDescent="0.25">
      <c r="A233" s="3"/>
      <c r="B233" s="3"/>
      <c r="C233" t="s">
        <v>493</v>
      </c>
      <c r="D233" s="5">
        <v>1</v>
      </c>
      <c r="E233" s="9">
        <f t="shared" si="73"/>
        <v>64.912280701754383</v>
      </c>
      <c r="F233" s="9">
        <f t="shared" si="74"/>
        <v>0</v>
      </c>
      <c r="G233">
        <v>0</v>
      </c>
      <c r="H233">
        <v>35.087719298245609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64.912280701754383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9.7000000000000011</v>
      </c>
      <c r="AK233" t="s">
        <v>1</v>
      </c>
      <c r="AL233" t="s">
        <v>374</v>
      </c>
      <c r="AQ233" s="1">
        <f t="shared" si="90"/>
        <v>100</v>
      </c>
      <c r="AR233" s="1">
        <f t="shared" si="75"/>
        <v>0.64912280701754388</v>
      </c>
      <c r="AS233" s="1">
        <f t="shared" si="76"/>
        <v>0</v>
      </c>
      <c r="AT233" s="1">
        <f t="shared" si="77"/>
        <v>0.35087719298245612</v>
      </c>
      <c r="AU233" s="1">
        <f t="shared" si="78"/>
        <v>0</v>
      </c>
      <c r="AV233" s="1">
        <f t="shared" si="91"/>
        <v>9.7000000000000017E-2</v>
      </c>
      <c r="AX233" s="1">
        <f t="shared" si="92"/>
        <v>0</v>
      </c>
      <c r="AY233" s="1">
        <f t="shared" si="79"/>
        <v>1.85</v>
      </c>
      <c r="AZ233" s="1">
        <f t="shared" si="80"/>
        <v>0.5</v>
      </c>
      <c r="BA233" s="1">
        <f t="shared" si="81"/>
        <v>0.5</v>
      </c>
      <c r="BB233" s="1">
        <f t="shared" si="82"/>
        <v>4.9999999999999989E-2</v>
      </c>
      <c r="BC233" s="1">
        <f t="shared" si="83"/>
        <v>4.9999999999999989E-2</v>
      </c>
      <c r="BD233" s="1">
        <f t="shared" si="93"/>
        <v>4.7000000000000028E-2</v>
      </c>
      <c r="BF233">
        <f t="shared" si="84"/>
        <v>35.087719298245609</v>
      </c>
      <c r="BG233">
        <f t="shared" si="85"/>
        <v>64.912280701754383</v>
      </c>
      <c r="BH233" s="1">
        <f t="shared" si="86"/>
        <v>0</v>
      </c>
      <c r="BI233" s="1">
        <f t="shared" si="87"/>
        <v>1.85</v>
      </c>
      <c r="BJ233" s="1">
        <f t="shared" si="94"/>
        <v>0.43</v>
      </c>
      <c r="BK233" s="1">
        <f t="shared" si="95"/>
        <v>0.17362876647344244</v>
      </c>
      <c r="BL233" s="22">
        <f t="shared" si="96"/>
        <v>0.17362876647344244</v>
      </c>
      <c r="BM233" s="1">
        <f t="shared" si="88"/>
        <v>5.8719678512413739E-3</v>
      </c>
      <c r="BN233" s="1">
        <f t="shared" si="89"/>
        <v>9.6497784237272927E-2</v>
      </c>
    </row>
    <row r="234" spans="1:66" x14ac:dyDescent="0.25">
      <c r="A234" s="3"/>
      <c r="B234" s="3"/>
      <c r="C234" t="s">
        <v>494</v>
      </c>
      <c r="D234" s="5">
        <v>1</v>
      </c>
      <c r="E234" s="9">
        <f t="shared" si="73"/>
        <v>66.666666666666657</v>
      </c>
      <c r="F234" s="9">
        <f t="shared" si="74"/>
        <v>0</v>
      </c>
      <c r="G234">
        <v>0</v>
      </c>
      <c r="H234">
        <v>33.333333333333329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66.666666666666657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8</v>
      </c>
      <c r="AK234" t="s">
        <v>1</v>
      </c>
      <c r="AL234" t="s">
        <v>374</v>
      </c>
      <c r="AQ234" s="1">
        <f t="shared" si="90"/>
        <v>99.999999999999986</v>
      </c>
      <c r="AR234" s="1">
        <f t="shared" si="75"/>
        <v>0.66666666666666652</v>
      </c>
      <c r="AS234" s="1">
        <f t="shared" si="76"/>
        <v>0</v>
      </c>
      <c r="AT234" s="1">
        <f t="shared" si="77"/>
        <v>0.33333333333333326</v>
      </c>
      <c r="AU234" s="1">
        <f t="shared" si="78"/>
        <v>0</v>
      </c>
      <c r="AV234" s="1">
        <f t="shared" si="91"/>
        <v>0.08</v>
      </c>
      <c r="AX234" s="1">
        <f t="shared" si="92"/>
        <v>0</v>
      </c>
      <c r="AY234" s="1">
        <f t="shared" si="79"/>
        <v>2</v>
      </c>
      <c r="AZ234" s="1">
        <f t="shared" si="80"/>
        <v>0.5</v>
      </c>
      <c r="BA234" s="1">
        <f t="shared" si="81"/>
        <v>0.5</v>
      </c>
      <c r="BB234" s="1">
        <f t="shared" si="82"/>
        <v>0</v>
      </c>
      <c r="BC234" s="1">
        <f t="shared" si="83"/>
        <v>0</v>
      </c>
      <c r="BD234" s="1">
        <f t="shared" si="93"/>
        <v>0.08</v>
      </c>
      <c r="BF234">
        <f t="shared" si="84"/>
        <v>33.333333333333329</v>
      </c>
      <c r="BG234">
        <f t="shared" si="85"/>
        <v>66.666666666666657</v>
      </c>
      <c r="BH234" s="1">
        <f t="shared" si="86"/>
        <v>0</v>
      </c>
      <c r="BI234" s="1">
        <f t="shared" si="87"/>
        <v>2</v>
      </c>
      <c r="BJ234" s="1">
        <f t="shared" si="94"/>
        <v>0.43</v>
      </c>
      <c r="BK234" s="1">
        <f t="shared" si="95"/>
        <v>0.14352979424214807</v>
      </c>
      <c r="BL234" s="22">
        <f t="shared" si="96"/>
        <v>0.14352979424214807</v>
      </c>
      <c r="BM234" s="1">
        <f t="shared" si="88"/>
        <v>4.0360347564496694E-3</v>
      </c>
      <c r="BN234" s="1">
        <f t="shared" si="89"/>
        <v>0.10734857568466895</v>
      </c>
    </row>
    <row r="235" spans="1:66" x14ac:dyDescent="0.25">
      <c r="A235" s="3"/>
      <c r="B235" s="3"/>
      <c r="C235" t="s">
        <v>495</v>
      </c>
      <c r="D235" s="5">
        <v>1</v>
      </c>
      <c r="E235" s="9">
        <f t="shared" si="73"/>
        <v>69.969969969969966</v>
      </c>
      <c r="F235" s="9">
        <f t="shared" si="74"/>
        <v>0</v>
      </c>
      <c r="G235">
        <v>0</v>
      </c>
      <c r="H235">
        <v>30.03003003003003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69.969969969969966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2.9</v>
      </c>
      <c r="AK235" t="s">
        <v>1</v>
      </c>
      <c r="AL235" t="s">
        <v>374</v>
      </c>
      <c r="AQ235" s="1">
        <f t="shared" si="90"/>
        <v>100</v>
      </c>
      <c r="AR235" s="1">
        <f t="shared" si="75"/>
        <v>0.6996996996996997</v>
      </c>
      <c r="AS235" s="1">
        <f t="shared" si="76"/>
        <v>0</v>
      </c>
      <c r="AT235" s="1">
        <f t="shared" si="77"/>
        <v>0.3003003003003003</v>
      </c>
      <c r="AU235" s="1">
        <f t="shared" si="78"/>
        <v>0</v>
      </c>
      <c r="AV235" s="1">
        <f t="shared" si="91"/>
        <v>2.8999999999999998E-2</v>
      </c>
      <c r="AX235" s="1">
        <f t="shared" si="92"/>
        <v>0</v>
      </c>
      <c r="AY235" s="1">
        <f t="shared" si="79"/>
        <v>2.33</v>
      </c>
      <c r="AZ235" s="1">
        <f t="shared" si="80"/>
        <v>0.5</v>
      </c>
      <c r="BA235" s="1">
        <f t="shared" si="81"/>
        <v>0.5</v>
      </c>
      <c r="BB235" s="1">
        <f t="shared" si="82"/>
        <v>-0.10999999999999999</v>
      </c>
      <c r="BC235" s="1">
        <f t="shared" si="83"/>
        <v>-0.10999999999999999</v>
      </c>
      <c r="BD235" s="1">
        <f t="shared" si="93"/>
        <v>0.13899999999999998</v>
      </c>
      <c r="BF235">
        <f t="shared" si="84"/>
        <v>30.03003003003003</v>
      </c>
      <c r="BG235">
        <f t="shared" si="85"/>
        <v>69.969969969969966</v>
      </c>
      <c r="BH235" s="1">
        <f t="shared" si="86"/>
        <v>0</v>
      </c>
      <c r="BI235" s="1">
        <f t="shared" si="87"/>
        <v>2.33</v>
      </c>
      <c r="BJ235" s="1">
        <f t="shared" si="94"/>
        <v>0.43</v>
      </c>
      <c r="BK235" s="1">
        <f t="shared" si="95"/>
        <v>8.8301117056822781E-2</v>
      </c>
      <c r="BL235" s="22">
        <f t="shared" si="96"/>
        <v>8.8301117056822781E-2</v>
      </c>
      <c r="BM235" s="1">
        <f t="shared" si="88"/>
        <v>3.5166224841869979E-3</v>
      </c>
      <c r="BN235" s="1">
        <f t="shared" si="89"/>
        <v>0.14336895002685696</v>
      </c>
    </row>
    <row r="236" spans="1:66" x14ac:dyDescent="0.25">
      <c r="A236" s="3"/>
      <c r="B236" s="3"/>
      <c r="C236">
        <v>1</v>
      </c>
      <c r="D236" s="5">
        <v>1</v>
      </c>
      <c r="E236" s="9">
        <f t="shared" si="73"/>
        <v>6.25</v>
      </c>
      <c r="F236" s="9">
        <f t="shared" si="74"/>
        <v>0.33333333333333331</v>
      </c>
      <c r="G236">
        <v>0</v>
      </c>
      <c r="H236">
        <v>62.5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6.25</v>
      </c>
      <c r="P236">
        <v>0</v>
      </c>
      <c r="Q236">
        <v>31.25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11</v>
      </c>
      <c r="AK236" t="s">
        <v>1</v>
      </c>
      <c r="AL236" t="s">
        <v>374</v>
      </c>
      <c r="AQ236" s="1">
        <f t="shared" si="90"/>
        <v>100</v>
      </c>
      <c r="AR236" s="1">
        <f t="shared" si="75"/>
        <v>6.25E-2</v>
      </c>
      <c r="AS236" s="1">
        <f t="shared" si="76"/>
        <v>0</v>
      </c>
      <c r="AT236" s="1">
        <f t="shared" si="77"/>
        <v>0.625</v>
      </c>
      <c r="AU236" s="1">
        <f t="shared" si="78"/>
        <v>0.3125</v>
      </c>
      <c r="AV236" s="1">
        <f t="shared" si="91"/>
        <v>0.11</v>
      </c>
      <c r="AX236" s="1">
        <f t="shared" si="92"/>
        <v>0.5</v>
      </c>
      <c r="AY236" s="1">
        <f t="shared" si="79"/>
        <v>0.1</v>
      </c>
      <c r="AZ236" s="1">
        <f t="shared" si="80"/>
        <v>0.53125</v>
      </c>
      <c r="BA236" s="1">
        <f t="shared" si="81"/>
        <v>0.625</v>
      </c>
      <c r="BB236" s="1">
        <f t="shared" si="82"/>
        <v>0.1</v>
      </c>
      <c r="BC236" s="1">
        <f t="shared" si="83"/>
        <v>0.1</v>
      </c>
      <c r="BD236" s="1">
        <f t="shared" si="93"/>
        <v>9.999999999999995E-3</v>
      </c>
      <c r="BF236">
        <f t="shared" si="84"/>
        <v>62.5</v>
      </c>
      <c r="BG236">
        <f t="shared" si="85"/>
        <v>6.25</v>
      </c>
      <c r="BH236" s="1">
        <f t="shared" si="86"/>
        <v>0.5</v>
      </c>
      <c r="BI236" s="1">
        <f t="shared" si="87"/>
        <v>0.1</v>
      </c>
      <c r="BJ236" s="1">
        <f t="shared" si="94"/>
        <v>0.45999999999999996</v>
      </c>
      <c r="BK236" s="1">
        <f t="shared" si="95"/>
        <v>0.1</v>
      </c>
      <c r="BL236" s="22">
        <f t="shared" si="96"/>
        <v>0.1</v>
      </c>
      <c r="BM236" s="1">
        <f t="shared" si="88"/>
        <v>9.9999999999999896E-5</v>
      </c>
      <c r="BN236" s="1">
        <f t="shared" si="89"/>
        <v>8.8590120189264238E-2</v>
      </c>
    </row>
    <row r="237" spans="1:66" x14ac:dyDescent="0.25">
      <c r="A237" s="3"/>
      <c r="B237" s="3"/>
      <c r="C237">
        <v>2</v>
      </c>
      <c r="D237" s="5">
        <v>1</v>
      </c>
      <c r="E237" s="9">
        <f t="shared" si="73"/>
        <v>11.76470588235294</v>
      </c>
      <c r="F237" s="9">
        <f t="shared" si="74"/>
        <v>0.33333333333333337</v>
      </c>
      <c r="G237">
        <v>0</v>
      </c>
      <c r="H237">
        <v>58.82352941176471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11.76470588235294</v>
      </c>
      <c r="P237">
        <v>0</v>
      </c>
      <c r="Q237">
        <v>29.411764705882359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21</v>
      </c>
      <c r="AK237" t="s">
        <v>1</v>
      </c>
      <c r="AL237" t="s">
        <v>374</v>
      </c>
      <c r="AQ237" s="1">
        <f t="shared" si="90"/>
        <v>100.00000000000001</v>
      </c>
      <c r="AR237" s="1">
        <f t="shared" si="75"/>
        <v>0.1176470588235294</v>
      </c>
      <c r="AS237" s="1">
        <f t="shared" si="76"/>
        <v>0</v>
      </c>
      <c r="AT237" s="1">
        <f t="shared" si="77"/>
        <v>0.58823529411764708</v>
      </c>
      <c r="AU237" s="1">
        <f t="shared" si="78"/>
        <v>0.29411764705882359</v>
      </c>
      <c r="AV237" s="1">
        <f t="shared" si="91"/>
        <v>0.21</v>
      </c>
      <c r="AX237" s="1">
        <f t="shared" si="92"/>
        <v>0.50000000000000011</v>
      </c>
      <c r="AY237" s="1">
        <f t="shared" si="79"/>
        <v>0.19999999999999996</v>
      </c>
      <c r="AZ237" s="1">
        <f t="shared" si="80"/>
        <v>0.53125</v>
      </c>
      <c r="BA237" s="1">
        <f t="shared" si="81"/>
        <v>0.625</v>
      </c>
      <c r="BB237" s="1">
        <f t="shared" si="82"/>
        <v>0.19999999999999996</v>
      </c>
      <c r="BC237" s="1">
        <f t="shared" si="83"/>
        <v>0.19999999999999996</v>
      </c>
      <c r="BD237" s="1">
        <f t="shared" si="93"/>
        <v>1.0000000000000037E-2</v>
      </c>
      <c r="BF237">
        <f t="shared" si="84"/>
        <v>58.82352941176471</v>
      </c>
      <c r="BG237">
        <f t="shared" si="85"/>
        <v>11.76470588235294</v>
      </c>
      <c r="BH237" s="1">
        <f t="shared" si="86"/>
        <v>0.50000000000000011</v>
      </c>
      <c r="BI237" s="1">
        <f t="shared" si="87"/>
        <v>0.19999999999999998</v>
      </c>
      <c r="BJ237" s="1">
        <f t="shared" si="94"/>
        <v>0.46</v>
      </c>
      <c r="BK237" s="1">
        <f t="shared" si="95"/>
        <v>0.19999999999999998</v>
      </c>
      <c r="BL237" s="22">
        <f t="shared" si="96"/>
        <v>0.19999999999999998</v>
      </c>
      <c r="BM237" s="1">
        <f t="shared" si="88"/>
        <v>1.0000000000000018E-4</v>
      </c>
      <c r="BN237" s="1">
        <f t="shared" si="89"/>
        <v>3.9061935204581816E-2</v>
      </c>
    </row>
    <row r="238" spans="1:66" x14ac:dyDescent="0.25">
      <c r="A238" s="3"/>
      <c r="B238" s="3"/>
      <c r="C238">
        <v>3</v>
      </c>
      <c r="D238" s="5">
        <v>1</v>
      </c>
      <c r="E238" s="9">
        <f t="shared" si="73"/>
        <v>18.032786885245901</v>
      </c>
      <c r="F238" s="9">
        <f t="shared" si="74"/>
        <v>0.33333333333333337</v>
      </c>
      <c r="G238">
        <v>0</v>
      </c>
      <c r="H238">
        <v>54.644808743169392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18.032786885245901</v>
      </c>
      <c r="P238">
        <v>0</v>
      </c>
      <c r="Q238">
        <v>27.3224043715847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33</v>
      </c>
      <c r="AK238" t="s">
        <v>1</v>
      </c>
      <c r="AL238" t="s">
        <v>374</v>
      </c>
      <c r="AQ238" s="1">
        <f t="shared" si="90"/>
        <v>99.999999999999986</v>
      </c>
      <c r="AR238" s="1">
        <f t="shared" si="75"/>
        <v>0.18032786885245902</v>
      </c>
      <c r="AS238" s="1">
        <f t="shared" si="76"/>
        <v>0</v>
      </c>
      <c r="AT238" s="1">
        <f t="shared" si="77"/>
        <v>0.54644808743169393</v>
      </c>
      <c r="AU238" s="1">
        <f t="shared" si="78"/>
        <v>0.27322404371584702</v>
      </c>
      <c r="AV238" s="1">
        <f t="shared" si="91"/>
        <v>0.33</v>
      </c>
      <c r="AX238" s="1">
        <f t="shared" si="92"/>
        <v>0.50000000000000011</v>
      </c>
      <c r="AY238" s="1">
        <f t="shared" si="79"/>
        <v>0.33000000000000007</v>
      </c>
      <c r="AZ238" s="1">
        <f t="shared" si="80"/>
        <v>0.53125</v>
      </c>
      <c r="BA238" s="1">
        <f t="shared" si="81"/>
        <v>0.625</v>
      </c>
      <c r="BB238" s="1">
        <f t="shared" si="82"/>
        <v>0.33000000000000007</v>
      </c>
      <c r="BC238" s="1">
        <f t="shared" si="83"/>
        <v>0.33000000000000007</v>
      </c>
      <c r="BD238" s="1">
        <f t="shared" si="93"/>
        <v>5.5511151231257827E-17</v>
      </c>
      <c r="BF238">
        <f t="shared" si="84"/>
        <v>54.644808743169392</v>
      </c>
      <c r="BG238">
        <f t="shared" si="85"/>
        <v>18.032786885245901</v>
      </c>
      <c r="BH238" s="1">
        <f t="shared" si="86"/>
        <v>0.50000000000000011</v>
      </c>
      <c r="BI238" s="1">
        <f t="shared" si="87"/>
        <v>0.33</v>
      </c>
      <c r="BJ238" s="1">
        <f t="shared" si="94"/>
        <v>0.46</v>
      </c>
      <c r="BK238" s="1">
        <f t="shared" si="95"/>
        <v>0.33</v>
      </c>
      <c r="BL238" s="22">
        <f t="shared" si="96"/>
        <v>0.33</v>
      </c>
      <c r="BM238" s="1">
        <f t="shared" si="88"/>
        <v>0</v>
      </c>
      <c r="BN238" s="1">
        <f t="shared" si="89"/>
        <v>6.0281132229629093E-3</v>
      </c>
    </row>
    <row r="239" spans="1:66" x14ac:dyDescent="0.25">
      <c r="A239" s="3"/>
      <c r="B239" s="3"/>
      <c r="C239">
        <v>4</v>
      </c>
      <c r="D239" s="5">
        <v>1</v>
      </c>
      <c r="E239" s="9">
        <f t="shared" si="73"/>
        <v>25</v>
      </c>
      <c r="F239" s="9">
        <f t="shared" si="74"/>
        <v>0.33333333333333331</v>
      </c>
      <c r="G239">
        <v>0</v>
      </c>
      <c r="H239">
        <v>50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25</v>
      </c>
      <c r="P239">
        <v>0</v>
      </c>
      <c r="Q239">
        <v>25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45</v>
      </c>
      <c r="AK239" t="s">
        <v>1</v>
      </c>
      <c r="AL239" t="s">
        <v>374</v>
      </c>
      <c r="AQ239" s="1">
        <f t="shared" si="90"/>
        <v>100</v>
      </c>
      <c r="AR239" s="1">
        <f t="shared" si="75"/>
        <v>0.25</v>
      </c>
      <c r="AS239" s="1">
        <f t="shared" si="76"/>
        <v>0</v>
      </c>
      <c r="AT239" s="1">
        <f t="shared" si="77"/>
        <v>0.5</v>
      </c>
      <c r="AU239" s="1">
        <f t="shared" si="78"/>
        <v>0.25</v>
      </c>
      <c r="AV239" s="1">
        <f t="shared" si="91"/>
        <v>0.45</v>
      </c>
      <c r="AX239" s="1">
        <f t="shared" si="92"/>
        <v>0.5</v>
      </c>
      <c r="AY239" s="1">
        <f t="shared" si="79"/>
        <v>0.5</v>
      </c>
      <c r="AZ239" s="1">
        <f t="shared" si="80"/>
        <v>0.53125</v>
      </c>
      <c r="BA239" s="1">
        <f t="shared" si="81"/>
        <v>0.625</v>
      </c>
      <c r="BB239" s="1">
        <f t="shared" si="82"/>
        <v>0.5</v>
      </c>
      <c r="BC239" s="1">
        <f t="shared" si="83"/>
        <v>0.5</v>
      </c>
      <c r="BD239" s="1">
        <f t="shared" si="93"/>
        <v>4.9999999999999989E-2</v>
      </c>
      <c r="BF239">
        <f t="shared" si="84"/>
        <v>50</v>
      </c>
      <c r="BG239">
        <f t="shared" si="85"/>
        <v>25</v>
      </c>
      <c r="BH239" s="1">
        <f t="shared" si="86"/>
        <v>0.5</v>
      </c>
      <c r="BI239" s="1">
        <f t="shared" si="87"/>
        <v>0.5</v>
      </c>
      <c r="BJ239" s="1">
        <f t="shared" si="94"/>
        <v>0.45999999999999996</v>
      </c>
      <c r="BK239" s="1">
        <f t="shared" si="95"/>
        <v>0.43597140375156029</v>
      </c>
      <c r="BL239" s="22">
        <f t="shared" si="96"/>
        <v>0.43597140375156029</v>
      </c>
      <c r="BM239" s="1">
        <f t="shared" si="88"/>
        <v>1.9680151270173692E-4</v>
      </c>
      <c r="BN239" s="1">
        <f t="shared" si="89"/>
        <v>1.7942912413440124E-3</v>
      </c>
    </row>
    <row r="240" spans="1:66" x14ac:dyDescent="0.25">
      <c r="A240" s="3"/>
      <c r="B240" s="3"/>
      <c r="C240">
        <v>5</v>
      </c>
      <c r="D240" s="5">
        <v>1</v>
      </c>
      <c r="E240" s="9">
        <f t="shared" si="73"/>
        <v>28.571428571428569</v>
      </c>
      <c r="F240" s="9">
        <f t="shared" si="74"/>
        <v>0.33333333333333343</v>
      </c>
      <c r="G240">
        <v>0</v>
      </c>
      <c r="H240">
        <v>47.619047619047613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28.571428571428569</v>
      </c>
      <c r="P240">
        <v>0</v>
      </c>
      <c r="Q240">
        <v>23.80952380952381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50</v>
      </c>
      <c r="AK240" t="s">
        <v>1</v>
      </c>
      <c r="AL240" t="s">
        <v>374</v>
      </c>
      <c r="AQ240" s="1">
        <f t="shared" si="90"/>
        <v>99.999999999999986</v>
      </c>
      <c r="AR240" s="1">
        <f t="shared" si="75"/>
        <v>0.2857142857142857</v>
      </c>
      <c r="AS240" s="1">
        <f t="shared" si="76"/>
        <v>0</v>
      </c>
      <c r="AT240" s="1">
        <f t="shared" si="77"/>
        <v>0.47619047619047611</v>
      </c>
      <c r="AU240" s="1">
        <f t="shared" si="78"/>
        <v>0.23809523809523811</v>
      </c>
      <c r="AV240" s="1">
        <f t="shared" si="91"/>
        <v>0.5</v>
      </c>
      <c r="AX240" s="1">
        <f t="shared" si="92"/>
        <v>0.50000000000000011</v>
      </c>
      <c r="AY240" s="1">
        <f t="shared" si="79"/>
        <v>0.60000000000000009</v>
      </c>
      <c r="AZ240" s="1">
        <f t="shared" si="80"/>
        <v>0.53125</v>
      </c>
      <c r="BA240" s="1">
        <f t="shared" si="81"/>
        <v>0.625</v>
      </c>
      <c r="BB240" s="1">
        <f t="shared" si="82"/>
        <v>0.53125</v>
      </c>
      <c r="BC240" s="1">
        <f t="shared" si="83"/>
        <v>0.53125</v>
      </c>
      <c r="BD240" s="1">
        <f t="shared" si="93"/>
        <v>3.125E-2</v>
      </c>
      <c r="BF240">
        <f t="shared" si="84"/>
        <v>47.619047619047613</v>
      </c>
      <c r="BG240">
        <f t="shared" si="85"/>
        <v>28.571428571428569</v>
      </c>
      <c r="BH240" s="1">
        <f t="shared" si="86"/>
        <v>0.50000000000000011</v>
      </c>
      <c r="BI240" s="1">
        <f t="shared" si="87"/>
        <v>0.6</v>
      </c>
      <c r="BJ240" s="1">
        <f t="shared" si="94"/>
        <v>0.46</v>
      </c>
      <c r="BK240" s="1">
        <f t="shared" si="95"/>
        <v>0.4457154610326135</v>
      </c>
      <c r="BL240" s="22">
        <f t="shared" si="96"/>
        <v>0.4457154610326135</v>
      </c>
      <c r="BM240" s="1">
        <f t="shared" si="88"/>
        <v>2.9468111709017031E-3</v>
      </c>
      <c r="BN240" s="1">
        <f t="shared" si="89"/>
        <v>8.5301987490028035E-3</v>
      </c>
    </row>
    <row r="241" spans="1:66" x14ac:dyDescent="0.25">
      <c r="A241" s="3"/>
      <c r="B241" s="3"/>
      <c r="C241">
        <v>6</v>
      </c>
      <c r="D241" s="5">
        <v>1</v>
      </c>
      <c r="E241" s="9">
        <f t="shared" si="73"/>
        <v>31.818181818181809</v>
      </c>
      <c r="F241" s="9">
        <f t="shared" si="74"/>
        <v>0.33333333333333337</v>
      </c>
      <c r="G241">
        <v>0</v>
      </c>
      <c r="H241">
        <v>45.454545454545453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31.818181818181809</v>
      </c>
      <c r="P241">
        <v>0</v>
      </c>
      <c r="Q241">
        <v>22.72727272727273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49</v>
      </c>
      <c r="AK241" t="s">
        <v>1</v>
      </c>
      <c r="AL241" t="s">
        <v>374</v>
      </c>
      <c r="AQ241" s="1">
        <f t="shared" si="90"/>
        <v>100</v>
      </c>
      <c r="AR241" s="1">
        <f t="shared" si="75"/>
        <v>0.31818181818181812</v>
      </c>
      <c r="AS241" s="1">
        <f t="shared" si="76"/>
        <v>0</v>
      </c>
      <c r="AT241" s="1">
        <f t="shared" si="77"/>
        <v>0.45454545454545453</v>
      </c>
      <c r="AU241" s="1">
        <f t="shared" si="78"/>
        <v>0.22727272727272729</v>
      </c>
      <c r="AV241" s="1">
        <f t="shared" si="91"/>
        <v>0.49</v>
      </c>
      <c r="AX241" s="1">
        <f t="shared" si="92"/>
        <v>0.50000000000000011</v>
      </c>
      <c r="AY241" s="1">
        <f t="shared" si="79"/>
        <v>0.69999999999999984</v>
      </c>
      <c r="AZ241" s="1">
        <f t="shared" si="80"/>
        <v>0.53125</v>
      </c>
      <c r="BA241" s="1">
        <f t="shared" si="81"/>
        <v>0.625</v>
      </c>
      <c r="BB241" s="1">
        <f t="shared" si="82"/>
        <v>0.51</v>
      </c>
      <c r="BC241" s="1">
        <f t="shared" si="83"/>
        <v>0.51</v>
      </c>
      <c r="BD241" s="1">
        <f t="shared" si="93"/>
        <v>2.0000000000000018E-2</v>
      </c>
      <c r="BF241">
        <f t="shared" si="84"/>
        <v>45.454545454545453</v>
      </c>
      <c r="BG241">
        <f t="shared" si="85"/>
        <v>31.818181818181809</v>
      </c>
      <c r="BH241" s="1">
        <f t="shared" si="86"/>
        <v>0.50000000000000011</v>
      </c>
      <c r="BI241" s="1">
        <f t="shared" si="87"/>
        <v>0.69999999999999984</v>
      </c>
      <c r="BJ241" s="1">
        <f t="shared" si="94"/>
        <v>0.46</v>
      </c>
      <c r="BK241" s="1">
        <f t="shared" si="95"/>
        <v>0.44857154615291328</v>
      </c>
      <c r="BL241" s="22">
        <f t="shared" si="96"/>
        <v>0.44857154615291328</v>
      </c>
      <c r="BM241" s="1">
        <f t="shared" si="88"/>
        <v>1.7163167881601936E-3</v>
      </c>
      <c r="BN241" s="1">
        <f t="shared" si="89"/>
        <v>6.7830172474710433E-3</v>
      </c>
    </row>
    <row r="242" spans="1:66" x14ac:dyDescent="0.25">
      <c r="A242" s="3"/>
      <c r="B242" s="3"/>
      <c r="C242">
        <v>7</v>
      </c>
      <c r="D242" s="5">
        <v>1</v>
      </c>
      <c r="E242" s="9">
        <f t="shared" si="73"/>
        <v>34.782608695652179</v>
      </c>
      <c r="F242" s="9">
        <f t="shared" si="74"/>
        <v>0.33333333333333331</v>
      </c>
      <c r="G242">
        <v>0</v>
      </c>
      <c r="H242">
        <v>43.478260869565219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34.782608695652179</v>
      </c>
      <c r="P242">
        <v>0</v>
      </c>
      <c r="Q242">
        <v>21.739130434782609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47</v>
      </c>
      <c r="AK242" t="s">
        <v>1</v>
      </c>
      <c r="AL242" t="s">
        <v>374</v>
      </c>
      <c r="AQ242" s="1">
        <f t="shared" si="90"/>
        <v>100.00000000000001</v>
      </c>
      <c r="AR242" s="1">
        <f t="shared" si="75"/>
        <v>0.34782608695652178</v>
      </c>
      <c r="AS242" s="1">
        <f t="shared" si="76"/>
        <v>0</v>
      </c>
      <c r="AT242" s="1">
        <f t="shared" si="77"/>
        <v>0.43478260869565216</v>
      </c>
      <c r="AU242" s="1">
        <f t="shared" si="78"/>
        <v>0.21739130434782608</v>
      </c>
      <c r="AV242" s="1">
        <f t="shared" si="91"/>
        <v>0.47</v>
      </c>
      <c r="AX242" s="1">
        <f t="shared" si="92"/>
        <v>0.5</v>
      </c>
      <c r="AY242" s="1">
        <f t="shared" si="79"/>
        <v>0.80000000000000016</v>
      </c>
      <c r="AZ242" s="1">
        <f t="shared" si="80"/>
        <v>0.53125</v>
      </c>
      <c r="BA242" s="1">
        <f t="shared" si="81"/>
        <v>0.625</v>
      </c>
      <c r="BB242" s="1">
        <f t="shared" si="82"/>
        <v>0.48166666666666663</v>
      </c>
      <c r="BC242" s="1">
        <f t="shared" si="83"/>
        <v>0.48166666666666663</v>
      </c>
      <c r="BD242" s="1">
        <f t="shared" si="93"/>
        <v>1.1666666666666659E-2</v>
      </c>
      <c r="BF242">
        <f t="shared" si="84"/>
        <v>43.478260869565219</v>
      </c>
      <c r="BG242">
        <f t="shared" si="85"/>
        <v>34.782608695652179</v>
      </c>
      <c r="BH242" s="1">
        <f t="shared" si="86"/>
        <v>0.5</v>
      </c>
      <c r="BI242" s="1">
        <f t="shared" si="87"/>
        <v>0.8</v>
      </c>
      <c r="BJ242" s="1">
        <f t="shared" si="94"/>
        <v>0.45999999999999996</v>
      </c>
      <c r="BK242" s="1">
        <f t="shared" si="95"/>
        <v>0.44556937302475941</v>
      </c>
      <c r="BL242" s="22">
        <f t="shared" si="96"/>
        <v>0.44556937302475941</v>
      </c>
      <c r="BM242" s="1">
        <f t="shared" si="88"/>
        <v>5.9685553440335195E-4</v>
      </c>
      <c r="BN242" s="1">
        <f t="shared" si="89"/>
        <v>3.8886542444075247E-3</v>
      </c>
    </row>
    <row r="243" spans="1:66" x14ac:dyDescent="0.25">
      <c r="A243" s="3"/>
      <c r="B243" s="3"/>
      <c r="C243">
        <v>8</v>
      </c>
      <c r="D243" s="5">
        <v>1</v>
      </c>
      <c r="E243" s="9">
        <f t="shared" si="73"/>
        <v>37.5</v>
      </c>
      <c r="F243" s="9">
        <f t="shared" si="74"/>
        <v>0.33333333333333337</v>
      </c>
      <c r="G243">
        <v>0</v>
      </c>
      <c r="H243">
        <v>41.666666666666671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37.5</v>
      </c>
      <c r="P243">
        <v>0</v>
      </c>
      <c r="Q243">
        <v>20.833333333333339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45</v>
      </c>
      <c r="AK243" t="s">
        <v>1</v>
      </c>
      <c r="AL243" t="s">
        <v>374</v>
      </c>
      <c r="AQ243" s="1">
        <f t="shared" si="90"/>
        <v>100.00000000000001</v>
      </c>
      <c r="AR243" s="1">
        <f t="shared" si="75"/>
        <v>0.375</v>
      </c>
      <c r="AS243" s="1">
        <f t="shared" si="76"/>
        <v>0</v>
      </c>
      <c r="AT243" s="1">
        <f t="shared" si="77"/>
        <v>0.41666666666666674</v>
      </c>
      <c r="AU243" s="1">
        <f t="shared" si="78"/>
        <v>0.2083333333333334</v>
      </c>
      <c r="AV243" s="1">
        <f t="shared" si="91"/>
        <v>0.45</v>
      </c>
      <c r="AX243" s="1">
        <f t="shared" si="92"/>
        <v>0.50000000000000011</v>
      </c>
      <c r="AY243" s="1">
        <f t="shared" si="79"/>
        <v>0.8999999999999998</v>
      </c>
      <c r="AZ243" s="1">
        <f t="shared" si="80"/>
        <v>0.53125</v>
      </c>
      <c r="BA243" s="1">
        <f t="shared" si="81"/>
        <v>0.625</v>
      </c>
      <c r="BB243" s="1">
        <f t="shared" si="82"/>
        <v>0.45333333333333337</v>
      </c>
      <c r="BC243" s="1">
        <f t="shared" si="83"/>
        <v>0.45333333333333337</v>
      </c>
      <c r="BD243" s="1">
        <f t="shared" si="93"/>
        <v>3.3333333333333548E-3</v>
      </c>
      <c r="BF243">
        <f t="shared" si="84"/>
        <v>41.666666666666671</v>
      </c>
      <c r="BG243">
        <f t="shared" si="85"/>
        <v>37.5</v>
      </c>
      <c r="BH243" s="1">
        <f t="shared" si="86"/>
        <v>0.50000000000000011</v>
      </c>
      <c r="BI243" s="1">
        <f t="shared" si="87"/>
        <v>0.89999999999999991</v>
      </c>
      <c r="BJ243" s="1">
        <f t="shared" si="94"/>
        <v>0.46</v>
      </c>
      <c r="BK243" s="1">
        <f t="shared" si="95"/>
        <v>0.43764602866887631</v>
      </c>
      <c r="BL243" s="22">
        <f t="shared" si="96"/>
        <v>0.43764602866887631</v>
      </c>
      <c r="BM243" s="1">
        <f t="shared" si="88"/>
        <v>1.5262060765022637E-4</v>
      </c>
      <c r="BN243" s="1">
        <f t="shared" si="89"/>
        <v>1.7942912413440124E-3</v>
      </c>
    </row>
    <row r="244" spans="1:66" x14ac:dyDescent="0.25">
      <c r="A244" s="3"/>
      <c r="B244" s="3"/>
      <c r="C244">
        <v>9</v>
      </c>
      <c r="D244" s="5">
        <v>1</v>
      </c>
      <c r="E244" s="9">
        <f t="shared" si="73"/>
        <v>40</v>
      </c>
      <c r="F244" s="9">
        <f t="shared" si="74"/>
        <v>0.33333333333333331</v>
      </c>
      <c r="G244">
        <v>0</v>
      </c>
      <c r="H244">
        <v>40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40</v>
      </c>
      <c r="P244">
        <v>0</v>
      </c>
      <c r="Q244">
        <v>20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41</v>
      </c>
      <c r="AK244" t="s">
        <v>1</v>
      </c>
      <c r="AL244" t="s">
        <v>374</v>
      </c>
      <c r="AQ244" s="1">
        <f t="shared" si="90"/>
        <v>100</v>
      </c>
      <c r="AR244" s="1">
        <f t="shared" si="75"/>
        <v>0.4</v>
      </c>
      <c r="AS244" s="1">
        <f t="shared" si="76"/>
        <v>0</v>
      </c>
      <c r="AT244" s="1">
        <f t="shared" si="77"/>
        <v>0.4</v>
      </c>
      <c r="AU244" s="1">
        <f t="shared" si="78"/>
        <v>0.2</v>
      </c>
      <c r="AV244" s="1">
        <f t="shared" si="91"/>
        <v>0.41</v>
      </c>
      <c r="AX244" s="1">
        <f t="shared" si="92"/>
        <v>0.5</v>
      </c>
      <c r="AY244" s="1">
        <f t="shared" si="79"/>
        <v>1</v>
      </c>
      <c r="AZ244" s="1">
        <f t="shared" si="80"/>
        <v>0.53125</v>
      </c>
      <c r="BA244" s="1">
        <f t="shared" si="81"/>
        <v>0.625</v>
      </c>
      <c r="BB244" s="1">
        <f t="shared" si="82"/>
        <v>0.42499999999999999</v>
      </c>
      <c r="BC244" s="1">
        <f t="shared" si="83"/>
        <v>0.42499999999999999</v>
      </c>
      <c r="BD244" s="1">
        <f t="shared" si="93"/>
        <v>1.5000000000000013E-2</v>
      </c>
      <c r="BF244">
        <f t="shared" si="84"/>
        <v>40</v>
      </c>
      <c r="BG244">
        <f t="shared" si="85"/>
        <v>40</v>
      </c>
      <c r="BH244" s="1">
        <f t="shared" si="86"/>
        <v>0.5</v>
      </c>
      <c r="BI244" s="1">
        <f t="shared" si="87"/>
        <v>1</v>
      </c>
      <c r="BJ244" s="1">
        <f t="shared" si="94"/>
        <v>0.45999999999999996</v>
      </c>
      <c r="BK244" s="1">
        <f t="shared" si="95"/>
        <v>0.42565107808197022</v>
      </c>
      <c r="BL244" s="22">
        <f t="shared" si="96"/>
        <v>0.42565107808197022</v>
      </c>
      <c r="BM244" s="1">
        <f t="shared" si="88"/>
        <v>2.4495624512792951E-4</v>
      </c>
      <c r="BN244" s="1">
        <f t="shared" si="89"/>
        <v>5.5652352169781633E-6</v>
      </c>
    </row>
    <row r="245" spans="1:66" x14ac:dyDescent="0.25">
      <c r="A245" s="3"/>
      <c r="B245" s="3"/>
      <c r="C245">
        <v>10</v>
      </c>
      <c r="D245" s="5">
        <v>1</v>
      </c>
      <c r="E245" s="9">
        <f t="shared" si="73"/>
        <v>5.213270142180094</v>
      </c>
      <c r="F245" s="9">
        <f t="shared" si="74"/>
        <v>0.5</v>
      </c>
      <c r="G245">
        <v>0</v>
      </c>
      <c r="H245">
        <v>47.393364928909953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5.213270142180094</v>
      </c>
      <c r="P245">
        <v>0</v>
      </c>
      <c r="Q245">
        <v>47.393364928909953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12</v>
      </c>
      <c r="AK245" t="s">
        <v>1</v>
      </c>
      <c r="AL245" t="s">
        <v>374</v>
      </c>
      <c r="AQ245" s="1">
        <f t="shared" si="90"/>
        <v>100</v>
      </c>
      <c r="AR245" s="1">
        <f t="shared" si="75"/>
        <v>5.2132701421800938E-2</v>
      </c>
      <c r="AS245" s="1">
        <f t="shared" si="76"/>
        <v>0</v>
      </c>
      <c r="AT245" s="1">
        <f t="shared" si="77"/>
        <v>0.47393364928909953</v>
      </c>
      <c r="AU245" s="1">
        <f t="shared" si="78"/>
        <v>0.47393364928909953</v>
      </c>
      <c r="AV245" s="1">
        <f t="shared" si="91"/>
        <v>0.12</v>
      </c>
      <c r="AX245" s="1">
        <f t="shared" si="92"/>
        <v>1</v>
      </c>
      <c r="AY245" s="1">
        <f t="shared" si="79"/>
        <v>0.10999999999999997</v>
      </c>
      <c r="AZ245" s="1">
        <f t="shared" si="80"/>
        <v>0.5625</v>
      </c>
      <c r="BA245" s="1">
        <f t="shared" si="81"/>
        <v>0.75</v>
      </c>
      <c r="BB245" s="1">
        <f t="shared" si="82"/>
        <v>0.10999999999999997</v>
      </c>
      <c r="BC245" s="1">
        <f t="shared" si="83"/>
        <v>0.10999999999999997</v>
      </c>
      <c r="BD245" s="1">
        <f t="shared" si="93"/>
        <v>1.0000000000000023E-2</v>
      </c>
      <c r="BF245">
        <f t="shared" si="84"/>
        <v>47.393364928909953</v>
      </c>
      <c r="BG245">
        <f t="shared" si="85"/>
        <v>5.213270142180094</v>
      </c>
      <c r="BH245" s="1">
        <f t="shared" si="86"/>
        <v>1</v>
      </c>
      <c r="BI245" s="1">
        <f t="shared" si="87"/>
        <v>0.10999999999999999</v>
      </c>
      <c r="BJ245" s="1">
        <f t="shared" si="94"/>
        <v>0.49</v>
      </c>
      <c r="BK245" s="1">
        <f t="shared" si="95"/>
        <v>0.10999999999999999</v>
      </c>
      <c r="BL245" s="22">
        <f t="shared" si="96"/>
        <v>0.10999999999999999</v>
      </c>
      <c r="BM245" s="1">
        <f t="shared" si="88"/>
        <v>1.0000000000000018E-4</v>
      </c>
      <c r="BN245" s="1">
        <f t="shared" si="89"/>
        <v>8.2737301690795989E-2</v>
      </c>
    </row>
    <row r="246" spans="1:66" x14ac:dyDescent="0.25">
      <c r="A246" s="3"/>
      <c r="B246" s="3"/>
      <c r="C246">
        <v>11</v>
      </c>
      <c r="D246" s="5">
        <v>1</v>
      </c>
      <c r="E246" s="9">
        <f t="shared" si="73"/>
        <v>9.0909090909090917</v>
      </c>
      <c r="F246" s="9">
        <f t="shared" si="74"/>
        <v>0.5</v>
      </c>
      <c r="G246">
        <v>0</v>
      </c>
      <c r="H246">
        <v>45.454545454545453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9.0909090909090917</v>
      </c>
      <c r="P246">
        <v>0</v>
      </c>
      <c r="Q246">
        <v>45.454545454545453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22</v>
      </c>
      <c r="AK246" t="s">
        <v>1</v>
      </c>
      <c r="AL246" t="s">
        <v>374</v>
      </c>
      <c r="AQ246" s="1">
        <f t="shared" si="90"/>
        <v>100</v>
      </c>
      <c r="AR246" s="1">
        <f t="shared" si="75"/>
        <v>9.0909090909090912E-2</v>
      </c>
      <c r="AS246" s="1">
        <f t="shared" si="76"/>
        <v>0</v>
      </c>
      <c r="AT246" s="1">
        <f t="shared" si="77"/>
        <v>0.45454545454545453</v>
      </c>
      <c r="AU246" s="1">
        <f t="shared" si="78"/>
        <v>0.45454545454545453</v>
      </c>
      <c r="AV246" s="1">
        <f t="shared" si="91"/>
        <v>0.22</v>
      </c>
      <c r="AX246" s="1">
        <f t="shared" si="92"/>
        <v>1</v>
      </c>
      <c r="AY246" s="1">
        <f t="shared" si="79"/>
        <v>0.2</v>
      </c>
      <c r="AZ246" s="1">
        <f t="shared" si="80"/>
        <v>0.5625</v>
      </c>
      <c r="BA246" s="1">
        <f t="shared" si="81"/>
        <v>0.75</v>
      </c>
      <c r="BB246" s="1">
        <f t="shared" si="82"/>
        <v>0.2</v>
      </c>
      <c r="BC246" s="1">
        <f t="shared" si="83"/>
        <v>0.2</v>
      </c>
      <c r="BD246" s="1">
        <f t="shared" si="93"/>
        <v>1.999999999999999E-2</v>
      </c>
      <c r="BF246">
        <f t="shared" si="84"/>
        <v>45.454545454545453</v>
      </c>
      <c r="BG246">
        <f t="shared" si="85"/>
        <v>9.0909090909090917</v>
      </c>
      <c r="BH246" s="1">
        <f t="shared" si="86"/>
        <v>1</v>
      </c>
      <c r="BI246" s="1">
        <f t="shared" si="87"/>
        <v>0.2</v>
      </c>
      <c r="BJ246" s="1">
        <f t="shared" si="94"/>
        <v>0.49</v>
      </c>
      <c r="BK246" s="1">
        <f t="shared" si="95"/>
        <v>0.2</v>
      </c>
      <c r="BL246" s="22">
        <f t="shared" si="96"/>
        <v>0.2</v>
      </c>
      <c r="BM246" s="1">
        <f t="shared" si="88"/>
        <v>3.9999999999999959E-4</v>
      </c>
      <c r="BN246" s="1">
        <f t="shared" si="89"/>
        <v>3.5209116706113569E-2</v>
      </c>
    </row>
    <row r="247" spans="1:66" x14ac:dyDescent="0.25">
      <c r="A247" s="3"/>
      <c r="B247" s="3"/>
      <c r="C247">
        <v>12</v>
      </c>
      <c r="D247" s="5">
        <v>1</v>
      </c>
      <c r="E247" s="9">
        <f t="shared" si="73"/>
        <v>14.163090128755369</v>
      </c>
      <c r="F247" s="9">
        <f t="shared" si="74"/>
        <v>0.5</v>
      </c>
      <c r="G247">
        <v>0</v>
      </c>
      <c r="H247">
        <v>42.918454935622321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14.163090128755369</v>
      </c>
      <c r="P247">
        <v>0</v>
      </c>
      <c r="Q247">
        <v>42.918454935622321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35</v>
      </c>
      <c r="AK247" t="s">
        <v>1</v>
      </c>
      <c r="AL247" t="s">
        <v>374</v>
      </c>
      <c r="AQ247" s="1">
        <f t="shared" si="90"/>
        <v>100.00000000000001</v>
      </c>
      <c r="AR247" s="1">
        <f t="shared" si="75"/>
        <v>0.14163090128755371</v>
      </c>
      <c r="AS247" s="1">
        <f t="shared" si="76"/>
        <v>0</v>
      </c>
      <c r="AT247" s="1">
        <f t="shared" si="77"/>
        <v>0.42918454935622319</v>
      </c>
      <c r="AU247" s="1">
        <f t="shared" si="78"/>
        <v>0.42918454935622319</v>
      </c>
      <c r="AV247" s="1">
        <f t="shared" si="91"/>
        <v>0.35</v>
      </c>
      <c r="AX247" s="1">
        <f t="shared" si="92"/>
        <v>1</v>
      </c>
      <c r="AY247" s="1">
        <f t="shared" si="79"/>
        <v>0.33000000000000013</v>
      </c>
      <c r="AZ247" s="1">
        <f t="shared" si="80"/>
        <v>0.5625</v>
      </c>
      <c r="BA247" s="1">
        <f t="shared" si="81"/>
        <v>0.75</v>
      </c>
      <c r="BB247" s="1">
        <f t="shared" si="82"/>
        <v>0.33000000000000013</v>
      </c>
      <c r="BC247" s="1">
        <f t="shared" si="83"/>
        <v>0.33000000000000013</v>
      </c>
      <c r="BD247" s="1">
        <f t="shared" si="93"/>
        <v>1.9999999999999851E-2</v>
      </c>
      <c r="BF247">
        <f t="shared" si="84"/>
        <v>42.918454935622321</v>
      </c>
      <c r="BG247">
        <f t="shared" si="85"/>
        <v>14.163090128755369</v>
      </c>
      <c r="BH247" s="1">
        <f t="shared" si="86"/>
        <v>1</v>
      </c>
      <c r="BI247" s="1">
        <f t="shared" si="87"/>
        <v>0.33000000000000007</v>
      </c>
      <c r="BJ247" s="1">
        <f t="shared" si="94"/>
        <v>0.49</v>
      </c>
      <c r="BK247" s="1">
        <f t="shared" si="95"/>
        <v>0.33000000000000007</v>
      </c>
      <c r="BL247" s="22">
        <f t="shared" si="96"/>
        <v>0.33000000000000007</v>
      </c>
      <c r="BM247" s="1">
        <f t="shared" si="88"/>
        <v>3.9999999999999628E-4</v>
      </c>
      <c r="BN247" s="1">
        <f t="shared" si="89"/>
        <v>3.3224762260264311E-3</v>
      </c>
    </row>
    <row r="248" spans="1:66" x14ac:dyDescent="0.25">
      <c r="A248" s="3"/>
      <c r="B248" s="3"/>
      <c r="C248">
        <v>13</v>
      </c>
      <c r="D248" s="5">
        <v>1</v>
      </c>
      <c r="E248" s="9">
        <f t="shared" si="73"/>
        <v>20</v>
      </c>
      <c r="F248" s="9">
        <f t="shared" si="74"/>
        <v>0.5</v>
      </c>
      <c r="G248">
        <v>0</v>
      </c>
      <c r="H248">
        <v>40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20</v>
      </c>
      <c r="P248">
        <v>0</v>
      </c>
      <c r="Q248">
        <v>40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45</v>
      </c>
      <c r="AK248" t="s">
        <v>1</v>
      </c>
      <c r="AL248" t="s">
        <v>374</v>
      </c>
      <c r="AQ248" s="1">
        <f t="shared" si="90"/>
        <v>100</v>
      </c>
      <c r="AR248" s="1">
        <f t="shared" si="75"/>
        <v>0.2</v>
      </c>
      <c r="AS248" s="1">
        <f t="shared" si="76"/>
        <v>0</v>
      </c>
      <c r="AT248" s="1">
        <f t="shared" si="77"/>
        <v>0.4</v>
      </c>
      <c r="AU248" s="1">
        <f t="shared" si="78"/>
        <v>0.4</v>
      </c>
      <c r="AV248" s="1">
        <f t="shared" si="91"/>
        <v>0.45</v>
      </c>
      <c r="AX248" s="1">
        <f t="shared" si="92"/>
        <v>1</v>
      </c>
      <c r="AY248" s="1">
        <f t="shared" si="79"/>
        <v>0.5</v>
      </c>
      <c r="AZ248" s="1">
        <f t="shared" si="80"/>
        <v>0.5625</v>
      </c>
      <c r="BA248" s="1">
        <f t="shared" si="81"/>
        <v>0.75</v>
      </c>
      <c r="BB248" s="1">
        <f t="shared" si="82"/>
        <v>0.5</v>
      </c>
      <c r="BC248" s="1">
        <f t="shared" si="83"/>
        <v>0.5</v>
      </c>
      <c r="BD248" s="1">
        <f t="shared" si="93"/>
        <v>4.9999999999999989E-2</v>
      </c>
      <c r="BF248">
        <f t="shared" si="84"/>
        <v>40</v>
      </c>
      <c r="BG248">
        <f t="shared" si="85"/>
        <v>20</v>
      </c>
      <c r="BH248" s="1">
        <f t="shared" si="86"/>
        <v>1</v>
      </c>
      <c r="BI248" s="1">
        <f t="shared" si="87"/>
        <v>0.5</v>
      </c>
      <c r="BJ248" s="1">
        <f t="shared" si="94"/>
        <v>0.49</v>
      </c>
      <c r="BK248" s="1">
        <f t="shared" si="95"/>
        <v>0.45988164727714359</v>
      </c>
      <c r="BL248" s="22">
        <f t="shared" si="96"/>
        <v>0.45988164727714359</v>
      </c>
      <c r="BM248" s="1">
        <f t="shared" si="88"/>
        <v>9.7646952909879117E-5</v>
      </c>
      <c r="BN248" s="1">
        <f t="shared" si="89"/>
        <v>1.7942912413440124E-3</v>
      </c>
    </row>
    <row r="249" spans="1:66" x14ac:dyDescent="0.25">
      <c r="A249" s="3"/>
      <c r="B249" s="3"/>
      <c r="C249">
        <v>14</v>
      </c>
      <c r="D249" s="5">
        <v>1</v>
      </c>
      <c r="E249" s="9">
        <f t="shared" si="73"/>
        <v>23.07692307692308</v>
      </c>
      <c r="F249" s="9">
        <f t="shared" si="74"/>
        <v>0.5</v>
      </c>
      <c r="G249">
        <v>0</v>
      </c>
      <c r="H249">
        <v>38.46153846153846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23.07692307692308</v>
      </c>
      <c r="P249">
        <v>0</v>
      </c>
      <c r="Q249">
        <v>38.46153846153846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54</v>
      </c>
      <c r="AK249" t="s">
        <v>1</v>
      </c>
      <c r="AL249" t="s">
        <v>374</v>
      </c>
      <c r="AQ249" s="1">
        <f t="shared" si="90"/>
        <v>100</v>
      </c>
      <c r="AR249" s="1">
        <f t="shared" si="75"/>
        <v>0.23076923076923081</v>
      </c>
      <c r="AS249" s="1">
        <f t="shared" si="76"/>
        <v>0</v>
      </c>
      <c r="AT249" s="1">
        <f t="shared" si="77"/>
        <v>0.38461538461538458</v>
      </c>
      <c r="AU249" s="1">
        <f t="shared" si="78"/>
        <v>0.38461538461538458</v>
      </c>
      <c r="AV249" s="1">
        <f t="shared" si="91"/>
        <v>0.54</v>
      </c>
      <c r="AX249" s="1">
        <f t="shared" si="92"/>
        <v>1</v>
      </c>
      <c r="AY249" s="1">
        <f t="shared" si="79"/>
        <v>0.6000000000000002</v>
      </c>
      <c r="AZ249" s="1">
        <f t="shared" si="80"/>
        <v>0.5625</v>
      </c>
      <c r="BA249" s="1">
        <f t="shared" si="81"/>
        <v>0.75</v>
      </c>
      <c r="BB249" s="1">
        <f t="shared" si="82"/>
        <v>0.5625</v>
      </c>
      <c r="BC249" s="1">
        <f t="shared" si="83"/>
        <v>0.5625</v>
      </c>
      <c r="BD249" s="1">
        <f t="shared" si="93"/>
        <v>2.2499999999999964E-2</v>
      </c>
      <c r="BF249">
        <f t="shared" si="84"/>
        <v>38.46153846153846</v>
      </c>
      <c r="BG249">
        <f t="shared" si="85"/>
        <v>23.07692307692308</v>
      </c>
      <c r="BH249" s="1">
        <f t="shared" si="86"/>
        <v>1</v>
      </c>
      <c r="BI249" s="1">
        <f t="shared" si="87"/>
        <v>0.60000000000000009</v>
      </c>
      <c r="BJ249" s="1">
        <f t="shared" si="94"/>
        <v>0.49</v>
      </c>
      <c r="BK249" s="1">
        <f t="shared" si="95"/>
        <v>0.47579535562106084</v>
      </c>
      <c r="BL249" s="22">
        <f t="shared" si="96"/>
        <v>0.47579535562106084</v>
      </c>
      <c r="BM249" s="1">
        <f t="shared" si="88"/>
        <v>4.1222363598260479E-3</v>
      </c>
      <c r="BN249" s="1">
        <f t="shared" si="89"/>
        <v>1.7518924755129846E-2</v>
      </c>
    </row>
    <row r="250" spans="1:66" x14ac:dyDescent="0.25">
      <c r="A250" s="3"/>
      <c r="B250" s="3"/>
      <c r="C250">
        <v>15</v>
      </c>
      <c r="D250" s="5">
        <v>1</v>
      </c>
      <c r="E250" s="9">
        <f t="shared" si="73"/>
        <v>25.92592592592592</v>
      </c>
      <c r="F250" s="9">
        <f t="shared" si="74"/>
        <v>0.5</v>
      </c>
      <c r="G250">
        <v>0</v>
      </c>
      <c r="H250">
        <v>37.037037037037038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25.92592592592592</v>
      </c>
      <c r="P250">
        <v>0</v>
      </c>
      <c r="Q250">
        <v>37.037037037037038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55.000000000000007</v>
      </c>
      <c r="AK250" t="s">
        <v>1</v>
      </c>
      <c r="AL250" t="s">
        <v>374</v>
      </c>
      <c r="AQ250" s="1">
        <f t="shared" si="90"/>
        <v>100</v>
      </c>
      <c r="AR250" s="1">
        <f t="shared" si="75"/>
        <v>0.25925925925925919</v>
      </c>
      <c r="AS250" s="1">
        <f t="shared" si="76"/>
        <v>0</v>
      </c>
      <c r="AT250" s="1">
        <f t="shared" si="77"/>
        <v>0.37037037037037041</v>
      </c>
      <c r="AU250" s="1">
        <f t="shared" si="78"/>
        <v>0.37037037037037041</v>
      </c>
      <c r="AV250" s="1">
        <f t="shared" si="91"/>
        <v>0.55000000000000004</v>
      </c>
      <c r="AX250" s="1">
        <f t="shared" si="92"/>
        <v>1</v>
      </c>
      <c r="AY250" s="1">
        <f t="shared" si="79"/>
        <v>0.69999999999999973</v>
      </c>
      <c r="AZ250" s="1">
        <f t="shared" si="80"/>
        <v>0.5625</v>
      </c>
      <c r="BA250" s="1">
        <f t="shared" si="81"/>
        <v>0.75</v>
      </c>
      <c r="BB250" s="1">
        <f t="shared" si="82"/>
        <v>0.5625</v>
      </c>
      <c r="BC250" s="1">
        <f t="shared" si="83"/>
        <v>0.5625</v>
      </c>
      <c r="BD250" s="1">
        <f t="shared" si="93"/>
        <v>1.2499999999999956E-2</v>
      </c>
      <c r="BF250">
        <f t="shared" si="84"/>
        <v>37.037037037037038</v>
      </c>
      <c r="BG250">
        <f t="shared" si="85"/>
        <v>25.92592592592592</v>
      </c>
      <c r="BH250" s="1">
        <f t="shared" si="86"/>
        <v>1</v>
      </c>
      <c r="BI250" s="1">
        <f t="shared" si="87"/>
        <v>0.69999999999999984</v>
      </c>
      <c r="BJ250" s="1">
        <f t="shared" si="94"/>
        <v>0.49</v>
      </c>
      <c r="BK250" s="1">
        <f t="shared" si="95"/>
        <v>0.48481076662524353</v>
      </c>
      <c r="BL250" s="22">
        <f t="shared" si="96"/>
        <v>0.48481076662524353</v>
      </c>
      <c r="BM250" s="1">
        <f t="shared" si="88"/>
        <v>4.2496361479884689E-3</v>
      </c>
      <c r="BN250" s="1">
        <f t="shared" si="89"/>
        <v>2.0266106256661608E-2</v>
      </c>
    </row>
    <row r="251" spans="1:66" x14ac:dyDescent="0.25">
      <c r="A251" s="3"/>
      <c r="B251" s="3"/>
      <c r="C251">
        <v>16</v>
      </c>
      <c r="D251" s="5">
        <v>1</v>
      </c>
      <c r="E251" s="9">
        <f t="shared" si="73"/>
        <v>28.57142857142858</v>
      </c>
      <c r="F251" s="9">
        <f t="shared" si="74"/>
        <v>0.5</v>
      </c>
      <c r="G251">
        <v>0</v>
      </c>
      <c r="H251">
        <v>35.714285714285722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28.57142857142858</v>
      </c>
      <c r="P251">
        <v>0</v>
      </c>
      <c r="Q251">
        <v>35.714285714285722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54</v>
      </c>
      <c r="AK251" t="s">
        <v>1</v>
      </c>
      <c r="AL251" t="s">
        <v>374</v>
      </c>
      <c r="AQ251" s="1">
        <f t="shared" si="90"/>
        <v>100.00000000000003</v>
      </c>
      <c r="AR251" s="1">
        <f t="shared" si="75"/>
        <v>0.28571428571428581</v>
      </c>
      <c r="AS251" s="1">
        <f t="shared" si="76"/>
        <v>0</v>
      </c>
      <c r="AT251" s="1">
        <f t="shared" si="77"/>
        <v>0.35714285714285721</v>
      </c>
      <c r="AU251" s="1">
        <f t="shared" si="78"/>
        <v>0.35714285714285721</v>
      </c>
      <c r="AV251" s="1">
        <f t="shared" si="91"/>
        <v>0.54</v>
      </c>
      <c r="AX251" s="1">
        <f t="shared" si="92"/>
        <v>1</v>
      </c>
      <c r="AY251" s="1">
        <f t="shared" si="79"/>
        <v>0.80000000000000016</v>
      </c>
      <c r="AZ251" s="1">
        <f t="shared" si="80"/>
        <v>0.5625</v>
      </c>
      <c r="BA251" s="1">
        <f t="shared" si="81"/>
        <v>0.75</v>
      </c>
      <c r="BB251" s="1">
        <f t="shared" si="82"/>
        <v>0.54999999999999993</v>
      </c>
      <c r="BC251" s="1">
        <f t="shared" si="83"/>
        <v>0.54999999999999993</v>
      </c>
      <c r="BD251" s="1">
        <f t="shared" si="93"/>
        <v>9.9999999999998979E-3</v>
      </c>
      <c r="BF251">
        <f t="shared" si="84"/>
        <v>35.714285714285722</v>
      </c>
      <c r="BG251">
        <f t="shared" si="85"/>
        <v>28.57142857142858</v>
      </c>
      <c r="BH251" s="1">
        <f t="shared" si="86"/>
        <v>1</v>
      </c>
      <c r="BI251" s="1">
        <f t="shared" si="87"/>
        <v>0.8</v>
      </c>
      <c r="BJ251" s="1">
        <f t="shared" si="94"/>
        <v>0.49</v>
      </c>
      <c r="BK251" s="1">
        <f t="shared" si="95"/>
        <v>0.48780897543357127</v>
      </c>
      <c r="BL251" s="22">
        <f t="shared" si="96"/>
        <v>0.48780897543357127</v>
      </c>
      <c r="BM251" s="1">
        <f t="shared" si="88"/>
        <v>2.7239030452935712E-3</v>
      </c>
      <c r="BN251" s="1">
        <f t="shared" si="89"/>
        <v>1.7518924755129846E-2</v>
      </c>
    </row>
    <row r="252" spans="1:66" x14ac:dyDescent="0.25">
      <c r="A252" s="3"/>
      <c r="B252" s="3"/>
      <c r="C252">
        <v>17</v>
      </c>
      <c r="D252" s="5">
        <v>1</v>
      </c>
      <c r="E252" s="9">
        <f t="shared" si="73"/>
        <v>31.03448275862069</v>
      </c>
      <c r="F252" s="9">
        <f t="shared" si="74"/>
        <v>0.5</v>
      </c>
      <c r="G252">
        <v>0</v>
      </c>
      <c r="H252">
        <v>34.482758620689658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31.03448275862069</v>
      </c>
      <c r="P252">
        <v>0</v>
      </c>
      <c r="Q252">
        <v>34.482758620689658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54</v>
      </c>
      <c r="AK252" t="s">
        <v>1</v>
      </c>
      <c r="AL252" t="s">
        <v>374</v>
      </c>
      <c r="AQ252" s="1">
        <f t="shared" si="90"/>
        <v>100</v>
      </c>
      <c r="AR252" s="1">
        <f t="shared" si="75"/>
        <v>0.31034482758620691</v>
      </c>
      <c r="AS252" s="1">
        <f t="shared" si="76"/>
        <v>0</v>
      </c>
      <c r="AT252" s="1">
        <f t="shared" si="77"/>
        <v>0.34482758620689657</v>
      </c>
      <c r="AU252" s="1">
        <f t="shared" si="78"/>
        <v>0.34482758620689657</v>
      </c>
      <c r="AV252" s="1">
        <f t="shared" si="91"/>
        <v>0.54</v>
      </c>
      <c r="AX252" s="1">
        <f t="shared" si="92"/>
        <v>1</v>
      </c>
      <c r="AY252" s="1">
        <f t="shared" si="79"/>
        <v>0.9</v>
      </c>
      <c r="AZ252" s="1">
        <f t="shared" si="80"/>
        <v>0.5625</v>
      </c>
      <c r="BA252" s="1">
        <f t="shared" si="81"/>
        <v>0.75</v>
      </c>
      <c r="BB252" s="1">
        <f t="shared" si="82"/>
        <v>0.52500000000000002</v>
      </c>
      <c r="BC252" s="1">
        <f t="shared" si="83"/>
        <v>0.52500000000000002</v>
      </c>
      <c r="BD252" s="1">
        <f t="shared" si="93"/>
        <v>1.5000000000000013E-2</v>
      </c>
      <c r="BF252">
        <f t="shared" si="84"/>
        <v>34.482758620689658</v>
      </c>
      <c r="BG252">
        <f t="shared" si="85"/>
        <v>31.03448275862069</v>
      </c>
      <c r="BH252" s="1">
        <f t="shared" si="86"/>
        <v>1</v>
      </c>
      <c r="BI252" s="1">
        <f t="shared" si="87"/>
        <v>0.89999999999999991</v>
      </c>
      <c r="BJ252" s="1">
        <f t="shared" si="94"/>
        <v>0.49</v>
      </c>
      <c r="BK252" s="1">
        <f t="shared" si="95"/>
        <v>0.48560208289740942</v>
      </c>
      <c r="BL252" s="22">
        <f t="shared" si="96"/>
        <v>0.48560208289740942</v>
      </c>
      <c r="BM252" s="1">
        <f t="shared" si="88"/>
        <v>2.9591333851003211E-3</v>
      </c>
      <c r="BN252" s="1">
        <f t="shared" si="89"/>
        <v>1.7518924755129846E-2</v>
      </c>
    </row>
    <row r="253" spans="1:66" x14ac:dyDescent="0.25">
      <c r="A253" s="3"/>
      <c r="B253" s="3"/>
      <c r="C253">
        <v>18</v>
      </c>
      <c r="D253" s="5">
        <v>1</v>
      </c>
      <c r="E253" s="9">
        <f t="shared" si="73"/>
        <v>33.333333333333329</v>
      </c>
      <c r="F253" s="9">
        <f t="shared" si="74"/>
        <v>0.5</v>
      </c>
      <c r="G253">
        <v>0</v>
      </c>
      <c r="H253">
        <v>33.333333333333329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33.333333333333329</v>
      </c>
      <c r="P253">
        <v>0</v>
      </c>
      <c r="Q253">
        <v>33.333333333333329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51</v>
      </c>
      <c r="AK253" t="s">
        <v>1</v>
      </c>
      <c r="AL253" t="s">
        <v>374</v>
      </c>
      <c r="AQ253" s="1">
        <f t="shared" si="90"/>
        <v>99.999999999999986</v>
      </c>
      <c r="AR253" s="1">
        <f t="shared" si="75"/>
        <v>0.33333333333333326</v>
      </c>
      <c r="AS253" s="1">
        <f t="shared" si="76"/>
        <v>0</v>
      </c>
      <c r="AT253" s="1">
        <f t="shared" si="77"/>
        <v>0.33333333333333326</v>
      </c>
      <c r="AU253" s="1">
        <f t="shared" si="78"/>
        <v>0.33333333333333326</v>
      </c>
      <c r="AV253" s="1">
        <f t="shared" si="91"/>
        <v>0.51</v>
      </c>
      <c r="AX253" s="1">
        <f t="shared" si="92"/>
        <v>1</v>
      </c>
      <c r="AY253" s="1">
        <f t="shared" si="79"/>
        <v>1</v>
      </c>
      <c r="AZ253" s="1">
        <f t="shared" si="80"/>
        <v>0.5625</v>
      </c>
      <c r="BA253" s="1">
        <f t="shared" si="81"/>
        <v>0.75</v>
      </c>
      <c r="BB253" s="1">
        <f t="shared" si="82"/>
        <v>0.5</v>
      </c>
      <c r="BC253" s="1">
        <f t="shared" si="83"/>
        <v>0.5</v>
      </c>
      <c r="BD253" s="1">
        <f t="shared" si="93"/>
        <v>1.0000000000000009E-2</v>
      </c>
      <c r="BF253">
        <f t="shared" si="84"/>
        <v>33.333333333333329</v>
      </c>
      <c r="BG253">
        <f t="shared" si="85"/>
        <v>33.333333333333329</v>
      </c>
      <c r="BH253" s="1">
        <f t="shared" si="86"/>
        <v>1</v>
      </c>
      <c r="BI253" s="1">
        <f t="shared" si="87"/>
        <v>1</v>
      </c>
      <c r="BJ253" s="1">
        <f t="shared" si="94"/>
        <v>0.49</v>
      </c>
      <c r="BK253" s="1">
        <f t="shared" si="95"/>
        <v>0.47893651729059428</v>
      </c>
      <c r="BL253" s="22">
        <f t="shared" si="96"/>
        <v>0.47893651729059428</v>
      </c>
      <c r="BM253" s="1">
        <f t="shared" si="88"/>
        <v>9.6493995803754887E-4</v>
      </c>
      <c r="BN253" s="1">
        <f t="shared" si="89"/>
        <v>1.0477380250534563E-2</v>
      </c>
    </row>
    <row r="254" spans="1:66" x14ac:dyDescent="0.25">
      <c r="A254" s="3"/>
      <c r="B254" s="3"/>
      <c r="C254">
        <v>19</v>
      </c>
      <c r="D254" s="5">
        <v>1</v>
      </c>
      <c r="E254" s="9">
        <f t="shared" si="73"/>
        <v>39.393939393939398</v>
      </c>
      <c r="F254" s="9">
        <f t="shared" si="74"/>
        <v>0.5</v>
      </c>
      <c r="G254">
        <v>0</v>
      </c>
      <c r="H254">
        <v>30.303030303030301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39.393939393939398</v>
      </c>
      <c r="P254">
        <v>0</v>
      </c>
      <c r="Q254">
        <v>30.303030303030301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47</v>
      </c>
      <c r="AK254" t="s">
        <v>1</v>
      </c>
      <c r="AL254" t="s">
        <v>374</v>
      </c>
      <c r="AQ254" s="1">
        <f t="shared" si="90"/>
        <v>100</v>
      </c>
      <c r="AR254" s="1">
        <f t="shared" si="75"/>
        <v>0.39393939393939398</v>
      </c>
      <c r="AS254" s="1">
        <f t="shared" si="76"/>
        <v>0</v>
      </c>
      <c r="AT254" s="1">
        <f t="shared" si="77"/>
        <v>0.30303030303030298</v>
      </c>
      <c r="AU254" s="1">
        <f t="shared" si="78"/>
        <v>0.30303030303030298</v>
      </c>
      <c r="AV254" s="1">
        <f t="shared" si="91"/>
        <v>0.47</v>
      </c>
      <c r="AX254" s="1">
        <f t="shared" si="92"/>
        <v>1</v>
      </c>
      <c r="AY254" s="1">
        <f t="shared" si="79"/>
        <v>1.3000000000000003</v>
      </c>
      <c r="AZ254" s="1">
        <f t="shared" si="80"/>
        <v>0.5625</v>
      </c>
      <c r="BA254" s="1">
        <f t="shared" si="81"/>
        <v>0.75</v>
      </c>
      <c r="BB254" s="1">
        <f t="shared" si="82"/>
        <v>0.42499999999999993</v>
      </c>
      <c r="BC254" s="1">
        <f t="shared" si="83"/>
        <v>0.42499999999999993</v>
      </c>
      <c r="BD254" s="1">
        <f t="shared" si="93"/>
        <v>4.500000000000004E-2</v>
      </c>
      <c r="BF254">
        <f t="shared" si="84"/>
        <v>30.303030303030301</v>
      </c>
      <c r="BG254">
        <f t="shared" si="85"/>
        <v>39.393939393939398</v>
      </c>
      <c r="BH254" s="1">
        <f t="shared" si="86"/>
        <v>1</v>
      </c>
      <c r="BI254" s="1">
        <f t="shared" si="87"/>
        <v>1.3000000000000003</v>
      </c>
      <c r="BJ254" s="1">
        <f t="shared" si="94"/>
        <v>0.49</v>
      </c>
      <c r="BK254" s="1">
        <f t="shared" si="95"/>
        <v>0.43873457701123286</v>
      </c>
      <c r="BL254" s="22">
        <f t="shared" si="96"/>
        <v>0.43873457701123286</v>
      </c>
      <c r="BM254" s="1">
        <f t="shared" si="88"/>
        <v>9.775266746665269E-4</v>
      </c>
      <c r="BN254" s="1">
        <f t="shared" si="89"/>
        <v>3.8886542444075247E-3</v>
      </c>
    </row>
    <row r="255" spans="1:66" x14ac:dyDescent="0.25">
      <c r="A255" s="3"/>
      <c r="B255" s="3"/>
      <c r="C255">
        <v>20</v>
      </c>
      <c r="D255" s="5">
        <v>1</v>
      </c>
      <c r="E255" s="9">
        <f t="shared" si="73"/>
        <v>34.782608695652179</v>
      </c>
      <c r="F255" s="9">
        <f t="shared" si="74"/>
        <v>0.66666666666666663</v>
      </c>
      <c r="G255">
        <v>0</v>
      </c>
      <c r="H255">
        <v>21.739130434782609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34.782608695652179</v>
      </c>
      <c r="P255">
        <v>0</v>
      </c>
      <c r="Q255">
        <v>43.478260869565219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38</v>
      </c>
      <c r="AK255" t="s">
        <v>1</v>
      </c>
      <c r="AL255" t="s">
        <v>374</v>
      </c>
      <c r="AQ255" s="1">
        <f t="shared" si="90"/>
        <v>100</v>
      </c>
      <c r="AR255" s="1">
        <f t="shared" si="75"/>
        <v>0.34782608695652178</v>
      </c>
      <c r="AS255" s="1">
        <f t="shared" si="76"/>
        <v>0</v>
      </c>
      <c r="AT255" s="1">
        <f t="shared" si="77"/>
        <v>0.21739130434782608</v>
      </c>
      <c r="AU255" s="1">
        <f t="shared" si="78"/>
        <v>0.43478260869565216</v>
      </c>
      <c r="AV255" s="1">
        <f t="shared" si="91"/>
        <v>0.38</v>
      </c>
      <c r="AX255" s="1">
        <f t="shared" si="92"/>
        <v>2</v>
      </c>
      <c r="AY255" s="1">
        <f t="shared" si="79"/>
        <v>1.6000000000000003</v>
      </c>
      <c r="AZ255" s="1">
        <f t="shared" si="80"/>
        <v>0.625</v>
      </c>
      <c r="BA255" s="1">
        <f t="shared" si="81"/>
        <v>1</v>
      </c>
      <c r="BB255" s="1">
        <f t="shared" si="82"/>
        <v>0.49999999999999989</v>
      </c>
      <c r="BC255" s="1">
        <f t="shared" si="83"/>
        <v>0.49999999999999989</v>
      </c>
      <c r="BD255" s="1">
        <f t="shared" si="93"/>
        <v>0.11999999999999988</v>
      </c>
      <c r="BF255">
        <f t="shared" si="84"/>
        <v>21.739130434782609</v>
      </c>
      <c r="BG255">
        <f t="shared" si="85"/>
        <v>34.782608695652179</v>
      </c>
      <c r="BH255" s="1">
        <f t="shared" si="86"/>
        <v>2</v>
      </c>
      <c r="BI255" s="1">
        <f t="shared" si="87"/>
        <v>1.6</v>
      </c>
      <c r="BJ255" s="1">
        <f t="shared" si="94"/>
        <v>0.55000000000000004</v>
      </c>
      <c r="BK255" s="1">
        <f t="shared" si="95"/>
        <v>0.51326799501517417</v>
      </c>
      <c r="BL255" s="22">
        <f t="shared" si="96"/>
        <v>0.51326799501517417</v>
      </c>
      <c r="BM255" s="1">
        <f t="shared" si="88"/>
        <v>1.7760358495364486E-2</v>
      </c>
      <c r="BN255" s="1">
        <f t="shared" si="89"/>
        <v>7.6402073062170313E-4</v>
      </c>
    </row>
    <row r="256" spans="1:66" x14ac:dyDescent="0.25">
      <c r="A256" s="3"/>
      <c r="B256" s="3"/>
      <c r="C256">
        <v>21</v>
      </c>
      <c r="D256" s="5">
        <v>1</v>
      </c>
      <c r="E256" s="9">
        <f t="shared" si="73"/>
        <v>6.25</v>
      </c>
      <c r="F256" s="9">
        <f t="shared" si="74"/>
        <v>0.66666666666666663</v>
      </c>
      <c r="G256">
        <v>0</v>
      </c>
      <c r="H256">
        <v>31.25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6.25</v>
      </c>
      <c r="P256">
        <v>0</v>
      </c>
      <c r="Q256">
        <v>62.5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20</v>
      </c>
      <c r="AK256" t="s">
        <v>1</v>
      </c>
      <c r="AL256" t="s">
        <v>374</v>
      </c>
      <c r="AQ256" s="1">
        <f t="shared" si="90"/>
        <v>100</v>
      </c>
      <c r="AR256" s="1">
        <f t="shared" si="75"/>
        <v>6.25E-2</v>
      </c>
      <c r="AS256" s="1">
        <f t="shared" si="76"/>
        <v>0</v>
      </c>
      <c r="AT256" s="1">
        <f t="shared" si="77"/>
        <v>0.3125</v>
      </c>
      <c r="AU256" s="1">
        <f t="shared" si="78"/>
        <v>0.625</v>
      </c>
      <c r="AV256" s="1">
        <f t="shared" si="91"/>
        <v>0.2</v>
      </c>
      <c r="AX256" s="1">
        <f t="shared" si="92"/>
        <v>2</v>
      </c>
      <c r="AY256" s="1">
        <f t="shared" si="79"/>
        <v>0.2</v>
      </c>
      <c r="AZ256" s="1">
        <f t="shared" si="80"/>
        <v>0.625</v>
      </c>
      <c r="BA256" s="1">
        <f t="shared" si="81"/>
        <v>1</v>
      </c>
      <c r="BB256" s="1">
        <f t="shared" si="82"/>
        <v>0.2</v>
      </c>
      <c r="BC256" s="1">
        <f t="shared" si="83"/>
        <v>0.2</v>
      </c>
      <c r="BD256" s="1">
        <f t="shared" si="93"/>
        <v>0</v>
      </c>
      <c r="BF256">
        <f t="shared" si="84"/>
        <v>31.25</v>
      </c>
      <c r="BG256">
        <f t="shared" si="85"/>
        <v>6.25</v>
      </c>
      <c r="BH256" s="1">
        <f t="shared" si="86"/>
        <v>2</v>
      </c>
      <c r="BI256" s="1">
        <f t="shared" si="87"/>
        <v>0.2</v>
      </c>
      <c r="BJ256" s="1">
        <f t="shared" si="94"/>
        <v>0.55000000000000004</v>
      </c>
      <c r="BK256" s="1">
        <f t="shared" si="95"/>
        <v>0.2</v>
      </c>
      <c r="BL256" s="22">
        <f t="shared" si="96"/>
        <v>0.2</v>
      </c>
      <c r="BM256" s="1">
        <f t="shared" si="88"/>
        <v>0</v>
      </c>
      <c r="BN256" s="1">
        <f t="shared" si="89"/>
        <v>4.3114753703050047E-2</v>
      </c>
    </row>
    <row r="257" spans="1:66" x14ac:dyDescent="0.25">
      <c r="A257" s="3"/>
      <c r="B257" s="3"/>
      <c r="C257">
        <v>22</v>
      </c>
      <c r="D257" s="5">
        <v>1</v>
      </c>
      <c r="E257" s="9">
        <f t="shared" si="73"/>
        <v>9.9099099099099099</v>
      </c>
      <c r="F257" s="9">
        <f t="shared" si="74"/>
        <v>0.66666666666666674</v>
      </c>
      <c r="G257">
        <v>0</v>
      </c>
      <c r="H257">
        <v>30.03003003003003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9.9099099099099099</v>
      </c>
      <c r="P257">
        <v>0</v>
      </c>
      <c r="Q257">
        <v>60.06006006006006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31</v>
      </c>
      <c r="AK257" t="s">
        <v>1</v>
      </c>
      <c r="AL257" t="s">
        <v>374</v>
      </c>
      <c r="AQ257" s="1">
        <f t="shared" si="90"/>
        <v>100</v>
      </c>
      <c r="AR257" s="1">
        <f t="shared" si="75"/>
        <v>9.90990990990991E-2</v>
      </c>
      <c r="AS257" s="1">
        <f t="shared" si="76"/>
        <v>0</v>
      </c>
      <c r="AT257" s="1">
        <f t="shared" si="77"/>
        <v>0.3003003003003003</v>
      </c>
      <c r="AU257" s="1">
        <f t="shared" si="78"/>
        <v>0.60060060060060061</v>
      </c>
      <c r="AV257" s="1">
        <f t="shared" si="91"/>
        <v>0.31</v>
      </c>
      <c r="AX257" s="1">
        <f t="shared" si="92"/>
        <v>2</v>
      </c>
      <c r="AY257" s="1">
        <f t="shared" si="79"/>
        <v>0.33</v>
      </c>
      <c r="AZ257" s="1">
        <f t="shared" si="80"/>
        <v>0.625</v>
      </c>
      <c r="BA257" s="1">
        <f t="shared" si="81"/>
        <v>1</v>
      </c>
      <c r="BB257" s="1">
        <f t="shared" si="82"/>
        <v>0.33</v>
      </c>
      <c r="BC257" s="1">
        <f t="shared" si="83"/>
        <v>0.33</v>
      </c>
      <c r="BD257" s="1">
        <f t="shared" si="93"/>
        <v>2.0000000000000018E-2</v>
      </c>
      <c r="BF257">
        <f t="shared" si="84"/>
        <v>30.03003003003003</v>
      </c>
      <c r="BG257">
        <f t="shared" si="85"/>
        <v>9.9099099099099099</v>
      </c>
      <c r="BH257" s="1">
        <f t="shared" si="86"/>
        <v>2</v>
      </c>
      <c r="BI257" s="1">
        <f t="shared" si="87"/>
        <v>0.33</v>
      </c>
      <c r="BJ257" s="1">
        <f t="shared" si="94"/>
        <v>0.55000000000000004</v>
      </c>
      <c r="BK257" s="1">
        <f t="shared" si="95"/>
        <v>0.33</v>
      </c>
      <c r="BL257" s="22">
        <f t="shared" si="96"/>
        <v>0.33</v>
      </c>
      <c r="BM257" s="1">
        <f t="shared" si="88"/>
        <v>4.0000000000000072E-4</v>
      </c>
      <c r="BN257" s="1">
        <f t="shared" si="89"/>
        <v>9.5337502198993961E-3</v>
      </c>
    </row>
    <row r="258" spans="1:66" x14ac:dyDescent="0.25">
      <c r="A258" s="3"/>
      <c r="B258" s="3"/>
      <c r="C258">
        <v>23</v>
      </c>
      <c r="D258" s="5">
        <v>1</v>
      </c>
      <c r="E258" s="9">
        <f t="shared" ref="E258:E292" si="97">I258+L258+M258+N258+O258+V258+X258+AB258+AD258</f>
        <v>14.285714285714279</v>
      </c>
      <c r="F258" s="9">
        <f t="shared" ref="F258:F292" si="98">Q258/(H258+P258+Q258+AC258)</f>
        <v>0.66666666666666663</v>
      </c>
      <c r="G258">
        <v>0</v>
      </c>
      <c r="H258">
        <v>28.571428571428569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14.285714285714279</v>
      </c>
      <c r="P258">
        <v>0</v>
      </c>
      <c r="Q258">
        <v>57.142857142857139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45</v>
      </c>
      <c r="AK258" t="s">
        <v>1</v>
      </c>
      <c r="AL258" t="s">
        <v>374</v>
      </c>
      <c r="AQ258" s="1">
        <f t="shared" si="90"/>
        <v>99.999999999999986</v>
      </c>
      <c r="AR258" s="1">
        <f t="shared" ref="AR258:AR321" si="99">(L258+M258+O258+X258)/100</f>
        <v>0.14285714285714279</v>
      </c>
      <c r="AS258" s="1">
        <f t="shared" ref="AS258:AS321" si="100">G258/100</f>
        <v>0</v>
      </c>
      <c r="AT258" s="1">
        <f t="shared" ref="AT258:AT321" si="101">H258/100</f>
        <v>0.2857142857142857</v>
      </c>
      <c r="AU258" s="1">
        <f t="shared" ref="AU258:AU321" si="102">Q258/100</f>
        <v>0.5714285714285714</v>
      </c>
      <c r="AV258" s="1">
        <f t="shared" si="91"/>
        <v>0.45</v>
      </c>
      <c r="AX258" s="1">
        <f t="shared" si="92"/>
        <v>2</v>
      </c>
      <c r="AY258" s="1">
        <f t="shared" ref="AY258:AY321" si="103">AR258/(AS258+AT258)</f>
        <v>0.49999999999999978</v>
      </c>
      <c r="AZ258" s="1">
        <f t="shared" ref="AZ258:AZ321" si="104">0.5+AX258/16</f>
        <v>0.625</v>
      </c>
      <c r="BA258" s="1">
        <f t="shared" ref="BA258:BA321" si="105">0.5+AX258/4</f>
        <v>1</v>
      </c>
      <c r="BB258" s="1">
        <f t="shared" ref="BB258:BB321" si="106">IF(AY258&lt;=AZ258,AY258,IF(AY258&lt;=BA258,AZ258,AZ258-(AY258-BA258)*(8+AX258)/(12*(2+AX258))))</f>
        <v>0.49999999999999978</v>
      </c>
      <c r="BC258" s="1">
        <f t="shared" ref="BC258:BC321" si="107">IF(BB258&lt;1,BB258,1)</f>
        <v>0.49999999999999978</v>
      </c>
      <c r="BD258" s="1">
        <f t="shared" si="93"/>
        <v>4.9999999999999767E-2</v>
      </c>
      <c r="BF258">
        <f t="shared" ref="BF258:BF321" si="108">$BQ$3*H258+$BQ$4*G258+$BQ$5*P258+$BQ$6*K258+$BQ$7*S258+$BQ$8*U258+$BQ$9*Y258+$BQ$10*J258+$BQ$11*AC258+$BQ$12*AG258+$BQ$13*AH258+$BQ$14*R258+$BQ$15*AE258</f>
        <v>28.571428571428569</v>
      </c>
      <c r="BG258">
        <f t="shared" ref="BG258:BG321" si="109">O258+$BQ$17*M258+$BQ$18*L258+$BQ$19*X258+$BQ$20*AD258+$BQ$21*I258+$BQ$22*N258+$BQ$23*AB258+$BQ$24*V258+$BQ$25*T258+$BQ$26*AA258+$BQ$28*Z258+$BQ$29*AF258+$BQ$30*W258+$BQ$27*AI258</f>
        <v>14.285714285714279</v>
      </c>
      <c r="BH258" s="1">
        <f t="shared" ref="BH258:BH321" si="110">(Q258)/BF258</f>
        <v>2</v>
      </c>
      <c r="BI258" s="1">
        <f t="shared" ref="BI258:BI321" si="111">BG258/BF258</f>
        <v>0.49999999999999983</v>
      </c>
      <c r="BJ258" s="1">
        <f t="shared" si="94"/>
        <v>0.55000000000000004</v>
      </c>
      <c r="BK258" s="1">
        <f t="shared" si="95"/>
        <v>0.49999999999999983</v>
      </c>
      <c r="BL258" s="22">
        <f t="shared" si="96"/>
        <v>0.49999999999999983</v>
      </c>
      <c r="BM258" s="1">
        <f t="shared" ref="BM258:BM321" si="112">(BL258-AV258)^2</f>
        <v>2.4999999999999823E-3</v>
      </c>
      <c r="BN258" s="1">
        <f t="shared" ref="BN258:BN321" si="113">(AV258-AVERAGE($AV$2:$AV$638))^2</f>
        <v>1.7942912413440124E-3</v>
      </c>
    </row>
    <row r="259" spans="1:66" x14ac:dyDescent="0.25">
      <c r="A259" s="3"/>
      <c r="B259" s="3"/>
      <c r="C259">
        <v>24</v>
      </c>
      <c r="D259" s="5">
        <v>1</v>
      </c>
      <c r="E259" s="9">
        <f t="shared" si="97"/>
        <v>16.666666666666661</v>
      </c>
      <c r="F259" s="9">
        <f t="shared" si="98"/>
        <v>0.66666666666666663</v>
      </c>
      <c r="G259">
        <v>0</v>
      </c>
      <c r="H259">
        <v>27.777777777777779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16.666666666666661</v>
      </c>
      <c r="P259">
        <v>0</v>
      </c>
      <c r="Q259">
        <v>55.555555555555557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55.000000000000007</v>
      </c>
      <c r="AK259" t="s">
        <v>1</v>
      </c>
      <c r="AL259" t="s">
        <v>374</v>
      </c>
      <c r="AQ259" s="1">
        <f t="shared" ref="AQ259:AQ322" si="114">SUM(G259:AI259)</f>
        <v>100</v>
      </c>
      <c r="AR259" s="1">
        <f t="shared" si="99"/>
        <v>0.1666666666666666</v>
      </c>
      <c r="AS259" s="1">
        <f t="shared" si="100"/>
        <v>0</v>
      </c>
      <c r="AT259" s="1">
        <f t="shared" si="101"/>
        <v>0.27777777777777779</v>
      </c>
      <c r="AU259" s="1">
        <f t="shared" si="102"/>
        <v>0.55555555555555558</v>
      </c>
      <c r="AV259" s="1">
        <f t="shared" ref="AV259:AV322" si="115">AJ259/100</f>
        <v>0.55000000000000004</v>
      </c>
      <c r="AX259" s="1">
        <f t="shared" ref="AX259:AX322" si="116">AU259/(AT259+AS259)</f>
        <v>2</v>
      </c>
      <c r="AY259" s="1">
        <f t="shared" si="103"/>
        <v>0.59999999999999976</v>
      </c>
      <c r="AZ259" s="1">
        <f t="shared" si="104"/>
        <v>0.625</v>
      </c>
      <c r="BA259" s="1">
        <f t="shared" si="105"/>
        <v>1</v>
      </c>
      <c r="BB259" s="1">
        <f t="shared" si="106"/>
        <v>0.59999999999999976</v>
      </c>
      <c r="BC259" s="1">
        <f t="shared" si="107"/>
        <v>0.59999999999999976</v>
      </c>
      <c r="BD259" s="1">
        <f t="shared" ref="BD259:BD322" si="117">ABS(BC259-AV259)</f>
        <v>4.9999999999999711E-2</v>
      </c>
      <c r="BF259">
        <f t="shared" si="108"/>
        <v>27.777777777777779</v>
      </c>
      <c r="BG259">
        <f t="shared" si="109"/>
        <v>16.666666666666661</v>
      </c>
      <c r="BH259" s="1">
        <f t="shared" si="110"/>
        <v>2</v>
      </c>
      <c r="BI259" s="1">
        <f t="shared" si="111"/>
        <v>0.59999999999999976</v>
      </c>
      <c r="BJ259" s="1">
        <f t="shared" ref="BJ259:BJ322" si="118">$BQ$32+BH259*$BQ$33</f>
        <v>0.55000000000000004</v>
      </c>
      <c r="BK259" s="1">
        <f t="shared" ref="BK259:BK322" si="119">IF(BI259&lt;BJ259,BI259,$BQ$35*($BQ$36+BI259)*($BQ$37-BI259/($BQ$38+BH259)*$BQ$39)^5)</f>
        <v>0.52300095456751516</v>
      </c>
      <c r="BL259" s="22">
        <f t="shared" ref="BL259:BL322" si="120">IF(BK259&lt;1,IF(BK259&gt;0,BK259,0),1)</f>
        <v>0.52300095456751516</v>
      </c>
      <c r="BM259" s="1">
        <f t="shared" si="112"/>
        <v>7.2894845426538268E-4</v>
      </c>
      <c r="BN259" s="1">
        <f t="shared" si="113"/>
        <v>2.0266106256661608E-2</v>
      </c>
    </row>
    <row r="260" spans="1:66" x14ac:dyDescent="0.25">
      <c r="A260" s="3"/>
      <c r="B260" s="3"/>
      <c r="C260">
        <v>25</v>
      </c>
      <c r="D260" s="5">
        <v>1</v>
      </c>
      <c r="E260" s="9">
        <f t="shared" si="97"/>
        <v>18.918918918918919</v>
      </c>
      <c r="F260" s="9">
        <f t="shared" si="98"/>
        <v>0.66666666666666674</v>
      </c>
      <c r="G260">
        <v>0</v>
      </c>
      <c r="H260">
        <v>27.027027027027021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18.918918918918919</v>
      </c>
      <c r="P260">
        <v>0</v>
      </c>
      <c r="Q260">
        <v>54.054054054054049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61</v>
      </c>
      <c r="AK260" t="s">
        <v>1</v>
      </c>
      <c r="AL260" t="s">
        <v>374</v>
      </c>
      <c r="AQ260" s="1">
        <f t="shared" si="114"/>
        <v>99.999999999999986</v>
      </c>
      <c r="AR260" s="1">
        <f t="shared" si="99"/>
        <v>0.1891891891891892</v>
      </c>
      <c r="AS260" s="1">
        <f t="shared" si="100"/>
        <v>0</v>
      </c>
      <c r="AT260" s="1">
        <f t="shared" si="101"/>
        <v>0.27027027027027023</v>
      </c>
      <c r="AU260" s="1">
        <f t="shared" si="102"/>
        <v>0.54054054054054046</v>
      </c>
      <c r="AV260" s="1">
        <f t="shared" si="115"/>
        <v>0.61</v>
      </c>
      <c r="AX260" s="1">
        <f t="shared" si="116"/>
        <v>2</v>
      </c>
      <c r="AY260" s="1">
        <f t="shared" si="103"/>
        <v>0.70000000000000018</v>
      </c>
      <c r="AZ260" s="1">
        <f t="shared" si="104"/>
        <v>0.625</v>
      </c>
      <c r="BA260" s="1">
        <f t="shared" si="105"/>
        <v>1</v>
      </c>
      <c r="BB260" s="1">
        <f t="shared" si="106"/>
        <v>0.625</v>
      </c>
      <c r="BC260" s="1">
        <f t="shared" si="107"/>
        <v>0.625</v>
      </c>
      <c r="BD260" s="1">
        <f t="shared" si="117"/>
        <v>1.5000000000000013E-2</v>
      </c>
      <c r="BF260">
        <f t="shared" si="108"/>
        <v>27.027027027027021</v>
      </c>
      <c r="BG260">
        <f t="shared" si="109"/>
        <v>18.918918918918919</v>
      </c>
      <c r="BH260" s="1">
        <f t="shared" si="110"/>
        <v>2.0000000000000004</v>
      </c>
      <c r="BI260" s="1">
        <f t="shared" si="111"/>
        <v>0.70000000000000018</v>
      </c>
      <c r="BJ260" s="1">
        <f t="shared" si="118"/>
        <v>0.55000000000000004</v>
      </c>
      <c r="BK260" s="1">
        <f t="shared" si="119"/>
        <v>0.54237292935233727</v>
      </c>
      <c r="BL260" s="22">
        <f t="shared" si="120"/>
        <v>0.54237292935233727</v>
      </c>
      <c r="BM260" s="1">
        <f t="shared" si="112"/>
        <v>4.5734206843839635E-3</v>
      </c>
      <c r="BN260" s="1">
        <f t="shared" si="113"/>
        <v>4.094919526585214E-2</v>
      </c>
    </row>
    <row r="261" spans="1:66" x14ac:dyDescent="0.25">
      <c r="A261" s="3"/>
      <c r="B261" s="3"/>
      <c r="C261">
        <v>26</v>
      </c>
      <c r="D261" s="5">
        <v>1</v>
      </c>
      <c r="E261" s="9">
        <f t="shared" si="97"/>
        <v>21.05263157894737</v>
      </c>
      <c r="F261" s="9">
        <f t="shared" si="98"/>
        <v>0.66666666666666663</v>
      </c>
      <c r="G261">
        <v>0</v>
      </c>
      <c r="H261">
        <v>26.315789473684209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21.05263157894737</v>
      </c>
      <c r="P261">
        <v>0</v>
      </c>
      <c r="Q261">
        <v>52.631578947368418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60</v>
      </c>
      <c r="AK261" t="s">
        <v>1</v>
      </c>
      <c r="AL261" t="s">
        <v>374</v>
      </c>
      <c r="AQ261" s="1">
        <f t="shared" si="114"/>
        <v>100</v>
      </c>
      <c r="AR261" s="1">
        <f t="shared" si="99"/>
        <v>0.2105263157894737</v>
      </c>
      <c r="AS261" s="1">
        <f t="shared" si="100"/>
        <v>0</v>
      </c>
      <c r="AT261" s="1">
        <f t="shared" si="101"/>
        <v>0.26315789473684209</v>
      </c>
      <c r="AU261" s="1">
        <f t="shared" si="102"/>
        <v>0.52631578947368418</v>
      </c>
      <c r="AV261" s="1">
        <f t="shared" si="115"/>
        <v>0.6</v>
      </c>
      <c r="AX261" s="1">
        <f t="shared" si="116"/>
        <v>2</v>
      </c>
      <c r="AY261" s="1">
        <f t="shared" si="103"/>
        <v>0.80000000000000016</v>
      </c>
      <c r="AZ261" s="1">
        <f t="shared" si="104"/>
        <v>0.625</v>
      </c>
      <c r="BA261" s="1">
        <f t="shared" si="105"/>
        <v>1</v>
      </c>
      <c r="BB261" s="1">
        <f t="shared" si="106"/>
        <v>0.625</v>
      </c>
      <c r="BC261" s="1">
        <f t="shared" si="107"/>
        <v>0.625</v>
      </c>
      <c r="BD261" s="1">
        <f t="shared" si="117"/>
        <v>2.5000000000000022E-2</v>
      </c>
      <c r="BF261">
        <f t="shared" si="108"/>
        <v>26.315789473684209</v>
      </c>
      <c r="BG261">
        <f t="shared" si="109"/>
        <v>21.05263157894737</v>
      </c>
      <c r="BH261" s="1">
        <f t="shared" si="110"/>
        <v>2</v>
      </c>
      <c r="BI261" s="1">
        <f t="shared" si="111"/>
        <v>0.80000000000000016</v>
      </c>
      <c r="BJ261" s="1">
        <f t="shared" si="118"/>
        <v>0.55000000000000004</v>
      </c>
      <c r="BK261" s="1">
        <f t="shared" si="119"/>
        <v>0.55574739117657757</v>
      </c>
      <c r="BL261" s="22">
        <f t="shared" si="120"/>
        <v>0.55574739117657757</v>
      </c>
      <c r="BM261" s="1">
        <f t="shared" si="112"/>
        <v>1.9582933876788433E-3</v>
      </c>
      <c r="BN261" s="1">
        <f t="shared" si="113"/>
        <v>3.7002013764320378E-2</v>
      </c>
    </row>
    <row r="262" spans="1:66" x14ac:dyDescent="0.25">
      <c r="A262" s="3"/>
      <c r="B262" s="3"/>
      <c r="C262">
        <v>27</v>
      </c>
      <c r="D262" s="5">
        <v>1</v>
      </c>
      <c r="E262" s="9">
        <f t="shared" si="97"/>
        <v>23.07692307692308</v>
      </c>
      <c r="F262" s="9">
        <f t="shared" si="98"/>
        <v>0.66666666666666674</v>
      </c>
      <c r="G262">
        <v>0</v>
      </c>
      <c r="H262">
        <v>25.641025641025649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23.07692307692308</v>
      </c>
      <c r="P262">
        <v>0</v>
      </c>
      <c r="Q262">
        <v>51.282051282051292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60</v>
      </c>
      <c r="AK262" t="s">
        <v>1</v>
      </c>
      <c r="AL262" t="s">
        <v>374</v>
      </c>
      <c r="AQ262" s="1">
        <f t="shared" si="114"/>
        <v>100.00000000000003</v>
      </c>
      <c r="AR262" s="1">
        <f t="shared" si="99"/>
        <v>0.23076923076923081</v>
      </c>
      <c r="AS262" s="1">
        <f t="shared" si="100"/>
        <v>0</v>
      </c>
      <c r="AT262" s="1">
        <f t="shared" si="101"/>
        <v>0.2564102564102565</v>
      </c>
      <c r="AU262" s="1">
        <f t="shared" si="102"/>
        <v>0.51282051282051289</v>
      </c>
      <c r="AV262" s="1">
        <f t="shared" si="115"/>
        <v>0.6</v>
      </c>
      <c r="AX262" s="1">
        <f t="shared" si="116"/>
        <v>1.9999999999999996</v>
      </c>
      <c r="AY262" s="1">
        <f t="shared" si="103"/>
        <v>0.8999999999999998</v>
      </c>
      <c r="AZ262" s="1">
        <f t="shared" si="104"/>
        <v>0.625</v>
      </c>
      <c r="BA262" s="1">
        <f t="shared" si="105"/>
        <v>0.99999999999999989</v>
      </c>
      <c r="BB262" s="1">
        <f t="shared" si="106"/>
        <v>0.625</v>
      </c>
      <c r="BC262" s="1">
        <f t="shared" si="107"/>
        <v>0.625</v>
      </c>
      <c r="BD262" s="1">
        <f t="shared" si="117"/>
        <v>2.5000000000000022E-2</v>
      </c>
      <c r="BF262">
        <f t="shared" si="108"/>
        <v>25.641025641025649</v>
      </c>
      <c r="BG262">
        <f t="shared" si="109"/>
        <v>23.07692307692308</v>
      </c>
      <c r="BH262" s="1">
        <f t="shared" si="110"/>
        <v>1.9999999999999998</v>
      </c>
      <c r="BI262" s="1">
        <f t="shared" si="111"/>
        <v>0.8999999999999998</v>
      </c>
      <c r="BJ262" s="1">
        <f t="shared" si="118"/>
        <v>0.54999999999999993</v>
      </c>
      <c r="BK262" s="1">
        <f t="shared" si="119"/>
        <v>0.56374395928975263</v>
      </c>
      <c r="BL262" s="22">
        <f t="shared" si="120"/>
        <v>0.56374395928975263</v>
      </c>
      <c r="BM262" s="1">
        <f t="shared" si="112"/>
        <v>1.3145004879831132E-3</v>
      </c>
      <c r="BN262" s="1">
        <f t="shared" si="113"/>
        <v>3.7002013764320378E-2</v>
      </c>
    </row>
    <row r="263" spans="1:66" x14ac:dyDescent="0.25">
      <c r="A263" s="3"/>
      <c r="B263" s="3"/>
      <c r="C263">
        <v>28</v>
      </c>
      <c r="D263" s="5">
        <v>1</v>
      </c>
      <c r="E263" s="9">
        <f t="shared" si="97"/>
        <v>25</v>
      </c>
      <c r="F263" s="9">
        <f t="shared" si="98"/>
        <v>0.66666666666666663</v>
      </c>
      <c r="G263">
        <v>0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25</v>
      </c>
      <c r="P263">
        <v>0</v>
      </c>
      <c r="Q263">
        <v>50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57.999999999999993</v>
      </c>
      <c r="AK263" t="s">
        <v>1</v>
      </c>
      <c r="AL263" t="s">
        <v>374</v>
      </c>
      <c r="AQ263" s="1">
        <f t="shared" si="114"/>
        <v>100</v>
      </c>
      <c r="AR263" s="1">
        <f t="shared" si="99"/>
        <v>0.25</v>
      </c>
      <c r="AS263" s="1">
        <f t="shared" si="100"/>
        <v>0</v>
      </c>
      <c r="AT263" s="1">
        <f t="shared" si="101"/>
        <v>0.25</v>
      </c>
      <c r="AU263" s="1">
        <f t="shared" si="102"/>
        <v>0.5</v>
      </c>
      <c r="AV263" s="1">
        <f t="shared" si="115"/>
        <v>0.57999999999999996</v>
      </c>
      <c r="AX263" s="1">
        <f t="shared" si="116"/>
        <v>2</v>
      </c>
      <c r="AY263" s="1">
        <f t="shared" si="103"/>
        <v>1</v>
      </c>
      <c r="AZ263" s="1">
        <f t="shared" si="104"/>
        <v>0.625</v>
      </c>
      <c r="BA263" s="1">
        <f t="shared" si="105"/>
        <v>1</v>
      </c>
      <c r="BB263" s="1">
        <f t="shared" si="106"/>
        <v>0.625</v>
      </c>
      <c r="BC263" s="1">
        <f t="shared" si="107"/>
        <v>0.625</v>
      </c>
      <c r="BD263" s="1">
        <f t="shared" si="117"/>
        <v>4.500000000000004E-2</v>
      </c>
      <c r="BF263">
        <f t="shared" si="108"/>
        <v>25</v>
      </c>
      <c r="BG263">
        <f t="shared" si="109"/>
        <v>25</v>
      </c>
      <c r="BH263" s="1">
        <f t="shared" si="110"/>
        <v>2</v>
      </c>
      <c r="BI263" s="1">
        <f t="shared" si="111"/>
        <v>1</v>
      </c>
      <c r="BJ263" s="1">
        <f t="shared" si="118"/>
        <v>0.55000000000000004</v>
      </c>
      <c r="BK263" s="1">
        <f t="shared" si="119"/>
        <v>0.56694271147394415</v>
      </c>
      <c r="BL263" s="22">
        <f t="shared" si="120"/>
        <v>0.56694271147394415</v>
      </c>
      <c r="BM263" s="1">
        <f t="shared" si="112"/>
        <v>1.7049278365266872E-4</v>
      </c>
      <c r="BN263" s="1">
        <f t="shared" si="113"/>
        <v>2.9707650761256855E-2</v>
      </c>
    </row>
    <row r="264" spans="1:66" x14ac:dyDescent="0.25">
      <c r="A264" s="3"/>
      <c r="B264" s="3"/>
      <c r="C264">
        <v>29</v>
      </c>
      <c r="D264" s="5">
        <v>1</v>
      </c>
      <c r="E264" s="9">
        <f t="shared" si="97"/>
        <v>33.333333333333329</v>
      </c>
      <c r="F264" s="9">
        <f t="shared" si="98"/>
        <v>0.66666666666666674</v>
      </c>
      <c r="G264">
        <v>0</v>
      </c>
      <c r="H264">
        <v>22.222222222222221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33.333333333333329</v>
      </c>
      <c r="P264">
        <v>0</v>
      </c>
      <c r="Q264">
        <v>44.444444444444443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53</v>
      </c>
      <c r="AK264" t="s">
        <v>1</v>
      </c>
      <c r="AL264" t="s">
        <v>374</v>
      </c>
      <c r="AQ264" s="1">
        <f t="shared" si="114"/>
        <v>100</v>
      </c>
      <c r="AR264" s="1">
        <f t="shared" si="99"/>
        <v>0.33333333333333326</v>
      </c>
      <c r="AS264" s="1">
        <f t="shared" si="100"/>
        <v>0</v>
      </c>
      <c r="AT264" s="1">
        <f t="shared" si="101"/>
        <v>0.22222222222222221</v>
      </c>
      <c r="AU264" s="1">
        <f t="shared" si="102"/>
        <v>0.44444444444444442</v>
      </c>
      <c r="AV264" s="1">
        <f t="shared" si="115"/>
        <v>0.53</v>
      </c>
      <c r="AX264" s="1">
        <f t="shared" si="116"/>
        <v>2</v>
      </c>
      <c r="AY264" s="1">
        <f t="shared" si="103"/>
        <v>1.4999999999999998</v>
      </c>
      <c r="AZ264" s="1">
        <f t="shared" si="104"/>
        <v>0.625</v>
      </c>
      <c r="BA264" s="1">
        <f t="shared" si="105"/>
        <v>1</v>
      </c>
      <c r="BB264" s="1">
        <f t="shared" si="106"/>
        <v>0.52083333333333337</v>
      </c>
      <c r="BC264" s="1">
        <f t="shared" si="107"/>
        <v>0.52083333333333337</v>
      </c>
      <c r="BD264" s="1">
        <f t="shared" si="117"/>
        <v>9.1666666666666563E-3</v>
      </c>
      <c r="BF264">
        <f t="shared" si="108"/>
        <v>22.222222222222221</v>
      </c>
      <c r="BG264">
        <f t="shared" si="109"/>
        <v>33.333333333333329</v>
      </c>
      <c r="BH264" s="1">
        <f t="shared" si="110"/>
        <v>2</v>
      </c>
      <c r="BI264" s="1">
        <f t="shared" si="111"/>
        <v>1.4999999999999998</v>
      </c>
      <c r="BJ264" s="1">
        <f t="shared" si="118"/>
        <v>0.55000000000000004</v>
      </c>
      <c r="BK264" s="1">
        <f t="shared" si="119"/>
        <v>0.52869705392724531</v>
      </c>
      <c r="BL264" s="22">
        <f t="shared" si="120"/>
        <v>0.52869705392724531</v>
      </c>
      <c r="BM264" s="1">
        <f t="shared" si="112"/>
        <v>1.6976684685069433E-6</v>
      </c>
      <c r="BN264" s="1">
        <f t="shared" si="113"/>
        <v>1.4971743253598084E-2</v>
      </c>
    </row>
    <row r="265" spans="1:66" x14ac:dyDescent="0.25">
      <c r="A265" s="3"/>
      <c r="B265" s="3"/>
      <c r="C265">
        <v>30</v>
      </c>
      <c r="D265" s="5">
        <v>1</v>
      </c>
      <c r="E265" s="9">
        <f t="shared" si="97"/>
        <v>45.454545454545453</v>
      </c>
      <c r="F265" s="9">
        <f t="shared" si="98"/>
        <v>0.66666666666666674</v>
      </c>
      <c r="G265">
        <v>0</v>
      </c>
      <c r="H265">
        <v>18.18181818181818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45.454545454545453</v>
      </c>
      <c r="P265">
        <v>0</v>
      </c>
      <c r="Q265">
        <v>36.363636363636367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39</v>
      </c>
      <c r="AK265" t="s">
        <v>1</v>
      </c>
      <c r="AL265" t="s">
        <v>374</v>
      </c>
      <c r="AQ265" s="1">
        <f t="shared" si="114"/>
        <v>100</v>
      </c>
      <c r="AR265" s="1">
        <f t="shared" si="99"/>
        <v>0.45454545454545453</v>
      </c>
      <c r="AS265" s="1">
        <f t="shared" si="100"/>
        <v>0</v>
      </c>
      <c r="AT265" s="1">
        <f t="shared" si="101"/>
        <v>0.1818181818181818</v>
      </c>
      <c r="AU265" s="1">
        <f t="shared" si="102"/>
        <v>0.36363636363636365</v>
      </c>
      <c r="AV265" s="1">
        <f t="shared" si="115"/>
        <v>0.39</v>
      </c>
      <c r="AX265" s="1">
        <f t="shared" si="116"/>
        <v>2.0000000000000004</v>
      </c>
      <c r="AY265" s="1">
        <f t="shared" si="103"/>
        <v>2.5000000000000004</v>
      </c>
      <c r="AZ265" s="1">
        <f t="shared" si="104"/>
        <v>0.625</v>
      </c>
      <c r="BA265" s="1">
        <f t="shared" si="105"/>
        <v>1</v>
      </c>
      <c r="BB265" s="1">
        <f t="shared" si="106"/>
        <v>0.31249999999999994</v>
      </c>
      <c r="BC265" s="1">
        <f t="shared" si="107"/>
        <v>0.31249999999999994</v>
      </c>
      <c r="BD265" s="1">
        <f t="shared" si="117"/>
        <v>7.7500000000000069E-2</v>
      </c>
      <c r="BF265">
        <f t="shared" si="108"/>
        <v>18.18181818181818</v>
      </c>
      <c r="BG265">
        <f t="shared" si="109"/>
        <v>45.454545454545453</v>
      </c>
      <c r="BH265" s="1">
        <f t="shared" si="110"/>
        <v>2.0000000000000004</v>
      </c>
      <c r="BI265" s="1">
        <f t="shared" si="111"/>
        <v>2.5</v>
      </c>
      <c r="BJ265" s="1">
        <f t="shared" si="118"/>
        <v>0.55000000000000004</v>
      </c>
      <c r="BK265" s="1">
        <f t="shared" si="119"/>
        <v>0.32988685975501875</v>
      </c>
      <c r="BL265" s="22">
        <f t="shared" si="120"/>
        <v>0.32988685975501875</v>
      </c>
      <c r="BM265" s="1">
        <f t="shared" si="112"/>
        <v>3.6135896301127866E-3</v>
      </c>
      <c r="BN265" s="1">
        <f t="shared" si="113"/>
        <v>3.1120223215346117E-4</v>
      </c>
    </row>
    <row r="266" spans="1:66" x14ac:dyDescent="0.25">
      <c r="A266" s="3"/>
      <c r="B266" s="3"/>
      <c r="C266">
        <v>31</v>
      </c>
      <c r="D266" s="5">
        <v>1</v>
      </c>
      <c r="E266" s="9">
        <f t="shared" si="97"/>
        <v>16.666666666666671</v>
      </c>
      <c r="F266" s="9">
        <f t="shared" si="98"/>
        <v>0.74999999999999989</v>
      </c>
      <c r="G266">
        <v>0</v>
      </c>
      <c r="H266">
        <v>20.833333333333339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16.666666666666671</v>
      </c>
      <c r="P266">
        <v>0</v>
      </c>
      <c r="Q266">
        <v>62.5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65</v>
      </c>
      <c r="AK266" t="s">
        <v>1</v>
      </c>
      <c r="AL266" t="s">
        <v>374</v>
      </c>
      <c r="AQ266" s="1">
        <f t="shared" si="114"/>
        <v>100.00000000000001</v>
      </c>
      <c r="AR266" s="1">
        <f t="shared" si="99"/>
        <v>0.16666666666666671</v>
      </c>
      <c r="AS266" s="1">
        <f t="shared" si="100"/>
        <v>0</v>
      </c>
      <c r="AT266" s="1">
        <f t="shared" si="101"/>
        <v>0.2083333333333334</v>
      </c>
      <c r="AU266" s="1">
        <f t="shared" si="102"/>
        <v>0.625</v>
      </c>
      <c r="AV266" s="1">
        <f t="shared" si="115"/>
        <v>0.65</v>
      </c>
      <c r="AX266" s="1">
        <f t="shared" si="116"/>
        <v>2.9999999999999991</v>
      </c>
      <c r="AY266" s="1">
        <f t="shared" si="103"/>
        <v>0.79999999999999993</v>
      </c>
      <c r="AZ266" s="1">
        <f t="shared" si="104"/>
        <v>0.6875</v>
      </c>
      <c r="BA266" s="1">
        <f t="shared" si="105"/>
        <v>1.2499999999999998</v>
      </c>
      <c r="BB266" s="1">
        <f t="shared" si="106"/>
        <v>0.6875</v>
      </c>
      <c r="BC266" s="1">
        <f t="shared" si="107"/>
        <v>0.6875</v>
      </c>
      <c r="BD266" s="1">
        <f t="shared" si="117"/>
        <v>3.7499999999999978E-2</v>
      </c>
      <c r="BF266">
        <f t="shared" si="108"/>
        <v>20.833333333333339</v>
      </c>
      <c r="BG266">
        <f t="shared" si="109"/>
        <v>16.666666666666671</v>
      </c>
      <c r="BH266" s="1">
        <f t="shared" si="110"/>
        <v>2.9999999999999991</v>
      </c>
      <c r="BI266" s="1">
        <f t="shared" si="111"/>
        <v>0.8</v>
      </c>
      <c r="BJ266" s="1">
        <f t="shared" si="118"/>
        <v>0.60999999999999988</v>
      </c>
      <c r="BK266" s="1">
        <f t="shared" si="119"/>
        <v>0.60769958509504529</v>
      </c>
      <c r="BL266" s="22">
        <f t="shared" si="120"/>
        <v>0.60769958509504529</v>
      </c>
      <c r="BM266" s="1">
        <f t="shared" si="112"/>
        <v>1.7893251011313162E-3</v>
      </c>
      <c r="BN266" s="1">
        <f t="shared" si="113"/>
        <v>5.8737921271979188E-2</v>
      </c>
    </row>
    <row r="267" spans="1:66" x14ac:dyDescent="0.25">
      <c r="A267" s="3"/>
      <c r="B267" s="3"/>
      <c r="C267">
        <v>32</v>
      </c>
      <c r="D267" s="5">
        <v>1</v>
      </c>
      <c r="E267" s="9">
        <f t="shared" si="97"/>
        <v>18.367346938775508</v>
      </c>
      <c r="F267" s="9">
        <f t="shared" si="98"/>
        <v>0.75</v>
      </c>
      <c r="G267">
        <v>0</v>
      </c>
      <c r="H267">
        <v>20.408163265306118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18.367346938775508</v>
      </c>
      <c r="P267">
        <v>0</v>
      </c>
      <c r="Q267">
        <v>61.224489795918359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64</v>
      </c>
      <c r="AK267" t="s">
        <v>1</v>
      </c>
      <c r="AL267" t="s">
        <v>374</v>
      </c>
      <c r="AQ267" s="1">
        <f t="shared" si="114"/>
        <v>99.999999999999986</v>
      </c>
      <c r="AR267" s="1">
        <f t="shared" si="99"/>
        <v>0.18367346938775508</v>
      </c>
      <c r="AS267" s="1">
        <f t="shared" si="100"/>
        <v>0</v>
      </c>
      <c r="AT267" s="1">
        <f t="shared" si="101"/>
        <v>0.20408163265306117</v>
      </c>
      <c r="AU267" s="1">
        <f t="shared" si="102"/>
        <v>0.61224489795918358</v>
      </c>
      <c r="AV267" s="1">
        <f t="shared" si="115"/>
        <v>0.64</v>
      </c>
      <c r="AX267" s="1">
        <f t="shared" si="116"/>
        <v>3.0000000000000004</v>
      </c>
      <c r="AY267" s="1">
        <f t="shared" si="103"/>
        <v>0.90000000000000013</v>
      </c>
      <c r="AZ267" s="1">
        <f t="shared" si="104"/>
        <v>0.6875</v>
      </c>
      <c r="BA267" s="1">
        <f t="shared" si="105"/>
        <v>1.25</v>
      </c>
      <c r="BB267" s="1">
        <f t="shared" si="106"/>
        <v>0.6875</v>
      </c>
      <c r="BC267" s="1">
        <f t="shared" si="107"/>
        <v>0.6875</v>
      </c>
      <c r="BD267" s="1">
        <f t="shared" si="117"/>
        <v>4.7499999999999987E-2</v>
      </c>
      <c r="BF267">
        <f t="shared" si="108"/>
        <v>20.408163265306118</v>
      </c>
      <c r="BG267">
        <f t="shared" si="109"/>
        <v>18.367346938775508</v>
      </c>
      <c r="BH267" s="1">
        <f t="shared" si="110"/>
        <v>3</v>
      </c>
      <c r="BI267" s="1">
        <f t="shared" si="111"/>
        <v>0.90000000000000013</v>
      </c>
      <c r="BJ267" s="1">
        <f t="shared" si="118"/>
        <v>0.61</v>
      </c>
      <c r="BK267" s="1">
        <f t="shared" si="119"/>
        <v>0.62424703401210657</v>
      </c>
      <c r="BL267" s="22">
        <f t="shared" si="120"/>
        <v>0.62424703401210657</v>
      </c>
      <c r="BM267" s="1">
        <f t="shared" si="112"/>
        <v>2.4815593741572757E-4</v>
      </c>
      <c r="BN267" s="1">
        <f t="shared" si="113"/>
        <v>5.3990739770447424E-2</v>
      </c>
    </row>
    <row r="268" spans="1:66" x14ac:dyDescent="0.25">
      <c r="A268" s="3"/>
      <c r="B268" s="3"/>
      <c r="C268">
        <v>33</v>
      </c>
      <c r="D268" s="5">
        <v>1</v>
      </c>
      <c r="E268" s="9">
        <f t="shared" si="97"/>
        <v>20</v>
      </c>
      <c r="F268" s="9">
        <f t="shared" si="98"/>
        <v>0.75</v>
      </c>
      <c r="G268">
        <v>0</v>
      </c>
      <c r="H268">
        <v>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20</v>
      </c>
      <c r="P268">
        <v>0</v>
      </c>
      <c r="Q268">
        <v>60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64</v>
      </c>
      <c r="AK268" t="s">
        <v>1</v>
      </c>
      <c r="AL268" t="s">
        <v>374</v>
      </c>
      <c r="AQ268" s="1">
        <f t="shared" si="114"/>
        <v>100</v>
      </c>
      <c r="AR268" s="1">
        <f t="shared" si="99"/>
        <v>0.2</v>
      </c>
      <c r="AS268" s="1">
        <f t="shared" si="100"/>
        <v>0</v>
      </c>
      <c r="AT268" s="1">
        <f t="shared" si="101"/>
        <v>0.2</v>
      </c>
      <c r="AU268" s="1">
        <f t="shared" si="102"/>
        <v>0.6</v>
      </c>
      <c r="AV268" s="1">
        <f t="shared" si="115"/>
        <v>0.64</v>
      </c>
      <c r="AX268" s="1">
        <f t="shared" si="116"/>
        <v>2.9999999999999996</v>
      </c>
      <c r="AY268" s="1">
        <f t="shared" si="103"/>
        <v>1</v>
      </c>
      <c r="AZ268" s="1">
        <f t="shared" si="104"/>
        <v>0.6875</v>
      </c>
      <c r="BA268" s="1">
        <f t="shared" si="105"/>
        <v>1.25</v>
      </c>
      <c r="BB268" s="1">
        <f t="shared" si="106"/>
        <v>0.6875</v>
      </c>
      <c r="BC268" s="1">
        <f t="shared" si="107"/>
        <v>0.6875</v>
      </c>
      <c r="BD268" s="1">
        <f t="shared" si="117"/>
        <v>4.7499999999999987E-2</v>
      </c>
      <c r="BF268">
        <f t="shared" si="108"/>
        <v>20</v>
      </c>
      <c r="BG268">
        <f t="shared" si="109"/>
        <v>20</v>
      </c>
      <c r="BH268" s="1">
        <f t="shared" si="110"/>
        <v>3</v>
      </c>
      <c r="BI268" s="1">
        <f t="shared" si="111"/>
        <v>1</v>
      </c>
      <c r="BJ268" s="1">
        <f t="shared" si="118"/>
        <v>0.61</v>
      </c>
      <c r="BK268" s="1">
        <f t="shared" si="119"/>
        <v>0.63596340716708433</v>
      </c>
      <c r="BL268" s="22">
        <f t="shared" si="120"/>
        <v>0.63596340716708433</v>
      </c>
      <c r="BM268" s="1">
        <f t="shared" si="112"/>
        <v>1.6294081698746286E-5</v>
      </c>
      <c r="BN268" s="1">
        <f t="shared" si="113"/>
        <v>5.3990739770447424E-2</v>
      </c>
    </row>
    <row r="269" spans="1:66" x14ac:dyDescent="0.25">
      <c r="A269" s="3"/>
      <c r="B269" s="3"/>
      <c r="C269">
        <v>34</v>
      </c>
      <c r="D269" s="5">
        <v>1</v>
      </c>
      <c r="E269" s="9">
        <f t="shared" si="97"/>
        <v>27.27272727272727</v>
      </c>
      <c r="F269" s="9">
        <f t="shared" si="98"/>
        <v>0.75</v>
      </c>
      <c r="G269">
        <v>0</v>
      </c>
      <c r="H269">
        <v>18.18181818181818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27.27272727272727</v>
      </c>
      <c r="P269">
        <v>0</v>
      </c>
      <c r="Q269">
        <v>54.54545454545454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61</v>
      </c>
      <c r="AK269" t="s">
        <v>1</v>
      </c>
      <c r="AL269" t="s">
        <v>374</v>
      </c>
      <c r="AQ269" s="1">
        <f t="shared" si="114"/>
        <v>100</v>
      </c>
      <c r="AR269" s="1">
        <f t="shared" si="99"/>
        <v>0.27272727272727271</v>
      </c>
      <c r="AS269" s="1">
        <f t="shared" si="100"/>
        <v>0</v>
      </c>
      <c r="AT269" s="1">
        <f t="shared" si="101"/>
        <v>0.1818181818181818</v>
      </c>
      <c r="AU269" s="1">
        <f t="shared" si="102"/>
        <v>0.54545454545454541</v>
      </c>
      <c r="AV269" s="1">
        <f t="shared" si="115"/>
        <v>0.61</v>
      </c>
      <c r="AX269" s="1">
        <f t="shared" si="116"/>
        <v>3</v>
      </c>
      <c r="AY269" s="1">
        <f t="shared" si="103"/>
        <v>1.5</v>
      </c>
      <c r="AZ269" s="1">
        <f t="shared" si="104"/>
        <v>0.6875</v>
      </c>
      <c r="BA269" s="1">
        <f t="shared" si="105"/>
        <v>1.25</v>
      </c>
      <c r="BB269" s="1">
        <f t="shared" si="106"/>
        <v>0.64166666666666672</v>
      </c>
      <c r="BC269" s="1">
        <f t="shared" si="107"/>
        <v>0.64166666666666672</v>
      </c>
      <c r="BD269" s="1">
        <f t="shared" si="117"/>
        <v>3.1666666666666732E-2</v>
      </c>
      <c r="BF269">
        <f t="shared" si="108"/>
        <v>18.18181818181818</v>
      </c>
      <c r="BG269">
        <f t="shared" si="109"/>
        <v>27.27272727272727</v>
      </c>
      <c r="BH269" s="1">
        <f t="shared" si="110"/>
        <v>3</v>
      </c>
      <c r="BI269" s="1">
        <f t="shared" si="111"/>
        <v>1.5</v>
      </c>
      <c r="BJ269" s="1">
        <f t="shared" si="118"/>
        <v>0.61</v>
      </c>
      <c r="BK269" s="1">
        <f t="shared" si="119"/>
        <v>0.63646016569350716</v>
      </c>
      <c r="BL269" s="22">
        <f t="shared" si="120"/>
        <v>0.63646016569350716</v>
      </c>
      <c r="BM269" s="1">
        <f t="shared" si="112"/>
        <v>7.001403685278541E-4</v>
      </c>
      <c r="BN269" s="1">
        <f t="shared" si="113"/>
        <v>4.094919526585214E-2</v>
      </c>
    </row>
    <row r="270" spans="1:66" x14ac:dyDescent="0.25">
      <c r="A270" s="3"/>
      <c r="B270" s="3"/>
      <c r="C270">
        <v>35</v>
      </c>
      <c r="D270" s="5">
        <v>1</v>
      </c>
      <c r="E270" s="9">
        <f t="shared" si="97"/>
        <v>33.333333333333329</v>
      </c>
      <c r="F270" s="9">
        <f t="shared" si="98"/>
        <v>0.75000000000000011</v>
      </c>
      <c r="G270">
        <v>0</v>
      </c>
      <c r="H270">
        <v>16.666666666666661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33.333333333333329</v>
      </c>
      <c r="P270">
        <v>0</v>
      </c>
      <c r="Q270">
        <v>50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55.000000000000007</v>
      </c>
      <c r="AK270" t="s">
        <v>1</v>
      </c>
      <c r="AL270" t="s">
        <v>374</v>
      </c>
      <c r="AQ270" s="1">
        <f t="shared" si="114"/>
        <v>99.999999999999986</v>
      </c>
      <c r="AR270" s="1">
        <f t="shared" si="99"/>
        <v>0.33333333333333326</v>
      </c>
      <c r="AS270" s="1">
        <f t="shared" si="100"/>
        <v>0</v>
      </c>
      <c r="AT270" s="1">
        <f t="shared" si="101"/>
        <v>0.1666666666666666</v>
      </c>
      <c r="AU270" s="1">
        <f t="shared" si="102"/>
        <v>0.5</v>
      </c>
      <c r="AV270" s="1">
        <f t="shared" si="115"/>
        <v>0.55000000000000004</v>
      </c>
      <c r="AX270" s="1">
        <f t="shared" si="116"/>
        <v>3.0000000000000013</v>
      </c>
      <c r="AY270" s="1">
        <f t="shared" si="103"/>
        <v>2.0000000000000004</v>
      </c>
      <c r="AZ270" s="1">
        <f t="shared" si="104"/>
        <v>0.68750000000000011</v>
      </c>
      <c r="BA270" s="1">
        <f t="shared" si="105"/>
        <v>1.2500000000000004</v>
      </c>
      <c r="BB270" s="1">
        <f t="shared" si="106"/>
        <v>0.55000000000000016</v>
      </c>
      <c r="BC270" s="1">
        <f t="shared" si="107"/>
        <v>0.55000000000000016</v>
      </c>
      <c r="BD270" s="1">
        <f t="shared" si="117"/>
        <v>1.1102230246251565E-16</v>
      </c>
      <c r="BF270">
        <f t="shared" si="108"/>
        <v>16.666666666666661</v>
      </c>
      <c r="BG270">
        <f t="shared" si="109"/>
        <v>33.333333333333329</v>
      </c>
      <c r="BH270" s="1">
        <f t="shared" si="110"/>
        <v>3.0000000000000009</v>
      </c>
      <c r="BI270" s="1">
        <f t="shared" si="111"/>
        <v>2.0000000000000004</v>
      </c>
      <c r="BJ270" s="1">
        <f t="shared" si="118"/>
        <v>0.6100000000000001</v>
      </c>
      <c r="BK270" s="1">
        <f t="shared" si="119"/>
        <v>0.57175974720932388</v>
      </c>
      <c r="BL270" s="22">
        <f t="shared" si="120"/>
        <v>0.57175974720932388</v>
      </c>
      <c r="BM270" s="1">
        <f t="shared" si="112"/>
        <v>4.7348659861367627E-4</v>
      </c>
      <c r="BN270" s="1">
        <f t="shared" si="113"/>
        <v>2.0266106256661608E-2</v>
      </c>
    </row>
    <row r="271" spans="1:66" x14ac:dyDescent="0.25">
      <c r="A271" s="3"/>
      <c r="B271" s="3"/>
      <c r="C271">
        <v>36</v>
      </c>
      <c r="D271" s="5">
        <v>1</v>
      </c>
      <c r="E271" s="9">
        <f t="shared" si="97"/>
        <v>42.857142857142847</v>
      </c>
      <c r="F271" s="9">
        <f t="shared" si="98"/>
        <v>0.75000000000000011</v>
      </c>
      <c r="G271">
        <v>0</v>
      </c>
      <c r="H271">
        <v>14.285714285714279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42.857142857142847</v>
      </c>
      <c r="P271">
        <v>0</v>
      </c>
      <c r="Q271">
        <v>42.857142857142847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44</v>
      </c>
      <c r="AK271" t="s">
        <v>1</v>
      </c>
      <c r="AL271" t="s">
        <v>374</v>
      </c>
      <c r="AQ271" s="1">
        <f t="shared" si="114"/>
        <v>99.999999999999972</v>
      </c>
      <c r="AR271" s="1">
        <f t="shared" si="99"/>
        <v>0.42857142857142849</v>
      </c>
      <c r="AS271" s="1">
        <f t="shared" si="100"/>
        <v>0</v>
      </c>
      <c r="AT271" s="1">
        <f t="shared" si="101"/>
        <v>0.14285714285714279</v>
      </c>
      <c r="AU271" s="1">
        <f t="shared" si="102"/>
        <v>0.42857142857142849</v>
      </c>
      <c r="AV271" s="1">
        <f t="shared" si="115"/>
        <v>0.44</v>
      </c>
      <c r="AX271" s="1">
        <f t="shared" si="116"/>
        <v>3.0000000000000009</v>
      </c>
      <c r="AY271" s="1">
        <f t="shared" si="103"/>
        <v>3.0000000000000009</v>
      </c>
      <c r="AZ271" s="1">
        <f t="shared" si="104"/>
        <v>0.6875</v>
      </c>
      <c r="BA271" s="1">
        <f t="shared" si="105"/>
        <v>1.2500000000000002</v>
      </c>
      <c r="BB271" s="1">
        <f t="shared" si="106"/>
        <v>0.36666666666666664</v>
      </c>
      <c r="BC271" s="1">
        <f t="shared" si="107"/>
        <v>0.36666666666666664</v>
      </c>
      <c r="BD271" s="1">
        <f t="shared" si="117"/>
        <v>7.3333333333333361E-2</v>
      </c>
      <c r="BF271">
        <f t="shared" si="108"/>
        <v>14.285714285714279</v>
      </c>
      <c r="BG271">
        <f t="shared" si="109"/>
        <v>42.857142857142847</v>
      </c>
      <c r="BH271" s="1">
        <f t="shared" si="110"/>
        <v>3.0000000000000004</v>
      </c>
      <c r="BI271" s="1">
        <f t="shared" si="111"/>
        <v>3.0000000000000004</v>
      </c>
      <c r="BJ271" s="1">
        <f t="shared" si="118"/>
        <v>0.61</v>
      </c>
      <c r="BK271" s="1">
        <f t="shared" si="119"/>
        <v>0.36998817986210386</v>
      </c>
      <c r="BL271" s="22">
        <f t="shared" si="120"/>
        <v>0.36998817986210386</v>
      </c>
      <c r="BM271" s="1">
        <f t="shared" si="112"/>
        <v>4.9016549590211195E-3</v>
      </c>
      <c r="BN271" s="1">
        <f t="shared" si="113"/>
        <v>1.0471097398122534E-3</v>
      </c>
    </row>
    <row r="272" spans="1:66" x14ac:dyDescent="0.25">
      <c r="A272" s="3"/>
      <c r="B272" s="3"/>
      <c r="C272" t="s">
        <v>496</v>
      </c>
      <c r="D272" s="5">
        <v>1</v>
      </c>
      <c r="E272" s="9">
        <f t="shared" si="97"/>
        <v>9.0909090909090917</v>
      </c>
      <c r="F272" s="9">
        <f t="shared" si="98"/>
        <v>0.5</v>
      </c>
      <c r="G272">
        <v>0</v>
      </c>
      <c r="H272">
        <v>45.454545454545453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9.0909090909090917</v>
      </c>
      <c r="P272">
        <v>0</v>
      </c>
      <c r="Q272">
        <v>45.454545454545453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25</v>
      </c>
      <c r="AK272" t="s">
        <v>1</v>
      </c>
      <c r="AL272" t="s">
        <v>372</v>
      </c>
      <c r="AM272" t="s">
        <v>389</v>
      </c>
      <c r="AN272" t="s">
        <v>373</v>
      </c>
      <c r="AO272" t="s">
        <v>378</v>
      </c>
      <c r="AQ272" s="1">
        <f t="shared" si="114"/>
        <v>100</v>
      </c>
      <c r="AR272" s="1">
        <f t="shared" si="99"/>
        <v>9.0909090909090912E-2</v>
      </c>
      <c r="AS272" s="1">
        <f t="shared" si="100"/>
        <v>0</v>
      </c>
      <c r="AT272" s="1">
        <f t="shared" si="101"/>
        <v>0.45454545454545453</v>
      </c>
      <c r="AU272" s="1">
        <f t="shared" si="102"/>
        <v>0.45454545454545453</v>
      </c>
      <c r="AV272" s="1">
        <f t="shared" si="115"/>
        <v>0.25</v>
      </c>
      <c r="AX272" s="1">
        <f t="shared" si="116"/>
        <v>1</v>
      </c>
      <c r="AY272" s="1">
        <f t="shared" si="103"/>
        <v>0.2</v>
      </c>
      <c r="AZ272" s="1">
        <f t="shared" si="104"/>
        <v>0.5625</v>
      </c>
      <c r="BA272" s="1">
        <f t="shared" si="105"/>
        <v>0.75</v>
      </c>
      <c r="BB272" s="1">
        <f t="shared" si="106"/>
        <v>0.2</v>
      </c>
      <c r="BC272" s="1">
        <f t="shared" si="107"/>
        <v>0.2</v>
      </c>
      <c r="BD272" s="1">
        <f t="shared" si="117"/>
        <v>4.9999999999999989E-2</v>
      </c>
      <c r="BF272">
        <f t="shared" si="108"/>
        <v>45.454545454545453</v>
      </c>
      <c r="BG272">
        <f t="shared" si="109"/>
        <v>9.0909090909090917</v>
      </c>
      <c r="BH272" s="1">
        <f t="shared" si="110"/>
        <v>1</v>
      </c>
      <c r="BI272" s="1">
        <f t="shared" si="111"/>
        <v>0.2</v>
      </c>
      <c r="BJ272" s="1">
        <f t="shared" si="118"/>
        <v>0.49</v>
      </c>
      <c r="BK272" s="1">
        <f t="shared" si="119"/>
        <v>0.2</v>
      </c>
      <c r="BL272" s="22">
        <f t="shared" si="120"/>
        <v>0.2</v>
      </c>
      <c r="BM272" s="1">
        <f t="shared" si="112"/>
        <v>2.4999999999999988E-3</v>
      </c>
      <c r="BN272" s="1">
        <f t="shared" si="113"/>
        <v>2.4850661210708846E-2</v>
      </c>
    </row>
    <row r="273" spans="1:66" x14ac:dyDescent="0.25">
      <c r="A273" s="3"/>
      <c r="B273" s="3"/>
      <c r="C273" t="s">
        <v>497</v>
      </c>
      <c r="D273" s="5">
        <v>1</v>
      </c>
      <c r="E273" s="9">
        <f t="shared" si="97"/>
        <v>13.793103448275859</v>
      </c>
      <c r="F273" s="9">
        <f t="shared" si="98"/>
        <v>0.5</v>
      </c>
      <c r="G273">
        <v>0</v>
      </c>
      <c r="H273">
        <v>43.103448275862057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13.793103448275859</v>
      </c>
      <c r="P273">
        <v>0</v>
      </c>
      <c r="Q273">
        <v>43.103448275862057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34</v>
      </c>
      <c r="AK273" t="s">
        <v>1</v>
      </c>
      <c r="AL273" t="s">
        <v>372</v>
      </c>
      <c r="AQ273" s="1">
        <f t="shared" si="114"/>
        <v>99.999999999999972</v>
      </c>
      <c r="AR273" s="1">
        <f t="shared" si="99"/>
        <v>0.13793103448275859</v>
      </c>
      <c r="AS273" s="1">
        <f t="shared" si="100"/>
        <v>0</v>
      </c>
      <c r="AT273" s="1">
        <f t="shared" si="101"/>
        <v>0.43103448275862055</v>
      </c>
      <c r="AU273" s="1">
        <f t="shared" si="102"/>
        <v>0.43103448275862055</v>
      </c>
      <c r="AV273" s="1">
        <f t="shared" si="115"/>
        <v>0.34</v>
      </c>
      <c r="AX273" s="1">
        <f t="shared" si="116"/>
        <v>1</v>
      </c>
      <c r="AY273" s="1">
        <f t="shared" si="103"/>
        <v>0.32</v>
      </c>
      <c r="AZ273" s="1">
        <f t="shared" si="104"/>
        <v>0.5625</v>
      </c>
      <c r="BA273" s="1">
        <f t="shared" si="105"/>
        <v>0.75</v>
      </c>
      <c r="BB273" s="1">
        <f t="shared" si="106"/>
        <v>0.32</v>
      </c>
      <c r="BC273" s="1">
        <f t="shared" si="107"/>
        <v>0.32</v>
      </c>
      <c r="BD273" s="1">
        <f t="shared" si="117"/>
        <v>2.0000000000000018E-2</v>
      </c>
      <c r="BF273">
        <f t="shared" si="108"/>
        <v>43.103448275862057</v>
      </c>
      <c r="BG273">
        <f t="shared" si="109"/>
        <v>13.793103448275859</v>
      </c>
      <c r="BH273" s="1">
        <f t="shared" si="110"/>
        <v>1</v>
      </c>
      <c r="BI273" s="1">
        <f t="shared" si="111"/>
        <v>0.32</v>
      </c>
      <c r="BJ273" s="1">
        <f t="shared" si="118"/>
        <v>0.49</v>
      </c>
      <c r="BK273" s="1">
        <f t="shared" si="119"/>
        <v>0.32</v>
      </c>
      <c r="BL273" s="22">
        <f t="shared" si="120"/>
        <v>0.32</v>
      </c>
      <c r="BM273" s="1">
        <f t="shared" si="112"/>
        <v>4.0000000000000072E-4</v>
      </c>
      <c r="BN273" s="1">
        <f t="shared" si="113"/>
        <v>4.5752947244946671E-3</v>
      </c>
    </row>
    <row r="274" spans="1:66" x14ac:dyDescent="0.25">
      <c r="A274" s="3"/>
      <c r="B274" s="3"/>
      <c r="C274" t="s">
        <v>498</v>
      </c>
      <c r="D274" s="5">
        <v>1</v>
      </c>
      <c r="E274" s="9">
        <f t="shared" si="97"/>
        <v>14.96598639455782</v>
      </c>
      <c r="F274" s="9">
        <f t="shared" si="98"/>
        <v>0.5</v>
      </c>
      <c r="G274">
        <v>0</v>
      </c>
      <c r="H274">
        <v>42.517006802721092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14.96598639455782</v>
      </c>
      <c r="P274">
        <v>0</v>
      </c>
      <c r="Q274">
        <v>42.517006802721092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40</v>
      </c>
      <c r="AK274" t="s">
        <v>1</v>
      </c>
      <c r="AL274" t="s">
        <v>372</v>
      </c>
      <c r="AQ274" s="1">
        <f t="shared" si="114"/>
        <v>100</v>
      </c>
      <c r="AR274" s="1">
        <f t="shared" si="99"/>
        <v>0.1496598639455782</v>
      </c>
      <c r="AS274" s="1">
        <f t="shared" si="100"/>
        <v>0</v>
      </c>
      <c r="AT274" s="1">
        <f t="shared" si="101"/>
        <v>0.42517006802721091</v>
      </c>
      <c r="AU274" s="1">
        <f t="shared" si="102"/>
        <v>0.42517006802721091</v>
      </c>
      <c r="AV274" s="1">
        <f t="shared" si="115"/>
        <v>0.4</v>
      </c>
      <c r="AX274" s="1">
        <f t="shared" si="116"/>
        <v>1</v>
      </c>
      <c r="AY274" s="1">
        <f t="shared" si="103"/>
        <v>0.35199999999999992</v>
      </c>
      <c r="AZ274" s="1">
        <f t="shared" si="104"/>
        <v>0.5625</v>
      </c>
      <c r="BA274" s="1">
        <f t="shared" si="105"/>
        <v>0.75</v>
      </c>
      <c r="BB274" s="1">
        <f t="shared" si="106"/>
        <v>0.35199999999999992</v>
      </c>
      <c r="BC274" s="1">
        <f t="shared" si="107"/>
        <v>0.35199999999999992</v>
      </c>
      <c r="BD274" s="1">
        <f t="shared" si="117"/>
        <v>4.8000000000000098E-2</v>
      </c>
      <c r="BF274">
        <f t="shared" si="108"/>
        <v>42.517006802721092</v>
      </c>
      <c r="BG274">
        <f t="shared" si="109"/>
        <v>14.96598639455782</v>
      </c>
      <c r="BH274" s="1">
        <f t="shared" si="110"/>
        <v>1</v>
      </c>
      <c r="BI274" s="1">
        <f t="shared" si="111"/>
        <v>0.35199999999999992</v>
      </c>
      <c r="BJ274" s="1">
        <f t="shared" si="118"/>
        <v>0.49</v>
      </c>
      <c r="BK274" s="1">
        <f t="shared" si="119"/>
        <v>0.35199999999999992</v>
      </c>
      <c r="BL274" s="22">
        <f t="shared" si="120"/>
        <v>0.35199999999999992</v>
      </c>
      <c r="BM274" s="1">
        <f t="shared" si="112"/>
        <v>2.3040000000000096E-3</v>
      </c>
      <c r="BN274" s="1">
        <f t="shared" si="113"/>
        <v>5.8383733685219634E-5</v>
      </c>
    </row>
    <row r="275" spans="1:66" x14ac:dyDescent="0.25">
      <c r="A275" s="3"/>
      <c r="B275" s="3"/>
      <c r="C275" t="s">
        <v>499</v>
      </c>
      <c r="D275" s="5">
        <v>1</v>
      </c>
      <c r="E275" s="9">
        <f t="shared" si="97"/>
        <v>16.666666666666671</v>
      </c>
      <c r="F275" s="9">
        <f t="shared" si="98"/>
        <v>0.5</v>
      </c>
      <c r="G275">
        <v>0</v>
      </c>
      <c r="H275">
        <v>41.666666666666671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16.666666666666671</v>
      </c>
      <c r="P275">
        <v>0</v>
      </c>
      <c r="Q275">
        <v>41.666666666666671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42</v>
      </c>
      <c r="AK275" t="s">
        <v>1</v>
      </c>
      <c r="AL275" t="s">
        <v>372</v>
      </c>
      <c r="AQ275" s="1">
        <f t="shared" si="114"/>
        <v>100.00000000000001</v>
      </c>
      <c r="AR275" s="1">
        <f t="shared" si="99"/>
        <v>0.16666666666666671</v>
      </c>
      <c r="AS275" s="1">
        <f t="shared" si="100"/>
        <v>0</v>
      </c>
      <c r="AT275" s="1">
        <f t="shared" si="101"/>
        <v>0.41666666666666674</v>
      </c>
      <c r="AU275" s="1">
        <f t="shared" si="102"/>
        <v>0.41666666666666674</v>
      </c>
      <c r="AV275" s="1">
        <f t="shared" si="115"/>
        <v>0.42</v>
      </c>
      <c r="AX275" s="1">
        <f t="shared" si="116"/>
        <v>1</v>
      </c>
      <c r="AY275" s="1">
        <f t="shared" si="103"/>
        <v>0.4</v>
      </c>
      <c r="AZ275" s="1">
        <f t="shared" si="104"/>
        <v>0.5625</v>
      </c>
      <c r="BA275" s="1">
        <f t="shared" si="105"/>
        <v>0.75</v>
      </c>
      <c r="BB275" s="1">
        <f t="shared" si="106"/>
        <v>0.4</v>
      </c>
      <c r="BC275" s="1">
        <f t="shared" si="107"/>
        <v>0.4</v>
      </c>
      <c r="BD275" s="1">
        <f t="shared" si="117"/>
        <v>1.9999999999999962E-2</v>
      </c>
      <c r="BF275">
        <f t="shared" si="108"/>
        <v>41.666666666666671</v>
      </c>
      <c r="BG275">
        <f t="shared" si="109"/>
        <v>16.666666666666671</v>
      </c>
      <c r="BH275" s="1">
        <f t="shared" si="110"/>
        <v>1</v>
      </c>
      <c r="BI275" s="1">
        <f t="shared" si="111"/>
        <v>0.40000000000000008</v>
      </c>
      <c r="BJ275" s="1">
        <f t="shared" si="118"/>
        <v>0.49</v>
      </c>
      <c r="BK275" s="1">
        <f t="shared" si="119"/>
        <v>0.40000000000000008</v>
      </c>
      <c r="BL275" s="22">
        <f t="shared" si="120"/>
        <v>0.40000000000000008</v>
      </c>
      <c r="BM275" s="1">
        <f t="shared" si="112"/>
        <v>3.9999999999999628E-4</v>
      </c>
      <c r="BN275" s="1">
        <f t="shared" si="113"/>
        <v>1.527467367487362E-4</v>
      </c>
    </row>
    <row r="276" spans="1:66" x14ac:dyDescent="0.25">
      <c r="A276" s="3"/>
      <c r="B276" s="3"/>
      <c r="C276" t="s">
        <v>500</v>
      </c>
      <c r="D276" s="5">
        <v>1</v>
      </c>
      <c r="E276" s="9">
        <f t="shared" si="97"/>
        <v>20</v>
      </c>
      <c r="F276" s="9">
        <f t="shared" si="98"/>
        <v>0.5</v>
      </c>
      <c r="G276">
        <v>0</v>
      </c>
      <c r="H276">
        <v>40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20</v>
      </c>
      <c r="P276">
        <v>0</v>
      </c>
      <c r="Q276">
        <v>40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48</v>
      </c>
      <c r="AK276" t="s">
        <v>1</v>
      </c>
      <c r="AL276" t="s">
        <v>372</v>
      </c>
      <c r="AQ276" s="1">
        <f t="shared" si="114"/>
        <v>100</v>
      </c>
      <c r="AR276" s="1">
        <f t="shared" si="99"/>
        <v>0.2</v>
      </c>
      <c r="AS276" s="1">
        <f t="shared" si="100"/>
        <v>0</v>
      </c>
      <c r="AT276" s="1">
        <f t="shared" si="101"/>
        <v>0.4</v>
      </c>
      <c r="AU276" s="1">
        <f t="shared" si="102"/>
        <v>0.4</v>
      </c>
      <c r="AV276" s="1">
        <f t="shared" si="115"/>
        <v>0.48</v>
      </c>
      <c r="AX276" s="1">
        <f t="shared" si="116"/>
        <v>1</v>
      </c>
      <c r="AY276" s="1">
        <f t="shared" si="103"/>
        <v>0.5</v>
      </c>
      <c r="AZ276" s="1">
        <f t="shared" si="104"/>
        <v>0.5625</v>
      </c>
      <c r="BA276" s="1">
        <f t="shared" si="105"/>
        <v>0.75</v>
      </c>
      <c r="BB276" s="1">
        <f t="shared" si="106"/>
        <v>0.5</v>
      </c>
      <c r="BC276" s="1">
        <f t="shared" si="107"/>
        <v>0.5</v>
      </c>
      <c r="BD276" s="1">
        <f t="shared" si="117"/>
        <v>2.0000000000000018E-2</v>
      </c>
      <c r="BF276">
        <f t="shared" si="108"/>
        <v>40</v>
      </c>
      <c r="BG276">
        <f t="shared" si="109"/>
        <v>20</v>
      </c>
      <c r="BH276" s="1">
        <f t="shared" si="110"/>
        <v>1</v>
      </c>
      <c r="BI276" s="1">
        <f t="shared" si="111"/>
        <v>0.5</v>
      </c>
      <c r="BJ276" s="1">
        <f t="shared" si="118"/>
        <v>0.49</v>
      </c>
      <c r="BK276" s="1">
        <f t="shared" si="119"/>
        <v>0.45988164727714359</v>
      </c>
      <c r="BL276" s="22">
        <f t="shared" si="120"/>
        <v>0.45988164727714359</v>
      </c>
      <c r="BM276" s="1">
        <f t="shared" si="112"/>
        <v>4.0474811628126318E-4</v>
      </c>
      <c r="BN276" s="1">
        <f t="shared" si="113"/>
        <v>5.2358357459392837E-3</v>
      </c>
    </row>
    <row r="277" spans="1:66" x14ac:dyDescent="0.25">
      <c r="A277" s="3"/>
      <c r="B277" s="3"/>
      <c r="C277" t="s">
        <v>501</v>
      </c>
      <c r="D277" s="5">
        <v>1</v>
      </c>
      <c r="E277" s="9">
        <f t="shared" si="97"/>
        <v>24.81203007518797</v>
      </c>
      <c r="F277" s="9">
        <f t="shared" si="98"/>
        <v>0.5</v>
      </c>
      <c r="G277">
        <v>0</v>
      </c>
      <c r="H277">
        <v>37.593984962406012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24.81203007518797</v>
      </c>
      <c r="P277">
        <v>0</v>
      </c>
      <c r="Q277">
        <v>37.593984962406012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56.000000000000007</v>
      </c>
      <c r="AK277" t="s">
        <v>1</v>
      </c>
      <c r="AL277" t="s">
        <v>372</v>
      </c>
      <c r="AQ277" s="1">
        <f t="shared" si="114"/>
        <v>100</v>
      </c>
      <c r="AR277" s="1">
        <f t="shared" si="99"/>
        <v>0.24812030075187969</v>
      </c>
      <c r="AS277" s="1">
        <f t="shared" si="100"/>
        <v>0</v>
      </c>
      <c r="AT277" s="1">
        <f t="shared" si="101"/>
        <v>0.37593984962406013</v>
      </c>
      <c r="AU277" s="1">
        <f t="shared" si="102"/>
        <v>0.37593984962406013</v>
      </c>
      <c r="AV277" s="1">
        <f t="shared" si="115"/>
        <v>0.56000000000000005</v>
      </c>
      <c r="AX277" s="1">
        <f t="shared" si="116"/>
        <v>1</v>
      </c>
      <c r="AY277" s="1">
        <f t="shared" si="103"/>
        <v>0.66</v>
      </c>
      <c r="AZ277" s="1">
        <f t="shared" si="104"/>
        <v>0.5625</v>
      </c>
      <c r="BA277" s="1">
        <f t="shared" si="105"/>
        <v>0.75</v>
      </c>
      <c r="BB277" s="1">
        <f t="shared" si="106"/>
        <v>0.5625</v>
      </c>
      <c r="BC277" s="1">
        <f t="shared" si="107"/>
        <v>0.5625</v>
      </c>
      <c r="BD277" s="1">
        <f t="shared" si="117"/>
        <v>2.4999999999999467E-3</v>
      </c>
      <c r="BF277">
        <f t="shared" si="108"/>
        <v>37.593984962406012</v>
      </c>
      <c r="BG277">
        <f t="shared" si="109"/>
        <v>24.81203007518797</v>
      </c>
      <c r="BH277" s="1">
        <f t="shared" si="110"/>
        <v>1</v>
      </c>
      <c r="BI277" s="1">
        <f t="shared" si="111"/>
        <v>0.66</v>
      </c>
      <c r="BJ277" s="1">
        <f t="shared" si="118"/>
        <v>0.49</v>
      </c>
      <c r="BK277" s="1">
        <f t="shared" si="119"/>
        <v>0.4819744261589432</v>
      </c>
      <c r="BL277" s="22">
        <f t="shared" si="120"/>
        <v>0.4819744261589432</v>
      </c>
      <c r="BM277" s="1">
        <f t="shared" si="112"/>
        <v>6.0879901732262152E-3</v>
      </c>
      <c r="BN277" s="1">
        <f t="shared" si="113"/>
        <v>2.3213287758193368E-2</v>
      </c>
    </row>
    <row r="278" spans="1:66" x14ac:dyDescent="0.25">
      <c r="A278" s="3"/>
      <c r="B278" s="3"/>
      <c r="C278" t="s">
        <v>502</v>
      </c>
      <c r="D278" s="5">
        <v>1</v>
      </c>
      <c r="E278" s="9">
        <f t="shared" si="97"/>
        <v>27.27272727272727</v>
      </c>
      <c r="F278" s="9">
        <f t="shared" si="98"/>
        <v>0.5</v>
      </c>
      <c r="G278">
        <v>0</v>
      </c>
      <c r="H278">
        <v>36.363636363636367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27.27272727272727</v>
      </c>
      <c r="P278">
        <v>0</v>
      </c>
      <c r="Q278">
        <v>36.363636363636367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56.000000000000007</v>
      </c>
      <c r="AK278" t="s">
        <v>1</v>
      </c>
      <c r="AL278" t="s">
        <v>372</v>
      </c>
      <c r="AQ278" s="1">
        <f t="shared" si="114"/>
        <v>100</v>
      </c>
      <c r="AR278" s="1">
        <f t="shared" si="99"/>
        <v>0.27272727272727271</v>
      </c>
      <c r="AS278" s="1">
        <f t="shared" si="100"/>
        <v>0</v>
      </c>
      <c r="AT278" s="1">
        <f t="shared" si="101"/>
        <v>0.36363636363636365</v>
      </c>
      <c r="AU278" s="1">
        <f t="shared" si="102"/>
        <v>0.36363636363636365</v>
      </c>
      <c r="AV278" s="1">
        <f t="shared" si="115"/>
        <v>0.56000000000000005</v>
      </c>
      <c r="AX278" s="1">
        <f t="shared" si="116"/>
        <v>1</v>
      </c>
      <c r="AY278" s="1">
        <f t="shared" si="103"/>
        <v>0.74999999999999989</v>
      </c>
      <c r="AZ278" s="1">
        <f t="shared" si="104"/>
        <v>0.5625</v>
      </c>
      <c r="BA278" s="1">
        <f t="shared" si="105"/>
        <v>0.75</v>
      </c>
      <c r="BB278" s="1">
        <f t="shared" si="106"/>
        <v>0.5625</v>
      </c>
      <c r="BC278" s="1">
        <f t="shared" si="107"/>
        <v>0.5625</v>
      </c>
      <c r="BD278" s="1">
        <f t="shared" si="117"/>
        <v>2.4999999999999467E-3</v>
      </c>
      <c r="BF278">
        <f t="shared" si="108"/>
        <v>36.363636363636367</v>
      </c>
      <c r="BG278">
        <f t="shared" si="109"/>
        <v>27.27272727272727</v>
      </c>
      <c r="BH278" s="1">
        <f t="shared" si="110"/>
        <v>1</v>
      </c>
      <c r="BI278" s="1">
        <f t="shared" si="111"/>
        <v>0.74999999999999989</v>
      </c>
      <c r="BJ278" s="1">
        <f t="shared" si="118"/>
        <v>0.49</v>
      </c>
      <c r="BK278" s="1">
        <f t="shared" si="119"/>
        <v>0.48700968724911964</v>
      </c>
      <c r="BL278" s="22">
        <f t="shared" si="120"/>
        <v>0.48700968724911964</v>
      </c>
      <c r="BM278" s="1">
        <f t="shared" si="112"/>
        <v>5.3275857554713358E-3</v>
      </c>
      <c r="BN278" s="1">
        <f t="shared" si="113"/>
        <v>2.3213287758193368E-2</v>
      </c>
    </row>
    <row r="279" spans="1:66" x14ac:dyDescent="0.25">
      <c r="A279" s="3"/>
      <c r="B279" s="3"/>
      <c r="C279" t="s">
        <v>503</v>
      </c>
      <c r="D279" s="5">
        <v>1</v>
      </c>
      <c r="E279" s="9">
        <f t="shared" si="97"/>
        <v>30.06993006993007</v>
      </c>
      <c r="F279" s="9">
        <f t="shared" si="98"/>
        <v>0.5</v>
      </c>
      <c r="G279">
        <v>0</v>
      </c>
      <c r="H279">
        <v>34.965034965034967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30.06993006993007</v>
      </c>
      <c r="P279">
        <v>0</v>
      </c>
      <c r="Q279">
        <v>34.965034965034967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57.999999999999993</v>
      </c>
      <c r="AK279" t="s">
        <v>1</v>
      </c>
      <c r="AL279" t="s">
        <v>372</v>
      </c>
      <c r="AQ279" s="1">
        <f t="shared" si="114"/>
        <v>100</v>
      </c>
      <c r="AR279" s="1">
        <f t="shared" si="99"/>
        <v>0.30069930069930068</v>
      </c>
      <c r="AS279" s="1">
        <f t="shared" si="100"/>
        <v>0</v>
      </c>
      <c r="AT279" s="1">
        <f t="shared" si="101"/>
        <v>0.34965034965034969</v>
      </c>
      <c r="AU279" s="1">
        <f t="shared" si="102"/>
        <v>0.34965034965034969</v>
      </c>
      <c r="AV279" s="1">
        <f t="shared" si="115"/>
        <v>0.57999999999999996</v>
      </c>
      <c r="AX279" s="1">
        <f t="shared" si="116"/>
        <v>1</v>
      </c>
      <c r="AY279" s="1">
        <f t="shared" si="103"/>
        <v>0.85999999999999988</v>
      </c>
      <c r="AZ279" s="1">
        <f t="shared" si="104"/>
        <v>0.5625</v>
      </c>
      <c r="BA279" s="1">
        <f t="shared" si="105"/>
        <v>0.75</v>
      </c>
      <c r="BB279" s="1">
        <f t="shared" si="106"/>
        <v>0.53500000000000003</v>
      </c>
      <c r="BC279" s="1">
        <f t="shared" si="107"/>
        <v>0.53500000000000003</v>
      </c>
      <c r="BD279" s="1">
        <f t="shared" si="117"/>
        <v>4.4999999999999929E-2</v>
      </c>
      <c r="BF279">
        <f t="shared" si="108"/>
        <v>34.965034965034967</v>
      </c>
      <c r="BG279">
        <f t="shared" si="109"/>
        <v>30.06993006993007</v>
      </c>
      <c r="BH279" s="1">
        <f t="shared" si="110"/>
        <v>1</v>
      </c>
      <c r="BI279" s="1">
        <f t="shared" si="111"/>
        <v>0.86</v>
      </c>
      <c r="BJ279" s="1">
        <f t="shared" si="118"/>
        <v>0.49</v>
      </c>
      <c r="BK279" s="1">
        <f t="shared" si="119"/>
        <v>0.48706024775136775</v>
      </c>
      <c r="BL279" s="22">
        <f t="shared" si="120"/>
        <v>0.48706024775136775</v>
      </c>
      <c r="BM279" s="1">
        <f t="shared" si="112"/>
        <v>8.6377975480371356E-3</v>
      </c>
      <c r="BN279" s="1">
        <f t="shared" si="113"/>
        <v>2.9707650761256855E-2</v>
      </c>
    </row>
    <row r="280" spans="1:66" x14ac:dyDescent="0.25">
      <c r="A280" s="3"/>
      <c r="B280" s="3"/>
      <c r="C280" t="s">
        <v>504</v>
      </c>
      <c r="D280" s="5">
        <v>1</v>
      </c>
      <c r="E280" s="9">
        <f t="shared" si="97"/>
        <v>33.333333333333329</v>
      </c>
      <c r="F280" s="9">
        <f t="shared" si="98"/>
        <v>0.5</v>
      </c>
      <c r="G280">
        <v>0</v>
      </c>
      <c r="H280">
        <v>33.333333333333329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33.333333333333329</v>
      </c>
      <c r="P280">
        <v>0</v>
      </c>
      <c r="Q280">
        <v>33.333333333333329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62</v>
      </c>
      <c r="AK280" t="s">
        <v>1</v>
      </c>
      <c r="AL280" t="s">
        <v>372</v>
      </c>
      <c r="AQ280" s="1">
        <f t="shared" si="114"/>
        <v>99.999999999999986</v>
      </c>
      <c r="AR280" s="1">
        <f t="shared" si="99"/>
        <v>0.33333333333333326</v>
      </c>
      <c r="AS280" s="1">
        <f t="shared" si="100"/>
        <v>0</v>
      </c>
      <c r="AT280" s="1">
        <f t="shared" si="101"/>
        <v>0.33333333333333326</v>
      </c>
      <c r="AU280" s="1">
        <f t="shared" si="102"/>
        <v>0.33333333333333326</v>
      </c>
      <c r="AV280" s="1">
        <f t="shared" si="115"/>
        <v>0.62</v>
      </c>
      <c r="AX280" s="1">
        <f t="shared" si="116"/>
        <v>1</v>
      </c>
      <c r="AY280" s="1">
        <f t="shared" si="103"/>
        <v>1</v>
      </c>
      <c r="AZ280" s="1">
        <f t="shared" si="104"/>
        <v>0.5625</v>
      </c>
      <c r="BA280" s="1">
        <f t="shared" si="105"/>
        <v>0.75</v>
      </c>
      <c r="BB280" s="1">
        <f t="shared" si="106"/>
        <v>0.5</v>
      </c>
      <c r="BC280" s="1">
        <f t="shared" si="107"/>
        <v>0.5</v>
      </c>
      <c r="BD280" s="1">
        <f t="shared" si="117"/>
        <v>0.12</v>
      </c>
      <c r="BF280">
        <f t="shared" si="108"/>
        <v>33.333333333333329</v>
      </c>
      <c r="BG280">
        <f t="shared" si="109"/>
        <v>33.333333333333329</v>
      </c>
      <c r="BH280" s="1">
        <f t="shared" si="110"/>
        <v>1</v>
      </c>
      <c r="BI280" s="1">
        <f t="shared" si="111"/>
        <v>1</v>
      </c>
      <c r="BJ280" s="1">
        <f t="shared" si="118"/>
        <v>0.49</v>
      </c>
      <c r="BK280" s="1">
        <f t="shared" si="119"/>
        <v>0.47893651729059428</v>
      </c>
      <c r="BL280" s="22">
        <f t="shared" si="120"/>
        <v>0.47893651729059428</v>
      </c>
      <c r="BM280" s="1">
        <f t="shared" si="112"/>
        <v>1.9898906154106805E-2</v>
      </c>
      <c r="BN280" s="1">
        <f t="shared" si="113"/>
        <v>4.50963767673839E-2</v>
      </c>
    </row>
    <row r="281" spans="1:66" x14ac:dyDescent="0.25">
      <c r="A281" s="3"/>
      <c r="B281" s="3"/>
      <c r="C281" t="s">
        <v>505</v>
      </c>
      <c r="D281" s="5">
        <v>1</v>
      </c>
      <c r="E281" s="9">
        <f t="shared" si="97"/>
        <v>42.857142857142847</v>
      </c>
      <c r="F281" s="9">
        <f t="shared" si="98"/>
        <v>0.5</v>
      </c>
      <c r="G281">
        <v>0</v>
      </c>
      <c r="H281">
        <v>28.571428571428569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42.857142857142847</v>
      </c>
      <c r="P281">
        <v>0</v>
      </c>
      <c r="Q281">
        <v>28.571428571428569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53</v>
      </c>
      <c r="AK281" t="s">
        <v>1</v>
      </c>
      <c r="AL281" t="s">
        <v>372</v>
      </c>
      <c r="AQ281" s="1">
        <f t="shared" si="114"/>
        <v>99.999999999999986</v>
      </c>
      <c r="AR281" s="1">
        <f t="shared" si="99"/>
        <v>0.42857142857142849</v>
      </c>
      <c r="AS281" s="1">
        <f t="shared" si="100"/>
        <v>0</v>
      </c>
      <c r="AT281" s="1">
        <f t="shared" si="101"/>
        <v>0.2857142857142857</v>
      </c>
      <c r="AU281" s="1">
        <f t="shared" si="102"/>
        <v>0.2857142857142857</v>
      </c>
      <c r="AV281" s="1">
        <f t="shared" si="115"/>
        <v>0.53</v>
      </c>
      <c r="AX281" s="1">
        <f t="shared" si="116"/>
        <v>1</v>
      </c>
      <c r="AY281" s="1">
        <f t="shared" si="103"/>
        <v>1.4999999999999998</v>
      </c>
      <c r="AZ281" s="1">
        <f t="shared" si="104"/>
        <v>0.5625</v>
      </c>
      <c r="BA281" s="1">
        <f t="shared" si="105"/>
        <v>0.75</v>
      </c>
      <c r="BB281" s="1">
        <f t="shared" si="106"/>
        <v>0.37500000000000006</v>
      </c>
      <c r="BC281" s="1">
        <f t="shared" si="107"/>
        <v>0.37500000000000006</v>
      </c>
      <c r="BD281" s="1">
        <f t="shared" si="117"/>
        <v>0.15499999999999997</v>
      </c>
      <c r="BF281">
        <f t="shared" si="108"/>
        <v>28.571428571428569</v>
      </c>
      <c r="BG281">
        <f t="shared" si="109"/>
        <v>42.857142857142847</v>
      </c>
      <c r="BH281" s="1">
        <f t="shared" si="110"/>
        <v>1</v>
      </c>
      <c r="BI281" s="1">
        <f t="shared" si="111"/>
        <v>1.4999999999999998</v>
      </c>
      <c r="BJ281" s="1">
        <f t="shared" si="118"/>
        <v>0.49</v>
      </c>
      <c r="BK281" s="1">
        <f t="shared" si="119"/>
        <v>0.40065887500357056</v>
      </c>
      <c r="BL281" s="22">
        <f t="shared" si="120"/>
        <v>0.40065887500357056</v>
      </c>
      <c r="BM281" s="1">
        <f t="shared" si="112"/>
        <v>1.6729126615341993E-2</v>
      </c>
      <c r="BN281" s="1">
        <f t="shared" si="113"/>
        <v>1.4971743253598084E-2</v>
      </c>
    </row>
    <row r="282" spans="1:66" x14ac:dyDescent="0.25">
      <c r="A282" s="3"/>
      <c r="B282" s="3"/>
      <c r="C282" t="s">
        <v>506</v>
      </c>
      <c r="D282" s="5">
        <v>1</v>
      </c>
      <c r="E282" s="9">
        <f t="shared" si="97"/>
        <v>4.7619047619047619</v>
      </c>
      <c r="F282" s="9">
        <f t="shared" si="98"/>
        <v>0.66666666666666674</v>
      </c>
      <c r="G282">
        <v>0</v>
      </c>
      <c r="H282">
        <v>31.74603174603174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4.7619047619047619</v>
      </c>
      <c r="P282">
        <v>0</v>
      </c>
      <c r="Q282">
        <v>63.492063492063487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15</v>
      </c>
      <c r="AK282" t="s">
        <v>1</v>
      </c>
      <c r="AL282" t="s">
        <v>372</v>
      </c>
      <c r="AQ282" s="1">
        <f t="shared" si="114"/>
        <v>99.999999999999986</v>
      </c>
      <c r="AR282" s="1">
        <f t="shared" si="99"/>
        <v>4.7619047619047616E-2</v>
      </c>
      <c r="AS282" s="1">
        <f t="shared" si="100"/>
        <v>0</v>
      </c>
      <c r="AT282" s="1">
        <f t="shared" si="101"/>
        <v>0.31746031746031739</v>
      </c>
      <c r="AU282" s="1">
        <f t="shared" si="102"/>
        <v>0.63492063492063489</v>
      </c>
      <c r="AV282" s="1">
        <f t="shared" si="115"/>
        <v>0.15</v>
      </c>
      <c r="AX282" s="1">
        <f t="shared" si="116"/>
        <v>2.0000000000000004</v>
      </c>
      <c r="AY282" s="1">
        <f t="shared" si="103"/>
        <v>0.15000000000000002</v>
      </c>
      <c r="AZ282" s="1">
        <f t="shared" si="104"/>
        <v>0.625</v>
      </c>
      <c r="BA282" s="1">
        <f t="shared" si="105"/>
        <v>1</v>
      </c>
      <c r="BB282" s="1">
        <f t="shared" si="106"/>
        <v>0.15000000000000002</v>
      </c>
      <c r="BC282" s="1">
        <f t="shared" si="107"/>
        <v>0.15000000000000002</v>
      </c>
      <c r="BD282" s="1">
        <f t="shared" si="117"/>
        <v>2.7755575615628914E-17</v>
      </c>
      <c r="BF282">
        <f t="shared" si="108"/>
        <v>31.74603174603174</v>
      </c>
      <c r="BG282">
        <f t="shared" si="109"/>
        <v>4.7619047619047619</v>
      </c>
      <c r="BH282" s="1">
        <f t="shared" si="110"/>
        <v>2.0000000000000004</v>
      </c>
      <c r="BI282" s="1">
        <f t="shared" si="111"/>
        <v>0.15000000000000002</v>
      </c>
      <c r="BJ282" s="1">
        <f t="shared" si="118"/>
        <v>0.55000000000000004</v>
      </c>
      <c r="BK282" s="1">
        <f t="shared" si="119"/>
        <v>0.15000000000000002</v>
      </c>
      <c r="BL282" s="22">
        <f t="shared" si="120"/>
        <v>0.15000000000000002</v>
      </c>
      <c r="BM282" s="1">
        <f t="shared" si="112"/>
        <v>7.7037197775489434E-34</v>
      </c>
      <c r="BN282" s="1">
        <f t="shared" si="113"/>
        <v>6.637884619539125E-2</v>
      </c>
    </row>
    <row r="283" spans="1:66" x14ac:dyDescent="0.25">
      <c r="A283" s="3"/>
      <c r="B283" s="3"/>
      <c r="C283" t="s">
        <v>507</v>
      </c>
      <c r="D283" s="5">
        <v>1</v>
      </c>
      <c r="E283" s="9">
        <f t="shared" si="97"/>
        <v>7.6923076923076934</v>
      </c>
      <c r="F283" s="9">
        <f t="shared" si="98"/>
        <v>0.66666666666666674</v>
      </c>
      <c r="G283">
        <v>0</v>
      </c>
      <c r="H283">
        <v>30.76923076923077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7.6923076923076934</v>
      </c>
      <c r="P283">
        <v>0</v>
      </c>
      <c r="Q283">
        <v>61.53846153846154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27</v>
      </c>
      <c r="AK283" t="s">
        <v>1</v>
      </c>
      <c r="AL283" t="s">
        <v>372</v>
      </c>
      <c r="AQ283" s="1">
        <f t="shared" si="114"/>
        <v>100</v>
      </c>
      <c r="AR283" s="1">
        <f t="shared" si="99"/>
        <v>7.6923076923076927E-2</v>
      </c>
      <c r="AS283" s="1">
        <f t="shared" si="100"/>
        <v>0</v>
      </c>
      <c r="AT283" s="1">
        <f t="shared" si="101"/>
        <v>0.30769230769230771</v>
      </c>
      <c r="AU283" s="1">
        <f t="shared" si="102"/>
        <v>0.61538461538461542</v>
      </c>
      <c r="AV283" s="1">
        <f t="shared" si="115"/>
        <v>0.27</v>
      </c>
      <c r="AX283" s="1">
        <f t="shared" si="116"/>
        <v>2</v>
      </c>
      <c r="AY283" s="1">
        <f t="shared" si="103"/>
        <v>0.25</v>
      </c>
      <c r="AZ283" s="1">
        <f t="shared" si="104"/>
        <v>0.625</v>
      </c>
      <c r="BA283" s="1">
        <f t="shared" si="105"/>
        <v>1</v>
      </c>
      <c r="BB283" s="1">
        <f t="shared" si="106"/>
        <v>0.25</v>
      </c>
      <c r="BC283" s="1">
        <f t="shared" si="107"/>
        <v>0.25</v>
      </c>
      <c r="BD283" s="1">
        <f t="shared" si="117"/>
        <v>2.0000000000000018E-2</v>
      </c>
      <c r="BF283">
        <f t="shared" si="108"/>
        <v>30.76923076923077</v>
      </c>
      <c r="BG283">
        <f t="shared" si="109"/>
        <v>7.6923076923076934</v>
      </c>
      <c r="BH283" s="1">
        <f t="shared" si="110"/>
        <v>2</v>
      </c>
      <c r="BI283" s="1">
        <f t="shared" si="111"/>
        <v>0.25000000000000006</v>
      </c>
      <c r="BJ283" s="1">
        <f t="shared" si="118"/>
        <v>0.55000000000000004</v>
      </c>
      <c r="BK283" s="1">
        <f t="shared" si="119"/>
        <v>0.25000000000000006</v>
      </c>
      <c r="BL283" s="22">
        <f t="shared" si="120"/>
        <v>0.25000000000000006</v>
      </c>
      <c r="BM283" s="1">
        <f t="shared" si="112"/>
        <v>3.999999999999985E-4</v>
      </c>
      <c r="BN283" s="1">
        <f t="shared" si="113"/>
        <v>1.8945024213772359E-2</v>
      </c>
    </row>
    <row r="284" spans="1:66" x14ac:dyDescent="0.25">
      <c r="A284" s="3"/>
      <c r="B284" s="3"/>
      <c r="C284" t="s">
        <v>508</v>
      </c>
      <c r="D284" s="5">
        <v>1</v>
      </c>
      <c r="E284" s="9">
        <f t="shared" si="97"/>
        <v>9.9099099099099099</v>
      </c>
      <c r="F284" s="9">
        <f t="shared" si="98"/>
        <v>0.66666666666666674</v>
      </c>
      <c r="G284">
        <v>0</v>
      </c>
      <c r="H284">
        <v>30.03003003003003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9.9099099099099099</v>
      </c>
      <c r="P284">
        <v>0</v>
      </c>
      <c r="Q284">
        <v>60.06006006006006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35</v>
      </c>
      <c r="AK284" t="s">
        <v>1</v>
      </c>
      <c r="AL284" t="s">
        <v>372</v>
      </c>
      <c r="AQ284" s="1">
        <f t="shared" si="114"/>
        <v>100</v>
      </c>
      <c r="AR284" s="1">
        <f t="shared" si="99"/>
        <v>9.90990990990991E-2</v>
      </c>
      <c r="AS284" s="1">
        <f t="shared" si="100"/>
        <v>0</v>
      </c>
      <c r="AT284" s="1">
        <f t="shared" si="101"/>
        <v>0.3003003003003003</v>
      </c>
      <c r="AU284" s="1">
        <f t="shared" si="102"/>
        <v>0.60060060060060061</v>
      </c>
      <c r="AV284" s="1">
        <f t="shared" si="115"/>
        <v>0.35</v>
      </c>
      <c r="AX284" s="1">
        <f t="shared" si="116"/>
        <v>2</v>
      </c>
      <c r="AY284" s="1">
        <f t="shared" si="103"/>
        <v>0.33</v>
      </c>
      <c r="AZ284" s="1">
        <f t="shared" si="104"/>
        <v>0.625</v>
      </c>
      <c r="BA284" s="1">
        <f t="shared" si="105"/>
        <v>1</v>
      </c>
      <c r="BB284" s="1">
        <f t="shared" si="106"/>
        <v>0.33</v>
      </c>
      <c r="BC284" s="1">
        <f t="shared" si="107"/>
        <v>0.33</v>
      </c>
      <c r="BD284" s="1">
        <f t="shared" si="117"/>
        <v>1.9999999999999962E-2</v>
      </c>
      <c r="BF284">
        <f t="shared" si="108"/>
        <v>30.03003003003003</v>
      </c>
      <c r="BG284">
        <f t="shared" si="109"/>
        <v>9.9099099099099099</v>
      </c>
      <c r="BH284" s="1">
        <f t="shared" si="110"/>
        <v>2</v>
      </c>
      <c r="BI284" s="1">
        <f t="shared" si="111"/>
        <v>0.33</v>
      </c>
      <c r="BJ284" s="1">
        <f t="shared" si="118"/>
        <v>0.55000000000000004</v>
      </c>
      <c r="BK284" s="1">
        <f t="shared" si="119"/>
        <v>0.33</v>
      </c>
      <c r="BL284" s="22">
        <f t="shared" si="120"/>
        <v>0.33</v>
      </c>
      <c r="BM284" s="1">
        <f t="shared" si="112"/>
        <v>3.999999999999985E-4</v>
      </c>
      <c r="BN284" s="1">
        <f t="shared" si="113"/>
        <v>3.3224762260264311E-3</v>
      </c>
    </row>
    <row r="285" spans="1:66" x14ac:dyDescent="0.25">
      <c r="A285" s="3"/>
      <c r="B285" s="3"/>
      <c r="C285" t="s">
        <v>509</v>
      </c>
      <c r="D285" s="5">
        <v>1</v>
      </c>
      <c r="E285" s="9">
        <f t="shared" si="97"/>
        <v>14.285714285714279</v>
      </c>
      <c r="F285" s="9">
        <f t="shared" si="98"/>
        <v>0.66666666666666663</v>
      </c>
      <c r="G285">
        <v>0</v>
      </c>
      <c r="H285">
        <v>28.571428571428569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14.285714285714279</v>
      </c>
      <c r="P285">
        <v>0</v>
      </c>
      <c r="Q285">
        <v>57.142857142857139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49</v>
      </c>
      <c r="AK285" t="s">
        <v>1</v>
      </c>
      <c r="AL285" t="s">
        <v>372</v>
      </c>
      <c r="AQ285" s="1">
        <f t="shared" si="114"/>
        <v>99.999999999999986</v>
      </c>
      <c r="AR285" s="1">
        <f t="shared" si="99"/>
        <v>0.14285714285714279</v>
      </c>
      <c r="AS285" s="1">
        <f t="shared" si="100"/>
        <v>0</v>
      </c>
      <c r="AT285" s="1">
        <f t="shared" si="101"/>
        <v>0.2857142857142857</v>
      </c>
      <c r="AU285" s="1">
        <f t="shared" si="102"/>
        <v>0.5714285714285714</v>
      </c>
      <c r="AV285" s="1">
        <f t="shared" si="115"/>
        <v>0.49</v>
      </c>
      <c r="AX285" s="1">
        <f t="shared" si="116"/>
        <v>2</v>
      </c>
      <c r="AY285" s="1">
        <f t="shared" si="103"/>
        <v>0.49999999999999978</v>
      </c>
      <c r="AZ285" s="1">
        <f t="shared" si="104"/>
        <v>0.625</v>
      </c>
      <c r="BA285" s="1">
        <f t="shared" si="105"/>
        <v>1</v>
      </c>
      <c r="BB285" s="1">
        <f t="shared" si="106"/>
        <v>0.49999999999999978</v>
      </c>
      <c r="BC285" s="1">
        <f t="shared" si="107"/>
        <v>0.49999999999999978</v>
      </c>
      <c r="BD285" s="1">
        <f t="shared" si="117"/>
        <v>9.9999999999997868E-3</v>
      </c>
      <c r="BF285">
        <f t="shared" si="108"/>
        <v>28.571428571428569</v>
      </c>
      <c r="BG285">
        <f t="shared" si="109"/>
        <v>14.285714285714279</v>
      </c>
      <c r="BH285" s="1">
        <f t="shared" si="110"/>
        <v>2</v>
      </c>
      <c r="BI285" s="1">
        <f t="shared" si="111"/>
        <v>0.49999999999999983</v>
      </c>
      <c r="BJ285" s="1">
        <f t="shared" si="118"/>
        <v>0.55000000000000004</v>
      </c>
      <c r="BK285" s="1">
        <f t="shared" si="119"/>
        <v>0.49999999999999983</v>
      </c>
      <c r="BL285" s="22">
        <f t="shared" si="120"/>
        <v>0.49999999999999983</v>
      </c>
      <c r="BM285" s="1">
        <f t="shared" si="112"/>
        <v>9.9999999999996847E-5</v>
      </c>
      <c r="BN285" s="1">
        <f t="shared" si="113"/>
        <v>6.7830172474710433E-3</v>
      </c>
    </row>
    <row r="286" spans="1:66" x14ac:dyDescent="0.25">
      <c r="A286" s="3"/>
      <c r="B286" s="3"/>
      <c r="C286" t="s">
        <v>510</v>
      </c>
      <c r="D286" s="5">
        <v>1</v>
      </c>
      <c r="E286" s="9">
        <f t="shared" si="97"/>
        <v>16.666666666666661</v>
      </c>
      <c r="F286" s="9">
        <f t="shared" si="98"/>
        <v>0.66666666666666663</v>
      </c>
      <c r="G286">
        <v>0</v>
      </c>
      <c r="H286">
        <v>27.777777777777779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16.666666666666661</v>
      </c>
      <c r="P286">
        <v>0</v>
      </c>
      <c r="Q286">
        <v>55.555555555555557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54</v>
      </c>
      <c r="AK286" t="s">
        <v>1</v>
      </c>
      <c r="AL286" t="s">
        <v>372</v>
      </c>
      <c r="AQ286" s="1">
        <f t="shared" si="114"/>
        <v>100</v>
      </c>
      <c r="AR286" s="1">
        <f t="shared" si="99"/>
        <v>0.1666666666666666</v>
      </c>
      <c r="AS286" s="1">
        <f t="shared" si="100"/>
        <v>0</v>
      </c>
      <c r="AT286" s="1">
        <f t="shared" si="101"/>
        <v>0.27777777777777779</v>
      </c>
      <c r="AU286" s="1">
        <f t="shared" si="102"/>
        <v>0.55555555555555558</v>
      </c>
      <c r="AV286" s="1">
        <f t="shared" si="115"/>
        <v>0.54</v>
      </c>
      <c r="AX286" s="1">
        <f t="shared" si="116"/>
        <v>2</v>
      </c>
      <c r="AY286" s="1">
        <f t="shared" si="103"/>
        <v>0.59999999999999976</v>
      </c>
      <c r="AZ286" s="1">
        <f t="shared" si="104"/>
        <v>0.625</v>
      </c>
      <c r="BA286" s="1">
        <f t="shared" si="105"/>
        <v>1</v>
      </c>
      <c r="BB286" s="1">
        <f t="shared" si="106"/>
        <v>0.59999999999999976</v>
      </c>
      <c r="BC286" s="1">
        <f t="shared" si="107"/>
        <v>0.59999999999999976</v>
      </c>
      <c r="BD286" s="1">
        <f t="shared" si="117"/>
        <v>5.999999999999972E-2</v>
      </c>
      <c r="BF286">
        <f t="shared" si="108"/>
        <v>27.777777777777779</v>
      </c>
      <c r="BG286">
        <f t="shared" si="109"/>
        <v>16.666666666666661</v>
      </c>
      <c r="BH286" s="1">
        <f t="shared" si="110"/>
        <v>2</v>
      </c>
      <c r="BI286" s="1">
        <f t="shared" si="111"/>
        <v>0.59999999999999976</v>
      </c>
      <c r="BJ286" s="1">
        <f t="shared" si="118"/>
        <v>0.55000000000000004</v>
      </c>
      <c r="BK286" s="1">
        <f t="shared" si="119"/>
        <v>0.52300095456751516</v>
      </c>
      <c r="BL286" s="22">
        <f t="shared" si="120"/>
        <v>0.52300095456751516</v>
      </c>
      <c r="BM286" s="1">
        <f t="shared" si="112"/>
        <v>2.8896754561568479E-4</v>
      </c>
      <c r="BN286" s="1">
        <f t="shared" si="113"/>
        <v>1.7518924755129846E-2</v>
      </c>
    </row>
    <row r="287" spans="1:66" x14ac:dyDescent="0.25">
      <c r="A287" s="3"/>
      <c r="B287" s="3"/>
      <c r="C287" t="s">
        <v>511</v>
      </c>
      <c r="D287" s="5">
        <v>1</v>
      </c>
      <c r="E287" s="9">
        <f t="shared" si="97"/>
        <v>17.491749174917491</v>
      </c>
      <c r="F287" s="9">
        <f t="shared" si="98"/>
        <v>0.66666666666666674</v>
      </c>
      <c r="G287">
        <v>0</v>
      </c>
      <c r="H287">
        <v>27.502750275027509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17.491749174917491</v>
      </c>
      <c r="P287">
        <v>0</v>
      </c>
      <c r="Q287">
        <v>55.005500550055011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56.999999999999993</v>
      </c>
      <c r="AK287" t="s">
        <v>1</v>
      </c>
      <c r="AL287" t="s">
        <v>372</v>
      </c>
      <c r="AQ287" s="1">
        <f t="shared" si="114"/>
        <v>100</v>
      </c>
      <c r="AR287" s="1">
        <f t="shared" si="99"/>
        <v>0.1749174917491749</v>
      </c>
      <c r="AS287" s="1">
        <f t="shared" si="100"/>
        <v>0</v>
      </c>
      <c r="AT287" s="1">
        <f t="shared" si="101"/>
        <v>0.2750275027502751</v>
      </c>
      <c r="AU287" s="1">
        <f t="shared" si="102"/>
        <v>0.55005500550055009</v>
      </c>
      <c r="AV287" s="1">
        <f t="shared" si="115"/>
        <v>0.56999999999999995</v>
      </c>
      <c r="AX287" s="1">
        <f t="shared" si="116"/>
        <v>1.9999999999999996</v>
      </c>
      <c r="AY287" s="1">
        <f t="shared" si="103"/>
        <v>0.63599999999999979</v>
      </c>
      <c r="AZ287" s="1">
        <f t="shared" si="104"/>
        <v>0.625</v>
      </c>
      <c r="BA287" s="1">
        <f t="shared" si="105"/>
        <v>0.99999999999999989</v>
      </c>
      <c r="BB287" s="1">
        <f t="shared" si="106"/>
        <v>0.625</v>
      </c>
      <c r="BC287" s="1">
        <f t="shared" si="107"/>
        <v>0.625</v>
      </c>
      <c r="BD287" s="1">
        <f t="shared" si="117"/>
        <v>5.5000000000000049E-2</v>
      </c>
      <c r="BF287">
        <f t="shared" si="108"/>
        <v>27.502750275027509</v>
      </c>
      <c r="BG287">
        <f t="shared" si="109"/>
        <v>17.491749174917491</v>
      </c>
      <c r="BH287" s="1">
        <f t="shared" si="110"/>
        <v>1.9999999999999998</v>
      </c>
      <c r="BI287" s="1">
        <f t="shared" si="111"/>
        <v>0.63599999999999979</v>
      </c>
      <c r="BJ287" s="1">
        <f t="shared" si="118"/>
        <v>0.54999999999999993</v>
      </c>
      <c r="BK287" s="1">
        <f t="shared" si="119"/>
        <v>0.53070649125524572</v>
      </c>
      <c r="BL287" s="22">
        <f t="shared" si="120"/>
        <v>0.53070649125524572</v>
      </c>
      <c r="BM287" s="1">
        <f t="shared" si="112"/>
        <v>1.5439798294740775E-3</v>
      </c>
      <c r="BN287" s="1">
        <f t="shared" si="113"/>
        <v>2.6360469259725097E-2</v>
      </c>
    </row>
    <row r="288" spans="1:66" x14ac:dyDescent="0.25">
      <c r="A288" s="3"/>
      <c r="B288" s="3"/>
      <c r="C288" t="s">
        <v>512</v>
      </c>
      <c r="D288" s="5">
        <v>1</v>
      </c>
      <c r="E288" s="9">
        <f t="shared" si="97"/>
        <v>17.58241758241758</v>
      </c>
      <c r="F288" s="9">
        <f t="shared" si="98"/>
        <v>0.66666666666666674</v>
      </c>
      <c r="G288">
        <v>0</v>
      </c>
      <c r="H288">
        <v>27.472527472527471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17.58241758241758</v>
      </c>
      <c r="P288">
        <v>0</v>
      </c>
      <c r="Q288">
        <v>54.945054945054942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55.000000000000007</v>
      </c>
      <c r="AK288" t="s">
        <v>1</v>
      </c>
      <c r="AL288" t="s">
        <v>372</v>
      </c>
      <c r="AQ288" s="1">
        <f t="shared" si="114"/>
        <v>100</v>
      </c>
      <c r="AR288" s="1">
        <f t="shared" si="99"/>
        <v>0.17582417582417581</v>
      </c>
      <c r="AS288" s="1">
        <f t="shared" si="100"/>
        <v>0</v>
      </c>
      <c r="AT288" s="1">
        <f t="shared" si="101"/>
        <v>0.27472527472527469</v>
      </c>
      <c r="AU288" s="1">
        <f t="shared" si="102"/>
        <v>0.54945054945054939</v>
      </c>
      <c r="AV288" s="1">
        <f t="shared" si="115"/>
        <v>0.55000000000000004</v>
      </c>
      <c r="AX288" s="1">
        <f t="shared" si="116"/>
        <v>2</v>
      </c>
      <c r="AY288" s="1">
        <f t="shared" si="103"/>
        <v>0.64</v>
      </c>
      <c r="AZ288" s="1">
        <f t="shared" si="104"/>
        <v>0.625</v>
      </c>
      <c r="BA288" s="1">
        <f t="shared" si="105"/>
        <v>1</v>
      </c>
      <c r="BB288" s="1">
        <f t="shared" si="106"/>
        <v>0.625</v>
      </c>
      <c r="BC288" s="1">
        <f t="shared" si="107"/>
        <v>0.625</v>
      </c>
      <c r="BD288" s="1">
        <f t="shared" si="117"/>
        <v>7.4999999999999956E-2</v>
      </c>
      <c r="BF288">
        <f t="shared" si="108"/>
        <v>27.472527472527471</v>
      </c>
      <c r="BG288">
        <f t="shared" si="109"/>
        <v>17.58241758241758</v>
      </c>
      <c r="BH288" s="1">
        <f t="shared" si="110"/>
        <v>2</v>
      </c>
      <c r="BI288" s="1">
        <f t="shared" si="111"/>
        <v>0.64</v>
      </c>
      <c r="BJ288" s="1">
        <f t="shared" si="118"/>
        <v>0.55000000000000004</v>
      </c>
      <c r="BK288" s="1">
        <f t="shared" si="119"/>
        <v>0.53151079372758014</v>
      </c>
      <c r="BL288" s="22">
        <f t="shared" si="120"/>
        <v>0.53151079372758014</v>
      </c>
      <c r="BM288" s="1">
        <f t="shared" si="112"/>
        <v>3.418507485840914E-4</v>
      </c>
      <c r="BN288" s="1">
        <f t="shared" si="113"/>
        <v>2.0266106256661608E-2</v>
      </c>
    </row>
    <row r="289" spans="1:66" x14ac:dyDescent="0.25">
      <c r="A289" s="3"/>
      <c r="B289" s="3"/>
      <c r="C289" t="s">
        <v>513</v>
      </c>
      <c r="D289" s="5">
        <v>1</v>
      </c>
      <c r="E289" s="9">
        <f t="shared" si="97"/>
        <v>18.918918918918919</v>
      </c>
      <c r="F289" s="9">
        <f t="shared" si="98"/>
        <v>0.66666666666666674</v>
      </c>
      <c r="G289">
        <v>0</v>
      </c>
      <c r="H289">
        <v>27.027027027027021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18.918918918918919</v>
      </c>
      <c r="P289">
        <v>0</v>
      </c>
      <c r="Q289">
        <v>54.054054054054049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56.999999999999993</v>
      </c>
      <c r="AK289" t="s">
        <v>1</v>
      </c>
      <c r="AL289" t="s">
        <v>372</v>
      </c>
      <c r="AQ289" s="1">
        <f t="shared" si="114"/>
        <v>99.999999999999986</v>
      </c>
      <c r="AR289" s="1">
        <f t="shared" si="99"/>
        <v>0.1891891891891892</v>
      </c>
      <c r="AS289" s="1">
        <f t="shared" si="100"/>
        <v>0</v>
      </c>
      <c r="AT289" s="1">
        <f t="shared" si="101"/>
        <v>0.27027027027027023</v>
      </c>
      <c r="AU289" s="1">
        <f t="shared" si="102"/>
        <v>0.54054054054054046</v>
      </c>
      <c r="AV289" s="1">
        <f t="shared" si="115"/>
        <v>0.56999999999999995</v>
      </c>
      <c r="AX289" s="1">
        <f t="shared" si="116"/>
        <v>2</v>
      </c>
      <c r="AY289" s="1">
        <f t="shared" si="103"/>
        <v>0.70000000000000018</v>
      </c>
      <c r="AZ289" s="1">
        <f t="shared" si="104"/>
        <v>0.625</v>
      </c>
      <c r="BA289" s="1">
        <f t="shared" si="105"/>
        <v>1</v>
      </c>
      <c r="BB289" s="1">
        <f t="shared" si="106"/>
        <v>0.625</v>
      </c>
      <c r="BC289" s="1">
        <f t="shared" si="107"/>
        <v>0.625</v>
      </c>
      <c r="BD289" s="1">
        <f t="shared" si="117"/>
        <v>5.5000000000000049E-2</v>
      </c>
      <c r="BF289">
        <f t="shared" si="108"/>
        <v>27.027027027027021</v>
      </c>
      <c r="BG289">
        <f t="shared" si="109"/>
        <v>18.918918918918919</v>
      </c>
      <c r="BH289" s="1">
        <f t="shared" si="110"/>
        <v>2.0000000000000004</v>
      </c>
      <c r="BI289" s="1">
        <f t="shared" si="111"/>
        <v>0.70000000000000018</v>
      </c>
      <c r="BJ289" s="1">
        <f t="shared" si="118"/>
        <v>0.55000000000000004</v>
      </c>
      <c r="BK289" s="1">
        <f t="shared" si="119"/>
        <v>0.54237292935233727</v>
      </c>
      <c r="BL289" s="22">
        <f t="shared" si="120"/>
        <v>0.54237292935233727</v>
      </c>
      <c r="BM289" s="1">
        <f t="shared" si="112"/>
        <v>7.6325503257094465E-4</v>
      </c>
      <c r="BN289" s="1">
        <f t="shared" si="113"/>
        <v>2.6360469259725097E-2</v>
      </c>
    </row>
    <row r="290" spans="1:66" x14ac:dyDescent="0.25">
      <c r="A290" s="3"/>
      <c r="B290" s="3"/>
      <c r="C290" t="s">
        <v>514</v>
      </c>
      <c r="D290" s="5">
        <v>1</v>
      </c>
      <c r="E290" s="9">
        <f t="shared" si="97"/>
        <v>25</v>
      </c>
      <c r="F290" s="9">
        <f t="shared" si="98"/>
        <v>0.66666666666666663</v>
      </c>
      <c r="G290">
        <v>0</v>
      </c>
      <c r="H290">
        <v>25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25</v>
      </c>
      <c r="P290">
        <v>0</v>
      </c>
      <c r="Q290">
        <v>50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67</v>
      </c>
      <c r="AK290" t="s">
        <v>1</v>
      </c>
      <c r="AL290" t="s">
        <v>372</v>
      </c>
      <c r="AQ290" s="1">
        <f t="shared" si="114"/>
        <v>100</v>
      </c>
      <c r="AR290" s="1">
        <f t="shared" si="99"/>
        <v>0.25</v>
      </c>
      <c r="AS290" s="1">
        <f t="shared" si="100"/>
        <v>0</v>
      </c>
      <c r="AT290" s="1">
        <f t="shared" si="101"/>
        <v>0.25</v>
      </c>
      <c r="AU290" s="1">
        <f t="shared" si="102"/>
        <v>0.5</v>
      </c>
      <c r="AV290" s="1">
        <f t="shared" si="115"/>
        <v>0.67</v>
      </c>
      <c r="AX290" s="1">
        <f t="shared" si="116"/>
        <v>2</v>
      </c>
      <c r="AY290" s="1">
        <f t="shared" si="103"/>
        <v>1</v>
      </c>
      <c r="AZ290" s="1">
        <f t="shared" si="104"/>
        <v>0.625</v>
      </c>
      <c r="BA290" s="1">
        <f t="shared" si="105"/>
        <v>1</v>
      </c>
      <c r="BB290" s="1">
        <f t="shared" si="106"/>
        <v>0.625</v>
      </c>
      <c r="BC290" s="1">
        <f t="shared" si="107"/>
        <v>0.625</v>
      </c>
      <c r="BD290" s="1">
        <f t="shared" si="117"/>
        <v>4.500000000000004E-2</v>
      </c>
      <c r="BF290">
        <f t="shared" si="108"/>
        <v>25</v>
      </c>
      <c r="BG290">
        <f t="shared" si="109"/>
        <v>25</v>
      </c>
      <c r="BH290" s="1">
        <f t="shared" si="110"/>
        <v>2</v>
      </c>
      <c r="BI290" s="1">
        <f t="shared" si="111"/>
        <v>1</v>
      </c>
      <c r="BJ290" s="1">
        <f t="shared" si="118"/>
        <v>0.55000000000000004</v>
      </c>
      <c r="BK290" s="1">
        <f t="shared" si="119"/>
        <v>0.56694271147394415</v>
      </c>
      <c r="BL290" s="22">
        <f t="shared" si="120"/>
        <v>0.56694271147394415</v>
      </c>
      <c r="BM290" s="1">
        <f t="shared" si="112"/>
        <v>1.0620804718342732E-2</v>
      </c>
      <c r="BN290" s="1">
        <f t="shared" si="113"/>
        <v>6.8832284275042718E-2</v>
      </c>
    </row>
    <row r="291" spans="1:66" x14ac:dyDescent="0.25">
      <c r="A291" s="3"/>
      <c r="B291" s="3"/>
      <c r="C291" t="s">
        <v>515</v>
      </c>
      <c r="D291" s="5">
        <v>1</v>
      </c>
      <c r="E291" s="9">
        <f t="shared" si="97"/>
        <v>28.90995260663507</v>
      </c>
      <c r="F291" s="9">
        <f t="shared" si="98"/>
        <v>0.66666666666666674</v>
      </c>
      <c r="G291">
        <v>0</v>
      </c>
      <c r="H291">
        <v>23.69668246445498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28.90995260663507</v>
      </c>
      <c r="P291">
        <v>0</v>
      </c>
      <c r="Q291">
        <v>47.393364928909953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66</v>
      </c>
      <c r="AK291" t="s">
        <v>1</v>
      </c>
      <c r="AL291" t="s">
        <v>372</v>
      </c>
      <c r="AQ291" s="1">
        <f t="shared" si="114"/>
        <v>100</v>
      </c>
      <c r="AR291" s="1">
        <f t="shared" si="99"/>
        <v>0.2890995260663507</v>
      </c>
      <c r="AS291" s="1">
        <f t="shared" si="100"/>
        <v>0</v>
      </c>
      <c r="AT291" s="1">
        <f t="shared" si="101"/>
        <v>0.23696682464454979</v>
      </c>
      <c r="AU291" s="1">
        <f t="shared" si="102"/>
        <v>0.47393364928909953</v>
      </c>
      <c r="AV291" s="1">
        <f t="shared" si="115"/>
        <v>0.66</v>
      </c>
      <c r="AX291" s="1">
        <f t="shared" si="116"/>
        <v>1.9999999999999998</v>
      </c>
      <c r="AY291" s="1">
        <f t="shared" si="103"/>
        <v>1.2199999999999998</v>
      </c>
      <c r="AZ291" s="1">
        <f t="shared" si="104"/>
        <v>0.625</v>
      </c>
      <c r="BA291" s="1">
        <f t="shared" si="105"/>
        <v>1</v>
      </c>
      <c r="BB291" s="1">
        <f t="shared" si="106"/>
        <v>0.57916666666666672</v>
      </c>
      <c r="BC291" s="1">
        <f t="shared" si="107"/>
        <v>0.57916666666666672</v>
      </c>
      <c r="BD291" s="1">
        <f t="shared" si="117"/>
        <v>8.0833333333333313E-2</v>
      </c>
      <c r="BF291">
        <f t="shared" si="108"/>
        <v>23.69668246445498</v>
      </c>
      <c r="BG291">
        <f t="shared" si="109"/>
        <v>28.90995260663507</v>
      </c>
      <c r="BH291" s="1">
        <f t="shared" si="110"/>
        <v>1.9999999999999998</v>
      </c>
      <c r="BI291" s="1">
        <f t="shared" si="111"/>
        <v>1.2199999999999998</v>
      </c>
      <c r="BJ291" s="1">
        <f t="shared" si="118"/>
        <v>0.54999999999999993</v>
      </c>
      <c r="BK291" s="1">
        <f t="shared" si="119"/>
        <v>0.55970923555998764</v>
      </c>
      <c r="BL291" s="22">
        <f t="shared" si="120"/>
        <v>0.55970923555998764</v>
      </c>
      <c r="BM291" s="1">
        <f t="shared" si="112"/>
        <v>1.0058237431962054E-2</v>
      </c>
      <c r="BN291" s="1">
        <f t="shared" si="113"/>
        <v>6.3685102773510957E-2</v>
      </c>
    </row>
    <row r="292" spans="1:66" x14ac:dyDescent="0.25">
      <c r="A292" s="3"/>
      <c r="B292" s="3"/>
      <c r="C292" t="s">
        <v>516</v>
      </c>
      <c r="D292" s="5">
        <v>1</v>
      </c>
      <c r="E292" s="9">
        <f t="shared" si="97"/>
        <v>36.170212765957437</v>
      </c>
      <c r="F292" s="9">
        <f t="shared" si="98"/>
        <v>0.66666666666666663</v>
      </c>
      <c r="G292">
        <v>0</v>
      </c>
      <c r="H292">
        <v>21.276595744680851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36.170212765957437</v>
      </c>
      <c r="P292">
        <v>0</v>
      </c>
      <c r="Q292">
        <v>42.553191489361701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63</v>
      </c>
      <c r="AK292" t="s">
        <v>1</v>
      </c>
      <c r="AL292" t="s">
        <v>372</v>
      </c>
      <c r="AQ292" s="1">
        <f t="shared" si="114"/>
        <v>100</v>
      </c>
      <c r="AR292" s="1">
        <f t="shared" si="99"/>
        <v>0.36170212765957438</v>
      </c>
      <c r="AS292" s="1">
        <f t="shared" si="100"/>
        <v>0</v>
      </c>
      <c r="AT292" s="1">
        <f t="shared" si="101"/>
        <v>0.21276595744680851</v>
      </c>
      <c r="AU292" s="1">
        <f t="shared" si="102"/>
        <v>0.42553191489361702</v>
      </c>
      <c r="AV292" s="1">
        <f t="shared" si="115"/>
        <v>0.63</v>
      </c>
      <c r="AX292" s="1">
        <f t="shared" si="116"/>
        <v>2</v>
      </c>
      <c r="AY292" s="1">
        <f t="shared" si="103"/>
        <v>1.6999999999999995</v>
      </c>
      <c r="AZ292" s="1">
        <f t="shared" si="104"/>
        <v>0.625</v>
      </c>
      <c r="BA292" s="1">
        <f t="shared" si="105"/>
        <v>1</v>
      </c>
      <c r="BB292" s="1">
        <f t="shared" si="106"/>
        <v>0.47916666666666674</v>
      </c>
      <c r="BC292" s="1">
        <f t="shared" si="107"/>
        <v>0.47916666666666674</v>
      </c>
      <c r="BD292" s="1">
        <f t="shared" si="117"/>
        <v>0.15083333333333326</v>
      </c>
      <c r="BF292">
        <f t="shared" si="108"/>
        <v>21.276595744680851</v>
      </c>
      <c r="BG292">
        <f t="shared" si="109"/>
        <v>36.170212765957437</v>
      </c>
      <c r="BH292" s="1">
        <f t="shared" si="110"/>
        <v>2</v>
      </c>
      <c r="BI292" s="1">
        <f t="shared" si="111"/>
        <v>1.6999999999999995</v>
      </c>
      <c r="BJ292" s="1">
        <f t="shared" si="118"/>
        <v>0.55000000000000004</v>
      </c>
      <c r="BK292" s="1">
        <f t="shared" si="119"/>
        <v>0.49612112479631099</v>
      </c>
      <c r="BL292" s="22">
        <f t="shared" si="120"/>
        <v>0.49612112479631099</v>
      </c>
      <c r="BM292" s="1">
        <f t="shared" si="112"/>
        <v>1.7923553225804939E-2</v>
      </c>
      <c r="BN292" s="1">
        <f t="shared" si="113"/>
        <v>4.9443558268915666E-2</v>
      </c>
    </row>
    <row r="293" spans="1:66" x14ac:dyDescent="0.25">
      <c r="A293" s="3"/>
      <c r="B293" s="3"/>
      <c r="C293" t="s">
        <v>517</v>
      </c>
      <c r="D293" s="6">
        <v>1</v>
      </c>
      <c r="E293" s="1"/>
      <c r="F293" s="1"/>
      <c r="G293">
        <v>0</v>
      </c>
      <c r="H293">
        <v>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40</v>
      </c>
      <c r="P293">
        <v>0</v>
      </c>
      <c r="Q293">
        <v>40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63</v>
      </c>
      <c r="AK293" t="s">
        <v>1</v>
      </c>
      <c r="AL293" t="s">
        <v>372</v>
      </c>
      <c r="AQ293" s="1">
        <f t="shared" si="114"/>
        <v>100</v>
      </c>
      <c r="AR293" s="1">
        <f t="shared" si="99"/>
        <v>0.4</v>
      </c>
      <c r="AS293" s="1">
        <f t="shared" si="100"/>
        <v>0</v>
      </c>
      <c r="AT293" s="1">
        <f t="shared" si="101"/>
        <v>0.2</v>
      </c>
      <c r="AU293" s="1">
        <f t="shared" si="102"/>
        <v>0.4</v>
      </c>
      <c r="AV293" s="1">
        <f t="shared" si="115"/>
        <v>0.63</v>
      </c>
      <c r="AX293" s="1">
        <f t="shared" si="116"/>
        <v>2</v>
      </c>
      <c r="AY293" s="1">
        <f t="shared" si="103"/>
        <v>2</v>
      </c>
      <c r="AZ293" s="1">
        <f t="shared" si="104"/>
        <v>0.625</v>
      </c>
      <c r="BA293" s="1">
        <f t="shared" si="105"/>
        <v>1</v>
      </c>
      <c r="BB293" s="1">
        <f t="shared" si="106"/>
        <v>0.41666666666666663</v>
      </c>
      <c r="BC293" s="1">
        <f t="shared" si="107"/>
        <v>0.41666666666666663</v>
      </c>
      <c r="BD293" s="1">
        <f t="shared" si="117"/>
        <v>0.21333333333333337</v>
      </c>
      <c r="BF293">
        <f t="shared" si="108"/>
        <v>20</v>
      </c>
      <c r="BG293">
        <f t="shared" si="109"/>
        <v>40</v>
      </c>
      <c r="BH293" s="1">
        <f t="shared" si="110"/>
        <v>2</v>
      </c>
      <c r="BI293" s="1">
        <f t="shared" si="111"/>
        <v>2</v>
      </c>
      <c r="BJ293" s="1">
        <f t="shared" si="118"/>
        <v>0.55000000000000004</v>
      </c>
      <c r="BK293" s="1">
        <f t="shared" si="119"/>
        <v>0.43741312618371181</v>
      </c>
      <c r="BL293" s="22">
        <f t="shared" si="120"/>
        <v>0.43741312618371181</v>
      </c>
      <c r="BM293" s="1">
        <f t="shared" si="112"/>
        <v>3.7089703966330913E-2</v>
      </c>
      <c r="BN293" s="1">
        <f t="shared" si="113"/>
        <v>4.9443558268915666E-2</v>
      </c>
    </row>
    <row r="294" spans="1:66" x14ac:dyDescent="0.25">
      <c r="A294" s="3"/>
      <c r="B294" s="3"/>
      <c r="C294" t="s">
        <v>518</v>
      </c>
      <c r="D294" s="5">
        <v>1</v>
      </c>
      <c r="E294" s="9">
        <f t="shared" ref="E294:E357" si="121">I294+L294+M294+N294+O294+V294+X294+AB294+AD294</f>
        <v>42.965779467680598</v>
      </c>
      <c r="F294" s="9">
        <f t="shared" ref="F294:F357" si="122">Q294/(H294+P294+Q294+AC294)</f>
        <v>0.66666666666666674</v>
      </c>
      <c r="G294">
        <v>0</v>
      </c>
      <c r="H294">
        <v>19.01140684410646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42.965779467680598</v>
      </c>
      <c r="P294">
        <v>0</v>
      </c>
      <c r="Q294">
        <v>38.022813688212928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56.999999999999993</v>
      </c>
      <c r="AK294" t="s">
        <v>1</v>
      </c>
      <c r="AL294" t="s">
        <v>372</v>
      </c>
      <c r="AQ294" s="1">
        <f t="shared" si="114"/>
        <v>99.999999999999986</v>
      </c>
      <c r="AR294" s="1">
        <f t="shared" si="99"/>
        <v>0.42965779467680598</v>
      </c>
      <c r="AS294" s="1">
        <f t="shared" si="100"/>
        <v>0</v>
      </c>
      <c r="AT294" s="1">
        <f t="shared" si="101"/>
        <v>0.1901140684410646</v>
      </c>
      <c r="AU294" s="1">
        <f t="shared" si="102"/>
        <v>0.38022813688212925</v>
      </c>
      <c r="AV294" s="1">
        <f t="shared" si="115"/>
        <v>0.56999999999999995</v>
      </c>
      <c r="AX294" s="1">
        <f t="shared" si="116"/>
        <v>2.0000000000000004</v>
      </c>
      <c r="AY294" s="1">
        <f t="shared" si="103"/>
        <v>2.2599999999999998</v>
      </c>
      <c r="AZ294" s="1">
        <f t="shared" si="104"/>
        <v>0.625</v>
      </c>
      <c r="BA294" s="1">
        <f t="shared" si="105"/>
        <v>1</v>
      </c>
      <c r="BB294" s="1">
        <f t="shared" si="106"/>
        <v>0.36250000000000004</v>
      </c>
      <c r="BC294" s="1">
        <f t="shared" si="107"/>
        <v>0.36250000000000004</v>
      </c>
      <c r="BD294" s="1">
        <f t="shared" si="117"/>
        <v>0.20749999999999991</v>
      </c>
      <c r="BF294">
        <f t="shared" si="108"/>
        <v>19.01140684410646</v>
      </c>
      <c r="BG294">
        <f t="shared" si="109"/>
        <v>42.965779467680598</v>
      </c>
      <c r="BH294" s="1">
        <f t="shared" si="110"/>
        <v>2.0000000000000004</v>
      </c>
      <c r="BI294" s="1">
        <f t="shared" si="111"/>
        <v>2.2599999999999998</v>
      </c>
      <c r="BJ294" s="1">
        <f t="shared" si="118"/>
        <v>0.55000000000000004</v>
      </c>
      <c r="BK294" s="1">
        <f t="shared" si="119"/>
        <v>0.38181610176729164</v>
      </c>
      <c r="BL294" s="22">
        <f t="shared" si="120"/>
        <v>0.38181610176729164</v>
      </c>
      <c r="BM294" s="1">
        <f t="shared" si="112"/>
        <v>3.5413179554058316E-2</v>
      </c>
      <c r="BN294" s="1">
        <f t="shared" si="113"/>
        <v>2.6360469259725097E-2</v>
      </c>
    </row>
    <row r="295" spans="1:66" x14ac:dyDescent="0.25">
      <c r="A295" s="3"/>
      <c r="B295" s="3"/>
      <c r="C295" t="s">
        <v>519</v>
      </c>
      <c r="D295" s="5">
        <v>1</v>
      </c>
      <c r="E295" s="9">
        <f t="shared" si="121"/>
        <v>45.454545454545453</v>
      </c>
      <c r="F295" s="9">
        <f t="shared" si="122"/>
        <v>0.66666666666666674</v>
      </c>
      <c r="G295">
        <v>0</v>
      </c>
      <c r="H295">
        <v>18.18181818181818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45.454545454545453</v>
      </c>
      <c r="P295">
        <v>0</v>
      </c>
      <c r="Q295">
        <v>36.363636363636367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52</v>
      </c>
      <c r="AK295" t="s">
        <v>1</v>
      </c>
      <c r="AL295" t="s">
        <v>372</v>
      </c>
      <c r="AQ295" s="1">
        <f t="shared" si="114"/>
        <v>100</v>
      </c>
      <c r="AR295" s="1">
        <f t="shared" si="99"/>
        <v>0.45454545454545453</v>
      </c>
      <c r="AS295" s="1">
        <f t="shared" si="100"/>
        <v>0</v>
      </c>
      <c r="AT295" s="1">
        <f t="shared" si="101"/>
        <v>0.1818181818181818</v>
      </c>
      <c r="AU295" s="1">
        <f t="shared" si="102"/>
        <v>0.36363636363636365</v>
      </c>
      <c r="AV295" s="1">
        <f t="shared" si="115"/>
        <v>0.52</v>
      </c>
      <c r="AX295" s="1">
        <f t="shared" si="116"/>
        <v>2.0000000000000004</v>
      </c>
      <c r="AY295" s="1">
        <f t="shared" si="103"/>
        <v>2.5000000000000004</v>
      </c>
      <c r="AZ295" s="1">
        <f t="shared" si="104"/>
        <v>0.625</v>
      </c>
      <c r="BA295" s="1">
        <f t="shared" si="105"/>
        <v>1</v>
      </c>
      <c r="BB295" s="1">
        <f t="shared" si="106"/>
        <v>0.31249999999999994</v>
      </c>
      <c r="BC295" s="1">
        <f t="shared" si="107"/>
        <v>0.31249999999999994</v>
      </c>
      <c r="BD295" s="1">
        <f t="shared" si="117"/>
        <v>0.20750000000000007</v>
      </c>
      <c r="BF295">
        <f t="shared" si="108"/>
        <v>18.18181818181818</v>
      </c>
      <c r="BG295">
        <f t="shared" si="109"/>
        <v>45.454545454545453</v>
      </c>
      <c r="BH295" s="1">
        <f t="shared" si="110"/>
        <v>2.0000000000000004</v>
      </c>
      <c r="BI295" s="1">
        <f t="shared" si="111"/>
        <v>2.5</v>
      </c>
      <c r="BJ295" s="1">
        <f t="shared" si="118"/>
        <v>0.55000000000000004</v>
      </c>
      <c r="BK295" s="1">
        <f t="shared" si="119"/>
        <v>0.32988685975501875</v>
      </c>
      <c r="BL295" s="22">
        <f t="shared" si="120"/>
        <v>0.32988685975501875</v>
      </c>
      <c r="BM295" s="1">
        <f t="shared" si="112"/>
        <v>3.6143006093807918E-2</v>
      </c>
      <c r="BN295" s="1">
        <f t="shared" si="113"/>
        <v>1.2624561752066324E-2</v>
      </c>
    </row>
    <row r="296" spans="1:66" x14ac:dyDescent="0.25">
      <c r="A296" s="3"/>
      <c r="B296" s="3"/>
      <c r="C296" t="s">
        <v>520</v>
      </c>
      <c r="D296" s="5">
        <v>1</v>
      </c>
      <c r="E296" s="9">
        <f t="shared" si="121"/>
        <v>4.213483146067416</v>
      </c>
      <c r="F296" s="9">
        <f t="shared" si="122"/>
        <v>0.70674486803519054</v>
      </c>
      <c r="G296">
        <v>0</v>
      </c>
      <c r="H296">
        <v>28.08988764044944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4.213483146067416</v>
      </c>
      <c r="P296">
        <v>0</v>
      </c>
      <c r="Q296">
        <v>67.696629213483149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17</v>
      </c>
      <c r="AK296" t="s">
        <v>1</v>
      </c>
      <c r="AL296" t="s">
        <v>372</v>
      </c>
      <c r="AQ296" s="1">
        <f t="shared" si="114"/>
        <v>100</v>
      </c>
      <c r="AR296" s="1">
        <f t="shared" si="99"/>
        <v>4.2134831460674163E-2</v>
      </c>
      <c r="AS296" s="1">
        <f t="shared" si="100"/>
        <v>0</v>
      </c>
      <c r="AT296" s="1">
        <f t="shared" si="101"/>
        <v>0.2808988764044944</v>
      </c>
      <c r="AU296" s="1">
        <f t="shared" si="102"/>
        <v>0.6769662921348315</v>
      </c>
      <c r="AV296" s="1">
        <f t="shared" si="115"/>
        <v>0.17</v>
      </c>
      <c r="AX296" s="1">
        <f t="shared" si="116"/>
        <v>2.41</v>
      </c>
      <c r="AY296" s="1">
        <f t="shared" si="103"/>
        <v>0.15000000000000002</v>
      </c>
      <c r="AZ296" s="1">
        <f t="shared" si="104"/>
        <v>0.65062500000000001</v>
      </c>
      <c r="BA296" s="1">
        <f t="shared" si="105"/>
        <v>1.1025</v>
      </c>
      <c r="BB296" s="1">
        <f t="shared" si="106"/>
        <v>0.15000000000000002</v>
      </c>
      <c r="BC296" s="1">
        <f t="shared" si="107"/>
        <v>0.15000000000000002</v>
      </c>
      <c r="BD296" s="1">
        <f t="shared" si="117"/>
        <v>1.999999999999999E-2</v>
      </c>
      <c r="BF296">
        <f t="shared" si="108"/>
        <v>28.08988764044944</v>
      </c>
      <c r="BG296">
        <f t="shared" si="109"/>
        <v>4.213483146067416</v>
      </c>
      <c r="BH296" s="1">
        <f t="shared" si="110"/>
        <v>2.41</v>
      </c>
      <c r="BI296" s="1">
        <f t="shared" si="111"/>
        <v>0.15</v>
      </c>
      <c r="BJ296" s="1">
        <f t="shared" si="118"/>
        <v>0.5746</v>
      </c>
      <c r="BK296" s="1">
        <f t="shared" si="119"/>
        <v>0.15</v>
      </c>
      <c r="BL296" s="22">
        <f t="shared" si="120"/>
        <v>0.15</v>
      </c>
      <c r="BM296" s="1">
        <f t="shared" si="112"/>
        <v>4.0000000000000072E-4</v>
      </c>
      <c r="BN296" s="1">
        <f t="shared" si="113"/>
        <v>5.647320919845477E-2</v>
      </c>
    </row>
    <row r="297" spans="1:66" x14ac:dyDescent="0.25">
      <c r="A297" s="3"/>
      <c r="B297" s="3"/>
      <c r="C297" t="s">
        <v>521</v>
      </c>
      <c r="D297" s="5">
        <v>1</v>
      </c>
      <c r="E297" s="9">
        <f t="shared" si="121"/>
        <v>6.830601092896174</v>
      </c>
      <c r="F297" s="9">
        <f t="shared" si="122"/>
        <v>0.70674486803519065</v>
      </c>
      <c r="G297">
        <v>0</v>
      </c>
      <c r="H297">
        <v>27.3224043715847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6.830601092896174</v>
      </c>
      <c r="P297">
        <v>0</v>
      </c>
      <c r="Q297">
        <v>65.84699453551913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26</v>
      </c>
      <c r="AK297" t="s">
        <v>1</v>
      </c>
      <c r="AL297" t="s">
        <v>372</v>
      </c>
      <c r="AQ297" s="1">
        <f t="shared" si="114"/>
        <v>100</v>
      </c>
      <c r="AR297" s="1">
        <f t="shared" si="99"/>
        <v>6.8306010928961741E-2</v>
      </c>
      <c r="AS297" s="1">
        <f t="shared" si="100"/>
        <v>0</v>
      </c>
      <c r="AT297" s="1">
        <f t="shared" si="101"/>
        <v>0.27322404371584702</v>
      </c>
      <c r="AU297" s="1">
        <f t="shared" si="102"/>
        <v>0.65846994535519132</v>
      </c>
      <c r="AV297" s="1">
        <f t="shared" si="115"/>
        <v>0.26</v>
      </c>
      <c r="AX297" s="1">
        <f t="shared" si="116"/>
        <v>2.41</v>
      </c>
      <c r="AY297" s="1">
        <f t="shared" si="103"/>
        <v>0.24999999999999994</v>
      </c>
      <c r="AZ297" s="1">
        <f t="shared" si="104"/>
        <v>0.65062500000000001</v>
      </c>
      <c r="BA297" s="1">
        <f t="shared" si="105"/>
        <v>1.1025</v>
      </c>
      <c r="BB297" s="1">
        <f t="shared" si="106"/>
        <v>0.24999999999999994</v>
      </c>
      <c r="BC297" s="1">
        <f t="shared" si="107"/>
        <v>0.24999999999999994</v>
      </c>
      <c r="BD297" s="1">
        <f t="shared" si="117"/>
        <v>1.0000000000000064E-2</v>
      </c>
      <c r="BF297">
        <f t="shared" si="108"/>
        <v>27.3224043715847</v>
      </c>
      <c r="BG297">
        <f t="shared" si="109"/>
        <v>6.830601092896174</v>
      </c>
      <c r="BH297" s="1">
        <f t="shared" si="110"/>
        <v>2.41</v>
      </c>
      <c r="BI297" s="1">
        <f t="shared" si="111"/>
        <v>0.24999999999999997</v>
      </c>
      <c r="BJ297" s="1">
        <f t="shared" si="118"/>
        <v>0.5746</v>
      </c>
      <c r="BK297" s="1">
        <f t="shared" si="119"/>
        <v>0.24999999999999997</v>
      </c>
      <c r="BL297" s="22">
        <f t="shared" si="120"/>
        <v>0.24999999999999997</v>
      </c>
      <c r="BM297" s="1">
        <f t="shared" si="112"/>
        <v>1.0000000000000074E-4</v>
      </c>
      <c r="BN297" s="1">
        <f t="shared" si="113"/>
        <v>2.1797842712240601E-2</v>
      </c>
    </row>
    <row r="298" spans="1:66" x14ac:dyDescent="0.25">
      <c r="A298" s="3"/>
      <c r="B298" s="3"/>
      <c r="C298" t="s">
        <v>522</v>
      </c>
      <c r="D298" s="5">
        <v>1</v>
      </c>
      <c r="E298" s="9">
        <f t="shared" si="121"/>
        <v>10.00263921879124</v>
      </c>
      <c r="F298" s="9">
        <f t="shared" si="122"/>
        <v>0.70674486803519065</v>
      </c>
      <c r="G298">
        <v>0</v>
      </c>
      <c r="H298">
        <v>26.392187912377931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10.00263921879124</v>
      </c>
      <c r="P298">
        <v>0</v>
      </c>
      <c r="Q298">
        <v>63.605172868830827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38</v>
      </c>
      <c r="AK298" t="s">
        <v>1</v>
      </c>
      <c r="AL298" t="s">
        <v>372</v>
      </c>
      <c r="AQ298" s="1">
        <f t="shared" si="114"/>
        <v>100</v>
      </c>
      <c r="AR298" s="1">
        <f t="shared" si="99"/>
        <v>0.1000263921879124</v>
      </c>
      <c r="AS298" s="1">
        <f t="shared" si="100"/>
        <v>0</v>
      </c>
      <c r="AT298" s="1">
        <f t="shared" si="101"/>
        <v>0.26392187912377929</v>
      </c>
      <c r="AU298" s="1">
        <f t="shared" si="102"/>
        <v>0.63605172868830828</v>
      </c>
      <c r="AV298" s="1">
        <f t="shared" si="115"/>
        <v>0.38</v>
      </c>
      <c r="AX298" s="1">
        <f t="shared" si="116"/>
        <v>2.4100000000000006</v>
      </c>
      <c r="AY298" s="1">
        <f t="shared" si="103"/>
        <v>0.37900000000000017</v>
      </c>
      <c r="AZ298" s="1">
        <f t="shared" si="104"/>
        <v>0.65062500000000001</v>
      </c>
      <c r="BA298" s="1">
        <f t="shared" si="105"/>
        <v>1.1025</v>
      </c>
      <c r="BB298" s="1">
        <f t="shared" si="106"/>
        <v>0.37900000000000017</v>
      </c>
      <c r="BC298" s="1">
        <f t="shared" si="107"/>
        <v>0.37900000000000017</v>
      </c>
      <c r="BD298" s="1">
        <f t="shared" si="117"/>
        <v>9.9999999999983435E-4</v>
      </c>
      <c r="BF298">
        <f t="shared" si="108"/>
        <v>26.392187912377931</v>
      </c>
      <c r="BG298">
        <f t="shared" si="109"/>
        <v>10.00263921879124</v>
      </c>
      <c r="BH298" s="1">
        <f t="shared" si="110"/>
        <v>2.4100000000000006</v>
      </c>
      <c r="BI298" s="1">
        <f t="shared" si="111"/>
        <v>0.37900000000000011</v>
      </c>
      <c r="BJ298" s="1">
        <f t="shared" si="118"/>
        <v>0.5746</v>
      </c>
      <c r="BK298" s="1">
        <f t="shared" si="119"/>
        <v>0.37900000000000011</v>
      </c>
      <c r="BL298" s="22">
        <f t="shared" si="120"/>
        <v>0.37900000000000011</v>
      </c>
      <c r="BM298" s="1">
        <f t="shared" si="112"/>
        <v>9.9999999999977973E-7</v>
      </c>
      <c r="BN298" s="1">
        <f t="shared" si="113"/>
        <v>7.6402073062170313E-4</v>
      </c>
    </row>
    <row r="299" spans="1:66" x14ac:dyDescent="0.25">
      <c r="A299" s="3"/>
      <c r="B299" s="3"/>
      <c r="C299" t="s">
        <v>523</v>
      </c>
      <c r="D299" s="5">
        <v>1</v>
      </c>
      <c r="E299" s="9">
        <f t="shared" si="121"/>
        <v>14.75</v>
      </c>
      <c r="F299" s="9">
        <f t="shared" si="122"/>
        <v>0.70674486803519065</v>
      </c>
      <c r="G299">
        <v>0</v>
      </c>
      <c r="H299">
        <v>25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14.75</v>
      </c>
      <c r="P299">
        <v>0</v>
      </c>
      <c r="Q299">
        <v>60.25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54</v>
      </c>
      <c r="AK299" t="s">
        <v>1</v>
      </c>
      <c r="AL299" t="s">
        <v>372</v>
      </c>
      <c r="AQ299" s="1">
        <f t="shared" si="114"/>
        <v>100</v>
      </c>
      <c r="AR299" s="1">
        <f t="shared" si="99"/>
        <v>0.14749999999999999</v>
      </c>
      <c r="AS299" s="1">
        <f t="shared" si="100"/>
        <v>0</v>
      </c>
      <c r="AT299" s="1">
        <f t="shared" si="101"/>
        <v>0.25</v>
      </c>
      <c r="AU299" s="1">
        <f t="shared" si="102"/>
        <v>0.60250000000000004</v>
      </c>
      <c r="AV299" s="1">
        <f t="shared" si="115"/>
        <v>0.54</v>
      </c>
      <c r="AX299" s="1">
        <f t="shared" si="116"/>
        <v>2.41</v>
      </c>
      <c r="AY299" s="1">
        <f t="shared" si="103"/>
        <v>0.59</v>
      </c>
      <c r="AZ299" s="1">
        <f t="shared" si="104"/>
        <v>0.65062500000000001</v>
      </c>
      <c r="BA299" s="1">
        <f t="shared" si="105"/>
        <v>1.1025</v>
      </c>
      <c r="BB299" s="1">
        <f t="shared" si="106"/>
        <v>0.59</v>
      </c>
      <c r="BC299" s="1">
        <f t="shared" si="107"/>
        <v>0.59</v>
      </c>
      <c r="BD299" s="1">
        <f t="shared" si="117"/>
        <v>4.9999999999999933E-2</v>
      </c>
      <c r="BF299">
        <f t="shared" si="108"/>
        <v>25</v>
      </c>
      <c r="BG299">
        <f t="shared" si="109"/>
        <v>14.75</v>
      </c>
      <c r="BH299" s="1">
        <f t="shared" si="110"/>
        <v>2.41</v>
      </c>
      <c r="BI299" s="1">
        <f t="shared" si="111"/>
        <v>0.59</v>
      </c>
      <c r="BJ299" s="1">
        <f t="shared" si="118"/>
        <v>0.5746</v>
      </c>
      <c r="BK299" s="1">
        <f t="shared" si="119"/>
        <v>0.53598019949488196</v>
      </c>
      <c r="BL299" s="22">
        <f t="shared" si="120"/>
        <v>0.53598019949488196</v>
      </c>
      <c r="BM299" s="1">
        <f t="shared" si="112"/>
        <v>1.6158796100947541E-5</v>
      </c>
      <c r="BN299" s="1">
        <f t="shared" si="113"/>
        <v>1.7518924755129846E-2</v>
      </c>
    </row>
    <row r="300" spans="1:66" x14ac:dyDescent="0.25">
      <c r="A300" s="3"/>
      <c r="B300" s="3"/>
      <c r="C300" t="s">
        <v>524</v>
      </c>
      <c r="D300" s="5">
        <v>1</v>
      </c>
      <c r="E300" s="9">
        <f t="shared" si="121"/>
        <v>17.672621921776919</v>
      </c>
      <c r="F300" s="9">
        <f t="shared" si="122"/>
        <v>0.70674486803519065</v>
      </c>
      <c r="G300">
        <v>0</v>
      </c>
      <c r="H300">
        <v>24.14292612264606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17.672621921776919</v>
      </c>
      <c r="P300">
        <v>0</v>
      </c>
      <c r="Q300">
        <v>58.184451955577011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57.999999999999993</v>
      </c>
      <c r="AK300" t="s">
        <v>1</v>
      </c>
      <c r="AL300" t="s">
        <v>372</v>
      </c>
      <c r="AQ300" s="1">
        <f t="shared" si="114"/>
        <v>100</v>
      </c>
      <c r="AR300" s="1">
        <f t="shared" si="99"/>
        <v>0.17672621921776918</v>
      </c>
      <c r="AS300" s="1">
        <f t="shared" si="100"/>
        <v>0</v>
      </c>
      <c r="AT300" s="1">
        <f t="shared" si="101"/>
        <v>0.24142926122646061</v>
      </c>
      <c r="AU300" s="1">
        <f t="shared" si="102"/>
        <v>0.5818445195557701</v>
      </c>
      <c r="AV300" s="1">
        <f t="shared" si="115"/>
        <v>0.57999999999999996</v>
      </c>
      <c r="AX300" s="1">
        <f t="shared" si="116"/>
        <v>2.41</v>
      </c>
      <c r="AY300" s="1">
        <f t="shared" si="103"/>
        <v>0.7320000000000001</v>
      </c>
      <c r="AZ300" s="1">
        <f t="shared" si="104"/>
        <v>0.65062500000000001</v>
      </c>
      <c r="BA300" s="1">
        <f t="shared" si="105"/>
        <v>1.1025</v>
      </c>
      <c r="BB300" s="1">
        <f t="shared" si="106"/>
        <v>0.65062500000000001</v>
      </c>
      <c r="BC300" s="1">
        <f t="shared" si="107"/>
        <v>0.65062500000000001</v>
      </c>
      <c r="BD300" s="1">
        <f t="shared" si="117"/>
        <v>7.0625000000000049E-2</v>
      </c>
      <c r="BF300">
        <f t="shared" si="108"/>
        <v>24.14292612264606</v>
      </c>
      <c r="BG300">
        <f t="shared" si="109"/>
        <v>17.672621921776919</v>
      </c>
      <c r="BH300" s="1">
        <f t="shared" si="110"/>
        <v>2.41</v>
      </c>
      <c r="BI300" s="1">
        <f t="shared" si="111"/>
        <v>0.7320000000000001</v>
      </c>
      <c r="BJ300" s="1">
        <f t="shared" si="118"/>
        <v>0.5746</v>
      </c>
      <c r="BK300" s="1">
        <f t="shared" si="119"/>
        <v>0.56767285956980562</v>
      </c>
      <c r="BL300" s="22">
        <f t="shared" si="120"/>
        <v>0.56767285956980562</v>
      </c>
      <c r="BM300" s="1">
        <f t="shared" si="112"/>
        <v>1.5195839118573186E-4</v>
      </c>
      <c r="BN300" s="1">
        <f t="shared" si="113"/>
        <v>2.9707650761256855E-2</v>
      </c>
    </row>
    <row r="301" spans="1:66" x14ac:dyDescent="0.25">
      <c r="A301" s="3"/>
      <c r="B301" s="3"/>
      <c r="C301" t="s">
        <v>525</v>
      </c>
      <c r="D301" s="5">
        <v>1</v>
      </c>
      <c r="E301" s="9">
        <f t="shared" si="121"/>
        <v>19.990614734866259</v>
      </c>
      <c r="F301" s="9">
        <f t="shared" si="122"/>
        <v>0.70674486803519054</v>
      </c>
      <c r="G301">
        <v>0</v>
      </c>
      <c r="H301">
        <v>23.463162834350069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19.990614734866259</v>
      </c>
      <c r="P301">
        <v>0</v>
      </c>
      <c r="Q301">
        <v>56.546222430783658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59</v>
      </c>
      <c r="AK301" t="s">
        <v>1</v>
      </c>
      <c r="AL301" t="s">
        <v>372</v>
      </c>
      <c r="AQ301" s="1">
        <f t="shared" si="114"/>
        <v>99.999999999999986</v>
      </c>
      <c r="AR301" s="1">
        <f t="shared" si="99"/>
        <v>0.19990614734866261</v>
      </c>
      <c r="AS301" s="1">
        <f t="shared" si="100"/>
        <v>0</v>
      </c>
      <c r="AT301" s="1">
        <f t="shared" si="101"/>
        <v>0.23463162834350068</v>
      </c>
      <c r="AU301" s="1">
        <f t="shared" si="102"/>
        <v>0.56546222430783655</v>
      </c>
      <c r="AV301" s="1">
        <f t="shared" si="115"/>
        <v>0.59</v>
      </c>
      <c r="AX301" s="1">
        <f t="shared" si="116"/>
        <v>2.4099999999999997</v>
      </c>
      <c r="AY301" s="1">
        <f t="shared" si="103"/>
        <v>0.85200000000000009</v>
      </c>
      <c r="AZ301" s="1">
        <f t="shared" si="104"/>
        <v>0.65062500000000001</v>
      </c>
      <c r="BA301" s="1">
        <f t="shared" si="105"/>
        <v>1.1025</v>
      </c>
      <c r="BB301" s="1">
        <f t="shared" si="106"/>
        <v>0.65062500000000001</v>
      </c>
      <c r="BC301" s="1">
        <f t="shared" si="107"/>
        <v>0.65062500000000001</v>
      </c>
      <c r="BD301" s="1">
        <f t="shared" si="117"/>
        <v>6.062500000000004E-2</v>
      </c>
      <c r="BF301">
        <f t="shared" si="108"/>
        <v>23.463162834350069</v>
      </c>
      <c r="BG301">
        <f t="shared" si="109"/>
        <v>19.990614734866259</v>
      </c>
      <c r="BH301" s="1">
        <f t="shared" si="110"/>
        <v>2.4099999999999997</v>
      </c>
      <c r="BI301" s="1">
        <f t="shared" si="111"/>
        <v>0.85199999999999998</v>
      </c>
      <c r="BJ301" s="1">
        <f t="shared" si="118"/>
        <v>0.5746</v>
      </c>
      <c r="BK301" s="1">
        <f t="shared" si="119"/>
        <v>0.58536692942772839</v>
      </c>
      <c r="BL301" s="22">
        <f t="shared" si="120"/>
        <v>0.58536692942772839</v>
      </c>
      <c r="BM301" s="1">
        <f t="shared" si="112"/>
        <v>2.1465342927648909E-5</v>
      </c>
      <c r="BN301" s="1">
        <f t="shared" si="113"/>
        <v>3.3254832262788615E-2</v>
      </c>
    </row>
    <row r="302" spans="1:66" x14ac:dyDescent="0.25">
      <c r="A302" s="3"/>
      <c r="B302" s="3"/>
      <c r="C302" t="s">
        <v>526</v>
      </c>
      <c r="D302" s="5">
        <v>1</v>
      </c>
      <c r="E302" s="9">
        <f t="shared" si="121"/>
        <v>24.98900131984162</v>
      </c>
      <c r="F302" s="9">
        <f t="shared" si="122"/>
        <v>0.70674486803519054</v>
      </c>
      <c r="G302">
        <v>0</v>
      </c>
      <c r="H302">
        <v>21.997360316761991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24.98900131984162</v>
      </c>
      <c r="P302">
        <v>0</v>
      </c>
      <c r="Q302">
        <v>53.013638363396389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65</v>
      </c>
      <c r="AK302" t="s">
        <v>1</v>
      </c>
      <c r="AL302" t="s">
        <v>372</v>
      </c>
      <c r="AQ302" s="1">
        <f t="shared" si="114"/>
        <v>100</v>
      </c>
      <c r="AR302" s="1">
        <f t="shared" si="99"/>
        <v>0.24989001319841619</v>
      </c>
      <c r="AS302" s="1">
        <f t="shared" si="100"/>
        <v>0</v>
      </c>
      <c r="AT302" s="1">
        <f t="shared" si="101"/>
        <v>0.21997360316761991</v>
      </c>
      <c r="AU302" s="1">
        <f t="shared" si="102"/>
        <v>0.53013638363396387</v>
      </c>
      <c r="AV302" s="1">
        <f t="shared" si="115"/>
        <v>0.65</v>
      </c>
      <c r="AX302" s="1">
        <f t="shared" si="116"/>
        <v>2.4099999999999997</v>
      </c>
      <c r="AY302" s="1">
        <f t="shared" si="103"/>
        <v>1.1359999999999999</v>
      </c>
      <c r="AZ302" s="1">
        <f t="shared" si="104"/>
        <v>0.65062500000000001</v>
      </c>
      <c r="BA302" s="1">
        <f t="shared" si="105"/>
        <v>1.1025</v>
      </c>
      <c r="BB302" s="1">
        <f t="shared" si="106"/>
        <v>0.64403514739229029</v>
      </c>
      <c r="BC302" s="1">
        <f t="shared" si="107"/>
        <v>0.64403514739229029</v>
      </c>
      <c r="BD302" s="1">
        <f t="shared" si="117"/>
        <v>5.9648526077097364E-3</v>
      </c>
      <c r="BF302">
        <f t="shared" si="108"/>
        <v>21.997360316761991</v>
      </c>
      <c r="BG302">
        <f t="shared" si="109"/>
        <v>24.98900131984162</v>
      </c>
      <c r="BH302" s="1">
        <f t="shared" si="110"/>
        <v>2.4099999999999997</v>
      </c>
      <c r="BI302" s="1">
        <f t="shared" si="111"/>
        <v>1.1359999999999999</v>
      </c>
      <c r="BJ302" s="1">
        <f t="shared" si="118"/>
        <v>0.5746</v>
      </c>
      <c r="BK302" s="1">
        <f t="shared" si="119"/>
        <v>0.59964443622790198</v>
      </c>
      <c r="BL302" s="22">
        <f t="shared" si="120"/>
        <v>0.59964443622790198</v>
      </c>
      <c r="BM302" s="1">
        <f t="shared" si="112"/>
        <v>2.5356828028058331E-3</v>
      </c>
      <c r="BN302" s="1">
        <f t="shared" si="113"/>
        <v>5.8737921271979188E-2</v>
      </c>
    </row>
    <row r="303" spans="1:66" x14ac:dyDescent="0.25">
      <c r="A303" s="3"/>
      <c r="B303" s="3"/>
      <c r="C303" t="s">
        <v>527</v>
      </c>
      <c r="D303" s="5">
        <v>1</v>
      </c>
      <c r="E303" s="9">
        <f t="shared" si="121"/>
        <v>27.446808510638299</v>
      </c>
      <c r="F303" s="9">
        <f t="shared" si="122"/>
        <v>0.70674486803519065</v>
      </c>
      <c r="G303">
        <v>0</v>
      </c>
      <c r="H303">
        <v>21.276595744680851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27.446808510638299</v>
      </c>
      <c r="P303">
        <v>0</v>
      </c>
      <c r="Q303">
        <v>51.276595744680847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69</v>
      </c>
      <c r="AK303" t="s">
        <v>1</v>
      </c>
      <c r="AL303" t="s">
        <v>372</v>
      </c>
      <c r="AQ303" s="1">
        <f t="shared" si="114"/>
        <v>100</v>
      </c>
      <c r="AR303" s="1">
        <f t="shared" si="99"/>
        <v>0.27446808510638299</v>
      </c>
      <c r="AS303" s="1">
        <f t="shared" si="100"/>
        <v>0</v>
      </c>
      <c r="AT303" s="1">
        <f t="shared" si="101"/>
        <v>0.21276595744680851</v>
      </c>
      <c r="AU303" s="1">
        <f t="shared" si="102"/>
        <v>0.51276595744680842</v>
      </c>
      <c r="AV303" s="1">
        <f t="shared" si="115"/>
        <v>0.69</v>
      </c>
      <c r="AX303" s="1">
        <f t="shared" si="116"/>
        <v>2.4099999999999997</v>
      </c>
      <c r="AY303" s="1">
        <f t="shared" si="103"/>
        <v>1.29</v>
      </c>
      <c r="AZ303" s="1">
        <f t="shared" si="104"/>
        <v>0.65062500000000001</v>
      </c>
      <c r="BA303" s="1">
        <f t="shared" si="105"/>
        <v>1.1025</v>
      </c>
      <c r="BB303" s="1">
        <f t="shared" si="106"/>
        <v>0.61374149659863941</v>
      </c>
      <c r="BC303" s="1">
        <f t="shared" si="107"/>
        <v>0.61374149659863941</v>
      </c>
      <c r="BD303" s="1">
        <f t="shared" si="117"/>
        <v>7.6258503401360533E-2</v>
      </c>
      <c r="BF303">
        <f t="shared" si="108"/>
        <v>21.276595744680851</v>
      </c>
      <c r="BG303">
        <f t="shared" si="109"/>
        <v>27.446808510638299</v>
      </c>
      <c r="BH303" s="1">
        <f t="shared" si="110"/>
        <v>2.4099999999999997</v>
      </c>
      <c r="BI303" s="1">
        <f t="shared" si="111"/>
        <v>1.29</v>
      </c>
      <c r="BJ303" s="1">
        <f t="shared" si="118"/>
        <v>0.5746</v>
      </c>
      <c r="BK303" s="1">
        <f t="shared" si="119"/>
        <v>0.59416262612800641</v>
      </c>
      <c r="BL303" s="22">
        <f t="shared" si="120"/>
        <v>0.59416262612800641</v>
      </c>
      <c r="BM303" s="1">
        <f t="shared" si="112"/>
        <v>9.1848022306802689E-3</v>
      </c>
      <c r="BN303" s="1">
        <f t="shared" si="113"/>
        <v>7.9726647278106175E-2</v>
      </c>
    </row>
    <row r="304" spans="1:66" x14ac:dyDescent="0.25">
      <c r="A304" s="3"/>
      <c r="B304" s="3"/>
      <c r="C304" t="s">
        <v>528</v>
      </c>
      <c r="D304" s="5">
        <v>1</v>
      </c>
      <c r="E304" s="9">
        <f t="shared" si="121"/>
        <v>29.979466119096511</v>
      </c>
      <c r="F304" s="9">
        <f t="shared" si="122"/>
        <v>0.70674486803519065</v>
      </c>
      <c r="G304">
        <v>0</v>
      </c>
      <c r="H304">
        <v>20.533880903490761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29.979466119096511</v>
      </c>
      <c r="P304">
        <v>0</v>
      </c>
      <c r="Q304">
        <v>49.486652977412732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70</v>
      </c>
      <c r="AK304" t="s">
        <v>1</v>
      </c>
      <c r="AL304" t="s">
        <v>372</v>
      </c>
      <c r="AQ304" s="1">
        <f t="shared" si="114"/>
        <v>100</v>
      </c>
      <c r="AR304" s="1">
        <f t="shared" si="99"/>
        <v>0.29979466119096509</v>
      </c>
      <c r="AS304" s="1">
        <f t="shared" si="100"/>
        <v>0</v>
      </c>
      <c r="AT304" s="1">
        <f t="shared" si="101"/>
        <v>0.20533880903490762</v>
      </c>
      <c r="AU304" s="1">
        <f t="shared" si="102"/>
        <v>0.49486652977412732</v>
      </c>
      <c r="AV304" s="1">
        <f t="shared" si="115"/>
        <v>0.7</v>
      </c>
      <c r="AX304" s="1">
        <f t="shared" si="116"/>
        <v>2.4099999999999997</v>
      </c>
      <c r="AY304" s="1">
        <f t="shared" si="103"/>
        <v>1.46</v>
      </c>
      <c r="AZ304" s="1">
        <f t="shared" si="104"/>
        <v>0.65062500000000001</v>
      </c>
      <c r="BA304" s="1">
        <f t="shared" si="105"/>
        <v>1.1025</v>
      </c>
      <c r="BB304" s="1">
        <f t="shared" si="106"/>
        <v>0.58030045351473925</v>
      </c>
      <c r="BC304" s="1">
        <f t="shared" si="107"/>
        <v>0.58030045351473925</v>
      </c>
      <c r="BD304" s="1">
        <f t="shared" si="117"/>
        <v>0.11969954648526071</v>
      </c>
      <c r="BF304">
        <f t="shared" si="108"/>
        <v>20.533880903490761</v>
      </c>
      <c r="BG304">
        <f t="shared" si="109"/>
        <v>29.979466119096511</v>
      </c>
      <c r="BH304" s="1">
        <f t="shared" si="110"/>
        <v>2.4099999999999997</v>
      </c>
      <c r="BI304" s="1">
        <f t="shared" si="111"/>
        <v>1.46</v>
      </c>
      <c r="BJ304" s="1">
        <f t="shared" si="118"/>
        <v>0.5746</v>
      </c>
      <c r="BK304" s="1">
        <f t="shared" si="119"/>
        <v>0.57968450369779068</v>
      </c>
      <c r="BL304" s="22">
        <f t="shared" si="120"/>
        <v>0.57968450369779068</v>
      </c>
      <c r="BM304" s="1">
        <f t="shared" si="112"/>
        <v>1.4475818650446936E-2</v>
      </c>
      <c r="BN304" s="1">
        <f t="shared" si="113"/>
        <v>8.5473828779637939E-2</v>
      </c>
    </row>
    <row r="305" spans="1:66" x14ac:dyDescent="0.25">
      <c r="A305" s="3"/>
      <c r="B305" s="3"/>
      <c r="C305" t="s">
        <v>529</v>
      </c>
      <c r="D305" s="5">
        <v>1</v>
      </c>
      <c r="E305" s="9">
        <f t="shared" si="121"/>
        <v>33.914728682170541</v>
      </c>
      <c r="F305" s="9">
        <f t="shared" si="122"/>
        <v>0.70674486803519054</v>
      </c>
      <c r="G305">
        <v>0</v>
      </c>
      <c r="H305">
        <v>19.379844961240309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33.914728682170541</v>
      </c>
      <c r="P305">
        <v>0</v>
      </c>
      <c r="Q305">
        <v>46.70542635658915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68</v>
      </c>
      <c r="AK305" t="s">
        <v>1</v>
      </c>
      <c r="AL305" t="s">
        <v>372</v>
      </c>
      <c r="AQ305" s="1">
        <f t="shared" si="114"/>
        <v>100</v>
      </c>
      <c r="AR305" s="1">
        <f t="shared" si="99"/>
        <v>0.33914728682170542</v>
      </c>
      <c r="AS305" s="1">
        <f t="shared" si="100"/>
        <v>0</v>
      </c>
      <c r="AT305" s="1">
        <f t="shared" si="101"/>
        <v>0.19379844961240308</v>
      </c>
      <c r="AU305" s="1">
        <f t="shared" si="102"/>
        <v>0.46705426356589153</v>
      </c>
      <c r="AV305" s="1">
        <f t="shared" si="115"/>
        <v>0.68</v>
      </c>
      <c r="AX305" s="1">
        <f t="shared" si="116"/>
        <v>2.4100000000000006</v>
      </c>
      <c r="AY305" s="1">
        <f t="shared" si="103"/>
        <v>1.75</v>
      </c>
      <c r="AZ305" s="1">
        <f t="shared" si="104"/>
        <v>0.65062500000000001</v>
      </c>
      <c r="BA305" s="1">
        <f t="shared" si="105"/>
        <v>1.1025</v>
      </c>
      <c r="BB305" s="1">
        <f t="shared" si="106"/>
        <v>0.5232539682539683</v>
      </c>
      <c r="BC305" s="1">
        <f t="shared" si="107"/>
        <v>0.5232539682539683</v>
      </c>
      <c r="BD305" s="1">
        <f t="shared" si="117"/>
        <v>0.15674603174603174</v>
      </c>
      <c r="BF305">
        <f t="shared" si="108"/>
        <v>19.379844961240309</v>
      </c>
      <c r="BG305">
        <f t="shared" si="109"/>
        <v>33.914728682170541</v>
      </c>
      <c r="BH305" s="1">
        <f t="shared" si="110"/>
        <v>2.41</v>
      </c>
      <c r="BI305" s="1">
        <f t="shared" si="111"/>
        <v>1.75</v>
      </c>
      <c r="BJ305" s="1">
        <f t="shared" si="118"/>
        <v>0.5746</v>
      </c>
      <c r="BK305" s="1">
        <f t="shared" si="119"/>
        <v>0.53954663570780792</v>
      </c>
      <c r="BL305" s="22">
        <f t="shared" si="120"/>
        <v>0.53954663570780792</v>
      </c>
      <c r="BM305" s="1">
        <f t="shared" si="112"/>
        <v>1.9727147540995232E-2</v>
      </c>
      <c r="BN305" s="1">
        <f t="shared" si="113"/>
        <v>7.4179465776574485E-2</v>
      </c>
    </row>
    <row r="306" spans="1:66" x14ac:dyDescent="0.25">
      <c r="A306" s="3"/>
      <c r="B306" s="3"/>
      <c r="C306" t="s">
        <v>530</v>
      </c>
      <c r="D306" s="5">
        <v>1</v>
      </c>
      <c r="E306" s="9">
        <f t="shared" si="121"/>
        <v>39.85890652557319</v>
      </c>
      <c r="F306" s="9">
        <f t="shared" si="122"/>
        <v>0.70674486803519065</v>
      </c>
      <c r="G306">
        <v>0</v>
      </c>
      <c r="H306">
        <v>17.636684303350972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39.85890652557319</v>
      </c>
      <c r="P306">
        <v>0</v>
      </c>
      <c r="Q306">
        <v>42.504409171075842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61</v>
      </c>
      <c r="AK306" t="s">
        <v>1</v>
      </c>
      <c r="AL306" t="s">
        <v>372</v>
      </c>
      <c r="AQ306" s="1">
        <f t="shared" si="114"/>
        <v>100</v>
      </c>
      <c r="AR306" s="1">
        <f t="shared" si="99"/>
        <v>0.3985890652557319</v>
      </c>
      <c r="AS306" s="1">
        <f t="shared" si="100"/>
        <v>0</v>
      </c>
      <c r="AT306" s="1">
        <f t="shared" si="101"/>
        <v>0.17636684303350972</v>
      </c>
      <c r="AU306" s="1">
        <f t="shared" si="102"/>
        <v>0.42504409171075841</v>
      </c>
      <c r="AV306" s="1">
        <f t="shared" si="115"/>
        <v>0.61</v>
      </c>
      <c r="AX306" s="1">
        <f t="shared" si="116"/>
        <v>2.41</v>
      </c>
      <c r="AY306" s="1">
        <f t="shared" si="103"/>
        <v>2.2599999999999998</v>
      </c>
      <c r="AZ306" s="1">
        <f t="shared" si="104"/>
        <v>0.65062500000000001</v>
      </c>
      <c r="BA306" s="1">
        <f t="shared" si="105"/>
        <v>1.1025</v>
      </c>
      <c r="BB306" s="1">
        <f t="shared" si="106"/>
        <v>0.42293083900226763</v>
      </c>
      <c r="BC306" s="1">
        <f t="shared" si="107"/>
        <v>0.42293083900226763</v>
      </c>
      <c r="BD306" s="1">
        <f t="shared" si="117"/>
        <v>0.18706916099773235</v>
      </c>
      <c r="BF306">
        <f t="shared" si="108"/>
        <v>17.636684303350972</v>
      </c>
      <c r="BG306">
        <f t="shared" si="109"/>
        <v>39.85890652557319</v>
      </c>
      <c r="BH306" s="1">
        <f t="shared" si="110"/>
        <v>2.41</v>
      </c>
      <c r="BI306" s="1">
        <f t="shared" si="111"/>
        <v>2.2599999999999998</v>
      </c>
      <c r="BJ306" s="1">
        <f t="shared" si="118"/>
        <v>0.5746</v>
      </c>
      <c r="BK306" s="1">
        <f t="shared" si="119"/>
        <v>0.44127375470780728</v>
      </c>
      <c r="BL306" s="22">
        <f t="shared" si="120"/>
        <v>0.44127375470780728</v>
      </c>
      <c r="BM306" s="1">
        <f t="shared" si="112"/>
        <v>2.8468545850401181E-2</v>
      </c>
      <c r="BN306" s="1">
        <f t="shared" si="113"/>
        <v>4.094919526585214E-2</v>
      </c>
    </row>
    <row r="307" spans="1:66" x14ac:dyDescent="0.25">
      <c r="A307" s="3"/>
      <c r="B307" s="3"/>
      <c r="C307" t="s">
        <v>531</v>
      </c>
      <c r="D307" s="5">
        <v>1</v>
      </c>
      <c r="E307" s="9">
        <f t="shared" si="121"/>
        <v>3.6144578313253009</v>
      </c>
      <c r="F307" s="9">
        <f t="shared" si="122"/>
        <v>0.75000000000000011</v>
      </c>
      <c r="G307">
        <v>0</v>
      </c>
      <c r="H307">
        <v>24.096385542168669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3.6144578313253009</v>
      </c>
      <c r="P307">
        <v>0</v>
      </c>
      <c r="Q307">
        <v>72.289156626506013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18</v>
      </c>
      <c r="AK307" t="s">
        <v>1</v>
      </c>
      <c r="AL307" t="s">
        <v>372</v>
      </c>
      <c r="AQ307" s="1">
        <f t="shared" si="114"/>
        <v>99.999999999999986</v>
      </c>
      <c r="AR307" s="1">
        <f t="shared" si="99"/>
        <v>3.614457831325301E-2</v>
      </c>
      <c r="AS307" s="1">
        <f t="shared" si="100"/>
        <v>0</v>
      </c>
      <c r="AT307" s="1">
        <f t="shared" si="101"/>
        <v>0.24096385542168669</v>
      </c>
      <c r="AU307" s="1">
        <f t="shared" si="102"/>
        <v>0.72289156626506013</v>
      </c>
      <c r="AV307" s="1">
        <f t="shared" si="115"/>
        <v>0.18</v>
      </c>
      <c r="AX307" s="1">
        <f t="shared" si="116"/>
        <v>3.0000000000000004</v>
      </c>
      <c r="AY307" s="1">
        <f t="shared" si="103"/>
        <v>0.15000000000000002</v>
      </c>
      <c r="AZ307" s="1">
        <f t="shared" si="104"/>
        <v>0.6875</v>
      </c>
      <c r="BA307" s="1">
        <f t="shared" si="105"/>
        <v>1.25</v>
      </c>
      <c r="BB307" s="1">
        <f t="shared" si="106"/>
        <v>0.15000000000000002</v>
      </c>
      <c r="BC307" s="1">
        <f t="shared" si="107"/>
        <v>0.15000000000000002</v>
      </c>
      <c r="BD307" s="1">
        <f t="shared" si="117"/>
        <v>2.9999999999999971E-2</v>
      </c>
      <c r="BF307">
        <f t="shared" si="108"/>
        <v>24.096385542168669</v>
      </c>
      <c r="BG307">
        <f t="shared" si="109"/>
        <v>3.6144578313253009</v>
      </c>
      <c r="BH307" s="1">
        <f t="shared" si="110"/>
        <v>3.0000000000000004</v>
      </c>
      <c r="BI307" s="1">
        <f t="shared" si="111"/>
        <v>0.15000000000000002</v>
      </c>
      <c r="BJ307" s="1">
        <f t="shared" si="118"/>
        <v>0.61</v>
      </c>
      <c r="BK307" s="1">
        <f t="shared" si="119"/>
        <v>0.15000000000000002</v>
      </c>
      <c r="BL307" s="22">
        <f t="shared" si="120"/>
        <v>0.15000000000000002</v>
      </c>
      <c r="BM307" s="1">
        <f t="shared" si="112"/>
        <v>8.9999999999999824E-4</v>
      </c>
      <c r="BN307" s="1">
        <f t="shared" si="113"/>
        <v>5.1820390699986542E-2</v>
      </c>
    </row>
    <row r="308" spans="1:66" x14ac:dyDescent="0.25">
      <c r="A308" s="3"/>
      <c r="B308" s="3"/>
      <c r="C308" t="s">
        <v>532</v>
      </c>
      <c r="D308" s="5">
        <v>1</v>
      </c>
      <c r="E308" s="9">
        <f t="shared" si="121"/>
        <v>5.8823529411764701</v>
      </c>
      <c r="F308" s="9">
        <f t="shared" si="122"/>
        <v>0.75</v>
      </c>
      <c r="G308">
        <v>0</v>
      </c>
      <c r="H308">
        <v>23.52941176470588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5.8823529411764701</v>
      </c>
      <c r="P308">
        <v>0</v>
      </c>
      <c r="Q308">
        <v>70.588235294117652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28</v>
      </c>
      <c r="AK308" t="s">
        <v>1</v>
      </c>
      <c r="AL308" t="s">
        <v>372</v>
      </c>
      <c r="AQ308" s="1">
        <f t="shared" si="114"/>
        <v>100</v>
      </c>
      <c r="AR308" s="1">
        <f t="shared" si="99"/>
        <v>5.8823529411764698E-2</v>
      </c>
      <c r="AS308" s="1">
        <f t="shared" si="100"/>
        <v>0</v>
      </c>
      <c r="AT308" s="1">
        <f t="shared" si="101"/>
        <v>0.23529411764705879</v>
      </c>
      <c r="AU308" s="1">
        <f t="shared" si="102"/>
        <v>0.70588235294117652</v>
      </c>
      <c r="AV308" s="1">
        <f t="shared" si="115"/>
        <v>0.28000000000000003</v>
      </c>
      <c r="AX308" s="1">
        <f t="shared" si="116"/>
        <v>3.0000000000000004</v>
      </c>
      <c r="AY308" s="1">
        <f t="shared" si="103"/>
        <v>0.25</v>
      </c>
      <c r="AZ308" s="1">
        <f t="shared" si="104"/>
        <v>0.6875</v>
      </c>
      <c r="BA308" s="1">
        <f t="shared" si="105"/>
        <v>1.25</v>
      </c>
      <c r="BB308" s="1">
        <f t="shared" si="106"/>
        <v>0.25</v>
      </c>
      <c r="BC308" s="1">
        <f t="shared" si="107"/>
        <v>0.25</v>
      </c>
      <c r="BD308" s="1">
        <f t="shared" si="117"/>
        <v>3.0000000000000027E-2</v>
      </c>
      <c r="BF308">
        <f t="shared" si="108"/>
        <v>23.52941176470588</v>
      </c>
      <c r="BG308">
        <f t="shared" si="109"/>
        <v>5.8823529411764701</v>
      </c>
      <c r="BH308" s="1">
        <f t="shared" si="110"/>
        <v>3.0000000000000004</v>
      </c>
      <c r="BI308" s="1">
        <f t="shared" si="111"/>
        <v>0.25</v>
      </c>
      <c r="BJ308" s="1">
        <f t="shared" si="118"/>
        <v>0.61</v>
      </c>
      <c r="BK308" s="1">
        <f t="shared" si="119"/>
        <v>0.25</v>
      </c>
      <c r="BL308" s="22">
        <f t="shared" si="120"/>
        <v>0.25</v>
      </c>
      <c r="BM308" s="1">
        <f t="shared" si="112"/>
        <v>9.000000000000016E-4</v>
      </c>
      <c r="BN308" s="1">
        <f t="shared" si="113"/>
        <v>1.6292205715304115E-2</v>
      </c>
    </row>
    <row r="309" spans="1:66" x14ac:dyDescent="0.25">
      <c r="A309" s="3"/>
      <c r="B309" s="3"/>
      <c r="C309" t="s">
        <v>533</v>
      </c>
      <c r="D309" s="5">
        <v>1</v>
      </c>
      <c r="E309" s="9">
        <f t="shared" si="121"/>
        <v>8.6549440511532314</v>
      </c>
      <c r="F309" s="9">
        <f t="shared" si="122"/>
        <v>0.75</v>
      </c>
      <c r="G309">
        <v>0</v>
      </c>
      <c r="H309">
        <v>22.836263987211691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8.6549440511532314</v>
      </c>
      <c r="P309">
        <v>0</v>
      </c>
      <c r="Q309">
        <v>68.508791961635083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37</v>
      </c>
      <c r="AK309" t="s">
        <v>1</v>
      </c>
      <c r="AL309" t="s">
        <v>372</v>
      </c>
      <c r="AQ309" s="1">
        <f t="shared" si="114"/>
        <v>100</v>
      </c>
      <c r="AR309" s="1">
        <f t="shared" si="99"/>
        <v>8.6549440511532308E-2</v>
      </c>
      <c r="AS309" s="1">
        <f t="shared" si="100"/>
        <v>0</v>
      </c>
      <c r="AT309" s="1">
        <f t="shared" si="101"/>
        <v>0.22836263987211691</v>
      </c>
      <c r="AU309" s="1">
        <f t="shared" si="102"/>
        <v>0.68508791961635085</v>
      </c>
      <c r="AV309" s="1">
        <f t="shared" si="115"/>
        <v>0.37</v>
      </c>
      <c r="AX309" s="1">
        <f t="shared" si="116"/>
        <v>3.0000000000000004</v>
      </c>
      <c r="AY309" s="1">
        <f t="shared" si="103"/>
        <v>0.379</v>
      </c>
      <c r="AZ309" s="1">
        <f t="shared" si="104"/>
        <v>0.6875</v>
      </c>
      <c r="BA309" s="1">
        <f t="shared" si="105"/>
        <v>1.25</v>
      </c>
      <c r="BB309" s="1">
        <f t="shared" si="106"/>
        <v>0.379</v>
      </c>
      <c r="BC309" s="1">
        <f t="shared" si="107"/>
        <v>0.379</v>
      </c>
      <c r="BD309" s="1">
        <f t="shared" si="117"/>
        <v>9.000000000000008E-3</v>
      </c>
      <c r="BF309">
        <f t="shared" si="108"/>
        <v>22.836263987211691</v>
      </c>
      <c r="BG309">
        <f t="shared" si="109"/>
        <v>8.6549440511532314</v>
      </c>
      <c r="BH309" s="1">
        <f t="shared" si="110"/>
        <v>3.0000000000000004</v>
      </c>
      <c r="BI309" s="1">
        <f t="shared" si="111"/>
        <v>0.379</v>
      </c>
      <c r="BJ309" s="1">
        <f t="shared" si="118"/>
        <v>0.61</v>
      </c>
      <c r="BK309" s="1">
        <f t="shared" si="119"/>
        <v>0.379</v>
      </c>
      <c r="BL309" s="22">
        <f t="shared" si="120"/>
        <v>0.379</v>
      </c>
      <c r="BM309" s="1">
        <f t="shared" si="112"/>
        <v>8.1000000000000139E-5</v>
      </c>
      <c r="BN309" s="1">
        <f t="shared" si="113"/>
        <v>1.4168392290899454E-3</v>
      </c>
    </row>
    <row r="310" spans="1:66" x14ac:dyDescent="0.25">
      <c r="A310" s="3"/>
      <c r="B310" s="3"/>
      <c r="C310" t="s">
        <v>534</v>
      </c>
      <c r="D310" s="5">
        <v>1</v>
      </c>
      <c r="E310" s="9">
        <f t="shared" si="121"/>
        <v>11.111111111111111</v>
      </c>
      <c r="F310" s="9">
        <f t="shared" si="122"/>
        <v>0.74999999999999989</v>
      </c>
      <c r="G310">
        <v>0</v>
      </c>
      <c r="H310">
        <v>22.222222222222221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11.111111111111111</v>
      </c>
      <c r="P310">
        <v>0</v>
      </c>
      <c r="Q310">
        <v>66.666666666666657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50</v>
      </c>
      <c r="AK310" t="s">
        <v>1</v>
      </c>
      <c r="AL310" t="s">
        <v>372</v>
      </c>
      <c r="AQ310" s="1">
        <f t="shared" si="114"/>
        <v>99.999999999999986</v>
      </c>
      <c r="AR310" s="1">
        <f t="shared" si="99"/>
        <v>0.1111111111111111</v>
      </c>
      <c r="AS310" s="1">
        <f t="shared" si="100"/>
        <v>0</v>
      </c>
      <c r="AT310" s="1">
        <f t="shared" si="101"/>
        <v>0.22222222222222221</v>
      </c>
      <c r="AU310" s="1">
        <f t="shared" si="102"/>
        <v>0.66666666666666652</v>
      </c>
      <c r="AV310" s="1">
        <f t="shared" si="115"/>
        <v>0.5</v>
      </c>
      <c r="AX310" s="1">
        <f t="shared" si="116"/>
        <v>2.9999999999999996</v>
      </c>
      <c r="AY310" s="1">
        <f t="shared" si="103"/>
        <v>0.5</v>
      </c>
      <c r="AZ310" s="1">
        <f t="shared" si="104"/>
        <v>0.6875</v>
      </c>
      <c r="BA310" s="1">
        <f t="shared" si="105"/>
        <v>1.25</v>
      </c>
      <c r="BB310" s="1">
        <f t="shared" si="106"/>
        <v>0.5</v>
      </c>
      <c r="BC310" s="1">
        <f t="shared" si="107"/>
        <v>0.5</v>
      </c>
      <c r="BD310" s="1">
        <f t="shared" si="117"/>
        <v>0</v>
      </c>
      <c r="BF310">
        <f t="shared" si="108"/>
        <v>22.222222222222221</v>
      </c>
      <c r="BG310">
        <f t="shared" si="109"/>
        <v>11.111111111111111</v>
      </c>
      <c r="BH310" s="1">
        <f t="shared" si="110"/>
        <v>2.9999999999999996</v>
      </c>
      <c r="BI310" s="1">
        <f t="shared" si="111"/>
        <v>0.5</v>
      </c>
      <c r="BJ310" s="1">
        <f t="shared" si="118"/>
        <v>0.61</v>
      </c>
      <c r="BK310" s="1">
        <f t="shared" si="119"/>
        <v>0.5</v>
      </c>
      <c r="BL310" s="22">
        <f t="shared" si="120"/>
        <v>0.5</v>
      </c>
      <c r="BM310" s="1">
        <f t="shared" si="112"/>
        <v>0</v>
      </c>
      <c r="BN310" s="1">
        <f t="shared" si="113"/>
        <v>8.5301987490028035E-3</v>
      </c>
    </row>
    <row r="311" spans="1:66" x14ac:dyDescent="0.25">
      <c r="A311" s="3"/>
      <c r="B311" s="3"/>
      <c r="C311" t="s">
        <v>535</v>
      </c>
      <c r="D311" s="5">
        <v>1</v>
      </c>
      <c r="E311" s="9">
        <f t="shared" si="121"/>
        <v>11.99119911991199</v>
      </c>
      <c r="F311" s="9">
        <f t="shared" si="122"/>
        <v>0.75</v>
      </c>
      <c r="G311">
        <v>0</v>
      </c>
      <c r="H311">
        <v>22.002200220022001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11.99119911991199</v>
      </c>
      <c r="P311">
        <v>0</v>
      </c>
      <c r="Q311">
        <v>66.006600660065999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51</v>
      </c>
      <c r="AK311" t="s">
        <v>1</v>
      </c>
      <c r="AL311" t="s">
        <v>372</v>
      </c>
      <c r="AQ311" s="1">
        <f t="shared" si="114"/>
        <v>99.999999999999986</v>
      </c>
      <c r="AR311" s="1">
        <f t="shared" si="99"/>
        <v>0.1199119911991199</v>
      </c>
      <c r="AS311" s="1">
        <f t="shared" si="100"/>
        <v>0</v>
      </c>
      <c r="AT311" s="1">
        <f t="shared" si="101"/>
        <v>0.22002200220022</v>
      </c>
      <c r="AU311" s="1">
        <f t="shared" si="102"/>
        <v>0.66006600660065995</v>
      </c>
      <c r="AV311" s="1">
        <f t="shared" si="115"/>
        <v>0.51</v>
      </c>
      <c r="AX311" s="1">
        <f t="shared" si="116"/>
        <v>2.9999999999999996</v>
      </c>
      <c r="AY311" s="1">
        <f t="shared" si="103"/>
        <v>0.54499999999999993</v>
      </c>
      <c r="AZ311" s="1">
        <f t="shared" si="104"/>
        <v>0.6875</v>
      </c>
      <c r="BA311" s="1">
        <f t="shared" si="105"/>
        <v>1.25</v>
      </c>
      <c r="BB311" s="1">
        <f t="shared" si="106"/>
        <v>0.54499999999999993</v>
      </c>
      <c r="BC311" s="1">
        <f t="shared" si="107"/>
        <v>0.54499999999999993</v>
      </c>
      <c r="BD311" s="1">
        <f t="shared" si="117"/>
        <v>3.499999999999992E-2</v>
      </c>
      <c r="BF311">
        <f t="shared" si="108"/>
        <v>22.002200220022001</v>
      </c>
      <c r="BG311">
        <f t="shared" si="109"/>
        <v>11.99119911991199</v>
      </c>
      <c r="BH311" s="1">
        <f t="shared" si="110"/>
        <v>3</v>
      </c>
      <c r="BI311" s="1">
        <f t="shared" si="111"/>
        <v>0.54499999999999993</v>
      </c>
      <c r="BJ311" s="1">
        <f t="shared" si="118"/>
        <v>0.61</v>
      </c>
      <c r="BK311" s="1">
        <f t="shared" si="119"/>
        <v>0.54499999999999993</v>
      </c>
      <c r="BL311" s="22">
        <f t="shared" si="120"/>
        <v>0.54499999999999993</v>
      </c>
      <c r="BM311" s="1">
        <f t="shared" si="112"/>
        <v>1.2249999999999943E-3</v>
      </c>
      <c r="BN311" s="1">
        <f t="shared" si="113"/>
        <v>1.0477380250534563E-2</v>
      </c>
    </row>
    <row r="312" spans="1:66" x14ac:dyDescent="0.25">
      <c r="A312" s="3"/>
      <c r="B312" s="3"/>
      <c r="C312" t="s">
        <v>536</v>
      </c>
      <c r="D312" s="5">
        <v>1</v>
      </c>
      <c r="E312" s="9">
        <f t="shared" si="121"/>
        <v>15.789473684210529</v>
      </c>
      <c r="F312" s="9">
        <f t="shared" si="122"/>
        <v>0.74999999999999989</v>
      </c>
      <c r="G312">
        <v>0</v>
      </c>
      <c r="H312">
        <v>21.05263157894737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15.789473684210529</v>
      </c>
      <c r="P312">
        <v>0</v>
      </c>
      <c r="Q312">
        <v>63.157894736842103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61</v>
      </c>
      <c r="AK312" t="s">
        <v>1</v>
      </c>
      <c r="AL312" t="s">
        <v>372</v>
      </c>
      <c r="AQ312" s="1">
        <f t="shared" si="114"/>
        <v>100</v>
      </c>
      <c r="AR312" s="1">
        <f t="shared" si="99"/>
        <v>0.15789473684210528</v>
      </c>
      <c r="AS312" s="1">
        <f t="shared" si="100"/>
        <v>0</v>
      </c>
      <c r="AT312" s="1">
        <f t="shared" si="101"/>
        <v>0.2105263157894737</v>
      </c>
      <c r="AU312" s="1">
        <f t="shared" si="102"/>
        <v>0.63157894736842102</v>
      </c>
      <c r="AV312" s="1">
        <f t="shared" si="115"/>
        <v>0.61</v>
      </c>
      <c r="AX312" s="1">
        <f t="shared" si="116"/>
        <v>2.9999999999999996</v>
      </c>
      <c r="AY312" s="1">
        <f t="shared" si="103"/>
        <v>0.75</v>
      </c>
      <c r="AZ312" s="1">
        <f t="shared" si="104"/>
        <v>0.6875</v>
      </c>
      <c r="BA312" s="1">
        <f t="shared" si="105"/>
        <v>1.25</v>
      </c>
      <c r="BB312" s="1">
        <f t="shared" si="106"/>
        <v>0.6875</v>
      </c>
      <c r="BC312" s="1">
        <f t="shared" si="107"/>
        <v>0.6875</v>
      </c>
      <c r="BD312" s="1">
        <f t="shared" si="117"/>
        <v>7.7500000000000013E-2</v>
      </c>
      <c r="BF312">
        <f t="shared" si="108"/>
        <v>21.05263157894737</v>
      </c>
      <c r="BG312">
        <f t="shared" si="109"/>
        <v>15.789473684210529</v>
      </c>
      <c r="BH312" s="1">
        <f t="shared" si="110"/>
        <v>2.9999999999999996</v>
      </c>
      <c r="BI312" s="1">
        <f t="shared" si="111"/>
        <v>0.75000000000000011</v>
      </c>
      <c r="BJ312" s="1">
        <f t="shared" si="118"/>
        <v>0.61</v>
      </c>
      <c r="BK312" s="1">
        <f t="shared" si="119"/>
        <v>0.59747174850634821</v>
      </c>
      <c r="BL312" s="22">
        <f t="shared" si="120"/>
        <v>0.59747174850634821</v>
      </c>
      <c r="BM312" s="1">
        <f t="shared" si="112"/>
        <v>1.5695708548818798E-4</v>
      </c>
      <c r="BN312" s="1">
        <f t="shared" si="113"/>
        <v>4.094919526585214E-2</v>
      </c>
    </row>
    <row r="313" spans="1:66" x14ac:dyDescent="0.25">
      <c r="A313" s="3"/>
      <c r="B313" s="3"/>
      <c r="C313" t="s">
        <v>537</v>
      </c>
      <c r="D313" s="5">
        <v>1</v>
      </c>
      <c r="E313" s="9">
        <f t="shared" si="121"/>
        <v>20</v>
      </c>
      <c r="F313" s="9">
        <f t="shared" si="122"/>
        <v>0.75</v>
      </c>
      <c r="G313">
        <v>0</v>
      </c>
      <c r="H313">
        <v>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20</v>
      </c>
      <c r="P313">
        <v>0</v>
      </c>
      <c r="Q313">
        <v>60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67</v>
      </c>
      <c r="AK313" t="s">
        <v>1</v>
      </c>
      <c r="AL313" t="s">
        <v>372</v>
      </c>
      <c r="AQ313" s="1">
        <f t="shared" si="114"/>
        <v>100</v>
      </c>
      <c r="AR313" s="1">
        <f t="shared" si="99"/>
        <v>0.2</v>
      </c>
      <c r="AS313" s="1">
        <f t="shared" si="100"/>
        <v>0</v>
      </c>
      <c r="AT313" s="1">
        <f t="shared" si="101"/>
        <v>0.2</v>
      </c>
      <c r="AU313" s="1">
        <f t="shared" si="102"/>
        <v>0.6</v>
      </c>
      <c r="AV313" s="1">
        <f t="shared" si="115"/>
        <v>0.67</v>
      </c>
      <c r="AX313" s="1">
        <f t="shared" si="116"/>
        <v>2.9999999999999996</v>
      </c>
      <c r="AY313" s="1">
        <f t="shared" si="103"/>
        <v>1</v>
      </c>
      <c r="AZ313" s="1">
        <f t="shared" si="104"/>
        <v>0.6875</v>
      </c>
      <c r="BA313" s="1">
        <f t="shared" si="105"/>
        <v>1.25</v>
      </c>
      <c r="BB313" s="1">
        <f t="shared" si="106"/>
        <v>0.6875</v>
      </c>
      <c r="BC313" s="1">
        <f t="shared" si="107"/>
        <v>0.6875</v>
      </c>
      <c r="BD313" s="1">
        <f t="shared" si="117"/>
        <v>1.749999999999996E-2</v>
      </c>
      <c r="BF313">
        <f t="shared" si="108"/>
        <v>20</v>
      </c>
      <c r="BG313">
        <f t="shared" si="109"/>
        <v>20</v>
      </c>
      <c r="BH313" s="1">
        <f t="shared" si="110"/>
        <v>3</v>
      </c>
      <c r="BI313" s="1">
        <f t="shared" si="111"/>
        <v>1</v>
      </c>
      <c r="BJ313" s="1">
        <f t="shared" si="118"/>
        <v>0.61</v>
      </c>
      <c r="BK313" s="1">
        <f t="shared" si="119"/>
        <v>0.63596340716708433</v>
      </c>
      <c r="BL313" s="22">
        <f t="shared" si="120"/>
        <v>0.63596340716708433</v>
      </c>
      <c r="BM313" s="1">
        <f t="shared" si="112"/>
        <v>1.1584896516736894E-3</v>
      </c>
      <c r="BN313" s="1">
        <f t="shared" si="113"/>
        <v>6.8832284275042718E-2</v>
      </c>
    </row>
    <row r="314" spans="1:66" x14ac:dyDescent="0.25">
      <c r="A314" s="3"/>
      <c r="B314" s="3"/>
      <c r="C314" t="s">
        <v>538</v>
      </c>
      <c r="D314" s="5">
        <v>1</v>
      </c>
      <c r="E314" s="9">
        <f t="shared" si="121"/>
        <v>23.997719931597949</v>
      </c>
      <c r="F314" s="9">
        <f t="shared" si="122"/>
        <v>0.75</v>
      </c>
      <c r="G314">
        <v>0</v>
      </c>
      <c r="H314">
        <v>19.000570017100511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23.997719931597949</v>
      </c>
      <c r="P314">
        <v>0</v>
      </c>
      <c r="Q314">
        <v>57.001710051301536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69</v>
      </c>
      <c r="AK314" t="s">
        <v>1</v>
      </c>
      <c r="AL314" t="s">
        <v>372</v>
      </c>
      <c r="AQ314" s="1">
        <f t="shared" si="114"/>
        <v>100</v>
      </c>
      <c r="AR314" s="1">
        <f t="shared" si="99"/>
        <v>0.23997719931597949</v>
      </c>
      <c r="AS314" s="1">
        <f t="shared" si="100"/>
        <v>0</v>
      </c>
      <c r="AT314" s="1">
        <f t="shared" si="101"/>
        <v>0.1900057001710051</v>
      </c>
      <c r="AU314" s="1">
        <f t="shared" si="102"/>
        <v>0.57001710051301535</v>
      </c>
      <c r="AV314" s="1">
        <f t="shared" si="115"/>
        <v>0.69</v>
      </c>
      <c r="AX314" s="1">
        <f t="shared" si="116"/>
        <v>3.0000000000000004</v>
      </c>
      <c r="AY314" s="1">
        <f t="shared" si="103"/>
        <v>1.2630000000000003</v>
      </c>
      <c r="AZ314" s="1">
        <f t="shared" si="104"/>
        <v>0.6875</v>
      </c>
      <c r="BA314" s="1">
        <f t="shared" si="105"/>
        <v>1.25</v>
      </c>
      <c r="BB314" s="1">
        <f t="shared" si="106"/>
        <v>0.6851166666666666</v>
      </c>
      <c r="BC314" s="1">
        <f t="shared" si="107"/>
        <v>0.6851166666666666</v>
      </c>
      <c r="BD314" s="1">
        <f t="shared" si="117"/>
        <v>4.8833333333333506E-3</v>
      </c>
      <c r="BF314">
        <f t="shared" si="108"/>
        <v>19.000570017100511</v>
      </c>
      <c r="BG314">
        <f t="shared" si="109"/>
        <v>23.997719931597949</v>
      </c>
      <c r="BH314" s="1">
        <f t="shared" si="110"/>
        <v>3</v>
      </c>
      <c r="BI314" s="1">
        <f t="shared" si="111"/>
        <v>1.2630000000000001</v>
      </c>
      <c r="BJ314" s="1">
        <f t="shared" si="118"/>
        <v>0.61</v>
      </c>
      <c r="BK314" s="1">
        <f t="shared" si="119"/>
        <v>0.6468446817717034</v>
      </c>
      <c r="BL314" s="22">
        <f t="shared" si="120"/>
        <v>0.6468446817717034</v>
      </c>
      <c r="BM314" s="1">
        <f t="shared" si="112"/>
        <v>1.8623814913855442E-3</v>
      </c>
      <c r="BN314" s="1">
        <f t="shared" si="113"/>
        <v>7.9726647278106175E-2</v>
      </c>
    </row>
    <row r="315" spans="1:66" x14ac:dyDescent="0.25">
      <c r="A315" s="3"/>
      <c r="B315" s="3"/>
      <c r="C315" t="s">
        <v>539</v>
      </c>
      <c r="D315" s="5">
        <v>1</v>
      </c>
      <c r="E315" s="9">
        <f t="shared" si="121"/>
        <v>28.57142857142858</v>
      </c>
      <c r="F315" s="9">
        <f t="shared" si="122"/>
        <v>0.75</v>
      </c>
      <c r="G315">
        <v>0</v>
      </c>
      <c r="H315">
        <v>17.857142857142861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28.57142857142858</v>
      </c>
      <c r="P315">
        <v>0</v>
      </c>
      <c r="Q315">
        <v>53.571428571428569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73</v>
      </c>
      <c r="AK315" t="s">
        <v>1</v>
      </c>
      <c r="AL315" t="s">
        <v>372</v>
      </c>
      <c r="AQ315" s="1">
        <f t="shared" si="114"/>
        <v>100.00000000000001</v>
      </c>
      <c r="AR315" s="1">
        <f t="shared" si="99"/>
        <v>0.28571428571428581</v>
      </c>
      <c r="AS315" s="1">
        <f t="shared" si="100"/>
        <v>0</v>
      </c>
      <c r="AT315" s="1">
        <f t="shared" si="101"/>
        <v>0.1785714285714286</v>
      </c>
      <c r="AU315" s="1">
        <f t="shared" si="102"/>
        <v>0.5357142857142857</v>
      </c>
      <c r="AV315" s="1">
        <f t="shared" si="115"/>
        <v>0.73</v>
      </c>
      <c r="AX315" s="1">
        <f t="shared" si="116"/>
        <v>2.9999999999999996</v>
      </c>
      <c r="AY315" s="1">
        <f t="shared" si="103"/>
        <v>1.6000000000000003</v>
      </c>
      <c r="AZ315" s="1">
        <f t="shared" si="104"/>
        <v>0.6875</v>
      </c>
      <c r="BA315" s="1">
        <f t="shared" si="105"/>
        <v>1.25</v>
      </c>
      <c r="BB315" s="1">
        <f t="shared" si="106"/>
        <v>0.62333333333333329</v>
      </c>
      <c r="BC315" s="1">
        <f t="shared" si="107"/>
        <v>0.62333333333333329</v>
      </c>
      <c r="BD315" s="1">
        <f t="shared" si="117"/>
        <v>0.10666666666666669</v>
      </c>
      <c r="BF315">
        <f t="shared" si="108"/>
        <v>17.857142857142861</v>
      </c>
      <c r="BG315">
        <f t="shared" si="109"/>
        <v>28.57142857142858</v>
      </c>
      <c r="BH315" s="1">
        <f t="shared" si="110"/>
        <v>2.9999999999999991</v>
      </c>
      <c r="BI315" s="1">
        <f t="shared" si="111"/>
        <v>1.6</v>
      </c>
      <c r="BJ315" s="1">
        <f t="shared" si="118"/>
        <v>0.60999999999999988</v>
      </c>
      <c r="BK315" s="1">
        <f t="shared" si="119"/>
        <v>0.62750187943582825</v>
      </c>
      <c r="BL315" s="22">
        <f t="shared" si="120"/>
        <v>0.62750187943582825</v>
      </c>
      <c r="BM315" s="1">
        <f t="shared" si="112"/>
        <v>1.0505864719187484E-2</v>
      </c>
      <c r="BN315" s="1">
        <f t="shared" si="113"/>
        <v>0.10391537328423324</v>
      </c>
    </row>
    <row r="316" spans="1:66" x14ac:dyDescent="0.25">
      <c r="A316" s="3"/>
      <c r="B316" s="3"/>
      <c r="C316" t="s">
        <v>540</v>
      </c>
      <c r="D316" s="5">
        <v>1</v>
      </c>
      <c r="E316" s="9">
        <f t="shared" si="121"/>
        <v>29.82456140350877</v>
      </c>
      <c r="F316" s="9">
        <f t="shared" si="122"/>
        <v>0.75</v>
      </c>
      <c r="G316">
        <v>0</v>
      </c>
      <c r="H316">
        <v>17.543859649122801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29.82456140350877</v>
      </c>
      <c r="P316">
        <v>0</v>
      </c>
      <c r="Q316">
        <v>52.631578947368418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71</v>
      </c>
      <c r="AK316" t="s">
        <v>1</v>
      </c>
      <c r="AL316" t="s">
        <v>372</v>
      </c>
      <c r="AQ316" s="1">
        <f t="shared" si="114"/>
        <v>100</v>
      </c>
      <c r="AR316" s="1">
        <f t="shared" si="99"/>
        <v>0.2982456140350877</v>
      </c>
      <c r="AS316" s="1">
        <f t="shared" si="100"/>
        <v>0</v>
      </c>
      <c r="AT316" s="1">
        <f t="shared" si="101"/>
        <v>0.175438596491228</v>
      </c>
      <c r="AU316" s="1">
        <f t="shared" si="102"/>
        <v>0.52631578947368418</v>
      </c>
      <c r="AV316" s="1">
        <f t="shared" si="115"/>
        <v>0.71</v>
      </c>
      <c r="AX316" s="1">
        <f t="shared" si="116"/>
        <v>3.0000000000000009</v>
      </c>
      <c r="AY316" s="1">
        <f t="shared" si="103"/>
        <v>1.7000000000000006</v>
      </c>
      <c r="AZ316" s="1">
        <f t="shared" si="104"/>
        <v>0.6875</v>
      </c>
      <c r="BA316" s="1">
        <f t="shared" si="105"/>
        <v>1.2500000000000002</v>
      </c>
      <c r="BB316" s="1">
        <f t="shared" si="106"/>
        <v>0.60499999999999998</v>
      </c>
      <c r="BC316" s="1">
        <f t="shared" si="107"/>
        <v>0.60499999999999998</v>
      </c>
      <c r="BD316" s="1">
        <f t="shared" si="117"/>
        <v>0.10499999999999998</v>
      </c>
      <c r="BF316">
        <f t="shared" si="108"/>
        <v>17.543859649122801</v>
      </c>
      <c r="BG316">
        <f t="shared" si="109"/>
        <v>29.82456140350877</v>
      </c>
      <c r="BH316" s="1">
        <f t="shared" si="110"/>
        <v>3.0000000000000009</v>
      </c>
      <c r="BI316" s="1">
        <f t="shared" si="111"/>
        <v>1.7000000000000004</v>
      </c>
      <c r="BJ316" s="1">
        <f t="shared" si="118"/>
        <v>0.6100000000000001</v>
      </c>
      <c r="BK316" s="1">
        <f t="shared" si="119"/>
        <v>0.61627844755958949</v>
      </c>
      <c r="BL316" s="22">
        <f t="shared" si="120"/>
        <v>0.61627844755958949</v>
      </c>
      <c r="BM316" s="1">
        <f t="shared" si="112"/>
        <v>8.7837293918406108E-3</v>
      </c>
      <c r="BN316" s="1">
        <f t="shared" si="113"/>
        <v>9.142101028116971E-2</v>
      </c>
    </row>
    <row r="317" spans="1:66" x14ac:dyDescent="0.25">
      <c r="A317" s="3"/>
      <c r="B317" s="3"/>
      <c r="C317" t="s">
        <v>541</v>
      </c>
      <c r="D317" s="5">
        <v>1</v>
      </c>
      <c r="E317" s="9">
        <f t="shared" si="121"/>
        <v>36</v>
      </c>
      <c r="F317" s="9">
        <f t="shared" si="122"/>
        <v>0.75</v>
      </c>
      <c r="G317">
        <v>0</v>
      </c>
      <c r="H317">
        <v>16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36</v>
      </c>
      <c r="P317">
        <v>0</v>
      </c>
      <c r="Q317">
        <v>48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66</v>
      </c>
      <c r="AK317" t="s">
        <v>1</v>
      </c>
      <c r="AL317" t="s">
        <v>372</v>
      </c>
      <c r="AQ317" s="1">
        <f t="shared" si="114"/>
        <v>100</v>
      </c>
      <c r="AR317" s="1">
        <f t="shared" si="99"/>
        <v>0.36</v>
      </c>
      <c r="AS317" s="1">
        <f t="shared" si="100"/>
        <v>0</v>
      </c>
      <c r="AT317" s="1">
        <f t="shared" si="101"/>
        <v>0.16</v>
      </c>
      <c r="AU317" s="1">
        <f t="shared" si="102"/>
        <v>0.48</v>
      </c>
      <c r="AV317" s="1">
        <f t="shared" si="115"/>
        <v>0.66</v>
      </c>
      <c r="AX317" s="1">
        <f t="shared" si="116"/>
        <v>3</v>
      </c>
      <c r="AY317" s="1">
        <f t="shared" si="103"/>
        <v>2.25</v>
      </c>
      <c r="AZ317" s="1">
        <f t="shared" si="104"/>
        <v>0.6875</v>
      </c>
      <c r="BA317" s="1">
        <f t="shared" si="105"/>
        <v>1.25</v>
      </c>
      <c r="BB317" s="1">
        <f t="shared" si="106"/>
        <v>0.50416666666666665</v>
      </c>
      <c r="BC317" s="1">
        <f t="shared" si="107"/>
        <v>0.50416666666666665</v>
      </c>
      <c r="BD317" s="1">
        <f t="shared" si="117"/>
        <v>0.15583333333333338</v>
      </c>
      <c r="BF317">
        <f t="shared" si="108"/>
        <v>16</v>
      </c>
      <c r="BG317">
        <f t="shared" si="109"/>
        <v>36</v>
      </c>
      <c r="BH317" s="1">
        <f t="shared" si="110"/>
        <v>3</v>
      </c>
      <c r="BI317" s="1">
        <f t="shared" si="111"/>
        <v>2.25</v>
      </c>
      <c r="BJ317" s="1">
        <f t="shared" si="118"/>
        <v>0.61</v>
      </c>
      <c r="BK317" s="1">
        <f t="shared" si="119"/>
        <v>0.52581948530167388</v>
      </c>
      <c r="BL317" s="22">
        <f t="shared" si="120"/>
        <v>0.52581948530167388</v>
      </c>
      <c r="BM317" s="1">
        <f t="shared" si="112"/>
        <v>1.800441052470772E-2</v>
      </c>
      <c r="BN317" s="1">
        <f t="shared" si="113"/>
        <v>6.3685102773510957E-2</v>
      </c>
    </row>
    <row r="318" spans="1:66" x14ac:dyDescent="0.25">
      <c r="A318" s="3"/>
      <c r="B318" s="3"/>
      <c r="C318" t="s">
        <v>542</v>
      </c>
      <c r="D318" s="5">
        <v>1</v>
      </c>
      <c r="E318" s="9">
        <f t="shared" si="121"/>
        <v>6.2441402587661727</v>
      </c>
      <c r="F318" s="9">
        <f t="shared" si="122"/>
        <v>0.8</v>
      </c>
      <c r="G318">
        <v>0</v>
      </c>
      <c r="H318">
        <v>18.75117194824676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6.2441402587661727</v>
      </c>
      <c r="P318">
        <v>0</v>
      </c>
      <c r="Q318">
        <v>75.004687792987056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37</v>
      </c>
      <c r="AK318" t="s">
        <v>1</v>
      </c>
      <c r="AL318" t="s">
        <v>372</v>
      </c>
      <c r="AQ318" s="1">
        <f t="shared" si="114"/>
        <v>99.999999999999986</v>
      </c>
      <c r="AR318" s="1">
        <f t="shared" si="99"/>
        <v>6.2441402587661725E-2</v>
      </c>
      <c r="AS318" s="1">
        <f t="shared" si="100"/>
        <v>0</v>
      </c>
      <c r="AT318" s="1">
        <f t="shared" si="101"/>
        <v>0.18751171948246761</v>
      </c>
      <c r="AU318" s="1">
        <f t="shared" si="102"/>
        <v>0.75004687792987057</v>
      </c>
      <c r="AV318" s="1">
        <f t="shared" si="115"/>
        <v>0.37</v>
      </c>
      <c r="AX318" s="1">
        <f t="shared" si="116"/>
        <v>4.0000000000000009</v>
      </c>
      <c r="AY318" s="1">
        <f t="shared" si="103"/>
        <v>0.33300000000000007</v>
      </c>
      <c r="AZ318" s="1">
        <f t="shared" si="104"/>
        <v>0.75</v>
      </c>
      <c r="BA318" s="1">
        <f t="shared" si="105"/>
        <v>1.5000000000000002</v>
      </c>
      <c r="BB318" s="1">
        <f t="shared" si="106"/>
        <v>0.33300000000000007</v>
      </c>
      <c r="BC318" s="1">
        <f t="shared" si="107"/>
        <v>0.33300000000000007</v>
      </c>
      <c r="BD318" s="1">
        <f t="shared" si="117"/>
        <v>3.6999999999999922E-2</v>
      </c>
      <c r="BF318">
        <f t="shared" si="108"/>
        <v>18.75117194824676</v>
      </c>
      <c r="BG318">
        <f t="shared" si="109"/>
        <v>6.2441402587661727</v>
      </c>
      <c r="BH318" s="1">
        <f t="shared" si="110"/>
        <v>4.0000000000000009</v>
      </c>
      <c r="BI318" s="1">
        <f t="shared" si="111"/>
        <v>0.33300000000000007</v>
      </c>
      <c r="BJ318" s="1">
        <f t="shared" si="118"/>
        <v>0.67</v>
      </c>
      <c r="BK318" s="1">
        <f t="shared" si="119"/>
        <v>0.33300000000000007</v>
      </c>
      <c r="BL318" s="22">
        <f t="shared" si="120"/>
        <v>0.33300000000000007</v>
      </c>
      <c r="BM318" s="1">
        <f t="shared" si="112"/>
        <v>1.3689999999999941E-3</v>
      </c>
      <c r="BN318" s="1">
        <f t="shared" si="113"/>
        <v>1.4168392290899454E-3</v>
      </c>
    </row>
    <row r="319" spans="1:66" x14ac:dyDescent="0.25">
      <c r="A319" s="3"/>
      <c r="B319" s="3"/>
      <c r="C319" t="s">
        <v>543</v>
      </c>
      <c r="D319" s="5">
        <v>1</v>
      </c>
      <c r="E319" s="9">
        <f t="shared" si="121"/>
        <v>12.49562478123906</v>
      </c>
      <c r="F319" s="9">
        <f t="shared" si="122"/>
        <v>0.8</v>
      </c>
      <c r="G319">
        <v>0</v>
      </c>
      <c r="H319">
        <v>17.500875043752188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12.49562478123906</v>
      </c>
      <c r="P319">
        <v>0</v>
      </c>
      <c r="Q319">
        <v>70.003500175008753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68</v>
      </c>
      <c r="AK319" t="s">
        <v>1</v>
      </c>
      <c r="AL319" t="s">
        <v>372</v>
      </c>
      <c r="AQ319" s="1">
        <f t="shared" si="114"/>
        <v>100</v>
      </c>
      <c r="AR319" s="1">
        <f t="shared" si="99"/>
        <v>0.12495624781239061</v>
      </c>
      <c r="AS319" s="1">
        <f t="shared" si="100"/>
        <v>0</v>
      </c>
      <c r="AT319" s="1">
        <f t="shared" si="101"/>
        <v>0.17500875043752187</v>
      </c>
      <c r="AU319" s="1">
        <f t="shared" si="102"/>
        <v>0.70003500175008748</v>
      </c>
      <c r="AV319" s="1">
        <f t="shared" si="115"/>
        <v>0.68</v>
      </c>
      <c r="AX319" s="1">
        <f t="shared" si="116"/>
        <v>4</v>
      </c>
      <c r="AY319" s="1">
        <f t="shared" si="103"/>
        <v>0.71399999999999997</v>
      </c>
      <c r="AZ319" s="1">
        <f t="shared" si="104"/>
        <v>0.75</v>
      </c>
      <c r="BA319" s="1">
        <f t="shared" si="105"/>
        <v>1.5</v>
      </c>
      <c r="BB319" s="1">
        <f t="shared" si="106"/>
        <v>0.71399999999999997</v>
      </c>
      <c r="BC319" s="1">
        <f t="shared" si="107"/>
        <v>0.71399999999999997</v>
      </c>
      <c r="BD319" s="1">
        <f t="shared" si="117"/>
        <v>3.3999999999999919E-2</v>
      </c>
      <c r="BF319">
        <f t="shared" si="108"/>
        <v>17.500875043752188</v>
      </c>
      <c r="BG319">
        <f t="shared" si="109"/>
        <v>12.49562478123906</v>
      </c>
      <c r="BH319" s="1">
        <f t="shared" si="110"/>
        <v>4</v>
      </c>
      <c r="BI319" s="1">
        <f t="shared" si="111"/>
        <v>0.71399999999999986</v>
      </c>
      <c r="BJ319" s="1">
        <f t="shared" si="118"/>
        <v>0.66999999999999993</v>
      </c>
      <c r="BK319" s="1">
        <f t="shared" si="119"/>
        <v>0.62413544609409488</v>
      </c>
      <c r="BL319" s="22">
        <f t="shared" si="120"/>
        <v>0.62413544609409488</v>
      </c>
      <c r="BM319" s="1">
        <f t="shared" si="112"/>
        <v>3.1208483831057844E-3</v>
      </c>
      <c r="BN319" s="1">
        <f t="shared" si="113"/>
        <v>7.4179465776574485E-2</v>
      </c>
    </row>
    <row r="320" spans="1:66" x14ac:dyDescent="0.25">
      <c r="A320" s="3"/>
      <c r="B320" s="3"/>
      <c r="C320" t="s">
        <v>544</v>
      </c>
      <c r="D320" s="5">
        <v>1</v>
      </c>
      <c r="E320" s="9">
        <f t="shared" si="121"/>
        <v>16.666666666666661</v>
      </c>
      <c r="F320" s="9">
        <f t="shared" si="122"/>
        <v>0.8</v>
      </c>
      <c r="G320">
        <v>0</v>
      </c>
      <c r="H320">
        <v>16.666666666666661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16.666666666666661</v>
      </c>
      <c r="P320">
        <v>0</v>
      </c>
      <c r="Q320">
        <v>66.666666666666657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71</v>
      </c>
      <c r="AK320" t="s">
        <v>1</v>
      </c>
      <c r="AL320" t="s">
        <v>372</v>
      </c>
      <c r="AQ320" s="1">
        <f t="shared" si="114"/>
        <v>99.999999999999972</v>
      </c>
      <c r="AR320" s="1">
        <f t="shared" si="99"/>
        <v>0.1666666666666666</v>
      </c>
      <c r="AS320" s="1">
        <f t="shared" si="100"/>
        <v>0</v>
      </c>
      <c r="AT320" s="1">
        <f t="shared" si="101"/>
        <v>0.1666666666666666</v>
      </c>
      <c r="AU320" s="1">
        <f t="shared" si="102"/>
        <v>0.66666666666666652</v>
      </c>
      <c r="AV320" s="1">
        <f t="shared" si="115"/>
        <v>0.71</v>
      </c>
      <c r="AX320" s="1">
        <f t="shared" si="116"/>
        <v>4.0000000000000009</v>
      </c>
      <c r="AY320" s="1">
        <f t="shared" si="103"/>
        <v>1</v>
      </c>
      <c r="AZ320" s="1">
        <f t="shared" si="104"/>
        <v>0.75</v>
      </c>
      <c r="BA320" s="1">
        <f t="shared" si="105"/>
        <v>1.5000000000000002</v>
      </c>
      <c r="BB320" s="1">
        <f t="shared" si="106"/>
        <v>0.75</v>
      </c>
      <c r="BC320" s="1">
        <f t="shared" si="107"/>
        <v>0.75</v>
      </c>
      <c r="BD320" s="1">
        <f t="shared" si="117"/>
        <v>4.0000000000000036E-2</v>
      </c>
      <c r="BF320">
        <f t="shared" si="108"/>
        <v>16.666666666666661</v>
      </c>
      <c r="BG320">
        <f t="shared" si="109"/>
        <v>16.666666666666661</v>
      </c>
      <c r="BH320" s="1">
        <f t="shared" si="110"/>
        <v>4.0000000000000009</v>
      </c>
      <c r="BI320" s="1">
        <f t="shared" si="111"/>
        <v>1</v>
      </c>
      <c r="BJ320" s="1">
        <f t="shared" si="118"/>
        <v>0.67</v>
      </c>
      <c r="BK320" s="1">
        <f t="shared" si="119"/>
        <v>0.6912074462718002</v>
      </c>
      <c r="BL320" s="22">
        <f t="shared" si="120"/>
        <v>0.6912074462718002</v>
      </c>
      <c r="BM320" s="1">
        <f t="shared" si="112"/>
        <v>3.5316007562727499E-4</v>
      </c>
      <c r="BN320" s="1">
        <f t="shared" si="113"/>
        <v>9.142101028116971E-2</v>
      </c>
    </row>
    <row r="321" spans="1:66" x14ac:dyDescent="0.25">
      <c r="A321" s="3"/>
      <c r="B321" s="3"/>
      <c r="C321" t="s">
        <v>545</v>
      </c>
      <c r="D321" s="5">
        <v>1</v>
      </c>
      <c r="E321" s="9">
        <f t="shared" si="121"/>
        <v>18.73882658865594</v>
      </c>
      <c r="F321" s="9">
        <f t="shared" si="122"/>
        <v>0.8</v>
      </c>
      <c r="G321">
        <v>0</v>
      </c>
      <c r="H321">
        <v>16.25223468226881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18.73882658865594</v>
      </c>
      <c r="P321">
        <v>0</v>
      </c>
      <c r="Q321">
        <v>65.00893872907524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66</v>
      </c>
      <c r="AK321" t="s">
        <v>1</v>
      </c>
      <c r="AL321" t="s">
        <v>372</v>
      </c>
      <c r="AQ321" s="1">
        <f t="shared" si="114"/>
        <v>99.999999999999986</v>
      </c>
      <c r="AR321" s="1">
        <f t="shared" si="99"/>
        <v>0.18738826588655941</v>
      </c>
      <c r="AS321" s="1">
        <f t="shared" si="100"/>
        <v>0</v>
      </c>
      <c r="AT321" s="1">
        <f t="shared" si="101"/>
        <v>0.1625223468226881</v>
      </c>
      <c r="AU321" s="1">
        <f t="shared" si="102"/>
        <v>0.65008938729075239</v>
      </c>
      <c r="AV321" s="1">
        <f t="shared" si="115"/>
        <v>0.66</v>
      </c>
      <c r="AX321" s="1">
        <f t="shared" si="116"/>
        <v>4</v>
      </c>
      <c r="AY321" s="1">
        <f t="shared" si="103"/>
        <v>1.1530000000000002</v>
      </c>
      <c r="AZ321" s="1">
        <f t="shared" si="104"/>
        <v>0.75</v>
      </c>
      <c r="BA321" s="1">
        <f t="shared" si="105"/>
        <v>1.5</v>
      </c>
      <c r="BB321" s="1">
        <f t="shared" si="106"/>
        <v>0.75</v>
      </c>
      <c r="BC321" s="1">
        <f t="shared" si="107"/>
        <v>0.75</v>
      </c>
      <c r="BD321" s="1">
        <f t="shared" si="117"/>
        <v>8.9999999999999969E-2</v>
      </c>
      <c r="BF321">
        <f t="shared" si="108"/>
        <v>16.25223468226881</v>
      </c>
      <c r="BG321">
        <f t="shared" si="109"/>
        <v>18.73882658865594</v>
      </c>
      <c r="BH321" s="1">
        <f t="shared" si="110"/>
        <v>4</v>
      </c>
      <c r="BI321" s="1">
        <f t="shared" si="111"/>
        <v>1.153</v>
      </c>
      <c r="BJ321" s="1">
        <f t="shared" si="118"/>
        <v>0.66999999999999993</v>
      </c>
      <c r="BK321" s="1">
        <f t="shared" si="119"/>
        <v>0.71186819743793739</v>
      </c>
      <c r="BL321" s="22">
        <f t="shared" si="120"/>
        <v>0.71186819743793739</v>
      </c>
      <c r="BM321" s="1">
        <f t="shared" si="112"/>
        <v>2.6903099054608514E-3</v>
      </c>
      <c r="BN321" s="1">
        <f t="shared" si="113"/>
        <v>6.3685102773510957E-2</v>
      </c>
    </row>
    <row r="322" spans="1:66" x14ac:dyDescent="0.25">
      <c r="A322" s="3"/>
      <c r="B322" s="3"/>
      <c r="C322" t="s">
        <v>546</v>
      </c>
      <c r="D322" s="5">
        <v>1</v>
      </c>
      <c r="E322" s="9">
        <f t="shared" si="121"/>
        <v>24.99249924992499</v>
      </c>
      <c r="F322" s="9">
        <f t="shared" si="122"/>
        <v>0.8</v>
      </c>
      <c r="G322">
        <v>0</v>
      </c>
      <c r="H322">
        <v>15.001500150015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24.99249924992499</v>
      </c>
      <c r="P322">
        <v>0</v>
      </c>
      <c r="Q322">
        <v>60.006000600060013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77</v>
      </c>
      <c r="AK322" t="s">
        <v>1</v>
      </c>
      <c r="AL322" t="s">
        <v>372</v>
      </c>
      <c r="AQ322" s="1">
        <f t="shared" si="114"/>
        <v>100</v>
      </c>
      <c r="AR322" s="1">
        <f t="shared" ref="AR322:AR385" si="123">(L322+M322+O322+X322)/100</f>
        <v>0.2499249924992499</v>
      </c>
      <c r="AS322" s="1">
        <f t="shared" ref="AS322:AS385" si="124">G322/100</f>
        <v>0</v>
      </c>
      <c r="AT322" s="1">
        <f t="shared" ref="AT322:AT385" si="125">H322/100</f>
        <v>0.15001500150014999</v>
      </c>
      <c r="AU322" s="1">
        <f t="shared" ref="AU322:AU385" si="126">Q322/100</f>
        <v>0.60006000600060017</v>
      </c>
      <c r="AV322" s="1">
        <f t="shared" si="115"/>
        <v>0.77</v>
      </c>
      <c r="AX322" s="1">
        <f t="shared" si="116"/>
        <v>4.0000000000000018</v>
      </c>
      <c r="AY322" s="1">
        <f t="shared" ref="AY322:AY385" si="127">AR322/(AS322+AT322)</f>
        <v>1.6660000000000001</v>
      </c>
      <c r="AZ322" s="1">
        <f t="shared" ref="AZ322:AZ385" si="128">0.5+AX322/16</f>
        <v>0.75000000000000011</v>
      </c>
      <c r="BA322" s="1">
        <f t="shared" ref="BA322:BA385" si="129">0.5+AX322/4</f>
        <v>1.5000000000000004</v>
      </c>
      <c r="BB322" s="1">
        <f t="shared" ref="BB322:BB385" si="130">IF(AY322&lt;=AZ322,AY322,IF(AY322&lt;=BA322,AZ322,AZ322-(AY322-BA322)*(8+AX322)/(12*(2+AX322))))</f>
        <v>0.72233333333333349</v>
      </c>
      <c r="BC322" s="1">
        <f t="shared" ref="BC322:BC385" si="131">IF(BB322&lt;1,BB322,1)</f>
        <v>0.72233333333333349</v>
      </c>
      <c r="BD322" s="1">
        <f t="shared" si="117"/>
        <v>4.7666666666666524E-2</v>
      </c>
      <c r="BF322">
        <f t="shared" ref="BF322:BF385" si="132">$BQ$3*H322+$BQ$4*G322+$BQ$5*P322+$BQ$6*K322+$BQ$7*S322+$BQ$8*U322+$BQ$9*Y322+$BQ$10*J322+$BQ$11*AC322+$BQ$12*AG322+$BQ$13*AH322+$BQ$14*R322+$BQ$15*AE322</f>
        <v>15.001500150015</v>
      </c>
      <c r="BG322">
        <f t="shared" ref="BG322:BG385" si="133">O322+$BQ$17*M322+$BQ$18*L322+$BQ$19*X322+$BQ$20*AD322+$BQ$21*I322+$BQ$22*N322+$BQ$23*AB322+$BQ$24*V322+$BQ$25*T322+$BQ$26*AA322+$BQ$28*Z322+$BQ$29*AF322+$BQ$30*W322+$BQ$27*AI322</f>
        <v>24.99249924992499</v>
      </c>
      <c r="BH322" s="1">
        <f t="shared" ref="BH322:BH385" si="134">(Q322)/BF322</f>
        <v>4.0000000000000009</v>
      </c>
      <c r="BI322" s="1">
        <f t="shared" ref="BI322:BI385" si="135">BG322/BF322</f>
        <v>1.6659999999999999</v>
      </c>
      <c r="BJ322" s="1">
        <f t="shared" si="118"/>
        <v>0.67</v>
      </c>
      <c r="BK322" s="1">
        <f t="shared" si="119"/>
        <v>0.721295451580241</v>
      </c>
      <c r="BL322" s="22">
        <f t="shared" si="120"/>
        <v>0.721295451580241</v>
      </c>
      <c r="BM322" s="1">
        <f t="shared" ref="BM322:BM385" si="136">(BL322-AV322)^2</f>
        <v>2.3721330367726507E-3</v>
      </c>
      <c r="BN322" s="1">
        <f t="shared" ref="BN322:BN385" si="137">(AV322-AVERAGE($AV$2:$AV$638))^2</f>
        <v>0.1313040992903603</v>
      </c>
    </row>
    <row r="323" spans="1:66" x14ac:dyDescent="0.25">
      <c r="A323" s="3"/>
      <c r="B323" s="3"/>
      <c r="C323" t="s">
        <v>547</v>
      </c>
      <c r="D323" s="5">
        <v>1</v>
      </c>
      <c r="E323" s="9">
        <f t="shared" si="121"/>
        <v>31.2242090784044</v>
      </c>
      <c r="F323" s="9">
        <f t="shared" si="122"/>
        <v>0.8</v>
      </c>
      <c r="G323">
        <v>0</v>
      </c>
      <c r="H323">
        <v>13.75515818431912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31.2242090784044</v>
      </c>
      <c r="P323">
        <v>0</v>
      </c>
      <c r="Q323">
        <v>55.020632737276493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76</v>
      </c>
      <c r="AK323" t="s">
        <v>1</v>
      </c>
      <c r="AL323" t="s">
        <v>372</v>
      </c>
      <c r="AQ323" s="1">
        <f t="shared" ref="AQ323:AQ386" si="138">SUM(G323:AI323)</f>
        <v>100.00000000000001</v>
      </c>
      <c r="AR323" s="1">
        <f t="shared" si="123"/>
        <v>0.31224209078404397</v>
      </c>
      <c r="AS323" s="1">
        <f t="shared" si="124"/>
        <v>0</v>
      </c>
      <c r="AT323" s="1">
        <f t="shared" si="125"/>
        <v>0.13755158184319119</v>
      </c>
      <c r="AU323" s="1">
        <f t="shared" si="126"/>
        <v>0.55020632737276498</v>
      </c>
      <c r="AV323" s="1">
        <f t="shared" ref="AV323:AV386" si="139">AJ323/100</f>
        <v>0.76</v>
      </c>
      <c r="AX323" s="1">
        <f t="shared" ref="AX323:AX386" si="140">AU323/(AT323+AS323)</f>
        <v>4.0000000000000018</v>
      </c>
      <c r="AY323" s="1">
        <f t="shared" si="127"/>
        <v>2.2699999999999996</v>
      </c>
      <c r="AZ323" s="1">
        <f t="shared" si="128"/>
        <v>0.75000000000000011</v>
      </c>
      <c r="BA323" s="1">
        <f t="shared" si="129"/>
        <v>1.5000000000000004</v>
      </c>
      <c r="BB323" s="1">
        <f t="shared" si="130"/>
        <v>0.62166666666666692</v>
      </c>
      <c r="BC323" s="1">
        <f t="shared" si="131"/>
        <v>0.62166666666666692</v>
      </c>
      <c r="BD323" s="1">
        <f t="shared" ref="BD323:BD386" si="141">ABS(BC323-AV323)</f>
        <v>0.13833333333333309</v>
      </c>
      <c r="BF323">
        <f t="shared" si="132"/>
        <v>13.75515818431912</v>
      </c>
      <c r="BG323">
        <f t="shared" si="133"/>
        <v>31.2242090784044</v>
      </c>
      <c r="BH323" s="1">
        <f t="shared" si="134"/>
        <v>4.0000000000000009</v>
      </c>
      <c r="BI323" s="1">
        <f t="shared" si="135"/>
        <v>2.27</v>
      </c>
      <c r="BJ323" s="1">
        <f t="shared" ref="BJ323:BJ386" si="142">$BQ$32+BH323*$BQ$33</f>
        <v>0.67</v>
      </c>
      <c r="BK323" s="1">
        <f t="shared" ref="BK323:BK386" si="143">IF(BI323&lt;BJ323,BI323,$BQ$35*($BQ$36+BI323)*($BQ$37-BI323/($BQ$38+BH323)*$BQ$39)^5)</f>
        <v>0.65228282082910449</v>
      </c>
      <c r="BL323" s="22">
        <f t="shared" ref="BL323:BL386" si="144">IF(BK323&lt;1,IF(BK323&gt;0,BK323,0),1)</f>
        <v>0.65228282082910449</v>
      </c>
      <c r="BM323" s="1">
        <f t="shared" si="136"/>
        <v>1.1602990688534806E-2</v>
      </c>
      <c r="BN323" s="1">
        <f t="shared" si="137"/>
        <v>0.12415691778882852</v>
      </c>
    </row>
    <row r="324" spans="1:66" x14ac:dyDescent="0.25">
      <c r="A324" s="3"/>
      <c r="B324" s="3"/>
      <c r="C324" t="s">
        <v>548</v>
      </c>
      <c r="D324" s="5">
        <v>1</v>
      </c>
      <c r="E324" s="9">
        <f t="shared" si="121"/>
        <v>33.862433862433861</v>
      </c>
      <c r="F324" s="9">
        <f t="shared" si="122"/>
        <v>0.79999999999999993</v>
      </c>
      <c r="G324">
        <v>0</v>
      </c>
      <c r="H324">
        <v>13.22751322751323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33.862433862433861</v>
      </c>
      <c r="P324">
        <v>0</v>
      </c>
      <c r="Q324">
        <v>52.910052910052897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73</v>
      </c>
      <c r="AK324" t="s">
        <v>1</v>
      </c>
      <c r="AL324" t="s">
        <v>372</v>
      </c>
      <c r="AQ324" s="1">
        <f t="shared" si="138"/>
        <v>99.999999999999986</v>
      </c>
      <c r="AR324" s="1">
        <f t="shared" si="123"/>
        <v>0.33862433862433861</v>
      </c>
      <c r="AS324" s="1">
        <f t="shared" si="124"/>
        <v>0</v>
      </c>
      <c r="AT324" s="1">
        <f t="shared" si="125"/>
        <v>0.1322751322751323</v>
      </c>
      <c r="AU324" s="1">
        <f t="shared" si="126"/>
        <v>0.52910052910052896</v>
      </c>
      <c r="AV324" s="1">
        <f t="shared" si="139"/>
        <v>0.73</v>
      </c>
      <c r="AX324" s="1">
        <f t="shared" si="140"/>
        <v>3.9999999999999982</v>
      </c>
      <c r="AY324" s="1">
        <f t="shared" si="127"/>
        <v>2.5599999999999996</v>
      </c>
      <c r="AZ324" s="1">
        <f t="shared" si="128"/>
        <v>0.74999999999999989</v>
      </c>
      <c r="BA324" s="1">
        <f t="shared" si="129"/>
        <v>1.4999999999999996</v>
      </c>
      <c r="BB324" s="1">
        <f t="shared" si="130"/>
        <v>0.57333333333333314</v>
      </c>
      <c r="BC324" s="1">
        <f t="shared" si="131"/>
        <v>0.57333333333333314</v>
      </c>
      <c r="BD324" s="1">
        <f t="shared" si="141"/>
        <v>0.15666666666666684</v>
      </c>
      <c r="BF324">
        <f t="shared" si="132"/>
        <v>13.22751322751323</v>
      </c>
      <c r="BG324">
        <f t="shared" si="133"/>
        <v>33.862433862433861</v>
      </c>
      <c r="BH324" s="1">
        <f t="shared" si="134"/>
        <v>3.9999999999999982</v>
      </c>
      <c r="BI324" s="1">
        <f t="shared" si="135"/>
        <v>2.5599999999999996</v>
      </c>
      <c r="BJ324" s="1">
        <f t="shared" si="142"/>
        <v>0.66999999999999993</v>
      </c>
      <c r="BK324" s="1">
        <f t="shared" si="143"/>
        <v>0.60143981973671701</v>
      </c>
      <c r="BL324" s="22">
        <f t="shared" si="144"/>
        <v>0.60143981973671701</v>
      </c>
      <c r="BM324" s="1">
        <f t="shared" si="136"/>
        <v>1.6527719949327814E-2</v>
      </c>
      <c r="BN324" s="1">
        <f t="shared" si="137"/>
        <v>0.10391537328423324</v>
      </c>
    </row>
    <row r="325" spans="1:66" x14ac:dyDescent="0.25">
      <c r="A325" s="3"/>
      <c r="B325" s="3"/>
      <c r="C325" t="s">
        <v>549</v>
      </c>
      <c r="D325" s="5">
        <v>1</v>
      </c>
      <c r="E325" s="9">
        <f t="shared" si="121"/>
        <v>37.5</v>
      </c>
      <c r="F325" s="9">
        <f t="shared" si="122"/>
        <v>0.8</v>
      </c>
      <c r="G325">
        <v>0</v>
      </c>
      <c r="H325">
        <v>12.5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37.5</v>
      </c>
      <c r="P325">
        <v>0</v>
      </c>
      <c r="Q325">
        <v>50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68</v>
      </c>
      <c r="AK325" t="s">
        <v>1</v>
      </c>
      <c r="AL325" t="s">
        <v>372</v>
      </c>
      <c r="AQ325" s="1">
        <f t="shared" si="138"/>
        <v>100</v>
      </c>
      <c r="AR325" s="1">
        <f t="shared" si="123"/>
        <v>0.375</v>
      </c>
      <c r="AS325" s="1">
        <f t="shared" si="124"/>
        <v>0</v>
      </c>
      <c r="AT325" s="1">
        <f t="shared" si="125"/>
        <v>0.125</v>
      </c>
      <c r="AU325" s="1">
        <f t="shared" si="126"/>
        <v>0.5</v>
      </c>
      <c r="AV325" s="1">
        <f t="shared" si="139"/>
        <v>0.68</v>
      </c>
      <c r="AX325" s="1">
        <f t="shared" si="140"/>
        <v>4</v>
      </c>
      <c r="AY325" s="1">
        <f t="shared" si="127"/>
        <v>3</v>
      </c>
      <c r="AZ325" s="1">
        <f t="shared" si="128"/>
        <v>0.75</v>
      </c>
      <c r="BA325" s="1">
        <f t="shared" si="129"/>
        <v>1.5</v>
      </c>
      <c r="BB325" s="1">
        <f t="shared" si="130"/>
        <v>0.5</v>
      </c>
      <c r="BC325" s="1">
        <f t="shared" si="131"/>
        <v>0.5</v>
      </c>
      <c r="BD325" s="1">
        <f t="shared" si="141"/>
        <v>0.18000000000000005</v>
      </c>
      <c r="BF325">
        <f t="shared" si="132"/>
        <v>12.5</v>
      </c>
      <c r="BG325">
        <f t="shared" si="133"/>
        <v>37.5</v>
      </c>
      <c r="BH325" s="1">
        <f t="shared" si="134"/>
        <v>4</v>
      </c>
      <c r="BI325" s="1">
        <f t="shared" si="135"/>
        <v>3</v>
      </c>
      <c r="BJ325" s="1">
        <f t="shared" si="142"/>
        <v>0.66999999999999993</v>
      </c>
      <c r="BK325" s="1">
        <f t="shared" si="143"/>
        <v>0.51391618121347293</v>
      </c>
      <c r="BL325" s="22">
        <f t="shared" si="144"/>
        <v>0.51391618121347293</v>
      </c>
      <c r="BM325" s="1">
        <f t="shared" si="136"/>
        <v>2.7583834862715977E-2</v>
      </c>
      <c r="BN325" s="1">
        <f t="shared" si="137"/>
        <v>7.4179465776574485E-2</v>
      </c>
    </row>
    <row r="326" spans="1:66" x14ac:dyDescent="0.25">
      <c r="A326" s="3"/>
      <c r="B326" s="3"/>
      <c r="C326" t="s">
        <v>550</v>
      </c>
      <c r="D326" s="5">
        <v>1</v>
      </c>
      <c r="E326" s="9">
        <f t="shared" si="121"/>
        <v>43.693693693693703</v>
      </c>
      <c r="F326" s="9">
        <f t="shared" si="122"/>
        <v>0.8</v>
      </c>
      <c r="G326">
        <v>0</v>
      </c>
      <c r="H326">
        <v>11.261261261261261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43.693693693693703</v>
      </c>
      <c r="P326">
        <v>0</v>
      </c>
      <c r="Q326">
        <v>45.04504504504505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56.999999999999993</v>
      </c>
      <c r="AK326" t="s">
        <v>1</v>
      </c>
      <c r="AL326" t="s">
        <v>372</v>
      </c>
      <c r="AQ326" s="1">
        <f t="shared" si="138"/>
        <v>100.00000000000001</v>
      </c>
      <c r="AR326" s="1">
        <f t="shared" si="123"/>
        <v>0.43693693693693703</v>
      </c>
      <c r="AS326" s="1">
        <f t="shared" si="124"/>
        <v>0</v>
      </c>
      <c r="AT326" s="1">
        <f t="shared" si="125"/>
        <v>0.11261261261261261</v>
      </c>
      <c r="AU326" s="1">
        <f t="shared" si="126"/>
        <v>0.45045045045045051</v>
      </c>
      <c r="AV326" s="1">
        <f t="shared" si="139"/>
        <v>0.56999999999999995</v>
      </c>
      <c r="AX326" s="1">
        <f t="shared" si="140"/>
        <v>4.0000000000000009</v>
      </c>
      <c r="AY326" s="1">
        <f t="shared" si="127"/>
        <v>3.8800000000000008</v>
      </c>
      <c r="AZ326" s="1">
        <f t="shared" si="128"/>
        <v>0.75</v>
      </c>
      <c r="BA326" s="1">
        <f t="shared" si="129"/>
        <v>1.5000000000000002</v>
      </c>
      <c r="BB326" s="1">
        <f t="shared" si="130"/>
        <v>0.35333333333333328</v>
      </c>
      <c r="BC326" s="1">
        <f t="shared" si="131"/>
        <v>0.35333333333333328</v>
      </c>
      <c r="BD326" s="1">
        <f t="shared" si="141"/>
        <v>0.21666666666666667</v>
      </c>
      <c r="BF326">
        <f t="shared" si="132"/>
        <v>11.261261261261261</v>
      </c>
      <c r="BG326">
        <f t="shared" si="133"/>
        <v>43.693693693693703</v>
      </c>
      <c r="BH326" s="1">
        <f t="shared" si="134"/>
        <v>4.0000000000000009</v>
      </c>
      <c r="BI326" s="1">
        <f t="shared" si="135"/>
        <v>3.8800000000000008</v>
      </c>
      <c r="BJ326" s="1">
        <f t="shared" si="142"/>
        <v>0.67</v>
      </c>
      <c r="BK326" s="1">
        <f t="shared" si="143"/>
        <v>0.33545088090017366</v>
      </c>
      <c r="BL326" s="22">
        <f t="shared" si="144"/>
        <v>0.33545088090017366</v>
      </c>
      <c r="BM326" s="1">
        <f t="shared" si="136"/>
        <v>5.5013289270504494E-2</v>
      </c>
      <c r="BN326" s="1">
        <f t="shared" si="137"/>
        <v>2.6360469259725097E-2</v>
      </c>
    </row>
    <row r="327" spans="1:66" x14ac:dyDescent="0.25">
      <c r="A327" s="3"/>
      <c r="B327" s="3"/>
      <c r="C327" t="s">
        <v>153</v>
      </c>
      <c r="D327" s="5">
        <v>1</v>
      </c>
      <c r="E327" s="9">
        <f t="shared" si="121"/>
        <v>25</v>
      </c>
      <c r="F327" s="9">
        <f t="shared" si="122"/>
        <v>0.95238095238095233</v>
      </c>
      <c r="G327">
        <v>22.5</v>
      </c>
      <c r="H327">
        <v>2.5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25</v>
      </c>
      <c r="P327">
        <v>0</v>
      </c>
      <c r="Q327">
        <v>50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13</v>
      </c>
      <c r="AK327" t="s">
        <v>1</v>
      </c>
      <c r="AL327" t="s">
        <v>381</v>
      </c>
      <c r="AO327" t="s">
        <v>375</v>
      </c>
      <c r="AP327" t="s">
        <v>393</v>
      </c>
      <c r="AQ327" s="1">
        <f t="shared" si="138"/>
        <v>100</v>
      </c>
      <c r="AR327" s="1">
        <f t="shared" si="123"/>
        <v>0.25</v>
      </c>
      <c r="AS327" s="1">
        <f t="shared" si="124"/>
        <v>0.22500000000000001</v>
      </c>
      <c r="AT327" s="1">
        <f t="shared" si="125"/>
        <v>2.5000000000000001E-2</v>
      </c>
      <c r="AU327" s="1">
        <f t="shared" si="126"/>
        <v>0.5</v>
      </c>
      <c r="AV327" s="1">
        <f t="shared" si="139"/>
        <v>0.13</v>
      </c>
      <c r="AX327" s="1">
        <f t="shared" si="140"/>
        <v>2</v>
      </c>
      <c r="AY327" s="1">
        <f t="shared" si="127"/>
        <v>1</v>
      </c>
      <c r="AZ327" s="1">
        <f t="shared" si="128"/>
        <v>0.625</v>
      </c>
      <c r="BA327" s="1">
        <f t="shared" si="129"/>
        <v>1</v>
      </c>
      <c r="BB327" s="1">
        <f t="shared" si="130"/>
        <v>0.625</v>
      </c>
      <c r="BC327" s="1">
        <f t="shared" si="131"/>
        <v>0.625</v>
      </c>
      <c r="BD327" s="1">
        <f t="shared" si="141"/>
        <v>0.495</v>
      </c>
      <c r="BF327">
        <f t="shared" si="132"/>
        <v>92.5</v>
      </c>
      <c r="BG327">
        <f t="shared" si="133"/>
        <v>25</v>
      </c>
      <c r="BH327" s="1">
        <f t="shared" si="134"/>
        <v>0.54054054054054057</v>
      </c>
      <c r="BI327" s="1">
        <f t="shared" si="135"/>
        <v>0.27027027027027029</v>
      </c>
      <c r="BJ327" s="1">
        <f t="shared" si="142"/>
        <v>0.46243243243243243</v>
      </c>
      <c r="BK327" s="1">
        <f t="shared" si="143"/>
        <v>0.27027027027027029</v>
      </c>
      <c r="BL327" s="22">
        <f t="shared" si="144"/>
        <v>0.27027027027027029</v>
      </c>
      <c r="BM327" s="1">
        <f t="shared" si="136"/>
        <v>1.9675748721694669E-2</v>
      </c>
      <c r="BN327" s="1">
        <f t="shared" si="137"/>
        <v>7.7084483192327746E-2</v>
      </c>
    </row>
    <row r="328" spans="1:66" x14ac:dyDescent="0.25">
      <c r="A328" s="3"/>
      <c r="B328" s="3"/>
      <c r="C328" t="s">
        <v>154</v>
      </c>
      <c r="D328" s="5">
        <v>1</v>
      </c>
      <c r="E328" s="9">
        <f t="shared" si="121"/>
        <v>25.012499999999999</v>
      </c>
      <c r="F328" s="9">
        <f t="shared" si="122"/>
        <v>0.93021632937892529</v>
      </c>
      <c r="G328">
        <v>21.25</v>
      </c>
      <c r="H328">
        <v>3.75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25.012499999999999</v>
      </c>
      <c r="P328">
        <v>0</v>
      </c>
      <c r="Q328">
        <v>49.987499999999997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18</v>
      </c>
      <c r="AK328" t="s">
        <v>1</v>
      </c>
      <c r="AL328" t="s">
        <v>381</v>
      </c>
      <c r="AQ328" s="1">
        <f t="shared" si="138"/>
        <v>100</v>
      </c>
      <c r="AR328" s="1">
        <f t="shared" si="123"/>
        <v>0.25012499999999999</v>
      </c>
      <c r="AS328" s="1">
        <f t="shared" si="124"/>
        <v>0.21249999999999999</v>
      </c>
      <c r="AT328" s="1">
        <f t="shared" si="125"/>
        <v>3.7499999999999999E-2</v>
      </c>
      <c r="AU328" s="1">
        <f t="shared" si="126"/>
        <v>0.49987499999999996</v>
      </c>
      <c r="AV328" s="1">
        <f t="shared" si="139"/>
        <v>0.18</v>
      </c>
      <c r="AX328" s="1">
        <f t="shared" si="140"/>
        <v>1.9994999999999998</v>
      </c>
      <c r="AY328" s="1">
        <f t="shared" si="127"/>
        <v>1.0004999999999999</v>
      </c>
      <c r="AZ328" s="1">
        <f t="shared" si="128"/>
        <v>0.62496874999999996</v>
      </c>
      <c r="BA328" s="1">
        <f t="shared" si="129"/>
        <v>0.99987499999999996</v>
      </c>
      <c r="BB328" s="1">
        <f t="shared" si="130"/>
        <v>0.62483853189982075</v>
      </c>
      <c r="BC328" s="1">
        <f t="shared" si="131"/>
        <v>0.62483853189982075</v>
      </c>
      <c r="BD328" s="1">
        <f t="shared" si="141"/>
        <v>0.44483853189982075</v>
      </c>
      <c r="BF328">
        <f t="shared" si="132"/>
        <v>88.75</v>
      </c>
      <c r="BG328">
        <f t="shared" si="133"/>
        <v>25.012499999999999</v>
      </c>
      <c r="BH328" s="1">
        <f t="shared" si="134"/>
        <v>0.56323943661971831</v>
      </c>
      <c r="BI328" s="1">
        <f t="shared" si="135"/>
        <v>0.28183098591549294</v>
      </c>
      <c r="BJ328" s="1">
        <f t="shared" si="142"/>
        <v>0.46379436619718306</v>
      </c>
      <c r="BK328" s="1">
        <f t="shared" si="143"/>
        <v>0.28183098591549294</v>
      </c>
      <c r="BL328" s="22">
        <f t="shared" si="144"/>
        <v>0.28183098591549294</v>
      </c>
      <c r="BM328" s="1">
        <f t="shared" si="136"/>
        <v>1.0369549692521322E-2</v>
      </c>
      <c r="BN328" s="1">
        <f t="shared" si="137"/>
        <v>5.1820390699986542E-2</v>
      </c>
    </row>
    <row r="329" spans="1:66" x14ac:dyDescent="0.25">
      <c r="A329" s="3"/>
      <c r="B329" s="3"/>
      <c r="C329" t="s">
        <v>155</v>
      </c>
      <c r="D329" s="5">
        <v>1</v>
      </c>
      <c r="E329" s="9">
        <f t="shared" si="121"/>
        <v>25</v>
      </c>
      <c r="F329" s="9">
        <f t="shared" si="122"/>
        <v>0.90909090909090906</v>
      </c>
      <c r="G329">
        <v>20</v>
      </c>
      <c r="H329">
        <v>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25</v>
      </c>
      <c r="P329">
        <v>0</v>
      </c>
      <c r="Q329">
        <v>50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33</v>
      </c>
      <c r="AK329" t="s">
        <v>1</v>
      </c>
      <c r="AL329" t="s">
        <v>381</v>
      </c>
      <c r="AQ329" s="1">
        <f t="shared" si="138"/>
        <v>100</v>
      </c>
      <c r="AR329" s="1">
        <f t="shared" si="123"/>
        <v>0.25</v>
      </c>
      <c r="AS329" s="1">
        <f t="shared" si="124"/>
        <v>0.2</v>
      </c>
      <c r="AT329" s="1">
        <f t="shared" si="125"/>
        <v>0.05</v>
      </c>
      <c r="AU329" s="1">
        <f t="shared" si="126"/>
        <v>0.5</v>
      </c>
      <c r="AV329" s="1">
        <f t="shared" si="139"/>
        <v>0.33</v>
      </c>
      <c r="AX329" s="1">
        <f t="shared" si="140"/>
        <v>2</v>
      </c>
      <c r="AY329" s="1">
        <f t="shared" si="127"/>
        <v>1</v>
      </c>
      <c r="AZ329" s="1">
        <f t="shared" si="128"/>
        <v>0.625</v>
      </c>
      <c r="BA329" s="1">
        <f t="shared" si="129"/>
        <v>1</v>
      </c>
      <c r="BB329" s="1">
        <f t="shared" si="130"/>
        <v>0.625</v>
      </c>
      <c r="BC329" s="1">
        <f t="shared" si="131"/>
        <v>0.625</v>
      </c>
      <c r="BD329" s="1">
        <f t="shared" si="141"/>
        <v>0.29499999999999998</v>
      </c>
      <c r="BF329">
        <f t="shared" si="132"/>
        <v>85</v>
      </c>
      <c r="BG329">
        <f t="shared" si="133"/>
        <v>25</v>
      </c>
      <c r="BH329" s="1">
        <f t="shared" si="134"/>
        <v>0.58823529411764708</v>
      </c>
      <c r="BI329" s="1">
        <f t="shared" si="135"/>
        <v>0.29411764705882354</v>
      </c>
      <c r="BJ329" s="1">
        <f t="shared" si="142"/>
        <v>0.4652941176470588</v>
      </c>
      <c r="BK329" s="1">
        <f t="shared" si="143"/>
        <v>0.29411764705882354</v>
      </c>
      <c r="BL329" s="22">
        <f t="shared" si="144"/>
        <v>0.29411764705882354</v>
      </c>
      <c r="BM329" s="1">
        <f t="shared" si="136"/>
        <v>1.2875432525951561E-3</v>
      </c>
      <c r="BN329" s="1">
        <f t="shared" si="137"/>
        <v>6.0281132229629093E-3</v>
      </c>
    </row>
    <row r="330" spans="1:66" x14ac:dyDescent="0.25">
      <c r="A330" s="3"/>
      <c r="B330" s="3"/>
      <c r="C330" t="s">
        <v>156</v>
      </c>
      <c r="D330" s="5">
        <v>1</v>
      </c>
      <c r="E330" s="9">
        <f t="shared" si="121"/>
        <v>25</v>
      </c>
      <c r="F330" s="9">
        <f t="shared" si="122"/>
        <v>0.83333333333333337</v>
      </c>
      <c r="G330">
        <v>15</v>
      </c>
      <c r="H330">
        <v>10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25</v>
      </c>
      <c r="P330">
        <v>0</v>
      </c>
      <c r="Q330">
        <v>50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68</v>
      </c>
      <c r="AK330" t="s">
        <v>1</v>
      </c>
      <c r="AL330" t="s">
        <v>381</v>
      </c>
      <c r="AQ330" s="1">
        <f t="shared" si="138"/>
        <v>100</v>
      </c>
      <c r="AR330" s="1">
        <f t="shared" si="123"/>
        <v>0.25</v>
      </c>
      <c r="AS330" s="1">
        <f t="shared" si="124"/>
        <v>0.15</v>
      </c>
      <c r="AT330" s="1">
        <f t="shared" si="125"/>
        <v>0.1</v>
      </c>
      <c r="AU330" s="1">
        <f t="shared" si="126"/>
        <v>0.5</v>
      </c>
      <c r="AV330" s="1">
        <f t="shared" si="139"/>
        <v>0.68</v>
      </c>
      <c r="AX330" s="1">
        <f t="shared" si="140"/>
        <v>2</v>
      </c>
      <c r="AY330" s="1">
        <f t="shared" si="127"/>
        <v>1</v>
      </c>
      <c r="AZ330" s="1">
        <f t="shared" si="128"/>
        <v>0.625</v>
      </c>
      <c r="BA330" s="1">
        <f t="shared" si="129"/>
        <v>1</v>
      </c>
      <c r="BB330" s="1">
        <f t="shared" si="130"/>
        <v>0.625</v>
      </c>
      <c r="BC330" s="1">
        <f t="shared" si="131"/>
        <v>0.625</v>
      </c>
      <c r="BD330" s="1">
        <f t="shared" si="141"/>
        <v>5.5000000000000049E-2</v>
      </c>
      <c r="BF330">
        <f t="shared" si="132"/>
        <v>70</v>
      </c>
      <c r="BG330">
        <f t="shared" si="133"/>
        <v>25</v>
      </c>
      <c r="BH330" s="1">
        <f t="shared" si="134"/>
        <v>0.7142857142857143</v>
      </c>
      <c r="BI330" s="1">
        <f t="shared" si="135"/>
        <v>0.35714285714285715</v>
      </c>
      <c r="BJ330" s="1">
        <f t="shared" si="142"/>
        <v>0.47285714285714286</v>
      </c>
      <c r="BK330" s="1">
        <f t="shared" si="143"/>
        <v>0.35714285714285715</v>
      </c>
      <c r="BL330" s="22">
        <f t="shared" si="144"/>
        <v>0.35714285714285715</v>
      </c>
      <c r="BM330" s="1">
        <f t="shared" si="136"/>
        <v>0.10423673469387758</v>
      </c>
      <c r="BN330" s="1">
        <f t="shared" si="137"/>
        <v>7.4179465776574485E-2</v>
      </c>
    </row>
    <row r="331" spans="1:66" x14ac:dyDescent="0.25">
      <c r="A331" s="3"/>
      <c r="B331" s="3"/>
      <c r="C331" t="s">
        <v>157</v>
      </c>
      <c r="D331" s="5">
        <v>1</v>
      </c>
      <c r="E331" s="9">
        <f t="shared" si="121"/>
        <v>25.05</v>
      </c>
      <c r="F331" s="9">
        <f t="shared" si="122"/>
        <v>0.76905311778290997</v>
      </c>
      <c r="G331">
        <v>10</v>
      </c>
      <c r="H331">
        <v>15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25.05</v>
      </c>
      <c r="P331">
        <v>0</v>
      </c>
      <c r="Q331">
        <v>49.95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78</v>
      </c>
      <c r="AK331" t="s">
        <v>1</v>
      </c>
      <c r="AL331" t="s">
        <v>381</v>
      </c>
      <c r="AQ331" s="1">
        <f t="shared" si="138"/>
        <v>100</v>
      </c>
      <c r="AR331" s="1">
        <f t="shared" si="123"/>
        <v>0.2505</v>
      </c>
      <c r="AS331" s="1">
        <f t="shared" si="124"/>
        <v>0.1</v>
      </c>
      <c r="AT331" s="1">
        <f t="shared" si="125"/>
        <v>0.15</v>
      </c>
      <c r="AU331" s="1">
        <f t="shared" si="126"/>
        <v>0.49950000000000006</v>
      </c>
      <c r="AV331" s="1">
        <f t="shared" si="139"/>
        <v>0.78</v>
      </c>
      <c r="AX331" s="1">
        <f t="shared" si="140"/>
        <v>1.9980000000000002</v>
      </c>
      <c r="AY331" s="1">
        <f t="shared" si="127"/>
        <v>1.002</v>
      </c>
      <c r="AZ331" s="1">
        <f t="shared" si="128"/>
        <v>0.62487500000000007</v>
      </c>
      <c r="BA331" s="1">
        <f t="shared" si="129"/>
        <v>0.99950000000000006</v>
      </c>
      <c r="BB331" s="1">
        <f t="shared" si="130"/>
        <v>0.62435401033850269</v>
      </c>
      <c r="BC331" s="1">
        <f t="shared" si="131"/>
        <v>0.62435401033850269</v>
      </c>
      <c r="BD331" s="1">
        <f t="shared" si="141"/>
        <v>0.15564598966149734</v>
      </c>
      <c r="BF331">
        <f t="shared" si="132"/>
        <v>55</v>
      </c>
      <c r="BG331">
        <f t="shared" si="133"/>
        <v>25.05</v>
      </c>
      <c r="BH331" s="1">
        <f t="shared" si="134"/>
        <v>0.9081818181818182</v>
      </c>
      <c r="BI331" s="1">
        <f t="shared" si="135"/>
        <v>0.45545454545454545</v>
      </c>
      <c r="BJ331" s="1">
        <f t="shared" si="142"/>
        <v>0.48449090909090908</v>
      </c>
      <c r="BK331" s="1">
        <f t="shared" si="143"/>
        <v>0.45545454545454545</v>
      </c>
      <c r="BL331" s="22">
        <f t="shared" si="144"/>
        <v>0.45545454545454545</v>
      </c>
      <c r="BM331" s="1">
        <f t="shared" si="136"/>
        <v>0.10532975206611572</v>
      </c>
      <c r="BN331" s="1">
        <f t="shared" si="137"/>
        <v>0.13865128079189207</v>
      </c>
    </row>
    <row r="332" spans="1:66" x14ac:dyDescent="0.25">
      <c r="A332" s="3"/>
      <c r="B332" s="3"/>
      <c r="C332" t="s">
        <v>158</v>
      </c>
      <c r="D332" s="5">
        <v>1</v>
      </c>
      <c r="E332" s="9">
        <f t="shared" si="121"/>
        <v>25</v>
      </c>
      <c r="F332" s="9">
        <f t="shared" si="122"/>
        <v>0.7142857142857143</v>
      </c>
      <c r="G332">
        <v>4.9999999999999991</v>
      </c>
      <c r="H332">
        <v>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25</v>
      </c>
      <c r="P332">
        <v>0</v>
      </c>
      <c r="Q332">
        <v>50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83</v>
      </c>
      <c r="AK332" t="s">
        <v>1</v>
      </c>
      <c r="AL332" t="s">
        <v>381</v>
      </c>
      <c r="AQ332" s="1">
        <f t="shared" si="138"/>
        <v>100</v>
      </c>
      <c r="AR332" s="1">
        <f t="shared" si="123"/>
        <v>0.25</v>
      </c>
      <c r="AS332" s="1">
        <f t="shared" si="124"/>
        <v>4.9999999999999989E-2</v>
      </c>
      <c r="AT332" s="1">
        <f t="shared" si="125"/>
        <v>0.2</v>
      </c>
      <c r="AU332" s="1">
        <f t="shared" si="126"/>
        <v>0.5</v>
      </c>
      <c r="AV332" s="1">
        <f t="shared" si="139"/>
        <v>0.83</v>
      </c>
      <c r="AX332" s="1">
        <f t="shared" si="140"/>
        <v>2</v>
      </c>
      <c r="AY332" s="1">
        <f t="shared" si="127"/>
        <v>1</v>
      </c>
      <c r="AZ332" s="1">
        <f t="shared" si="128"/>
        <v>0.625</v>
      </c>
      <c r="BA332" s="1">
        <f t="shared" si="129"/>
        <v>1</v>
      </c>
      <c r="BB332" s="1">
        <f t="shared" si="130"/>
        <v>0.625</v>
      </c>
      <c r="BC332" s="1">
        <f t="shared" si="131"/>
        <v>0.625</v>
      </c>
      <c r="BD332" s="1">
        <f t="shared" si="141"/>
        <v>0.20499999999999996</v>
      </c>
      <c r="BF332">
        <f t="shared" si="132"/>
        <v>40</v>
      </c>
      <c r="BG332">
        <f t="shared" si="133"/>
        <v>25</v>
      </c>
      <c r="BH332" s="1">
        <f t="shared" si="134"/>
        <v>1.25</v>
      </c>
      <c r="BI332" s="1">
        <f t="shared" si="135"/>
        <v>0.625</v>
      </c>
      <c r="BJ332" s="1">
        <f t="shared" si="142"/>
        <v>0.505</v>
      </c>
      <c r="BK332" s="1">
        <f t="shared" si="143"/>
        <v>0.49259667653996542</v>
      </c>
      <c r="BL332" s="22">
        <f t="shared" si="144"/>
        <v>0.49259667653996542</v>
      </c>
      <c r="BM332" s="1">
        <f t="shared" si="136"/>
        <v>0.11384100268187669</v>
      </c>
      <c r="BN332" s="1">
        <f t="shared" si="137"/>
        <v>0.1783871882995508</v>
      </c>
    </row>
    <row r="333" spans="1:66" x14ac:dyDescent="0.25">
      <c r="A333" s="3"/>
      <c r="B333" s="3"/>
      <c r="C333" t="s">
        <v>49</v>
      </c>
      <c r="D333" s="5">
        <v>1</v>
      </c>
      <c r="E333" s="9">
        <f t="shared" si="121"/>
        <v>25</v>
      </c>
      <c r="F333" s="9">
        <f t="shared" si="122"/>
        <v>0.66666666666666663</v>
      </c>
      <c r="G333">
        <v>0</v>
      </c>
      <c r="H333">
        <v>25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25</v>
      </c>
      <c r="P333">
        <v>0</v>
      </c>
      <c r="Q333">
        <v>50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85</v>
      </c>
      <c r="AK333" t="s">
        <v>1</v>
      </c>
      <c r="AL333" t="s">
        <v>381</v>
      </c>
      <c r="AQ333" s="1">
        <f t="shared" si="138"/>
        <v>100</v>
      </c>
      <c r="AR333" s="1">
        <f t="shared" si="123"/>
        <v>0.25</v>
      </c>
      <c r="AS333" s="1">
        <f t="shared" si="124"/>
        <v>0</v>
      </c>
      <c r="AT333" s="1">
        <f t="shared" si="125"/>
        <v>0.25</v>
      </c>
      <c r="AU333" s="1">
        <f t="shared" si="126"/>
        <v>0.5</v>
      </c>
      <c r="AV333" s="1">
        <f t="shared" si="139"/>
        <v>0.85</v>
      </c>
      <c r="AX333" s="1">
        <f t="shared" si="140"/>
        <v>2</v>
      </c>
      <c r="AY333" s="1">
        <f t="shared" si="127"/>
        <v>1</v>
      </c>
      <c r="AZ333" s="1">
        <f t="shared" si="128"/>
        <v>0.625</v>
      </c>
      <c r="BA333" s="1">
        <f t="shared" si="129"/>
        <v>1</v>
      </c>
      <c r="BB333" s="1">
        <f t="shared" si="130"/>
        <v>0.625</v>
      </c>
      <c r="BC333" s="1">
        <f t="shared" si="131"/>
        <v>0.625</v>
      </c>
      <c r="BD333" s="1">
        <f t="shared" si="141"/>
        <v>0.22499999999999998</v>
      </c>
      <c r="BF333">
        <f t="shared" si="132"/>
        <v>25</v>
      </c>
      <c r="BG333">
        <f t="shared" si="133"/>
        <v>25</v>
      </c>
      <c r="BH333" s="1">
        <f t="shared" si="134"/>
        <v>2</v>
      </c>
      <c r="BI333" s="1">
        <f t="shared" si="135"/>
        <v>1</v>
      </c>
      <c r="BJ333" s="1">
        <f t="shared" si="142"/>
        <v>0.55000000000000004</v>
      </c>
      <c r="BK333" s="1">
        <f t="shared" si="143"/>
        <v>0.56694271147394415</v>
      </c>
      <c r="BL333" s="22">
        <f t="shared" si="144"/>
        <v>0.56694271147394415</v>
      </c>
      <c r="BM333" s="1">
        <f t="shared" si="136"/>
        <v>8.0121428587722809E-2</v>
      </c>
      <c r="BN333" s="1">
        <f t="shared" si="137"/>
        <v>0.19568155130261433</v>
      </c>
    </row>
    <row r="334" spans="1:66" x14ac:dyDescent="0.25">
      <c r="A334" s="3"/>
      <c r="B334" s="3"/>
      <c r="C334" t="s">
        <v>161</v>
      </c>
      <c r="D334" s="5">
        <v>1</v>
      </c>
      <c r="E334" s="9">
        <f t="shared" si="121"/>
        <v>25</v>
      </c>
      <c r="F334" s="9">
        <f t="shared" si="122"/>
        <v>0.97560975609756095</v>
      </c>
      <c r="G334">
        <v>23.75</v>
      </c>
      <c r="H334">
        <v>1.25</v>
      </c>
      <c r="I334">
        <v>0</v>
      </c>
      <c r="J334">
        <v>0</v>
      </c>
      <c r="K334">
        <v>0</v>
      </c>
      <c r="L334">
        <v>0</v>
      </c>
      <c r="M334">
        <v>25</v>
      </c>
      <c r="N334">
        <v>0</v>
      </c>
      <c r="O334">
        <v>0</v>
      </c>
      <c r="P334">
        <v>0</v>
      </c>
      <c r="Q334">
        <v>50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10</v>
      </c>
      <c r="AK334" t="s">
        <v>1</v>
      </c>
      <c r="AL334" t="s">
        <v>381</v>
      </c>
      <c r="AQ334" s="1">
        <f t="shared" si="138"/>
        <v>100</v>
      </c>
      <c r="AR334" s="1">
        <f t="shared" si="123"/>
        <v>0.25</v>
      </c>
      <c r="AS334" s="1">
        <f t="shared" si="124"/>
        <v>0.23749999999999999</v>
      </c>
      <c r="AT334" s="1">
        <f t="shared" si="125"/>
        <v>1.2500000000000001E-2</v>
      </c>
      <c r="AU334" s="1">
        <f t="shared" si="126"/>
        <v>0.5</v>
      </c>
      <c r="AV334" s="1">
        <f t="shared" si="139"/>
        <v>0.1</v>
      </c>
      <c r="AX334" s="1">
        <f t="shared" si="140"/>
        <v>2</v>
      </c>
      <c r="AY334" s="1">
        <f t="shared" si="127"/>
        <v>1</v>
      </c>
      <c r="AZ334" s="1">
        <f t="shared" si="128"/>
        <v>0.625</v>
      </c>
      <c r="BA334" s="1">
        <f t="shared" si="129"/>
        <v>1</v>
      </c>
      <c r="BB334" s="1">
        <f t="shared" si="130"/>
        <v>0.625</v>
      </c>
      <c r="BC334" s="1">
        <f t="shared" si="131"/>
        <v>0.625</v>
      </c>
      <c r="BD334" s="1">
        <f t="shared" si="141"/>
        <v>0.52500000000000002</v>
      </c>
      <c r="BF334">
        <f t="shared" si="132"/>
        <v>96.25</v>
      </c>
      <c r="BG334">
        <f t="shared" si="133"/>
        <v>25</v>
      </c>
      <c r="BH334" s="1">
        <f t="shared" si="134"/>
        <v>0.51948051948051943</v>
      </c>
      <c r="BI334" s="1">
        <f t="shared" si="135"/>
        <v>0.25974025974025972</v>
      </c>
      <c r="BJ334" s="1">
        <f t="shared" si="142"/>
        <v>0.46116883116883117</v>
      </c>
      <c r="BK334" s="1">
        <f t="shared" si="143"/>
        <v>0.25974025974025972</v>
      </c>
      <c r="BL334" s="22">
        <f t="shared" si="144"/>
        <v>0.25974025974025972</v>
      </c>
      <c r="BM334" s="1">
        <f t="shared" si="136"/>
        <v>2.5516950581885637E-2</v>
      </c>
      <c r="BN334" s="1">
        <f t="shared" si="137"/>
        <v>9.4642938687732478E-2</v>
      </c>
    </row>
    <row r="335" spans="1:66" x14ac:dyDescent="0.25">
      <c r="A335" s="3"/>
      <c r="B335" s="3"/>
      <c r="C335" t="s">
        <v>160</v>
      </c>
      <c r="D335" s="5">
        <v>1</v>
      </c>
      <c r="E335" s="9">
        <f t="shared" si="121"/>
        <v>25</v>
      </c>
      <c r="F335" s="9">
        <f t="shared" si="122"/>
        <v>0.95238095238095233</v>
      </c>
      <c r="G335">
        <v>22.5</v>
      </c>
      <c r="H335">
        <v>2.5</v>
      </c>
      <c r="I335">
        <v>0</v>
      </c>
      <c r="J335">
        <v>0</v>
      </c>
      <c r="K335">
        <v>0</v>
      </c>
      <c r="L335">
        <v>0</v>
      </c>
      <c r="M335">
        <v>25</v>
      </c>
      <c r="N335">
        <v>0</v>
      </c>
      <c r="O335">
        <v>0</v>
      </c>
      <c r="P335">
        <v>0</v>
      </c>
      <c r="Q335">
        <v>50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11</v>
      </c>
      <c r="AK335" t="s">
        <v>1</v>
      </c>
      <c r="AL335" t="s">
        <v>381</v>
      </c>
      <c r="AQ335" s="1">
        <f t="shared" si="138"/>
        <v>100</v>
      </c>
      <c r="AR335" s="1">
        <f t="shared" si="123"/>
        <v>0.25</v>
      </c>
      <c r="AS335" s="1">
        <f t="shared" si="124"/>
        <v>0.22500000000000001</v>
      </c>
      <c r="AT335" s="1">
        <f t="shared" si="125"/>
        <v>2.5000000000000001E-2</v>
      </c>
      <c r="AU335" s="1">
        <f t="shared" si="126"/>
        <v>0.5</v>
      </c>
      <c r="AV335" s="1">
        <f t="shared" si="139"/>
        <v>0.11</v>
      </c>
      <c r="AX335" s="1">
        <f t="shared" si="140"/>
        <v>2</v>
      </c>
      <c r="AY335" s="1">
        <f t="shared" si="127"/>
        <v>1</v>
      </c>
      <c r="AZ335" s="1">
        <f t="shared" si="128"/>
        <v>0.625</v>
      </c>
      <c r="BA335" s="1">
        <f t="shared" si="129"/>
        <v>1</v>
      </c>
      <c r="BB335" s="1">
        <f t="shared" si="130"/>
        <v>0.625</v>
      </c>
      <c r="BC335" s="1">
        <f t="shared" si="131"/>
        <v>0.625</v>
      </c>
      <c r="BD335" s="1">
        <f t="shared" si="141"/>
        <v>0.51500000000000001</v>
      </c>
      <c r="BF335">
        <f t="shared" si="132"/>
        <v>92.5</v>
      </c>
      <c r="BG335">
        <f t="shared" si="133"/>
        <v>25</v>
      </c>
      <c r="BH335" s="1">
        <f t="shared" si="134"/>
        <v>0.54054054054054057</v>
      </c>
      <c r="BI335" s="1">
        <f t="shared" si="135"/>
        <v>0.27027027027027029</v>
      </c>
      <c r="BJ335" s="1">
        <f t="shared" si="142"/>
        <v>0.46243243243243243</v>
      </c>
      <c r="BK335" s="1">
        <f t="shared" si="143"/>
        <v>0.27027027027027029</v>
      </c>
      <c r="BL335" s="22">
        <f t="shared" si="144"/>
        <v>0.27027027027027029</v>
      </c>
      <c r="BM335" s="1">
        <f t="shared" si="136"/>
        <v>2.5686559532505489E-2</v>
      </c>
      <c r="BN335" s="1">
        <f t="shared" si="137"/>
        <v>8.8590120189264238E-2</v>
      </c>
    </row>
    <row r="336" spans="1:66" x14ac:dyDescent="0.25">
      <c r="A336" s="3"/>
      <c r="B336" s="3"/>
      <c r="C336" t="s">
        <v>159</v>
      </c>
      <c r="D336" s="5">
        <v>1</v>
      </c>
      <c r="E336" s="9">
        <f t="shared" si="121"/>
        <v>25.012499999999999</v>
      </c>
      <c r="F336" s="9">
        <f t="shared" si="122"/>
        <v>0.93021632937892529</v>
      </c>
      <c r="G336">
        <v>21.25</v>
      </c>
      <c r="H336">
        <v>3.75</v>
      </c>
      <c r="I336">
        <v>0</v>
      </c>
      <c r="J336">
        <v>0</v>
      </c>
      <c r="K336">
        <v>0</v>
      </c>
      <c r="L336">
        <v>0</v>
      </c>
      <c r="M336">
        <v>25.012499999999999</v>
      </c>
      <c r="N336">
        <v>0</v>
      </c>
      <c r="O336">
        <v>0</v>
      </c>
      <c r="P336">
        <v>0</v>
      </c>
      <c r="Q336">
        <v>49.987499999999997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17</v>
      </c>
      <c r="AK336" t="s">
        <v>1</v>
      </c>
      <c r="AL336" t="s">
        <v>381</v>
      </c>
      <c r="AQ336" s="1">
        <f t="shared" si="138"/>
        <v>100</v>
      </c>
      <c r="AR336" s="1">
        <f t="shared" si="123"/>
        <v>0.25012499999999999</v>
      </c>
      <c r="AS336" s="1">
        <f t="shared" si="124"/>
        <v>0.21249999999999999</v>
      </c>
      <c r="AT336" s="1">
        <f t="shared" si="125"/>
        <v>3.7499999999999999E-2</v>
      </c>
      <c r="AU336" s="1">
        <f t="shared" si="126"/>
        <v>0.49987499999999996</v>
      </c>
      <c r="AV336" s="1">
        <f t="shared" si="139"/>
        <v>0.17</v>
      </c>
      <c r="AX336" s="1">
        <f t="shared" si="140"/>
        <v>1.9994999999999998</v>
      </c>
      <c r="AY336" s="1">
        <f t="shared" si="127"/>
        <v>1.0004999999999999</v>
      </c>
      <c r="AZ336" s="1">
        <f t="shared" si="128"/>
        <v>0.62496874999999996</v>
      </c>
      <c r="BA336" s="1">
        <f t="shared" si="129"/>
        <v>0.99987499999999996</v>
      </c>
      <c r="BB336" s="1">
        <f t="shared" si="130"/>
        <v>0.62483853189982075</v>
      </c>
      <c r="BC336" s="1">
        <f t="shared" si="131"/>
        <v>0.62483853189982075</v>
      </c>
      <c r="BD336" s="1">
        <f t="shared" si="141"/>
        <v>0.45483853189982071</v>
      </c>
      <c r="BF336">
        <f t="shared" si="132"/>
        <v>88.75</v>
      </c>
      <c r="BG336">
        <f t="shared" si="133"/>
        <v>25.012499999999999</v>
      </c>
      <c r="BH336" s="1">
        <f t="shared" si="134"/>
        <v>0.56323943661971831</v>
      </c>
      <c r="BI336" s="1">
        <f t="shared" si="135"/>
        <v>0.28183098591549294</v>
      </c>
      <c r="BJ336" s="1">
        <f t="shared" si="142"/>
        <v>0.46379436619718306</v>
      </c>
      <c r="BK336" s="1">
        <f t="shared" si="143"/>
        <v>0.28183098591549294</v>
      </c>
      <c r="BL336" s="22">
        <f t="shared" si="144"/>
        <v>0.28183098591549294</v>
      </c>
      <c r="BM336" s="1">
        <f t="shared" si="136"/>
        <v>1.2506169410831177E-2</v>
      </c>
      <c r="BN336" s="1">
        <f t="shared" si="137"/>
        <v>5.647320919845477E-2</v>
      </c>
    </row>
    <row r="337" spans="1:66" x14ac:dyDescent="0.25">
      <c r="A337" s="3"/>
      <c r="B337" s="3"/>
      <c r="C337" t="s">
        <v>162</v>
      </c>
      <c r="D337" s="5">
        <v>1</v>
      </c>
      <c r="E337" s="9">
        <f t="shared" si="121"/>
        <v>14.3</v>
      </c>
      <c r="F337" s="9">
        <f t="shared" si="122"/>
        <v>0.33372228704784129</v>
      </c>
      <c r="G337">
        <v>0</v>
      </c>
      <c r="H337">
        <v>57.1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14.3</v>
      </c>
      <c r="P337">
        <v>0</v>
      </c>
      <c r="Q337">
        <v>28.6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23.2</v>
      </c>
      <c r="AK337" t="s">
        <v>1</v>
      </c>
      <c r="AL337" t="s">
        <v>372</v>
      </c>
      <c r="AO337" t="s">
        <v>375</v>
      </c>
      <c r="AQ337" s="1">
        <f t="shared" si="138"/>
        <v>100</v>
      </c>
      <c r="AR337" s="1">
        <f t="shared" si="123"/>
        <v>0.14300000000000002</v>
      </c>
      <c r="AS337" s="1">
        <f t="shared" si="124"/>
        <v>0</v>
      </c>
      <c r="AT337" s="1">
        <f t="shared" si="125"/>
        <v>0.57100000000000006</v>
      </c>
      <c r="AU337" s="1">
        <f t="shared" si="126"/>
        <v>0.28600000000000003</v>
      </c>
      <c r="AV337" s="1">
        <f t="shared" si="139"/>
        <v>0.23199999999999998</v>
      </c>
      <c r="AX337" s="1">
        <f t="shared" si="140"/>
        <v>0.50087565674255696</v>
      </c>
      <c r="AY337" s="1">
        <f t="shared" si="127"/>
        <v>0.25043782837127848</v>
      </c>
      <c r="AZ337" s="1">
        <f t="shared" si="128"/>
        <v>0.53130472854640987</v>
      </c>
      <c r="BA337" s="1">
        <f t="shared" si="129"/>
        <v>0.62521891418563924</v>
      </c>
      <c r="BB337" s="1">
        <f t="shared" si="130"/>
        <v>0.25043782837127848</v>
      </c>
      <c r="BC337" s="1">
        <f t="shared" si="131"/>
        <v>0.25043782837127848</v>
      </c>
      <c r="BD337" s="1">
        <f t="shared" si="141"/>
        <v>1.8437828371278497E-2</v>
      </c>
      <c r="BF337">
        <f t="shared" si="132"/>
        <v>57.1</v>
      </c>
      <c r="BG337">
        <f t="shared" si="133"/>
        <v>14.3</v>
      </c>
      <c r="BH337" s="1">
        <f t="shared" si="134"/>
        <v>0.50087565674255696</v>
      </c>
      <c r="BI337" s="1">
        <f t="shared" si="135"/>
        <v>0.25043782837127848</v>
      </c>
      <c r="BJ337" s="1">
        <f t="shared" si="142"/>
        <v>0.46005253940455343</v>
      </c>
      <c r="BK337" s="1">
        <f t="shared" si="143"/>
        <v>0.25043782837127848</v>
      </c>
      <c r="BL337" s="22">
        <f t="shared" si="144"/>
        <v>0.25043782837127848</v>
      </c>
      <c r="BM337" s="1">
        <f t="shared" si="136"/>
        <v>3.399535150487223E-4</v>
      </c>
      <c r="BN337" s="1">
        <f t="shared" si="137"/>
        <v>3.0849734507951684E-2</v>
      </c>
    </row>
    <row r="338" spans="1:66" x14ac:dyDescent="0.25">
      <c r="A338" s="3"/>
      <c r="B338" s="3"/>
      <c r="C338" t="s">
        <v>163</v>
      </c>
      <c r="D338" s="5">
        <v>1</v>
      </c>
      <c r="E338" s="9">
        <f t="shared" si="121"/>
        <v>25</v>
      </c>
      <c r="F338" s="9">
        <f t="shared" si="122"/>
        <v>0.33333333333333331</v>
      </c>
      <c r="G338">
        <v>0</v>
      </c>
      <c r="H338">
        <v>50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25</v>
      </c>
      <c r="P338">
        <v>0</v>
      </c>
      <c r="Q338">
        <v>25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42.7</v>
      </c>
      <c r="AK338" t="s">
        <v>1</v>
      </c>
      <c r="AL338" t="s">
        <v>372</v>
      </c>
      <c r="AQ338" s="1">
        <f t="shared" si="138"/>
        <v>100</v>
      </c>
      <c r="AR338" s="1">
        <f t="shared" si="123"/>
        <v>0.25</v>
      </c>
      <c r="AS338" s="1">
        <f t="shared" si="124"/>
        <v>0</v>
      </c>
      <c r="AT338" s="1">
        <f t="shared" si="125"/>
        <v>0.5</v>
      </c>
      <c r="AU338" s="1">
        <f t="shared" si="126"/>
        <v>0.25</v>
      </c>
      <c r="AV338" s="1">
        <f t="shared" si="139"/>
        <v>0.42700000000000005</v>
      </c>
      <c r="AX338" s="1">
        <f t="shared" si="140"/>
        <v>0.5</v>
      </c>
      <c r="AY338" s="1">
        <f t="shared" si="127"/>
        <v>0.5</v>
      </c>
      <c r="AZ338" s="1">
        <f t="shared" si="128"/>
        <v>0.53125</v>
      </c>
      <c r="BA338" s="1">
        <f t="shared" si="129"/>
        <v>0.625</v>
      </c>
      <c r="BB338" s="1">
        <f t="shared" si="130"/>
        <v>0.5</v>
      </c>
      <c r="BC338" s="1">
        <f t="shared" si="131"/>
        <v>0.5</v>
      </c>
      <c r="BD338" s="1">
        <f t="shared" si="141"/>
        <v>7.2999999999999954E-2</v>
      </c>
      <c r="BF338">
        <f t="shared" si="132"/>
        <v>50</v>
      </c>
      <c r="BG338">
        <f t="shared" si="133"/>
        <v>25</v>
      </c>
      <c r="BH338" s="1">
        <f t="shared" si="134"/>
        <v>0.5</v>
      </c>
      <c r="BI338" s="1">
        <f t="shared" si="135"/>
        <v>0.5</v>
      </c>
      <c r="BJ338" s="1">
        <f t="shared" si="142"/>
        <v>0.45999999999999996</v>
      </c>
      <c r="BK338" s="1">
        <f t="shared" si="143"/>
        <v>0.43597140375156029</v>
      </c>
      <c r="BL338" s="22">
        <f t="shared" si="144"/>
        <v>0.43597140375156029</v>
      </c>
      <c r="BM338" s="1">
        <f t="shared" si="136"/>
        <v>8.0486085273509284E-5</v>
      </c>
      <c r="BN338" s="1">
        <f t="shared" si="137"/>
        <v>3.7477378782096917E-4</v>
      </c>
    </row>
    <row r="339" spans="1:66" x14ac:dyDescent="0.25">
      <c r="A339" s="3"/>
      <c r="B339" s="3"/>
      <c r="C339" t="s">
        <v>164</v>
      </c>
      <c r="D339" s="5">
        <v>1</v>
      </c>
      <c r="E339" s="9">
        <f t="shared" si="121"/>
        <v>33.299999999999997</v>
      </c>
      <c r="F339" s="9">
        <f t="shared" si="122"/>
        <v>0.33333333333333337</v>
      </c>
      <c r="G339">
        <v>0</v>
      </c>
      <c r="H339">
        <v>44.4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33.299999999999997</v>
      </c>
      <c r="P339">
        <v>0</v>
      </c>
      <c r="Q339">
        <v>22.2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48.7</v>
      </c>
      <c r="AK339" t="s">
        <v>1</v>
      </c>
      <c r="AL339" t="s">
        <v>372</v>
      </c>
      <c r="AQ339" s="1">
        <f t="shared" si="138"/>
        <v>99.899999999999991</v>
      </c>
      <c r="AR339" s="1">
        <f t="shared" si="123"/>
        <v>0.33299999999999996</v>
      </c>
      <c r="AS339" s="1">
        <f t="shared" si="124"/>
        <v>0</v>
      </c>
      <c r="AT339" s="1">
        <f t="shared" si="125"/>
        <v>0.44400000000000001</v>
      </c>
      <c r="AU339" s="1">
        <f t="shared" si="126"/>
        <v>0.222</v>
      </c>
      <c r="AV339" s="1">
        <f t="shared" si="139"/>
        <v>0.48700000000000004</v>
      </c>
      <c r="AX339" s="1">
        <f t="shared" si="140"/>
        <v>0.5</v>
      </c>
      <c r="AY339" s="1">
        <f t="shared" si="127"/>
        <v>0.74999999999999989</v>
      </c>
      <c r="AZ339" s="1">
        <f t="shared" si="128"/>
        <v>0.53125</v>
      </c>
      <c r="BA339" s="1">
        <f t="shared" si="129"/>
        <v>0.625</v>
      </c>
      <c r="BB339" s="1">
        <f t="shared" si="130"/>
        <v>0.49583333333333335</v>
      </c>
      <c r="BC339" s="1">
        <f t="shared" si="131"/>
        <v>0.49583333333333335</v>
      </c>
      <c r="BD339" s="1">
        <f t="shared" si="141"/>
        <v>8.8333333333333042E-3</v>
      </c>
      <c r="BF339">
        <f t="shared" si="132"/>
        <v>44.4</v>
      </c>
      <c r="BG339">
        <f t="shared" si="133"/>
        <v>33.299999999999997</v>
      </c>
      <c r="BH339" s="1">
        <f t="shared" si="134"/>
        <v>0.5</v>
      </c>
      <c r="BI339" s="1">
        <f t="shared" si="135"/>
        <v>0.75</v>
      </c>
      <c r="BJ339" s="1">
        <f t="shared" si="142"/>
        <v>0.45999999999999996</v>
      </c>
      <c r="BK339" s="1">
        <f t="shared" si="143"/>
        <v>0.44774206347219248</v>
      </c>
      <c r="BL339" s="22">
        <f t="shared" si="144"/>
        <v>0.44774206347219248</v>
      </c>
      <c r="BM339" s="1">
        <f t="shared" si="136"/>
        <v>1.5411855804213677E-3</v>
      </c>
      <c r="BN339" s="1">
        <f t="shared" si="137"/>
        <v>6.297862797011524E-3</v>
      </c>
    </row>
    <row r="340" spans="1:66" x14ac:dyDescent="0.25">
      <c r="A340" s="3"/>
      <c r="B340" s="3"/>
      <c r="C340" t="s">
        <v>165</v>
      </c>
      <c r="D340" s="5">
        <v>1</v>
      </c>
      <c r="E340" s="9">
        <f t="shared" si="121"/>
        <v>7.7</v>
      </c>
      <c r="F340" s="9">
        <f t="shared" si="122"/>
        <v>0.66630552546045507</v>
      </c>
      <c r="G340">
        <v>0</v>
      </c>
      <c r="H340">
        <v>30.8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</v>
      </c>
      <c r="P340">
        <v>0</v>
      </c>
      <c r="Q340">
        <v>61.5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18.7</v>
      </c>
      <c r="AK340" t="s">
        <v>1</v>
      </c>
      <c r="AL340" t="s">
        <v>372</v>
      </c>
      <c r="AQ340" s="1">
        <f t="shared" si="138"/>
        <v>100</v>
      </c>
      <c r="AR340" s="1">
        <f t="shared" si="123"/>
        <v>7.6999999999999999E-2</v>
      </c>
      <c r="AS340" s="1">
        <f t="shared" si="124"/>
        <v>0</v>
      </c>
      <c r="AT340" s="1">
        <f t="shared" si="125"/>
        <v>0.308</v>
      </c>
      <c r="AU340" s="1">
        <f t="shared" si="126"/>
        <v>0.61499999999999999</v>
      </c>
      <c r="AV340" s="1">
        <f t="shared" si="139"/>
        <v>0.187</v>
      </c>
      <c r="AX340" s="1">
        <f t="shared" si="140"/>
        <v>1.9967532467532467</v>
      </c>
      <c r="AY340" s="1">
        <f t="shared" si="127"/>
        <v>0.25</v>
      </c>
      <c r="AZ340" s="1">
        <f t="shared" si="128"/>
        <v>0.62479707792207795</v>
      </c>
      <c r="BA340" s="1">
        <f t="shared" si="129"/>
        <v>0.99918831168831168</v>
      </c>
      <c r="BB340" s="1">
        <f t="shared" si="130"/>
        <v>0.25</v>
      </c>
      <c r="BC340" s="1">
        <f t="shared" si="131"/>
        <v>0.25</v>
      </c>
      <c r="BD340" s="1">
        <f t="shared" si="141"/>
        <v>6.3E-2</v>
      </c>
      <c r="BF340">
        <f t="shared" si="132"/>
        <v>30.8</v>
      </c>
      <c r="BG340">
        <f t="shared" si="133"/>
        <v>7.7</v>
      </c>
      <c r="BH340" s="1">
        <f t="shared" si="134"/>
        <v>1.9967532467532467</v>
      </c>
      <c r="BI340" s="1">
        <f t="shared" si="135"/>
        <v>0.25</v>
      </c>
      <c r="BJ340" s="1">
        <f t="shared" si="142"/>
        <v>0.54980519480519474</v>
      </c>
      <c r="BK340" s="1">
        <f t="shared" si="143"/>
        <v>0.25</v>
      </c>
      <c r="BL340" s="22">
        <f t="shared" si="144"/>
        <v>0.25</v>
      </c>
      <c r="BM340" s="1">
        <f t="shared" si="136"/>
        <v>3.9690000000000003E-3</v>
      </c>
      <c r="BN340" s="1">
        <f t="shared" si="137"/>
        <v>4.8682417751058769E-2</v>
      </c>
    </row>
    <row r="341" spans="1:66" x14ac:dyDescent="0.25">
      <c r="A341" s="3"/>
      <c r="B341" s="3"/>
      <c r="C341" t="s">
        <v>166</v>
      </c>
      <c r="D341" s="5">
        <v>1</v>
      </c>
      <c r="E341" s="9">
        <f t="shared" si="121"/>
        <v>14.3</v>
      </c>
      <c r="F341" s="9">
        <f t="shared" si="122"/>
        <v>0.66627771295215865</v>
      </c>
      <c r="G341">
        <v>0</v>
      </c>
      <c r="H341">
        <v>28.6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14.3</v>
      </c>
      <c r="P341">
        <v>0</v>
      </c>
      <c r="Q341">
        <v>57.1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40.4</v>
      </c>
      <c r="AK341" t="s">
        <v>1</v>
      </c>
      <c r="AL341" t="s">
        <v>372</v>
      </c>
      <c r="AQ341" s="1">
        <f t="shared" si="138"/>
        <v>100</v>
      </c>
      <c r="AR341" s="1">
        <f t="shared" si="123"/>
        <v>0.14300000000000002</v>
      </c>
      <c r="AS341" s="1">
        <f t="shared" si="124"/>
        <v>0</v>
      </c>
      <c r="AT341" s="1">
        <f t="shared" si="125"/>
        <v>0.28600000000000003</v>
      </c>
      <c r="AU341" s="1">
        <f t="shared" si="126"/>
        <v>0.57100000000000006</v>
      </c>
      <c r="AV341" s="1">
        <f t="shared" si="139"/>
        <v>0.40399999999999997</v>
      </c>
      <c r="AX341" s="1">
        <f t="shared" si="140"/>
        <v>1.9965034965034965</v>
      </c>
      <c r="AY341" s="1">
        <f t="shared" si="127"/>
        <v>0.5</v>
      </c>
      <c r="AZ341" s="1">
        <f t="shared" si="128"/>
        <v>0.62478146853146854</v>
      </c>
      <c r="BA341" s="1">
        <f t="shared" si="129"/>
        <v>0.99912587412587417</v>
      </c>
      <c r="BB341" s="1">
        <f t="shared" si="130"/>
        <v>0.5</v>
      </c>
      <c r="BC341" s="1">
        <f t="shared" si="131"/>
        <v>0.5</v>
      </c>
      <c r="BD341" s="1">
        <f t="shared" si="141"/>
        <v>9.600000000000003E-2</v>
      </c>
      <c r="BF341">
        <f t="shared" si="132"/>
        <v>28.6</v>
      </c>
      <c r="BG341">
        <f t="shared" si="133"/>
        <v>14.3</v>
      </c>
      <c r="BH341" s="1">
        <f t="shared" si="134"/>
        <v>1.9965034965034965</v>
      </c>
      <c r="BI341" s="1">
        <f t="shared" si="135"/>
        <v>0.5</v>
      </c>
      <c r="BJ341" s="1">
        <f t="shared" si="142"/>
        <v>0.54979020979020976</v>
      </c>
      <c r="BK341" s="1">
        <f t="shared" si="143"/>
        <v>0.5</v>
      </c>
      <c r="BL341" s="22">
        <f t="shared" si="144"/>
        <v>0.5</v>
      </c>
      <c r="BM341" s="1">
        <f t="shared" si="136"/>
        <v>9.2160000000000054E-3</v>
      </c>
      <c r="BN341" s="1">
        <f t="shared" si="137"/>
        <v>1.3256334297923511E-5</v>
      </c>
    </row>
    <row r="342" spans="1:66" x14ac:dyDescent="0.25">
      <c r="A342" s="3"/>
      <c r="B342" s="3"/>
      <c r="C342" t="s">
        <v>167</v>
      </c>
      <c r="D342" s="5">
        <v>1</v>
      </c>
      <c r="E342" s="9">
        <f t="shared" si="121"/>
        <v>20</v>
      </c>
      <c r="F342" s="9">
        <f t="shared" si="122"/>
        <v>0.66625000000000001</v>
      </c>
      <c r="G342">
        <v>0</v>
      </c>
      <c r="H342">
        <v>26.7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20</v>
      </c>
      <c r="P342">
        <v>0</v>
      </c>
      <c r="Q342">
        <v>53.3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56.6</v>
      </c>
      <c r="AK342" t="s">
        <v>1</v>
      </c>
      <c r="AL342" t="s">
        <v>372</v>
      </c>
      <c r="AQ342" s="1">
        <f t="shared" si="138"/>
        <v>100</v>
      </c>
      <c r="AR342" s="1">
        <f t="shared" si="123"/>
        <v>0.2</v>
      </c>
      <c r="AS342" s="1">
        <f t="shared" si="124"/>
        <v>0</v>
      </c>
      <c r="AT342" s="1">
        <f t="shared" si="125"/>
        <v>0.26700000000000002</v>
      </c>
      <c r="AU342" s="1">
        <f t="shared" si="126"/>
        <v>0.53299999999999992</v>
      </c>
      <c r="AV342" s="1">
        <f t="shared" si="139"/>
        <v>0.56600000000000006</v>
      </c>
      <c r="AX342" s="1">
        <f t="shared" si="140"/>
        <v>1.9962546816479396</v>
      </c>
      <c r="AY342" s="1">
        <f t="shared" si="127"/>
        <v>0.74906367041198507</v>
      </c>
      <c r="AZ342" s="1">
        <f t="shared" si="128"/>
        <v>0.62476591760299627</v>
      </c>
      <c r="BA342" s="1">
        <f t="shared" si="129"/>
        <v>0.99906367041198485</v>
      </c>
      <c r="BB342" s="1">
        <f t="shared" si="130"/>
        <v>0.62476591760299627</v>
      </c>
      <c r="BC342" s="1">
        <f t="shared" si="131"/>
        <v>0.62476591760299627</v>
      </c>
      <c r="BD342" s="1">
        <f t="shared" si="141"/>
        <v>5.8765917602996209E-2</v>
      </c>
      <c r="BF342">
        <f t="shared" si="132"/>
        <v>26.7</v>
      </c>
      <c r="BG342">
        <f t="shared" si="133"/>
        <v>20</v>
      </c>
      <c r="BH342" s="1">
        <f t="shared" si="134"/>
        <v>1.9962546816479401</v>
      </c>
      <c r="BI342" s="1">
        <f t="shared" si="135"/>
        <v>0.74906367041198507</v>
      </c>
      <c r="BJ342" s="1">
        <f t="shared" si="142"/>
        <v>0.5497752808988764</v>
      </c>
      <c r="BK342" s="1">
        <f t="shared" si="143"/>
        <v>0.54944198891805596</v>
      </c>
      <c r="BL342" s="22">
        <f t="shared" si="144"/>
        <v>0.54944198891805596</v>
      </c>
      <c r="BM342" s="1">
        <f t="shared" si="136"/>
        <v>2.741677309897837E-4</v>
      </c>
      <c r="BN342" s="1">
        <f t="shared" si="137"/>
        <v>2.5077596659112425E-2</v>
      </c>
    </row>
    <row r="343" spans="1:66" x14ac:dyDescent="0.25">
      <c r="A343" s="3"/>
      <c r="B343" s="3"/>
      <c r="C343" t="s">
        <v>168</v>
      </c>
      <c r="D343" s="5">
        <v>1</v>
      </c>
      <c r="E343" s="9">
        <f t="shared" si="121"/>
        <v>4.8</v>
      </c>
      <c r="F343" s="9">
        <f t="shared" si="122"/>
        <v>0.80042016806722693</v>
      </c>
      <c r="G343">
        <v>0</v>
      </c>
      <c r="H343">
        <v>19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4.8</v>
      </c>
      <c r="P343">
        <v>0</v>
      </c>
      <c r="Q343">
        <v>76.2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19.2</v>
      </c>
      <c r="AK343" t="s">
        <v>1</v>
      </c>
      <c r="AL343" t="s">
        <v>372</v>
      </c>
      <c r="AQ343" s="1">
        <f t="shared" si="138"/>
        <v>100</v>
      </c>
      <c r="AR343" s="1">
        <f t="shared" si="123"/>
        <v>4.8000000000000001E-2</v>
      </c>
      <c r="AS343" s="1">
        <f t="shared" si="124"/>
        <v>0</v>
      </c>
      <c r="AT343" s="1">
        <f t="shared" si="125"/>
        <v>0.19</v>
      </c>
      <c r="AU343" s="1">
        <f t="shared" si="126"/>
        <v>0.76200000000000001</v>
      </c>
      <c r="AV343" s="1">
        <f t="shared" si="139"/>
        <v>0.192</v>
      </c>
      <c r="AX343" s="1">
        <f t="shared" si="140"/>
        <v>4.0105263157894733</v>
      </c>
      <c r="AY343" s="1">
        <f t="shared" si="127"/>
        <v>0.25263157894736843</v>
      </c>
      <c r="AZ343" s="1">
        <f t="shared" si="128"/>
        <v>0.75065789473684208</v>
      </c>
      <c r="BA343" s="1">
        <f t="shared" si="129"/>
        <v>1.5026315789473683</v>
      </c>
      <c r="BB343" s="1">
        <f t="shared" si="130"/>
        <v>0.25263157894736843</v>
      </c>
      <c r="BC343" s="1">
        <f t="shared" si="131"/>
        <v>0.25263157894736843</v>
      </c>
      <c r="BD343" s="1">
        <f t="shared" si="141"/>
        <v>6.0631578947368425E-2</v>
      </c>
      <c r="BF343">
        <f t="shared" si="132"/>
        <v>19</v>
      </c>
      <c r="BG343">
        <f t="shared" si="133"/>
        <v>4.8</v>
      </c>
      <c r="BH343" s="1">
        <f t="shared" si="134"/>
        <v>4.0105263157894742</v>
      </c>
      <c r="BI343" s="1">
        <f t="shared" si="135"/>
        <v>0.25263157894736843</v>
      </c>
      <c r="BJ343" s="1">
        <f t="shared" si="142"/>
        <v>0.67063157894736847</v>
      </c>
      <c r="BK343" s="1">
        <f t="shared" si="143"/>
        <v>0.25263157894736843</v>
      </c>
      <c r="BL343" s="22">
        <f t="shared" si="144"/>
        <v>0.25263157894736843</v>
      </c>
      <c r="BM343" s="1">
        <f t="shared" si="136"/>
        <v>3.6761883656509699E-3</v>
      </c>
      <c r="BN343" s="1">
        <f t="shared" si="137"/>
        <v>4.6501008501824648E-2</v>
      </c>
    </row>
    <row r="344" spans="1:66" x14ac:dyDescent="0.25">
      <c r="A344" s="3"/>
      <c r="B344" s="3"/>
      <c r="C344" t="s">
        <v>169</v>
      </c>
      <c r="D344" s="5">
        <v>1</v>
      </c>
      <c r="E344" s="9">
        <f t="shared" si="121"/>
        <v>9.1</v>
      </c>
      <c r="F344" s="9">
        <f t="shared" si="122"/>
        <v>0.79977997799779976</v>
      </c>
      <c r="G344">
        <v>0</v>
      </c>
      <c r="H344">
        <v>18.2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9.1</v>
      </c>
      <c r="P344">
        <v>0</v>
      </c>
      <c r="Q344">
        <v>72.7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41.2</v>
      </c>
      <c r="AK344" t="s">
        <v>1</v>
      </c>
      <c r="AL344" t="s">
        <v>372</v>
      </c>
      <c r="AQ344" s="1">
        <f t="shared" si="138"/>
        <v>100</v>
      </c>
      <c r="AR344" s="1">
        <f t="shared" si="123"/>
        <v>9.0999999999999998E-2</v>
      </c>
      <c r="AS344" s="1">
        <f t="shared" si="124"/>
        <v>0</v>
      </c>
      <c r="AT344" s="1">
        <f t="shared" si="125"/>
        <v>0.182</v>
      </c>
      <c r="AU344" s="1">
        <f t="shared" si="126"/>
        <v>0.72699999999999998</v>
      </c>
      <c r="AV344" s="1">
        <f t="shared" si="139"/>
        <v>0.41200000000000003</v>
      </c>
      <c r="AX344" s="1">
        <f t="shared" si="140"/>
        <v>3.9945054945054945</v>
      </c>
      <c r="AY344" s="1">
        <f t="shared" si="127"/>
        <v>0.5</v>
      </c>
      <c r="AZ344" s="1">
        <f t="shared" si="128"/>
        <v>0.74965659340659341</v>
      </c>
      <c r="BA344" s="1">
        <f t="shared" si="129"/>
        <v>1.4986263736263736</v>
      </c>
      <c r="BB344" s="1">
        <f t="shared" si="130"/>
        <v>0.5</v>
      </c>
      <c r="BC344" s="1">
        <f t="shared" si="131"/>
        <v>0.5</v>
      </c>
      <c r="BD344" s="1">
        <f t="shared" si="141"/>
        <v>8.7999999999999967E-2</v>
      </c>
      <c r="BF344">
        <f t="shared" si="132"/>
        <v>18.2</v>
      </c>
      <c r="BG344">
        <f t="shared" si="133"/>
        <v>9.1</v>
      </c>
      <c r="BH344" s="1">
        <f t="shared" si="134"/>
        <v>3.994505494505495</v>
      </c>
      <c r="BI344" s="1">
        <f t="shared" si="135"/>
        <v>0.5</v>
      </c>
      <c r="BJ344" s="1">
        <f t="shared" si="142"/>
        <v>0.66967032967032969</v>
      </c>
      <c r="BK344" s="1">
        <f t="shared" si="143"/>
        <v>0.5</v>
      </c>
      <c r="BL344" s="22">
        <f t="shared" si="144"/>
        <v>0.5</v>
      </c>
      <c r="BM344" s="1">
        <f t="shared" si="136"/>
        <v>7.7439999999999939E-3</v>
      </c>
      <c r="BN344" s="1">
        <f t="shared" si="137"/>
        <v>1.9001535523330226E-5</v>
      </c>
    </row>
    <row r="345" spans="1:66" x14ac:dyDescent="0.25">
      <c r="A345" s="3"/>
      <c r="B345" s="3"/>
      <c r="C345" t="s">
        <v>170</v>
      </c>
      <c r="D345" s="5">
        <v>1</v>
      </c>
      <c r="E345" s="9">
        <f t="shared" si="121"/>
        <v>13</v>
      </c>
      <c r="F345" s="9">
        <f t="shared" si="122"/>
        <v>0.79999999999999993</v>
      </c>
      <c r="G345">
        <v>0</v>
      </c>
      <c r="H345">
        <v>17.399999999999999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13</v>
      </c>
      <c r="P345">
        <v>0</v>
      </c>
      <c r="Q345">
        <v>69.599999999999994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56.3</v>
      </c>
      <c r="AK345" t="s">
        <v>1</v>
      </c>
      <c r="AL345" t="s">
        <v>372</v>
      </c>
      <c r="AQ345" s="1">
        <f t="shared" si="138"/>
        <v>100</v>
      </c>
      <c r="AR345" s="1">
        <f t="shared" si="123"/>
        <v>0.13</v>
      </c>
      <c r="AS345" s="1">
        <f t="shared" si="124"/>
        <v>0</v>
      </c>
      <c r="AT345" s="1">
        <f t="shared" si="125"/>
        <v>0.17399999999999999</v>
      </c>
      <c r="AU345" s="1">
        <f t="shared" si="126"/>
        <v>0.69599999999999995</v>
      </c>
      <c r="AV345" s="1">
        <f t="shared" si="139"/>
        <v>0.56299999999999994</v>
      </c>
      <c r="AX345" s="1">
        <f t="shared" si="140"/>
        <v>4</v>
      </c>
      <c r="AY345" s="1">
        <f t="shared" si="127"/>
        <v>0.74712643678160928</v>
      </c>
      <c r="AZ345" s="1">
        <f t="shared" si="128"/>
        <v>0.75</v>
      </c>
      <c r="BA345" s="1">
        <f t="shared" si="129"/>
        <v>1.5</v>
      </c>
      <c r="BB345" s="1">
        <f t="shared" si="130"/>
        <v>0.74712643678160928</v>
      </c>
      <c r="BC345" s="1">
        <f t="shared" si="131"/>
        <v>0.74712643678160928</v>
      </c>
      <c r="BD345" s="1">
        <f t="shared" si="141"/>
        <v>0.18412643678160934</v>
      </c>
      <c r="BF345">
        <f t="shared" si="132"/>
        <v>17.399999999999999</v>
      </c>
      <c r="BG345">
        <f t="shared" si="133"/>
        <v>13</v>
      </c>
      <c r="BH345" s="1">
        <f t="shared" si="134"/>
        <v>4</v>
      </c>
      <c r="BI345" s="1">
        <f t="shared" si="135"/>
        <v>0.74712643678160928</v>
      </c>
      <c r="BJ345" s="1">
        <f t="shared" si="142"/>
        <v>0.66999999999999993</v>
      </c>
      <c r="BK345" s="1">
        <f t="shared" si="143"/>
        <v>0.63400721288396622</v>
      </c>
      <c r="BL345" s="22">
        <f t="shared" si="144"/>
        <v>0.63400721288396622</v>
      </c>
      <c r="BM345" s="1">
        <f t="shared" si="136"/>
        <v>5.0420242815489066E-3</v>
      </c>
      <c r="BN345" s="1">
        <f t="shared" si="137"/>
        <v>2.4136442208652863E-2</v>
      </c>
    </row>
    <row r="346" spans="1:66" x14ac:dyDescent="0.25">
      <c r="A346" s="3"/>
      <c r="B346" s="3"/>
      <c r="C346">
        <v>1</v>
      </c>
      <c r="D346" s="5">
        <v>1</v>
      </c>
      <c r="E346" s="9">
        <f t="shared" si="121"/>
        <v>50</v>
      </c>
      <c r="F346" s="9">
        <f t="shared" si="122"/>
        <v>0.5</v>
      </c>
      <c r="G346">
        <v>0</v>
      </c>
      <c r="H346">
        <v>25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50</v>
      </c>
      <c r="P346">
        <v>0</v>
      </c>
      <c r="Q346">
        <v>25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25</v>
      </c>
      <c r="AK346" t="s">
        <v>1</v>
      </c>
      <c r="AL346" t="s">
        <v>374</v>
      </c>
      <c r="AO346" t="s">
        <v>378</v>
      </c>
      <c r="AQ346" s="1">
        <f t="shared" si="138"/>
        <v>100</v>
      </c>
      <c r="AR346" s="1">
        <f t="shared" si="123"/>
        <v>0.5</v>
      </c>
      <c r="AS346" s="1">
        <f t="shared" si="124"/>
        <v>0</v>
      </c>
      <c r="AT346" s="1">
        <f t="shared" si="125"/>
        <v>0.25</v>
      </c>
      <c r="AU346" s="1">
        <f t="shared" si="126"/>
        <v>0.25</v>
      </c>
      <c r="AV346" s="1">
        <f t="shared" si="139"/>
        <v>0.25</v>
      </c>
      <c r="AX346" s="1">
        <f t="shared" si="140"/>
        <v>1</v>
      </c>
      <c r="AY346" s="1">
        <f t="shared" si="127"/>
        <v>2</v>
      </c>
      <c r="AZ346" s="1">
        <f t="shared" si="128"/>
        <v>0.5625</v>
      </c>
      <c r="BA346" s="1">
        <f t="shared" si="129"/>
        <v>0.75</v>
      </c>
      <c r="BB346" s="1">
        <f t="shared" si="130"/>
        <v>0.25</v>
      </c>
      <c r="BC346" s="1">
        <f t="shared" si="131"/>
        <v>0.25</v>
      </c>
      <c r="BD346" s="1">
        <f t="shared" si="141"/>
        <v>0</v>
      </c>
      <c r="BF346">
        <f t="shared" si="132"/>
        <v>25</v>
      </c>
      <c r="BG346">
        <f t="shared" si="133"/>
        <v>50</v>
      </c>
      <c r="BH346" s="1">
        <f t="shared" si="134"/>
        <v>1</v>
      </c>
      <c r="BI346" s="1">
        <f t="shared" si="135"/>
        <v>2</v>
      </c>
      <c r="BJ346" s="1">
        <f t="shared" si="142"/>
        <v>0.49</v>
      </c>
      <c r="BK346" s="1">
        <f t="shared" si="143"/>
        <v>0.2905770144252009</v>
      </c>
      <c r="BL346" s="22">
        <f t="shared" si="144"/>
        <v>0.2905770144252009</v>
      </c>
      <c r="BM346" s="1">
        <f t="shared" si="136"/>
        <v>1.6464940996629618E-3</v>
      </c>
      <c r="BN346" s="1">
        <f t="shared" si="137"/>
        <v>2.4850661210708846E-2</v>
      </c>
    </row>
    <row r="347" spans="1:66" x14ac:dyDescent="0.25">
      <c r="A347" s="3"/>
      <c r="B347" s="3"/>
      <c r="C347">
        <v>2</v>
      </c>
      <c r="D347" s="5">
        <v>1</v>
      </c>
      <c r="E347" s="9">
        <f t="shared" si="121"/>
        <v>55.555555555555557</v>
      </c>
      <c r="F347" s="9">
        <f t="shared" si="122"/>
        <v>0.5</v>
      </c>
      <c r="G347">
        <v>0</v>
      </c>
      <c r="H347">
        <v>22.222222222222221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55.555555555555557</v>
      </c>
      <c r="P347">
        <v>0</v>
      </c>
      <c r="Q347">
        <v>22.222222222222221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13</v>
      </c>
      <c r="AK347" t="s">
        <v>1</v>
      </c>
      <c r="AL347" t="s">
        <v>374</v>
      </c>
      <c r="AQ347" s="1">
        <f t="shared" si="138"/>
        <v>100</v>
      </c>
      <c r="AR347" s="1">
        <f t="shared" si="123"/>
        <v>0.55555555555555558</v>
      </c>
      <c r="AS347" s="1">
        <f t="shared" si="124"/>
        <v>0</v>
      </c>
      <c r="AT347" s="1">
        <f t="shared" si="125"/>
        <v>0.22222222222222221</v>
      </c>
      <c r="AU347" s="1">
        <f t="shared" si="126"/>
        <v>0.22222222222222221</v>
      </c>
      <c r="AV347" s="1">
        <f t="shared" si="139"/>
        <v>0.13</v>
      </c>
      <c r="AX347" s="1">
        <f t="shared" si="140"/>
        <v>1</v>
      </c>
      <c r="AY347" s="1">
        <f t="shared" si="127"/>
        <v>2.5000000000000004</v>
      </c>
      <c r="AZ347" s="1">
        <f t="shared" si="128"/>
        <v>0.5625</v>
      </c>
      <c r="BA347" s="1">
        <f t="shared" si="129"/>
        <v>0.75</v>
      </c>
      <c r="BB347" s="1">
        <f t="shared" si="130"/>
        <v>0.12499999999999989</v>
      </c>
      <c r="BC347" s="1">
        <f t="shared" si="131"/>
        <v>0.12499999999999989</v>
      </c>
      <c r="BD347" s="1">
        <f t="shared" si="141"/>
        <v>5.0000000000001155E-3</v>
      </c>
      <c r="BF347">
        <f t="shared" si="132"/>
        <v>22.222222222222221</v>
      </c>
      <c r="BG347">
        <f t="shared" si="133"/>
        <v>55.555555555555557</v>
      </c>
      <c r="BH347" s="1">
        <f t="shared" si="134"/>
        <v>1</v>
      </c>
      <c r="BI347" s="1">
        <f t="shared" si="135"/>
        <v>2.5</v>
      </c>
      <c r="BJ347" s="1">
        <f t="shared" si="142"/>
        <v>0.49</v>
      </c>
      <c r="BK347" s="1">
        <f t="shared" si="143"/>
        <v>0.18616699654196861</v>
      </c>
      <c r="BL347" s="22">
        <f t="shared" si="144"/>
        <v>0.18616699654196861</v>
      </c>
      <c r="BM347" s="1">
        <f t="shared" si="136"/>
        <v>3.1547315005455135E-3</v>
      </c>
      <c r="BN347" s="1">
        <f t="shared" si="137"/>
        <v>7.7084483192327746E-2</v>
      </c>
    </row>
    <row r="348" spans="1:66" x14ac:dyDescent="0.25">
      <c r="A348" s="3"/>
      <c r="B348" s="3"/>
      <c r="C348">
        <v>3</v>
      </c>
      <c r="D348" s="5">
        <v>1</v>
      </c>
      <c r="E348" s="9">
        <f t="shared" si="121"/>
        <v>60</v>
      </c>
      <c r="F348" s="9">
        <f t="shared" si="122"/>
        <v>0.5</v>
      </c>
      <c r="G348">
        <v>0</v>
      </c>
      <c r="H348">
        <v>20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60</v>
      </c>
      <c r="P348">
        <v>0</v>
      </c>
      <c r="Q348">
        <v>20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</v>
      </c>
      <c r="AK348" t="s">
        <v>1</v>
      </c>
      <c r="AL348" t="s">
        <v>374</v>
      </c>
      <c r="AQ348" s="1">
        <f t="shared" si="138"/>
        <v>100</v>
      </c>
      <c r="AR348" s="1">
        <f t="shared" si="123"/>
        <v>0.6</v>
      </c>
      <c r="AS348" s="1">
        <f t="shared" si="124"/>
        <v>0</v>
      </c>
      <c r="AT348" s="1">
        <f t="shared" si="125"/>
        <v>0.2</v>
      </c>
      <c r="AU348" s="1">
        <f t="shared" si="126"/>
        <v>0.2</v>
      </c>
      <c r="AV348" s="1">
        <f t="shared" si="139"/>
        <v>0.03</v>
      </c>
      <c r="AX348" s="1">
        <f t="shared" si="140"/>
        <v>1</v>
      </c>
      <c r="AY348" s="1">
        <f t="shared" si="127"/>
        <v>2.9999999999999996</v>
      </c>
      <c r="AZ348" s="1">
        <f t="shared" si="128"/>
        <v>0.5625</v>
      </c>
      <c r="BA348" s="1">
        <f t="shared" si="129"/>
        <v>0.75</v>
      </c>
      <c r="BB348" s="1">
        <f t="shared" si="130"/>
        <v>1.1102230246251565E-16</v>
      </c>
      <c r="BC348" s="1">
        <f t="shared" si="131"/>
        <v>1.1102230246251565E-16</v>
      </c>
      <c r="BD348" s="1">
        <f t="shared" si="141"/>
        <v>2.9999999999999888E-2</v>
      </c>
      <c r="BF348">
        <f t="shared" si="132"/>
        <v>20</v>
      </c>
      <c r="BG348">
        <f t="shared" si="133"/>
        <v>60</v>
      </c>
      <c r="BH348" s="1">
        <f t="shared" si="134"/>
        <v>1</v>
      </c>
      <c r="BI348" s="1">
        <f t="shared" si="135"/>
        <v>3</v>
      </c>
      <c r="BJ348" s="1">
        <f t="shared" si="142"/>
        <v>0.49</v>
      </c>
      <c r="BK348" s="1">
        <f t="shared" si="143"/>
        <v>0.10482773499946327</v>
      </c>
      <c r="BL348" s="22">
        <f t="shared" si="144"/>
        <v>0.10482773499946327</v>
      </c>
      <c r="BM348" s="1">
        <f t="shared" si="136"/>
        <v>5.5991899251499003E-3</v>
      </c>
      <c r="BN348" s="1">
        <f t="shared" si="137"/>
        <v>0.14261266817701015</v>
      </c>
    </row>
    <row r="349" spans="1:66" x14ac:dyDescent="0.25">
      <c r="A349" s="3"/>
      <c r="B349" s="3"/>
      <c r="C349">
        <v>4</v>
      </c>
      <c r="D349" s="5">
        <v>1</v>
      </c>
      <c r="E349" s="9">
        <f>I349+L349+M349+N349+O349+V349+X349+AB349+AD349</f>
        <v>66.666666666666657</v>
      </c>
      <c r="F349" s="9">
        <f>Q349/(H349+P349+Q349+AC349)</f>
        <v>0.5</v>
      </c>
      <c r="G349">
        <v>0</v>
      </c>
      <c r="H349">
        <v>16.666666666666661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66.666666666666657</v>
      </c>
      <c r="P349">
        <v>0</v>
      </c>
      <c r="Q349">
        <v>16.666666666666661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1</v>
      </c>
      <c r="AL349" t="s">
        <v>374</v>
      </c>
      <c r="AQ349" s="1">
        <f>SUM(G349:AI349)</f>
        <v>99.999999999999972</v>
      </c>
      <c r="AR349" s="1">
        <f>(L349+M349+O349+X349)/100</f>
        <v>0.66666666666666652</v>
      </c>
      <c r="AS349" s="1">
        <f>G349/100</f>
        <v>0</v>
      </c>
      <c r="AT349" s="1">
        <f>H349/100</f>
        <v>0.1666666666666666</v>
      </c>
      <c r="AU349" s="1">
        <f>Q349/100</f>
        <v>0.1666666666666666</v>
      </c>
      <c r="AV349" s="1">
        <f>AJ349/100</f>
        <v>0</v>
      </c>
      <c r="AX349" s="1">
        <f>AU349/(AT349+AS349)</f>
        <v>1</v>
      </c>
      <c r="AY349" s="1">
        <f>AR349/(AS349+AT349)</f>
        <v>4.0000000000000009</v>
      </c>
      <c r="AZ349" s="1">
        <f>0.5+AX349/16</f>
        <v>0.5625</v>
      </c>
      <c r="BA349" s="1">
        <f>0.5+AX349/4</f>
        <v>0.75</v>
      </c>
      <c r="BB349" s="1">
        <f>IF(AY349&lt;=AZ349,AY349,IF(AY349&lt;=BA349,AZ349,AZ349-(AY349-BA349)*(8+AX349)/(12*(2+AX349))))</f>
        <v>-0.25000000000000022</v>
      </c>
      <c r="BC349" s="1">
        <f>IF(BB349&lt;1,BB349,1)</f>
        <v>-0.25000000000000022</v>
      </c>
      <c r="BD349" s="1">
        <f>ABS(BC349-AV349)</f>
        <v>0.25000000000000022</v>
      </c>
      <c r="BF349">
        <f>$BQ$3*H349+$BQ$4*G349+$BQ$5*P349+$BQ$6*K349+$BQ$7*S349+$BQ$8*U349+$BQ$9*Y349+$BQ$10*J349+$BQ$11*AC349+$BQ$12*AG349+$BQ$13*AH349+$BQ$14*R349+$BQ$15*AE349</f>
        <v>16.666666666666661</v>
      </c>
      <c r="BG349">
        <f>O349+$BQ$17*M349+$BQ$18*L349+$BQ$19*X349+$BQ$20*AD349+$BQ$21*I349+$BQ$22*N349+$BQ$23*AB349+$BQ$24*V349+$BQ$25*T349+$BQ$26*AA349+$BQ$28*Z349+$BQ$29*AF349+$BQ$30*W349+$BQ$27*AI349</f>
        <v>66.666666666666657</v>
      </c>
      <c r="BH349" s="1">
        <f>(Q349)/BF349</f>
        <v>1</v>
      </c>
      <c r="BI349" s="1">
        <f>BG349/BF349</f>
        <v>4.0000000000000009</v>
      </c>
      <c r="BJ349" s="1">
        <f>$BQ$32+BH349*$BQ$33</f>
        <v>0.49</v>
      </c>
      <c r="BK349" s="1">
        <f>IF(BI349&lt;BJ349,BI349,$BQ$35*($BQ$36+BI349)*($BQ$37-BI349/($BQ$38+BH349)*$BQ$39)^5)</f>
        <v>2.0003455112911465E-2</v>
      </c>
      <c r="BL349" s="22">
        <f>IF(BK349&lt;1,IF(BK349&gt;0,BK349,0),1)</f>
        <v>2.0003455112911465E-2</v>
      </c>
      <c r="BM349" s="1">
        <f>(BL349-AV349)^2</f>
        <v>4.0013821645426382E-4</v>
      </c>
      <c r="BN349" s="1">
        <f t="shared" si="137"/>
        <v>0.16617112367241488</v>
      </c>
    </row>
    <row r="350" spans="1:66" x14ac:dyDescent="0.25">
      <c r="A350" s="3"/>
      <c r="B350" s="3"/>
      <c r="C350">
        <v>5</v>
      </c>
      <c r="D350" s="5">
        <v>1</v>
      </c>
      <c r="E350" s="9">
        <f t="shared" si="121"/>
        <v>33.333333333333329</v>
      </c>
      <c r="F350" s="9">
        <f t="shared" si="122"/>
        <v>0.66666666666666674</v>
      </c>
      <c r="G350">
        <v>0</v>
      </c>
      <c r="H350">
        <v>22.222222222222221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33.333333333333329</v>
      </c>
      <c r="P350">
        <v>0</v>
      </c>
      <c r="Q350">
        <v>44.444444444444443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52</v>
      </c>
      <c r="AK350" t="s">
        <v>1</v>
      </c>
      <c r="AL350" t="s">
        <v>374</v>
      </c>
      <c r="AQ350" s="1">
        <f t="shared" si="138"/>
        <v>100</v>
      </c>
      <c r="AR350" s="1">
        <f t="shared" si="123"/>
        <v>0.33333333333333326</v>
      </c>
      <c r="AS350" s="1">
        <f t="shared" si="124"/>
        <v>0</v>
      </c>
      <c r="AT350" s="1">
        <f t="shared" si="125"/>
        <v>0.22222222222222221</v>
      </c>
      <c r="AU350" s="1">
        <f t="shared" si="126"/>
        <v>0.44444444444444442</v>
      </c>
      <c r="AV350" s="1">
        <f t="shared" si="139"/>
        <v>0.52</v>
      </c>
      <c r="AX350" s="1">
        <f t="shared" si="140"/>
        <v>2</v>
      </c>
      <c r="AY350" s="1">
        <f t="shared" si="127"/>
        <v>1.4999999999999998</v>
      </c>
      <c r="AZ350" s="1">
        <f t="shared" si="128"/>
        <v>0.625</v>
      </c>
      <c r="BA350" s="1">
        <f t="shared" si="129"/>
        <v>1</v>
      </c>
      <c r="BB350" s="1">
        <f t="shared" si="130"/>
        <v>0.52083333333333337</v>
      </c>
      <c r="BC350" s="1">
        <f t="shared" si="131"/>
        <v>0.52083333333333337</v>
      </c>
      <c r="BD350" s="1">
        <f t="shared" si="141"/>
        <v>8.3333333333335258E-4</v>
      </c>
      <c r="BF350">
        <f t="shared" si="132"/>
        <v>22.222222222222221</v>
      </c>
      <c r="BG350">
        <f t="shared" si="133"/>
        <v>33.333333333333329</v>
      </c>
      <c r="BH350" s="1">
        <f t="shared" si="134"/>
        <v>2</v>
      </c>
      <c r="BI350" s="1">
        <f t="shared" si="135"/>
        <v>1.4999999999999998</v>
      </c>
      <c r="BJ350" s="1">
        <f t="shared" si="142"/>
        <v>0.55000000000000004</v>
      </c>
      <c r="BK350" s="1">
        <f t="shared" si="143"/>
        <v>0.52869705392724531</v>
      </c>
      <c r="BL350" s="22">
        <f t="shared" si="144"/>
        <v>0.52869705392724531</v>
      </c>
      <c r="BM350" s="1">
        <f t="shared" si="136"/>
        <v>7.563874701341274E-5</v>
      </c>
      <c r="BN350" s="1">
        <f t="shared" si="137"/>
        <v>1.2624561752066324E-2</v>
      </c>
    </row>
    <row r="351" spans="1:66" x14ac:dyDescent="0.25">
      <c r="A351" s="3"/>
      <c r="B351" s="3"/>
      <c r="C351">
        <v>6</v>
      </c>
      <c r="D351" s="5">
        <v>1</v>
      </c>
      <c r="E351" s="9">
        <f t="shared" si="121"/>
        <v>40</v>
      </c>
      <c r="F351" s="9">
        <f t="shared" si="122"/>
        <v>0.66666666666666663</v>
      </c>
      <c r="G351">
        <v>0</v>
      </c>
      <c r="H351">
        <v>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40</v>
      </c>
      <c r="P351">
        <v>0</v>
      </c>
      <c r="Q351">
        <v>40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43</v>
      </c>
      <c r="AK351" t="s">
        <v>1</v>
      </c>
      <c r="AL351" t="s">
        <v>374</v>
      </c>
      <c r="AQ351" s="1">
        <f t="shared" si="138"/>
        <v>100</v>
      </c>
      <c r="AR351" s="1">
        <f t="shared" si="123"/>
        <v>0.4</v>
      </c>
      <c r="AS351" s="1">
        <f t="shared" si="124"/>
        <v>0</v>
      </c>
      <c r="AT351" s="1">
        <f t="shared" si="125"/>
        <v>0.2</v>
      </c>
      <c r="AU351" s="1">
        <f t="shared" si="126"/>
        <v>0.4</v>
      </c>
      <c r="AV351" s="1">
        <f t="shared" si="139"/>
        <v>0.43</v>
      </c>
      <c r="AX351" s="1">
        <f t="shared" si="140"/>
        <v>2</v>
      </c>
      <c r="AY351" s="1">
        <f t="shared" si="127"/>
        <v>2</v>
      </c>
      <c r="AZ351" s="1">
        <f t="shared" si="128"/>
        <v>0.625</v>
      </c>
      <c r="BA351" s="1">
        <f t="shared" si="129"/>
        <v>1</v>
      </c>
      <c r="BB351" s="1">
        <f t="shared" si="130"/>
        <v>0.41666666666666663</v>
      </c>
      <c r="BC351" s="1">
        <f t="shared" si="131"/>
        <v>0.41666666666666663</v>
      </c>
      <c r="BD351" s="1">
        <f t="shared" si="141"/>
        <v>1.3333333333333364E-2</v>
      </c>
      <c r="BF351">
        <f t="shared" si="132"/>
        <v>20</v>
      </c>
      <c r="BG351">
        <f t="shared" si="133"/>
        <v>40</v>
      </c>
      <c r="BH351" s="1">
        <f t="shared" si="134"/>
        <v>2</v>
      </c>
      <c r="BI351" s="1">
        <f t="shared" si="135"/>
        <v>2</v>
      </c>
      <c r="BJ351" s="1">
        <f t="shared" si="142"/>
        <v>0.55000000000000004</v>
      </c>
      <c r="BK351" s="1">
        <f t="shared" si="143"/>
        <v>0.43741312618371181</v>
      </c>
      <c r="BL351" s="22">
        <f t="shared" si="144"/>
        <v>0.43741312618371181</v>
      </c>
      <c r="BM351" s="1">
        <f t="shared" si="136"/>
        <v>5.4954439815633711E-5</v>
      </c>
      <c r="BN351" s="1">
        <f t="shared" si="137"/>
        <v>4.9992823828049458E-4</v>
      </c>
    </row>
    <row r="352" spans="1:66" x14ac:dyDescent="0.25">
      <c r="A352" s="3"/>
      <c r="B352" s="3"/>
      <c r="C352">
        <v>7</v>
      </c>
      <c r="D352" s="5">
        <v>1</v>
      </c>
      <c r="E352" s="9">
        <f t="shared" si="121"/>
        <v>45.454545454545453</v>
      </c>
      <c r="F352" s="9">
        <f t="shared" si="122"/>
        <v>0.66666666666666674</v>
      </c>
      <c r="G352">
        <v>0</v>
      </c>
      <c r="H352">
        <v>18.18181818181818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45.454545454545453</v>
      </c>
      <c r="P352">
        <v>0</v>
      </c>
      <c r="Q352">
        <v>36.363636363636367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35</v>
      </c>
      <c r="AK352" t="s">
        <v>1</v>
      </c>
      <c r="AL352" t="s">
        <v>374</v>
      </c>
      <c r="AQ352" s="1">
        <f t="shared" si="138"/>
        <v>100</v>
      </c>
      <c r="AR352" s="1">
        <f t="shared" si="123"/>
        <v>0.45454545454545453</v>
      </c>
      <c r="AS352" s="1">
        <f t="shared" si="124"/>
        <v>0</v>
      </c>
      <c r="AT352" s="1">
        <f t="shared" si="125"/>
        <v>0.1818181818181818</v>
      </c>
      <c r="AU352" s="1">
        <f t="shared" si="126"/>
        <v>0.36363636363636365</v>
      </c>
      <c r="AV352" s="1">
        <f t="shared" si="139"/>
        <v>0.35</v>
      </c>
      <c r="AX352" s="1">
        <f t="shared" si="140"/>
        <v>2.0000000000000004</v>
      </c>
      <c r="AY352" s="1">
        <f t="shared" si="127"/>
        <v>2.5000000000000004</v>
      </c>
      <c r="AZ352" s="1">
        <f t="shared" si="128"/>
        <v>0.625</v>
      </c>
      <c r="BA352" s="1">
        <f t="shared" si="129"/>
        <v>1</v>
      </c>
      <c r="BB352" s="1">
        <f t="shared" si="130"/>
        <v>0.31249999999999994</v>
      </c>
      <c r="BC352" s="1">
        <f t="shared" si="131"/>
        <v>0.31249999999999994</v>
      </c>
      <c r="BD352" s="1">
        <f t="shared" si="141"/>
        <v>3.7500000000000033E-2</v>
      </c>
      <c r="BF352">
        <f t="shared" si="132"/>
        <v>18.18181818181818</v>
      </c>
      <c r="BG352">
        <f t="shared" si="133"/>
        <v>45.454545454545453</v>
      </c>
      <c r="BH352" s="1">
        <f t="shared" si="134"/>
        <v>2.0000000000000004</v>
      </c>
      <c r="BI352" s="1">
        <f t="shared" si="135"/>
        <v>2.5</v>
      </c>
      <c r="BJ352" s="1">
        <f t="shared" si="142"/>
        <v>0.55000000000000004</v>
      </c>
      <c r="BK352" s="1">
        <f t="shared" si="143"/>
        <v>0.32988685975501875</v>
      </c>
      <c r="BL352" s="22">
        <f t="shared" si="144"/>
        <v>0.32988685975501875</v>
      </c>
      <c r="BM352" s="1">
        <f t="shared" si="136"/>
        <v>4.0453841051428367E-4</v>
      </c>
      <c r="BN352" s="1">
        <f t="shared" si="137"/>
        <v>3.3224762260264311E-3</v>
      </c>
    </row>
    <row r="353" spans="1:66" x14ac:dyDescent="0.25">
      <c r="A353" s="3"/>
      <c r="B353" s="3"/>
      <c r="C353">
        <v>8</v>
      </c>
      <c r="D353" s="5">
        <v>1</v>
      </c>
      <c r="E353" s="9">
        <f t="shared" si="121"/>
        <v>50</v>
      </c>
      <c r="F353" s="9">
        <f t="shared" si="122"/>
        <v>0.66666666666666674</v>
      </c>
      <c r="G353">
        <v>0</v>
      </c>
      <c r="H353">
        <v>16.666666666666661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50</v>
      </c>
      <c r="P353">
        <v>0</v>
      </c>
      <c r="Q353">
        <v>33.333333333333329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22</v>
      </c>
      <c r="AK353" t="s">
        <v>1</v>
      </c>
      <c r="AL353" t="s">
        <v>374</v>
      </c>
      <c r="AQ353" s="1">
        <f t="shared" si="138"/>
        <v>99.999999999999986</v>
      </c>
      <c r="AR353" s="1">
        <f t="shared" si="123"/>
        <v>0.5</v>
      </c>
      <c r="AS353" s="1">
        <f t="shared" si="124"/>
        <v>0</v>
      </c>
      <c r="AT353" s="1">
        <f t="shared" si="125"/>
        <v>0.1666666666666666</v>
      </c>
      <c r="AU353" s="1">
        <f t="shared" si="126"/>
        <v>0.33333333333333326</v>
      </c>
      <c r="AV353" s="1">
        <f t="shared" si="139"/>
        <v>0.22</v>
      </c>
      <c r="AX353" s="1">
        <f t="shared" si="140"/>
        <v>2.0000000000000004</v>
      </c>
      <c r="AY353" s="1">
        <f t="shared" si="127"/>
        <v>3.0000000000000013</v>
      </c>
      <c r="AZ353" s="1">
        <f t="shared" si="128"/>
        <v>0.625</v>
      </c>
      <c r="BA353" s="1">
        <f t="shared" si="129"/>
        <v>1</v>
      </c>
      <c r="BB353" s="1">
        <f t="shared" si="130"/>
        <v>0.20833333333333304</v>
      </c>
      <c r="BC353" s="1">
        <f t="shared" si="131"/>
        <v>0.20833333333333304</v>
      </c>
      <c r="BD353" s="1">
        <f t="shared" si="141"/>
        <v>1.1666666666666964E-2</v>
      </c>
      <c r="BF353">
        <f t="shared" si="132"/>
        <v>16.666666666666661</v>
      </c>
      <c r="BG353">
        <f t="shared" si="133"/>
        <v>50</v>
      </c>
      <c r="BH353" s="1">
        <f t="shared" si="134"/>
        <v>2.0000000000000004</v>
      </c>
      <c r="BI353" s="1">
        <f t="shared" si="135"/>
        <v>3.0000000000000009</v>
      </c>
      <c r="BJ353" s="1">
        <f t="shared" si="142"/>
        <v>0.55000000000000004</v>
      </c>
      <c r="BK353" s="1">
        <f t="shared" si="143"/>
        <v>0.22855632000834739</v>
      </c>
      <c r="BL353" s="22">
        <f t="shared" si="144"/>
        <v>0.22855632000834739</v>
      </c>
      <c r="BM353" s="1">
        <f t="shared" si="136"/>
        <v>7.3210612085245782E-5</v>
      </c>
      <c r="BN353" s="1">
        <f t="shared" si="137"/>
        <v>3.5209116706113569E-2</v>
      </c>
    </row>
    <row r="354" spans="1:66" x14ac:dyDescent="0.25">
      <c r="A354" s="3"/>
      <c r="B354" s="3"/>
      <c r="C354">
        <v>9</v>
      </c>
      <c r="D354" s="5">
        <v>1</v>
      </c>
      <c r="E354" s="9">
        <f t="shared" si="121"/>
        <v>57.142857142857139</v>
      </c>
      <c r="F354" s="9">
        <f t="shared" si="122"/>
        <v>0.66666666666666674</v>
      </c>
      <c r="G354">
        <v>0</v>
      </c>
      <c r="H354">
        <v>14.285714285714279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57.142857142857139</v>
      </c>
      <c r="P354">
        <v>0</v>
      </c>
      <c r="Q354">
        <v>28.571428571428569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</v>
      </c>
      <c r="AK354" t="s">
        <v>1</v>
      </c>
      <c r="AL354" t="s">
        <v>374</v>
      </c>
      <c r="AQ354" s="1">
        <f t="shared" si="138"/>
        <v>99.999999999999986</v>
      </c>
      <c r="AR354" s="1">
        <f t="shared" si="123"/>
        <v>0.5714285714285714</v>
      </c>
      <c r="AS354" s="1">
        <f t="shared" si="124"/>
        <v>0</v>
      </c>
      <c r="AT354" s="1">
        <f t="shared" si="125"/>
        <v>0.14285714285714279</v>
      </c>
      <c r="AU354" s="1">
        <f t="shared" si="126"/>
        <v>0.2857142857142857</v>
      </c>
      <c r="AV354" s="1">
        <f t="shared" si="139"/>
        <v>0.02</v>
      </c>
      <c r="AX354" s="1">
        <f t="shared" si="140"/>
        <v>2.0000000000000009</v>
      </c>
      <c r="AY354" s="1">
        <f t="shared" si="127"/>
        <v>4.0000000000000018</v>
      </c>
      <c r="AZ354" s="1">
        <f t="shared" si="128"/>
        <v>0.625</v>
      </c>
      <c r="BA354" s="1">
        <f t="shared" si="129"/>
        <v>1.0000000000000002</v>
      </c>
      <c r="BB354" s="1">
        <f t="shared" si="130"/>
        <v>-2.2204460492503131E-16</v>
      </c>
      <c r="BC354" s="1">
        <f t="shared" si="131"/>
        <v>-2.2204460492503131E-16</v>
      </c>
      <c r="BD354" s="1">
        <f t="shared" si="141"/>
        <v>2.0000000000000222E-2</v>
      </c>
      <c r="BF354">
        <f t="shared" si="132"/>
        <v>14.285714285714279</v>
      </c>
      <c r="BG354">
        <f t="shared" si="133"/>
        <v>57.142857142857139</v>
      </c>
      <c r="BH354" s="1">
        <f t="shared" si="134"/>
        <v>2.0000000000000009</v>
      </c>
      <c r="BI354" s="1">
        <f t="shared" si="135"/>
        <v>4.0000000000000018</v>
      </c>
      <c r="BJ354" s="1">
        <f t="shared" si="142"/>
        <v>0.55000000000000004</v>
      </c>
      <c r="BK354" s="1">
        <f t="shared" si="143"/>
        <v>8.3401970183990801E-2</v>
      </c>
      <c r="BL354" s="22">
        <f t="shared" si="144"/>
        <v>8.3401970183990801E-2</v>
      </c>
      <c r="BM354" s="1">
        <f t="shared" si="136"/>
        <v>4.0198098232116578E-3</v>
      </c>
      <c r="BN354" s="1">
        <f t="shared" si="137"/>
        <v>0.1502654866754784</v>
      </c>
    </row>
    <row r="355" spans="1:66" x14ac:dyDescent="0.25">
      <c r="A355" s="3"/>
      <c r="B355" s="3"/>
      <c r="C355">
        <v>10</v>
      </c>
      <c r="D355" s="5">
        <v>1</v>
      </c>
      <c r="E355" s="9">
        <f>I355+L355+M355+N355+O355+V355+X355+AB355+AD355</f>
        <v>62.5</v>
      </c>
      <c r="F355" s="9">
        <f>Q355/(H355+P355+Q355+AC355)</f>
        <v>0.66666666666666663</v>
      </c>
      <c r="G355">
        <v>0</v>
      </c>
      <c r="H355">
        <v>12.5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62.5</v>
      </c>
      <c r="P355">
        <v>0</v>
      </c>
      <c r="Q355">
        <v>25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1</v>
      </c>
      <c r="AL355" t="s">
        <v>374</v>
      </c>
      <c r="AQ355" s="1">
        <f>SUM(G355:AI355)</f>
        <v>100</v>
      </c>
      <c r="AR355" s="1">
        <f>(L355+M355+O355+X355)/100</f>
        <v>0.625</v>
      </c>
      <c r="AS355" s="1">
        <f>G355/100</f>
        <v>0</v>
      </c>
      <c r="AT355" s="1">
        <f>H355/100</f>
        <v>0.125</v>
      </c>
      <c r="AU355" s="1">
        <f>Q355/100</f>
        <v>0.25</v>
      </c>
      <c r="AV355" s="1">
        <f>AJ355/100</f>
        <v>0</v>
      </c>
      <c r="AX355" s="1">
        <f>AU355/(AT355+AS355)</f>
        <v>2</v>
      </c>
      <c r="AY355" s="1">
        <f>AR355/(AS355+AT355)</f>
        <v>5</v>
      </c>
      <c r="AZ355" s="1">
        <f>0.5+AX355/16</f>
        <v>0.625</v>
      </c>
      <c r="BA355" s="1">
        <f>0.5+AX355/4</f>
        <v>1</v>
      </c>
      <c r="BB355" s="1">
        <f>IF(AY355&lt;=AZ355,AY355,IF(AY355&lt;=BA355,AZ355,AZ355-(AY355-BA355)*(8+AX355)/(12*(2+AX355))))</f>
        <v>-0.20833333333333337</v>
      </c>
      <c r="BC355" s="1">
        <f>IF(BB355&lt;1,BB355,1)</f>
        <v>-0.20833333333333337</v>
      </c>
      <c r="BD355" s="1">
        <f>ABS(BC355-AV355)</f>
        <v>0.20833333333333337</v>
      </c>
      <c r="BF355">
        <f>$BQ$3*H355+$BQ$4*G355+$BQ$5*P355+$BQ$6*K355+$BQ$7*S355+$BQ$8*U355+$BQ$9*Y355+$BQ$10*J355+$BQ$11*AC355+$BQ$12*AG355+$BQ$13*AH355+$BQ$14*R355+$BQ$15*AE355</f>
        <v>12.5</v>
      </c>
      <c r="BG355">
        <f>O355+$BQ$17*M355+$BQ$18*L355+$BQ$19*X355+$BQ$20*AD355+$BQ$21*I355+$BQ$22*N355+$BQ$23*AB355+$BQ$24*V355+$BQ$25*T355+$BQ$26*AA355+$BQ$28*Z355+$BQ$29*AF355+$BQ$30*W355+$BQ$27*AI355</f>
        <v>62.5</v>
      </c>
      <c r="BH355" s="1">
        <f>(Q355)/BF355</f>
        <v>2</v>
      </c>
      <c r="BI355" s="1">
        <f>BG355/BF355</f>
        <v>5</v>
      </c>
      <c r="BJ355" s="1">
        <f>$BQ$32+BH355*$BQ$33</f>
        <v>0.55000000000000004</v>
      </c>
      <c r="BK355" s="1">
        <f>IF(BI355&lt;BJ355,BI355,$BQ$35*($BQ$36+BI355)*($BQ$37-BI355/($BQ$38+BH355)*$BQ$39)^5)</f>
        <v>1.8497638189980983E-2</v>
      </c>
      <c r="BL355" s="22">
        <f>IF(BK355&lt;1,IF(BK355&gt;0,BK355,0),1)</f>
        <v>1.8497638189980983E-2</v>
      </c>
      <c r="BM355" s="1">
        <f>(BL355-AV355)^2</f>
        <v>3.4216261860744291E-4</v>
      </c>
      <c r="BN355" s="1">
        <f t="shared" si="137"/>
        <v>0.16617112367241488</v>
      </c>
    </row>
    <row r="356" spans="1:66" x14ac:dyDescent="0.25">
      <c r="A356" s="3"/>
      <c r="B356" s="3"/>
      <c r="C356">
        <v>11</v>
      </c>
      <c r="D356" s="5">
        <v>1</v>
      </c>
      <c r="E356" s="9">
        <f t="shared" si="121"/>
        <v>27.27272727272727</v>
      </c>
      <c r="F356" s="9">
        <f t="shared" si="122"/>
        <v>0.75</v>
      </c>
      <c r="G356">
        <v>0</v>
      </c>
      <c r="H356">
        <v>18.18181818181818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27.27272727272727</v>
      </c>
      <c r="P356">
        <v>0</v>
      </c>
      <c r="Q356">
        <v>54.54545454545454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64</v>
      </c>
      <c r="AK356" t="s">
        <v>1</v>
      </c>
      <c r="AL356" t="s">
        <v>374</v>
      </c>
      <c r="AQ356" s="1">
        <f t="shared" si="138"/>
        <v>100</v>
      </c>
      <c r="AR356" s="1">
        <f t="shared" si="123"/>
        <v>0.27272727272727271</v>
      </c>
      <c r="AS356" s="1">
        <f t="shared" si="124"/>
        <v>0</v>
      </c>
      <c r="AT356" s="1">
        <f t="shared" si="125"/>
        <v>0.1818181818181818</v>
      </c>
      <c r="AU356" s="1">
        <f t="shared" si="126"/>
        <v>0.54545454545454541</v>
      </c>
      <c r="AV356" s="1">
        <f t="shared" si="139"/>
        <v>0.64</v>
      </c>
      <c r="AX356" s="1">
        <f t="shared" si="140"/>
        <v>3</v>
      </c>
      <c r="AY356" s="1">
        <f t="shared" si="127"/>
        <v>1.5</v>
      </c>
      <c r="AZ356" s="1">
        <f t="shared" si="128"/>
        <v>0.6875</v>
      </c>
      <c r="BA356" s="1">
        <f t="shared" si="129"/>
        <v>1.25</v>
      </c>
      <c r="BB356" s="1">
        <f t="shared" si="130"/>
        <v>0.64166666666666672</v>
      </c>
      <c r="BC356" s="1">
        <f t="shared" si="131"/>
        <v>0.64166666666666672</v>
      </c>
      <c r="BD356" s="1">
        <f t="shared" si="141"/>
        <v>1.6666666666667052E-3</v>
      </c>
      <c r="BF356">
        <f t="shared" si="132"/>
        <v>18.18181818181818</v>
      </c>
      <c r="BG356">
        <f t="shared" si="133"/>
        <v>27.27272727272727</v>
      </c>
      <c r="BH356" s="1">
        <f t="shared" si="134"/>
        <v>3</v>
      </c>
      <c r="BI356" s="1">
        <f t="shared" si="135"/>
        <v>1.5</v>
      </c>
      <c r="BJ356" s="1">
        <f t="shared" si="142"/>
        <v>0.61</v>
      </c>
      <c r="BK356" s="1">
        <f t="shared" si="143"/>
        <v>0.63646016569350716</v>
      </c>
      <c r="BL356" s="22">
        <f t="shared" si="144"/>
        <v>0.63646016569350716</v>
      </c>
      <c r="BM356" s="1">
        <f t="shared" si="136"/>
        <v>1.253042691742372E-5</v>
      </c>
      <c r="BN356" s="1">
        <f t="shared" si="137"/>
        <v>5.3990739770447424E-2</v>
      </c>
    </row>
    <row r="357" spans="1:66" x14ac:dyDescent="0.25">
      <c r="A357" s="3"/>
      <c r="B357" s="3"/>
      <c r="C357">
        <v>12</v>
      </c>
      <c r="D357" s="5">
        <v>1</v>
      </c>
      <c r="E357" s="9">
        <f t="shared" si="121"/>
        <v>33.333333333333329</v>
      </c>
      <c r="F357" s="9">
        <f t="shared" si="122"/>
        <v>0.75000000000000011</v>
      </c>
      <c r="G357">
        <v>0</v>
      </c>
      <c r="H357">
        <v>16.666666666666661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33.333333333333329</v>
      </c>
      <c r="P357">
        <v>0</v>
      </c>
      <c r="Q357">
        <v>50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57.999999999999993</v>
      </c>
      <c r="AK357" t="s">
        <v>1</v>
      </c>
      <c r="AL357" t="s">
        <v>374</v>
      </c>
      <c r="AQ357" s="1">
        <f t="shared" si="138"/>
        <v>99.999999999999986</v>
      </c>
      <c r="AR357" s="1">
        <f t="shared" si="123"/>
        <v>0.33333333333333326</v>
      </c>
      <c r="AS357" s="1">
        <f t="shared" si="124"/>
        <v>0</v>
      </c>
      <c r="AT357" s="1">
        <f t="shared" si="125"/>
        <v>0.1666666666666666</v>
      </c>
      <c r="AU357" s="1">
        <f t="shared" si="126"/>
        <v>0.5</v>
      </c>
      <c r="AV357" s="1">
        <f t="shared" si="139"/>
        <v>0.57999999999999996</v>
      </c>
      <c r="AX357" s="1">
        <f t="shared" si="140"/>
        <v>3.0000000000000013</v>
      </c>
      <c r="AY357" s="1">
        <f t="shared" si="127"/>
        <v>2.0000000000000004</v>
      </c>
      <c r="AZ357" s="1">
        <f t="shared" si="128"/>
        <v>0.68750000000000011</v>
      </c>
      <c r="BA357" s="1">
        <f t="shared" si="129"/>
        <v>1.2500000000000004</v>
      </c>
      <c r="BB357" s="1">
        <f t="shared" si="130"/>
        <v>0.55000000000000016</v>
      </c>
      <c r="BC357" s="1">
        <f t="shared" si="131"/>
        <v>0.55000000000000016</v>
      </c>
      <c r="BD357" s="1">
        <f t="shared" si="141"/>
        <v>2.9999999999999805E-2</v>
      </c>
      <c r="BF357">
        <f t="shared" si="132"/>
        <v>16.666666666666661</v>
      </c>
      <c r="BG357">
        <f t="shared" si="133"/>
        <v>33.333333333333329</v>
      </c>
      <c r="BH357" s="1">
        <f t="shared" si="134"/>
        <v>3.0000000000000009</v>
      </c>
      <c r="BI357" s="1">
        <f t="shared" si="135"/>
        <v>2.0000000000000004</v>
      </c>
      <c r="BJ357" s="1">
        <f t="shared" si="142"/>
        <v>0.6100000000000001</v>
      </c>
      <c r="BK357" s="1">
        <f t="shared" si="143"/>
        <v>0.57175974720932388</v>
      </c>
      <c r="BL357" s="22">
        <f t="shared" si="144"/>
        <v>0.57175974720932388</v>
      </c>
      <c r="BM357" s="1">
        <f t="shared" si="136"/>
        <v>6.7901766054244981E-5</v>
      </c>
      <c r="BN357" s="1">
        <f t="shared" si="137"/>
        <v>2.9707650761256855E-2</v>
      </c>
    </row>
    <row r="358" spans="1:66" x14ac:dyDescent="0.25">
      <c r="A358" s="3"/>
      <c r="B358" s="3"/>
      <c r="C358">
        <v>13</v>
      </c>
      <c r="D358" s="5">
        <v>1</v>
      </c>
      <c r="E358" s="9">
        <f t="shared" ref="E358:E421" si="145">I358+L358+M358+N358+O358+V358+X358+AB358+AD358</f>
        <v>38.461538461538467</v>
      </c>
      <c r="F358" s="9">
        <f t="shared" ref="F358:F421" si="146">Q358/(H358+P358+Q358+AC358)</f>
        <v>0.74999999999999989</v>
      </c>
      <c r="G358">
        <v>0</v>
      </c>
      <c r="H358">
        <v>15.38461538461539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38.461538461538467</v>
      </c>
      <c r="P358">
        <v>0</v>
      </c>
      <c r="Q358">
        <v>46.153846153846153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49</v>
      </c>
      <c r="AK358" t="s">
        <v>1</v>
      </c>
      <c r="AL358" t="s">
        <v>374</v>
      </c>
      <c r="AQ358" s="1">
        <f t="shared" si="138"/>
        <v>100</v>
      </c>
      <c r="AR358" s="1">
        <f t="shared" si="123"/>
        <v>0.38461538461538469</v>
      </c>
      <c r="AS358" s="1">
        <f t="shared" si="124"/>
        <v>0</v>
      </c>
      <c r="AT358" s="1">
        <f t="shared" si="125"/>
        <v>0.15384615384615391</v>
      </c>
      <c r="AU358" s="1">
        <f t="shared" si="126"/>
        <v>0.46153846153846151</v>
      </c>
      <c r="AV358" s="1">
        <f t="shared" si="139"/>
        <v>0.49</v>
      </c>
      <c r="AX358" s="1">
        <f t="shared" si="140"/>
        <v>2.9999999999999987</v>
      </c>
      <c r="AY358" s="1">
        <f t="shared" si="127"/>
        <v>2.4999999999999996</v>
      </c>
      <c r="AZ358" s="1">
        <f t="shared" si="128"/>
        <v>0.68749999999999989</v>
      </c>
      <c r="BA358" s="1">
        <f t="shared" si="129"/>
        <v>1.2499999999999996</v>
      </c>
      <c r="BB358" s="1">
        <f t="shared" si="130"/>
        <v>0.45833333333333315</v>
      </c>
      <c r="BC358" s="1">
        <f t="shared" si="131"/>
        <v>0.45833333333333315</v>
      </c>
      <c r="BD358" s="1">
        <f t="shared" si="141"/>
        <v>3.1666666666666843E-2</v>
      </c>
      <c r="BF358">
        <f t="shared" si="132"/>
        <v>15.38461538461539</v>
      </c>
      <c r="BG358">
        <f t="shared" si="133"/>
        <v>38.461538461538467</v>
      </c>
      <c r="BH358" s="1">
        <f t="shared" si="134"/>
        <v>2.9999999999999987</v>
      </c>
      <c r="BI358" s="1">
        <f t="shared" si="135"/>
        <v>2.4999999999999996</v>
      </c>
      <c r="BJ358" s="1">
        <f t="shared" si="142"/>
        <v>0.60999999999999988</v>
      </c>
      <c r="BK358" s="1">
        <f t="shared" si="143"/>
        <v>0.47524332836603828</v>
      </c>
      <c r="BL358" s="22">
        <f t="shared" si="144"/>
        <v>0.47524332836603828</v>
      </c>
      <c r="BM358" s="1">
        <f t="shared" si="136"/>
        <v>2.1775935771257033E-4</v>
      </c>
      <c r="BN358" s="1">
        <f t="shared" si="137"/>
        <v>6.7830172474710433E-3</v>
      </c>
    </row>
    <row r="359" spans="1:66" x14ac:dyDescent="0.25">
      <c r="A359" s="3"/>
      <c r="B359" s="3"/>
      <c r="C359">
        <v>14</v>
      </c>
      <c r="D359" s="5">
        <v>1</v>
      </c>
      <c r="E359" s="9">
        <f t="shared" si="145"/>
        <v>42.857142857142847</v>
      </c>
      <c r="F359" s="9">
        <f t="shared" si="146"/>
        <v>0.75000000000000011</v>
      </c>
      <c r="G359">
        <v>0</v>
      </c>
      <c r="H359">
        <v>14.285714285714279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42.857142857142847</v>
      </c>
      <c r="P359">
        <v>0</v>
      </c>
      <c r="Q359">
        <v>42.857142857142847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40</v>
      </c>
      <c r="AK359" t="s">
        <v>1</v>
      </c>
      <c r="AL359" t="s">
        <v>374</v>
      </c>
      <c r="AQ359" s="1">
        <f t="shared" si="138"/>
        <v>99.999999999999972</v>
      </c>
      <c r="AR359" s="1">
        <f t="shared" si="123"/>
        <v>0.42857142857142849</v>
      </c>
      <c r="AS359" s="1">
        <f t="shared" si="124"/>
        <v>0</v>
      </c>
      <c r="AT359" s="1">
        <f t="shared" si="125"/>
        <v>0.14285714285714279</v>
      </c>
      <c r="AU359" s="1">
        <f t="shared" si="126"/>
        <v>0.42857142857142849</v>
      </c>
      <c r="AV359" s="1">
        <f t="shared" si="139"/>
        <v>0.4</v>
      </c>
      <c r="AX359" s="1">
        <f t="shared" si="140"/>
        <v>3.0000000000000009</v>
      </c>
      <c r="AY359" s="1">
        <f t="shared" si="127"/>
        <v>3.0000000000000009</v>
      </c>
      <c r="AZ359" s="1">
        <f t="shared" si="128"/>
        <v>0.6875</v>
      </c>
      <c r="BA359" s="1">
        <f t="shared" si="129"/>
        <v>1.2500000000000002</v>
      </c>
      <c r="BB359" s="1">
        <f t="shared" si="130"/>
        <v>0.36666666666666664</v>
      </c>
      <c r="BC359" s="1">
        <f t="shared" si="131"/>
        <v>0.36666666666666664</v>
      </c>
      <c r="BD359" s="1">
        <f t="shared" si="141"/>
        <v>3.3333333333333381E-2</v>
      </c>
      <c r="BF359">
        <f t="shared" si="132"/>
        <v>14.285714285714279</v>
      </c>
      <c r="BG359">
        <f t="shared" si="133"/>
        <v>42.857142857142847</v>
      </c>
      <c r="BH359" s="1">
        <f t="shared" si="134"/>
        <v>3.0000000000000004</v>
      </c>
      <c r="BI359" s="1">
        <f t="shared" si="135"/>
        <v>3.0000000000000004</v>
      </c>
      <c r="BJ359" s="1">
        <f t="shared" si="142"/>
        <v>0.61</v>
      </c>
      <c r="BK359" s="1">
        <f t="shared" si="143"/>
        <v>0.36998817986210386</v>
      </c>
      <c r="BL359" s="22">
        <f t="shared" si="144"/>
        <v>0.36998817986210386</v>
      </c>
      <c r="BM359" s="1">
        <f t="shared" si="136"/>
        <v>9.0070934798942956E-4</v>
      </c>
      <c r="BN359" s="1">
        <f t="shared" si="137"/>
        <v>5.8383733685219634E-5</v>
      </c>
    </row>
    <row r="360" spans="1:66" x14ac:dyDescent="0.25">
      <c r="A360" s="3"/>
      <c r="B360" s="3"/>
      <c r="C360">
        <v>15</v>
      </c>
      <c r="D360" s="5">
        <v>1</v>
      </c>
      <c r="E360" s="9">
        <f t="shared" si="145"/>
        <v>50</v>
      </c>
      <c r="F360" s="9">
        <f t="shared" si="146"/>
        <v>0.75</v>
      </c>
      <c r="G360">
        <v>0</v>
      </c>
      <c r="H360">
        <v>12.5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50</v>
      </c>
      <c r="P360">
        <v>0</v>
      </c>
      <c r="Q360">
        <v>37.5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22</v>
      </c>
      <c r="AK360" t="s">
        <v>1</v>
      </c>
      <c r="AL360" t="s">
        <v>374</v>
      </c>
      <c r="AQ360" s="1">
        <f t="shared" si="138"/>
        <v>100</v>
      </c>
      <c r="AR360" s="1">
        <f t="shared" si="123"/>
        <v>0.5</v>
      </c>
      <c r="AS360" s="1">
        <f t="shared" si="124"/>
        <v>0</v>
      </c>
      <c r="AT360" s="1">
        <f t="shared" si="125"/>
        <v>0.125</v>
      </c>
      <c r="AU360" s="1">
        <f t="shared" si="126"/>
        <v>0.375</v>
      </c>
      <c r="AV360" s="1">
        <f t="shared" si="139"/>
        <v>0.22</v>
      </c>
      <c r="AX360" s="1">
        <f t="shared" si="140"/>
        <v>3</v>
      </c>
      <c r="AY360" s="1">
        <f t="shared" si="127"/>
        <v>4</v>
      </c>
      <c r="AZ360" s="1">
        <f t="shared" si="128"/>
        <v>0.6875</v>
      </c>
      <c r="BA360" s="1">
        <f t="shared" si="129"/>
        <v>1.25</v>
      </c>
      <c r="BB360" s="1">
        <f t="shared" si="130"/>
        <v>0.18333333333333335</v>
      </c>
      <c r="BC360" s="1">
        <f t="shared" si="131"/>
        <v>0.18333333333333335</v>
      </c>
      <c r="BD360" s="1">
        <f t="shared" si="141"/>
        <v>3.6666666666666653E-2</v>
      </c>
      <c r="BF360">
        <f t="shared" si="132"/>
        <v>12.5</v>
      </c>
      <c r="BG360">
        <f t="shared" si="133"/>
        <v>50</v>
      </c>
      <c r="BH360" s="1">
        <f t="shared" si="134"/>
        <v>3</v>
      </c>
      <c r="BI360" s="1">
        <f t="shared" si="135"/>
        <v>4</v>
      </c>
      <c r="BJ360" s="1">
        <f t="shared" si="142"/>
        <v>0.61</v>
      </c>
      <c r="BK360" s="1">
        <f t="shared" si="143"/>
        <v>0.18602540873214479</v>
      </c>
      <c r="BL360" s="22">
        <f t="shared" si="144"/>
        <v>0.18602540873214479</v>
      </c>
      <c r="BM360" s="1">
        <f t="shared" si="136"/>
        <v>1.1542728518178233E-3</v>
      </c>
      <c r="BN360" s="1">
        <f t="shared" si="137"/>
        <v>3.5209116706113569E-2</v>
      </c>
    </row>
    <row r="361" spans="1:66" x14ac:dyDescent="0.25">
      <c r="A361" s="3"/>
      <c r="B361" s="3"/>
      <c r="C361">
        <v>16</v>
      </c>
      <c r="D361" s="5">
        <v>1</v>
      </c>
      <c r="E361" s="9">
        <f t="shared" si="145"/>
        <v>55.555555555555557</v>
      </c>
      <c r="F361" s="9">
        <f t="shared" si="146"/>
        <v>0.74999999999999989</v>
      </c>
      <c r="G361">
        <v>0</v>
      </c>
      <c r="H361">
        <v>11.111111111111111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55.555555555555557</v>
      </c>
      <c r="P361">
        <v>0</v>
      </c>
      <c r="Q361">
        <v>33.333333333333329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 t="s">
        <v>1</v>
      </c>
      <c r="AL361" t="s">
        <v>374</v>
      </c>
      <c r="AQ361" s="1">
        <f t="shared" si="138"/>
        <v>100</v>
      </c>
      <c r="AR361" s="1">
        <f t="shared" si="123"/>
        <v>0.55555555555555558</v>
      </c>
      <c r="AS361" s="1">
        <f t="shared" si="124"/>
        <v>0</v>
      </c>
      <c r="AT361" s="1">
        <f t="shared" si="125"/>
        <v>0.1111111111111111</v>
      </c>
      <c r="AU361" s="1">
        <f t="shared" si="126"/>
        <v>0.33333333333333326</v>
      </c>
      <c r="AV361" s="1">
        <f t="shared" si="139"/>
        <v>0.01</v>
      </c>
      <c r="AX361" s="1">
        <f t="shared" si="140"/>
        <v>2.9999999999999996</v>
      </c>
      <c r="AY361" s="1">
        <f t="shared" si="127"/>
        <v>5.0000000000000009</v>
      </c>
      <c r="AZ361" s="1">
        <f t="shared" si="128"/>
        <v>0.6875</v>
      </c>
      <c r="BA361" s="1">
        <f t="shared" si="129"/>
        <v>1.25</v>
      </c>
      <c r="BB361" s="1">
        <f t="shared" si="130"/>
        <v>-1.1102230246251565E-16</v>
      </c>
      <c r="BC361" s="1">
        <f t="shared" si="131"/>
        <v>-1.1102230246251565E-16</v>
      </c>
      <c r="BD361" s="1">
        <f t="shared" si="141"/>
        <v>1.0000000000000111E-2</v>
      </c>
      <c r="BF361">
        <f t="shared" si="132"/>
        <v>11.111111111111111</v>
      </c>
      <c r="BG361">
        <f t="shared" si="133"/>
        <v>55.555555555555557</v>
      </c>
      <c r="BH361" s="1">
        <f t="shared" si="134"/>
        <v>2.9999999999999996</v>
      </c>
      <c r="BI361" s="1">
        <f t="shared" si="135"/>
        <v>5</v>
      </c>
      <c r="BJ361" s="1">
        <f t="shared" si="142"/>
        <v>0.61</v>
      </c>
      <c r="BK361" s="1">
        <f t="shared" si="143"/>
        <v>7.0458632543374616E-2</v>
      </c>
      <c r="BL361" s="22">
        <f t="shared" si="144"/>
        <v>7.0458632543374616E-2</v>
      </c>
      <c r="BM361" s="1">
        <f t="shared" si="136"/>
        <v>3.6552462490147958E-3</v>
      </c>
      <c r="BN361" s="1">
        <f t="shared" si="137"/>
        <v>0.15811830517394665</v>
      </c>
    </row>
    <row r="362" spans="1:66" x14ac:dyDescent="0.25">
      <c r="A362" s="3"/>
      <c r="B362" s="3"/>
      <c r="C362">
        <v>17</v>
      </c>
      <c r="D362" s="5">
        <v>1</v>
      </c>
      <c r="E362" s="9">
        <f>I362+L362+M362+N362+O362+V362+X362+AB362+AD362</f>
        <v>60</v>
      </c>
      <c r="F362" s="9">
        <f>Q362/(H362+P362+Q362+AC362)</f>
        <v>0.75</v>
      </c>
      <c r="G362">
        <v>0</v>
      </c>
      <c r="H362">
        <v>10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60</v>
      </c>
      <c r="P362">
        <v>0</v>
      </c>
      <c r="Q362">
        <v>30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s">
        <v>1</v>
      </c>
      <c r="AL362" t="s">
        <v>374</v>
      </c>
      <c r="AQ362" s="1">
        <f>SUM(G362:AI362)</f>
        <v>100</v>
      </c>
      <c r="AR362" s="1">
        <f>(L362+M362+O362+X362)/100</f>
        <v>0.6</v>
      </c>
      <c r="AS362" s="1">
        <f>G362/100</f>
        <v>0</v>
      </c>
      <c r="AT362" s="1">
        <f>H362/100</f>
        <v>0.1</v>
      </c>
      <c r="AU362" s="1">
        <f>Q362/100</f>
        <v>0.3</v>
      </c>
      <c r="AV362" s="1">
        <f>AJ362/100</f>
        <v>0</v>
      </c>
      <c r="AX362" s="1">
        <f>AU362/(AT362+AS362)</f>
        <v>2.9999999999999996</v>
      </c>
      <c r="AY362" s="1">
        <f>AR362/(AS362+AT362)</f>
        <v>5.9999999999999991</v>
      </c>
      <c r="AZ362" s="1">
        <f>0.5+AX362/16</f>
        <v>0.6875</v>
      </c>
      <c r="BA362" s="1">
        <f>0.5+AX362/4</f>
        <v>1.25</v>
      </c>
      <c r="BB362" s="1">
        <f>IF(AY362&lt;=AZ362,AY362,IF(AY362&lt;=BA362,AZ362,AZ362-(AY362-BA362)*(8+AX362)/(12*(2+AX362))))</f>
        <v>-0.18333333333333324</v>
      </c>
      <c r="BC362" s="1">
        <f>IF(BB362&lt;1,BB362,1)</f>
        <v>-0.18333333333333324</v>
      </c>
      <c r="BD362" s="1">
        <f>ABS(BC362-AV362)</f>
        <v>0.18333333333333324</v>
      </c>
      <c r="BF362">
        <f>$BQ$3*H362+$BQ$4*G362+$BQ$5*P362+$BQ$6*K362+$BQ$7*S362+$BQ$8*U362+$BQ$9*Y362+$BQ$10*J362+$BQ$11*AC362+$BQ$12*AG362+$BQ$13*AH362+$BQ$14*R362+$BQ$15*AE362</f>
        <v>10</v>
      </c>
      <c r="BG362">
        <f>O362+$BQ$17*M362+$BQ$18*L362+$BQ$19*X362+$BQ$20*AD362+$BQ$21*I362+$BQ$22*N362+$BQ$23*AB362+$BQ$24*V362+$BQ$25*T362+$BQ$26*AA362+$BQ$28*Z362+$BQ$29*AF362+$BQ$30*W362+$BQ$27*AI362</f>
        <v>60</v>
      </c>
      <c r="BH362" s="1">
        <f>(Q362)/BF362</f>
        <v>3</v>
      </c>
      <c r="BI362" s="1">
        <f>BG362/BF362</f>
        <v>6</v>
      </c>
      <c r="BJ362" s="1">
        <f>$BQ$32+BH362*$BQ$33</f>
        <v>0.61</v>
      </c>
      <c r="BK362" s="1">
        <f>IF(BI362&lt;BJ362,BI362,$BQ$35*($BQ$36+BI362)*($BQ$37-BI362/($BQ$38+BH362)*$BQ$39)^5)</f>
        <v>1.7790917300086303E-2</v>
      </c>
      <c r="BL362" s="22">
        <f>IF(BK362&lt;1,IF(BK362&gt;0,BK362,0),1)</f>
        <v>1.7790917300086303E-2</v>
      </c>
      <c r="BM362" s="1">
        <f>(BL362-AV362)^2</f>
        <v>3.1651673837851011E-4</v>
      </c>
      <c r="BN362" s="1">
        <f t="shared" si="137"/>
        <v>0.16617112367241488</v>
      </c>
    </row>
    <row r="363" spans="1:66" x14ac:dyDescent="0.25">
      <c r="A363" s="3"/>
      <c r="B363" s="3"/>
      <c r="C363">
        <v>18</v>
      </c>
      <c r="D363" s="5">
        <v>1</v>
      </c>
      <c r="E363" s="9">
        <f>I363+L363+M363+N363+O363+V363+X363+AB363+AD363</f>
        <v>63.636363636363633</v>
      </c>
      <c r="F363" s="9">
        <f>Q363/(H363+P363+Q363+AC363)</f>
        <v>0.75</v>
      </c>
      <c r="G363">
        <v>0</v>
      </c>
      <c r="H363">
        <v>9.0909090909090917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63.636363636363633</v>
      </c>
      <c r="P363">
        <v>0</v>
      </c>
      <c r="Q363">
        <v>27.27272727272727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1</v>
      </c>
      <c r="AL363" t="s">
        <v>374</v>
      </c>
      <c r="AQ363" s="1">
        <f>SUM(G363:AI363)</f>
        <v>99.999999999999986</v>
      </c>
      <c r="AR363" s="1">
        <f>(L363+M363+O363+X363)/100</f>
        <v>0.63636363636363635</v>
      </c>
      <c r="AS363" s="1">
        <f>G363/100</f>
        <v>0</v>
      </c>
      <c r="AT363" s="1">
        <f>H363/100</f>
        <v>9.0909090909090912E-2</v>
      </c>
      <c r="AU363" s="1">
        <f>Q363/100</f>
        <v>0.27272727272727271</v>
      </c>
      <c r="AV363" s="1">
        <f>AJ363/100</f>
        <v>0</v>
      </c>
      <c r="AX363" s="1">
        <f>AU363/(AT363+AS363)</f>
        <v>2.9999999999999996</v>
      </c>
      <c r="AY363" s="1">
        <f>AR363/(AS363+AT363)</f>
        <v>7</v>
      </c>
      <c r="AZ363" s="1">
        <f>0.5+AX363/16</f>
        <v>0.6875</v>
      </c>
      <c r="BA363" s="1">
        <f>0.5+AX363/4</f>
        <v>1.25</v>
      </c>
      <c r="BB363" s="1">
        <f>IF(AY363&lt;=AZ363,AY363,IF(AY363&lt;=BA363,AZ363,AZ363-(AY363-BA363)*(8+AX363)/(12*(2+AX363))))</f>
        <v>-0.3666666666666667</v>
      </c>
      <c r="BC363" s="1">
        <f>IF(BB363&lt;1,BB363,1)</f>
        <v>-0.3666666666666667</v>
      </c>
      <c r="BD363" s="1">
        <f>ABS(BC363-AV363)</f>
        <v>0.3666666666666667</v>
      </c>
      <c r="BF363">
        <f>$BQ$3*H363+$BQ$4*G363+$BQ$5*P363+$BQ$6*K363+$BQ$7*S363+$BQ$8*U363+$BQ$9*Y363+$BQ$10*J363+$BQ$11*AC363+$BQ$12*AG363+$BQ$13*AH363+$BQ$14*R363+$BQ$15*AE363</f>
        <v>9.0909090909090917</v>
      </c>
      <c r="BG363">
        <f>O363+$BQ$17*M363+$BQ$18*L363+$BQ$19*X363+$BQ$20*AD363+$BQ$21*I363+$BQ$22*N363+$BQ$23*AB363+$BQ$24*V363+$BQ$25*T363+$BQ$26*AA363+$BQ$28*Z363+$BQ$29*AF363+$BQ$30*W363+$BQ$27*AI363</f>
        <v>63.636363636363633</v>
      </c>
      <c r="BH363" s="1">
        <f>(Q363)/BF363</f>
        <v>2.9999999999999996</v>
      </c>
      <c r="BI363" s="1">
        <f>BG363/BF363</f>
        <v>6.9999999999999991</v>
      </c>
      <c r="BJ363" s="1">
        <f>$BQ$32+BH363*$BQ$33</f>
        <v>0.61</v>
      </c>
      <c r="BK363" s="1">
        <f>IF(BI363&lt;BJ363,BI363,$BQ$35*($BQ$36+BI363)*($BQ$37-BI363/($BQ$38+BH363)*$BQ$39)^5)</f>
        <v>2.1550047896075355E-3</v>
      </c>
      <c r="BL363" s="22">
        <f>IF(BK363&lt;1,IF(BK363&gt;0,BK363,0),1)</f>
        <v>2.1550047896075355E-3</v>
      </c>
      <c r="BM363" s="1">
        <f>(BL363-AV363)^2</f>
        <v>4.6440456432314183E-6</v>
      </c>
      <c r="BN363" s="1">
        <f t="shared" si="137"/>
        <v>0.16617112367241488</v>
      </c>
    </row>
    <row r="364" spans="1:66" x14ac:dyDescent="0.25">
      <c r="A364" s="3"/>
      <c r="B364" s="3"/>
      <c r="C364">
        <v>19</v>
      </c>
      <c r="D364" s="5">
        <v>1</v>
      </c>
      <c r="E364" s="9">
        <f t="shared" si="145"/>
        <v>16.666666666666661</v>
      </c>
      <c r="F364" s="9">
        <f t="shared" si="146"/>
        <v>0.8</v>
      </c>
      <c r="G364">
        <v>0</v>
      </c>
      <c r="H364">
        <v>16.666666666666661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16.666666666666661</v>
      </c>
      <c r="P364">
        <v>0</v>
      </c>
      <c r="Q364">
        <v>66.666666666666657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72</v>
      </c>
      <c r="AK364" t="s">
        <v>1</v>
      </c>
      <c r="AL364" t="s">
        <v>374</v>
      </c>
      <c r="AQ364" s="1">
        <f t="shared" si="138"/>
        <v>99.999999999999972</v>
      </c>
      <c r="AR364" s="1">
        <f t="shared" si="123"/>
        <v>0.1666666666666666</v>
      </c>
      <c r="AS364" s="1">
        <f t="shared" si="124"/>
        <v>0</v>
      </c>
      <c r="AT364" s="1">
        <f t="shared" si="125"/>
        <v>0.1666666666666666</v>
      </c>
      <c r="AU364" s="1">
        <f t="shared" si="126"/>
        <v>0.66666666666666652</v>
      </c>
      <c r="AV364" s="1">
        <f t="shared" si="139"/>
        <v>0.72</v>
      </c>
      <c r="AX364" s="1">
        <f t="shared" si="140"/>
        <v>4.0000000000000009</v>
      </c>
      <c r="AY364" s="1">
        <f t="shared" si="127"/>
        <v>1</v>
      </c>
      <c r="AZ364" s="1">
        <f t="shared" si="128"/>
        <v>0.75</v>
      </c>
      <c r="BA364" s="1">
        <f t="shared" si="129"/>
        <v>1.5000000000000002</v>
      </c>
      <c r="BB364" s="1">
        <f t="shared" si="130"/>
        <v>0.75</v>
      </c>
      <c r="BC364" s="1">
        <f t="shared" si="131"/>
        <v>0.75</v>
      </c>
      <c r="BD364" s="1">
        <f t="shared" si="141"/>
        <v>3.0000000000000027E-2</v>
      </c>
      <c r="BF364">
        <f t="shared" si="132"/>
        <v>16.666666666666661</v>
      </c>
      <c r="BG364">
        <f t="shared" si="133"/>
        <v>16.666666666666661</v>
      </c>
      <c r="BH364" s="1">
        <f t="shared" si="134"/>
        <v>4.0000000000000009</v>
      </c>
      <c r="BI364" s="1">
        <f t="shared" si="135"/>
        <v>1</v>
      </c>
      <c r="BJ364" s="1">
        <f t="shared" si="142"/>
        <v>0.67</v>
      </c>
      <c r="BK364" s="1">
        <f t="shared" si="143"/>
        <v>0.6912074462718002</v>
      </c>
      <c r="BL364" s="22">
        <f t="shared" si="144"/>
        <v>0.6912074462718002</v>
      </c>
      <c r="BM364" s="1">
        <f t="shared" si="136"/>
        <v>8.2901115019127082E-4</v>
      </c>
      <c r="BN364" s="1">
        <f t="shared" si="137"/>
        <v>9.7568191782701472E-2</v>
      </c>
    </row>
    <row r="365" spans="1:66" x14ac:dyDescent="0.25">
      <c r="A365" s="3"/>
      <c r="B365" s="3"/>
      <c r="C365">
        <v>20</v>
      </c>
      <c r="D365" s="5">
        <v>1</v>
      </c>
      <c r="E365" s="9">
        <f t="shared" si="145"/>
        <v>23.07692307692308</v>
      </c>
      <c r="F365" s="9">
        <f t="shared" si="146"/>
        <v>0.79999999999999993</v>
      </c>
      <c r="G365">
        <v>0</v>
      </c>
      <c r="H365">
        <v>15.38461538461539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23.07692307692308</v>
      </c>
      <c r="P365">
        <v>0</v>
      </c>
      <c r="Q365">
        <v>61.53846153846154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70</v>
      </c>
      <c r="AK365" t="s">
        <v>1</v>
      </c>
      <c r="AL365" t="s">
        <v>374</v>
      </c>
      <c r="AQ365" s="1">
        <f t="shared" si="138"/>
        <v>100</v>
      </c>
      <c r="AR365" s="1">
        <f t="shared" si="123"/>
        <v>0.23076923076923081</v>
      </c>
      <c r="AS365" s="1">
        <f t="shared" si="124"/>
        <v>0</v>
      </c>
      <c r="AT365" s="1">
        <f t="shared" si="125"/>
        <v>0.15384615384615391</v>
      </c>
      <c r="AU365" s="1">
        <f t="shared" si="126"/>
        <v>0.61538461538461542</v>
      </c>
      <c r="AV365" s="1">
        <f t="shared" si="139"/>
        <v>0.7</v>
      </c>
      <c r="AX365" s="1">
        <f t="shared" si="140"/>
        <v>3.9999999999999987</v>
      </c>
      <c r="AY365" s="1">
        <f t="shared" si="127"/>
        <v>1.4999999999999996</v>
      </c>
      <c r="AZ365" s="1">
        <f t="shared" si="128"/>
        <v>0.74999999999999989</v>
      </c>
      <c r="BA365" s="1">
        <f t="shared" si="129"/>
        <v>1.4999999999999996</v>
      </c>
      <c r="BB365" s="1">
        <f t="shared" si="130"/>
        <v>0.74999999999999989</v>
      </c>
      <c r="BC365" s="1">
        <f t="shared" si="131"/>
        <v>0.74999999999999989</v>
      </c>
      <c r="BD365" s="1">
        <f t="shared" si="141"/>
        <v>4.9999999999999933E-2</v>
      </c>
      <c r="BF365">
        <f t="shared" si="132"/>
        <v>15.38461538461539</v>
      </c>
      <c r="BG365">
        <f t="shared" si="133"/>
        <v>23.07692307692308</v>
      </c>
      <c r="BH365" s="1">
        <f t="shared" si="134"/>
        <v>3.9999999999999987</v>
      </c>
      <c r="BI365" s="1">
        <f t="shared" si="135"/>
        <v>1.4999999999999996</v>
      </c>
      <c r="BJ365" s="1">
        <f t="shared" si="142"/>
        <v>0.66999999999999993</v>
      </c>
      <c r="BK365" s="1">
        <f t="shared" si="143"/>
        <v>0.72692493219390897</v>
      </c>
      <c r="BL365" s="22">
        <f t="shared" si="144"/>
        <v>0.72692493219390897</v>
      </c>
      <c r="BM365" s="1">
        <f t="shared" si="136"/>
        <v>7.2495197364659796E-4</v>
      </c>
      <c r="BN365" s="1">
        <f t="shared" si="137"/>
        <v>8.5473828779637939E-2</v>
      </c>
    </row>
    <row r="366" spans="1:66" x14ac:dyDescent="0.25">
      <c r="A366" s="3"/>
      <c r="B366" s="3"/>
      <c r="C366">
        <v>21</v>
      </c>
      <c r="D366" s="5">
        <v>1</v>
      </c>
      <c r="E366" s="9">
        <f t="shared" si="145"/>
        <v>28.571428571428569</v>
      </c>
      <c r="F366" s="9">
        <f t="shared" si="146"/>
        <v>0.8</v>
      </c>
      <c r="G366">
        <v>0</v>
      </c>
      <c r="H366">
        <v>14.285714285714279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28.571428571428569</v>
      </c>
      <c r="P366">
        <v>0</v>
      </c>
      <c r="Q366">
        <v>57.142857142857139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66</v>
      </c>
      <c r="AK366" t="s">
        <v>1</v>
      </c>
      <c r="AL366" t="s">
        <v>374</v>
      </c>
      <c r="AQ366" s="1">
        <f t="shared" si="138"/>
        <v>99.999999999999986</v>
      </c>
      <c r="AR366" s="1">
        <f t="shared" si="123"/>
        <v>0.2857142857142857</v>
      </c>
      <c r="AS366" s="1">
        <f t="shared" si="124"/>
        <v>0</v>
      </c>
      <c r="AT366" s="1">
        <f t="shared" si="125"/>
        <v>0.14285714285714279</v>
      </c>
      <c r="AU366" s="1">
        <f t="shared" si="126"/>
        <v>0.5714285714285714</v>
      </c>
      <c r="AV366" s="1">
        <f t="shared" si="139"/>
        <v>0.66</v>
      </c>
      <c r="AX366" s="1">
        <f t="shared" si="140"/>
        <v>4.0000000000000018</v>
      </c>
      <c r="AY366" s="1">
        <f t="shared" si="127"/>
        <v>2.0000000000000009</v>
      </c>
      <c r="AZ366" s="1">
        <f t="shared" si="128"/>
        <v>0.75000000000000011</v>
      </c>
      <c r="BA366" s="1">
        <f t="shared" si="129"/>
        <v>1.5000000000000004</v>
      </c>
      <c r="BB366" s="1">
        <f t="shared" si="130"/>
        <v>0.66666666666666674</v>
      </c>
      <c r="BC366" s="1">
        <f t="shared" si="131"/>
        <v>0.66666666666666674</v>
      </c>
      <c r="BD366" s="1">
        <f t="shared" si="141"/>
        <v>6.6666666666667096E-3</v>
      </c>
      <c r="BF366">
        <f t="shared" si="132"/>
        <v>14.285714285714279</v>
      </c>
      <c r="BG366">
        <f t="shared" si="133"/>
        <v>28.571428571428569</v>
      </c>
      <c r="BH366" s="1">
        <f t="shared" si="134"/>
        <v>4.0000000000000018</v>
      </c>
      <c r="BI366" s="1">
        <f t="shared" si="135"/>
        <v>2.0000000000000009</v>
      </c>
      <c r="BJ366" s="1">
        <f t="shared" si="142"/>
        <v>0.67000000000000015</v>
      </c>
      <c r="BK366" s="1">
        <f t="shared" si="143"/>
        <v>0.69088268710188294</v>
      </c>
      <c r="BL366" s="22">
        <f t="shared" si="144"/>
        <v>0.69088268710188294</v>
      </c>
      <c r="BM366" s="1">
        <f t="shared" si="136"/>
        <v>9.5374036263280509E-4</v>
      </c>
      <c r="BN366" s="1">
        <f t="shared" si="137"/>
        <v>6.3685102773510957E-2</v>
      </c>
    </row>
    <row r="367" spans="1:66" x14ac:dyDescent="0.25">
      <c r="A367" s="3"/>
      <c r="B367" s="3"/>
      <c r="C367">
        <v>22</v>
      </c>
      <c r="D367" s="5">
        <v>1</v>
      </c>
      <c r="E367" s="9">
        <f t="shared" si="145"/>
        <v>33.333333333333329</v>
      </c>
      <c r="F367" s="9">
        <f t="shared" si="146"/>
        <v>0.8</v>
      </c>
      <c r="G367">
        <v>0</v>
      </c>
      <c r="H367">
        <v>13.33333333333333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33.333333333333329</v>
      </c>
      <c r="P367">
        <v>0</v>
      </c>
      <c r="Q367">
        <v>53.333333333333343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63</v>
      </c>
      <c r="AK367" t="s">
        <v>1</v>
      </c>
      <c r="AL367" t="s">
        <v>374</v>
      </c>
      <c r="AQ367" s="1">
        <f t="shared" si="138"/>
        <v>100</v>
      </c>
      <c r="AR367" s="1">
        <f t="shared" si="123"/>
        <v>0.33333333333333326</v>
      </c>
      <c r="AS367" s="1">
        <f t="shared" si="124"/>
        <v>0</v>
      </c>
      <c r="AT367" s="1">
        <f t="shared" si="125"/>
        <v>0.1333333333333333</v>
      </c>
      <c r="AU367" s="1">
        <f t="shared" si="126"/>
        <v>0.53333333333333344</v>
      </c>
      <c r="AV367" s="1">
        <f t="shared" si="139"/>
        <v>0.63</v>
      </c>
      <c r="AX367" s="1">
        <f t="shared" si="140"/>
        <v>4.0000000000000018</v>
      </c>
      <c r="AY367" s="1">
        <f t="shared" si="127"/>
        <v>2.5</v>
      </c>
      <c r="AZ367" s="1">
        <f t="shared" si="128"/>
        <v>0.75000000000000011</v>
      </c>
      <c r="BA367" s="1">
        <f t="shared" si="129"/>
        <v>1.5000000000000004</v>
      </c>
      <c r="BB367" s="1">
        <f t="shared" si="130"/>
        <v>0.58333333333333359</v>
      </c>
      <c r="BC367" s="1">
        <f t="shared" si="131"/>
        <v>0.58333333333333359</v>
      </c>
      <c r="BD367" s="1">
        <f t="shared" si="141"/>
        <v>4.6666666666666412E-2</v>
      </c>
      <c r="BF367">
        <f t="shared" si="132"/>
        <v>13.33333333333333</v>
      </c>
      <c r="BG367">
        <f t="shared" si="133"/>
        <v>33.333333333333329</v>
      </c>
      <c r="BH367" s="1">
        <f t="shared" si="134"/>
        <v>4.0000000000000018</v>
      </c>
      <c r="BI367" s="1">
        <f t="shared" si="135"/>
        <v>2.5</v>
      </c>
      <c r="BJ367" s="1">
        <f t="shared" si="142"/>
        <v>0.67000000000000015</v>
      </c>
      <c r="BK367" s="1">
        <f t="shared" si="143"/>
        <v>0.61256612193184656</v>
      </c>
      <c r="BL367" s="22">
        <f t="shared" si="144"/>
        <v>0.61256612193184656</v>
      </c>
      <c r="BM367" s="1">
        <f t="shared" si="136"/>
        <v>3.0394010449524155E-4</v>
      </c>
      <c r="BN367" s="1">
        <f t="shared" si="137"/>
        <v>4.9443558268915666E-2</v>
      </c>
    </row>
    <row r="368" spans="1:66" x14ac:dyDescent="0.25">
      <c r="A368" s="3"/>
      <c r="B368" s="3"/>
      <c r="C368">
        <v>23</v>
      </c>
      <c r="D368" s="5">
        <v>1</v>
      </c>
      <c r="E368" s="9">
        <f t="shared" si="145"/>
        <v>37.5</v>
      </c>
      <c r="F368" s="9">
        <f t="shared" si="146"/>
        <v>0.8</v>
      </c>
      <c r="G368">
        <v>0</v>
      </c>
      <c r="H368">
        <v>12.5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37.5</v>
      </c>
      <c r="P368">
        <v>0</v>
      </c>
      <c r="Q368">
        <v>50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56.999999999999993</v>
      </c>
      <c r="AK368" t="s">
        <v>1</v>
      </c>
      <c r="AL368" t="s">
        <v>374</v>
      </c>
      <c r="AQ368" s="1">
        <f t="shared" si="138"/>
        <v>100</v>
      </c>
      <c r="AR368" s="1">
        <f t="shared" si="123"/>
        <v>0.375</v>
      </c>
      <c r="AS368" s="1">
        <f t="shared" si="124"/>
        <v>0</v>
      </c>
      <c r="AT368" s="1">
        <f t="shared" si="125"/>
        <v>0.125</v>
      </c>
      <c r="AU368" s="1">
        <f t="shared" si="126"/>
        <v>0.5</v>
      </c>
      <c r="AV368" s="1">
        <f t="shared" si="139"/>
        <v>0.56999999999999995</v>
      </c>
      <c r="AX368" s="1">
        <f t="shared" si="140"/>
        <v>4</v>
      </c>
      <c r="AY368" s="1">
        <f t="shared" si="127"/>
        <v>3</v>
      </c>
      <c r="AZ368" s="1">
        <f t="shared" si="128"/>
        <v>0.75</v>
      </c>
      <c r="BA368" s="1">
        <f t="shared" si="129"/>
        <v>1.5</v>
      </c>
      <c r="BB368" s="1">
        <f t="shared" si="130"/>
        <v>0.5</v>
      </c>
      <c r="BC368" s="1">
        <f t="shared" si="131"/>
        <v>0.5</v>
      </c>
      <c r="BD368" s="1">
        <f t="shared" si="141"/>
        <v>6.9999999999999951E-2</v>
      </c>
      <c r="BF368">
        <f t="shared" si="132"/>
        <v>12.5</v>
      </c>
      <c r="BG368">
        <f t="shared" si="133"/>
        <v>37.5</v>
      </c>
      <c r="BH368" s="1">
        <f t="shared" si="134"/>
        <v>4</v>
      </c>
      <c r="BI368" s="1">
        <f t="shared" si="135"/>
        <v>3</v>
      </c>
      <c r="BJ368" s="1">
        <f t="shared" si="142"/>
        <v>0.66999999999999993</v>
      </c>
      <c r="BK368" s="1">
        <f t="shared" si="143"/>
        <v>0.51391618121347293</v>
      </c>
      <c r="BL368" s="22">
        <f t="shared" si="144"/>
        <v>0.51391618121347293</v>
      </c>
      <c r="BM368" s="1">
        <f t="shared" si="136"/>
        <v>3.145394729680001E-3</v>
      </c>
      <c r="BN368" s="1">
        <f t="shared" si="137"/>
        <v>2.6360469259725097E-2</v>
      </c>
    </row>
    <row r="369" spans="1:66" x14ac:dyDescent="0.25">
      <c r="A369" s="3"/>
      <c r="B369" s="3"/>
      <c r="C369">
        <v>24</v>
      </c>
      <c r="D369" s="5">
        <v>1</v>
      </c>
      <c r="E369" s="9">
        <f t="shared" si="145"/>
        <v>44.444444444444443</v>
      </c>
      <c r="F369" s="9">
        <f t="shared" si="146"/>
        <v>0.79999999999999993</v>
      </c>
      <c r="G369">
        <v>0</v>
      </c>
      <c r="H369">
        <v>11.111111111111111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44.444444444444443</v>
      </c>
      <c r="P369">
        <v>0</v>
      </c>
      <c r="Q369">
        <v>44.444444444444443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43</v>
      </c>
      <c r="AK369" t="s">
        <v>1</v>
      </c>
      <c r="AL369" t="s">
        <v>374</v>
      </c>
      <c r="AQ369" s="1">
        <f t="shared" si="138"/>
        <v>100</v>
      </c>
      <c r="AR369" s="1">
        <f t="shared" si="123"/>
        <v>0.44444444444444442</v>
      </c>
      <c r="AS369" s="1">
        <f t="shared" si="124"/>
        <v>0</v>
      </c>
      <c r="AT369" s="1">
        <f t="shared" si="125"/>
        <v>0.1111111111111111</v>
      </c>
      <c r="AU369" s="1">
        <f t="shared" si="126"/>
        <v>0.44444444444444442</v>
      </c>
      <c r="AV369" s="1">
        <f t="shared" si="139"/>
        <v>0.43</v>
      </c>
      <c r="AX369" s="1">
        <f t="shared" si="140"/>
        <v>4</v>
      </c>
      <c r="AY369" s="1">
        <f t="shared" si="127"/>
        <v>4</v>
      </c>
      <c r="AZ369" s="1">
        <f t="shared" si="128"/>
        <v>0.75</v>
      </c>
      <c r="BA369" s="1">
        <f t="shared" si="129"/>
        <v>1.5</v>
      </c>
      <c r="BB369" s="1">
        <f t="shared" si="130"/>
        <v>0.33333333333333331</v>
      </c>
      <c r="BC369" s="1">
        <f t="shared" si="131"/>
        <v>0.33333333333333331</v>
      </c>
      <c r="BD369" s="1">
        <f t="shared" si="141"/>
        <v>9.6666666666666679E-2</v>
      </c>
      <c r="BF369">
        <f t="shared" si="132"/>
        <v>11.111111111111111</v>
      </c>
      <c r="BG369">
        <f t="shared" si="133"/>
        <v>44.444444444444443</v>
      </c>
      <c r="BH369" s="1">
        <f t="shared" si="134"/>
        <v>4</v>
      </c>
      <c r="BI369" s="1">
        <f t="shared" si="135"/>
        <v>4</v>
      </c>
      <c r="BJ369" s="1">
        <f t="shared" si="142"/>
        <v>0.66999999999999993</v>
      </c>
      <c r="BK369" s="1">
        <f t="shared" si="143"/>
        <v>0.31294246966941547</v>
      </c>
      <c r="BL369" s="22">
        <f t="shared" si="144"/>
        <v>0.31294246966941547</v>
      </c>
      <c r="BM369" s="1">
        <f t="shared" si="136"/>
        <v>1.3702465407095715E-2</v>
      </c>
      <c r="BN369" s="1">
        <f t="shared" si="137"/>
        <v>4.9992823828049458E-4</v>
      </c>
    </row>
    <row r="370" spans="1:66" x14ac:dyDescent="0.25">
      <c r="A370" s="3"/>
      <c r="B370" s="3"/>
      <c r="C370">
        <v>25</v>
      </c>
      <c r="D370" s="5">
        <v>1</v>
      </c>
      <c r="E370" s="9">
        <f t="shared" si="145"/>
        <v>50</v>
      </c>
      <c r="F370" s="9">
        <f t="shared" si="146"/>
        <v>0.8</v>
      </c>
      <c r="G370">
        <v>0</v>
      </c>
      <c r="H370">
        <v>10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50</v>
      </c>
      <c r="P370">
        <v>0</v>
      </c>
      <c r="Q370">
        <v>40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27</v>
      </c>
      <c r="AK370" t="s">
        <v>1</v>
      </c>
      <c r="AL370" t="s">
        <v>374</v>
      </c>
      <c r="AQ370" s="1">
        <f t="shared" si="138"/>
        <v>100</v>
      </c>
      <c r="AR370" s="1">
        <f t="shared" si="123"/>
        <v>0.5</v>
      </c>
      <c r="AS370" s="1">
        <f t="shared" si="124"/>
        <v>0</v>
      </c>
      <c r="AT370" s="1">
        <f t="shared" si="125"/>
        <v>0.1</v>
      </c>
      <c r="AU370" s="1">
        <f t="shared" si="126"/>
        <v>0.4</v>
      </c>
      <c r="AV370" s="1">
        <f t="shared" si="139"/>
        <v>0.27</v>
      </c>
      <c r="AX370" s="1">
        <f t="shared" si="140"/>
        <v>4</v>
      </c>
      <c r="AY370" s="1">
        <f t="shared" si="127"/>
        <v>5</v>
      </c>
      <c r="AZ370" s="1">
        <f t="shared" si="128"/>
        <v>0.75</v>
      </c>
      <c r="BA370" s="1">
        <f t="shared" si="129"/>
        <v>1.5</v>
      </c>
      <c r="BB370" s="1">
        <f t="shared" si="130"/>
        <v>0.16666666666666663</v>
      </c>
      <c r="BC370" s="1">
        <f t="shared" si="131"/>
        <v>0.16666666666666663</v>
      </c>
      <c r="BD370" s="1">
        <f t="shared" si="141"/>
        <v>0.10333333333333339</v>
      </c>
      <c r="BF370">
        <f t="shared" si="132"/>
        <v>10</v>
      </c>
      <c r="BG370">
        <f t="shared" si="133"/>
        <v>50</v>
      </c>
      <c r="BH370" s="1">
        <f t="shared" si="134"/>
        <v>4</v>
      </c>
      <c r="BI370" s="1">
        <f t="shared" si="135"/>
        <v>5</v>
      </c>
      <c r="BJ370" s="1">
        <f t="shared" si="142"/>
        <v>0.66999999999999993</v>
      </c>
      <c r="BK370" s="1">
        <f t="shared" si="143"/>
        <v>0.15685080738796359</v>
      </c>
      <c r="BL370" s="22">
        <f t="shared" si="144"/>
        <v>0.15685080738796359</v>
      </c>
      <c r="BM370" s="1">
        <f t="shared" si="136"/>
        <v>1.2802739788755719E-2</v>
      </c>
      <c r="BN370" s="1">
        <f t="shared" si="137"/>
        <v>1.8945024213772359E-2</v>
      </c>
    </row>
    <row r="371" spans="1:66" x14ac:dyDescent="0.25">
      <c r="A371" s="3"/>
      <c r="B371" s="3"/>
      <c r="C371">
        <v>26</v>
      </c>
      <c r="D371" s="5">
        <v>1</v>
      </c>
      <c r="E371" s="9">
        <f t="shared" si="145"/>
        <v>54.54545454545454</v>
      </c>
      <c r="F371" s="9">
        <f t="shared" si="146"/>
        <v>0.79999999999999993</v>
      </c>
      <c r="G371">
        <v>0</v>
      </c>
      <c r="H371">
        <v>9.0909090909090917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54.54545454545454</v>
      </c>
      <c r="P371">
        <v>0</v>
      </c>
      <c r="Q371">
        <v>36.363636363636367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6</v>
      </c>
      <c r="AK371" t="s">
        <v>1</v>
      </c>
      <c r="AL371" t="s">
        <v>374</v>
      </c>
      <c r="AQ371" s="1">
        <f t="shared" si="138"/>
        <v>100</v>
      </c>
      <c r="AR371" s="1">
        <f t="shared" si="123"/>
        <v>0.54545454545454541</v>
      </c>
      <c r="AS371" s="1">
        <f t="shared" si="124"/>
        <v>0</v>
      </c>
      <c r="AT371" s="1">
        <f t="shared" si="125"/>
        <v>9.0909090909090912E-2</v>
      </c>
      <c r="AU371" s="1">
        <f t="shared" si="126"/>
        <v>0.36363636363636365</v>
      </c>
      <c r="AV371" s="1">
        <f t="shared" si="139"/>
        <v>0.06</v>
      </c>
      <c r="AX371" s="1">
        <f t="shared" si="140"/>
        <v>4</v>
      </c>
      <c r="AY371" s="1">
        <f t="shared" si="127"/>
        <v>5.9999999999999991</v>
      </c>
      <c r="AZ371" s="1">
        <f t="shared" si="128"/>
        <v>0.75</v>
      </c>
      <c r="BA371" s="1">
        <f t="shared" si="129"/>
        <v>1.5</v>
      </c>
      <c r="BB371" s="1">
        <f t="shared" si="130"/>
        <v>2.2204460492503131E-16</v>
      </c>
      <c r="BC371" s="1">
        <f t="shared" si="131"/>
        <v>2.2204460492503131E-16</v>
      </c>
      <c r="BD371" s="1">
        <f t="shared" si="141"/>
        <v>5.9999999999999776E-2</v>
      </c>
      <c r="BF371">
        <f t="shared" si="132"/>
        <v>9.0909090909090917</v>
      </c>
      <c r="BG371">
        <f t="shared" si="133"/>
        <v>54.54545454545454</v>
      </c>
      <c r="BH371" s="1">
        <f t="shared" si="134"/>
        <v>4</v>
      </c>
      <c r="BI371" s="1">
        <f t="shared" si="135"/>
        <v>5.9999999999999991</v>
      </c>
      <c r="BJ371" s="1">
        <f t="shared" si="142"/>
        <v>0.66999999999999993</v>
      </c>
      <c r="BK371" s="1">
        <f t="shared" si="143"/>
        <v>6.2092261357051245E-2</v>
      </c>
      <c r="BL371" s="22">
        <f t="shared" si="144"/>
        <v>6.2092261357051245E-2</v>
      </c>
      <c r="BM371" s="1">
        <f t="shared" si="136"/>
        <v>4.377557586209929E-6</v>
      </c>
      <c r="BN371" s="1">
        <f t="shared" si="137"/>
        <v>0.12085421268160544</v>
      </c>
    </row>
    <row r="372" spans="1:66" x14ac:dyDescent="0.25">
      <c r="A372" s="3"/>
      <c r="B372" s="3"/>
      <c r="C372">
        <v>27</v>
      </c>
      <c r="D372" s="5">
        <v>1</v>
      </c>
      <c r="E372" s="9">
        <f>I372+L372+M372+N372+O372+V372+X372+AB372+AD372</f>
        <v>58.333333333333343</v>
      </c>
      <c r="F372" s="9">
        <f>Q372/(H372+P372+Q372+AC372)</f>
        <v>0.8</v>
      </c>
      <c r="G372">
        <v>0</v>
      </c>
      <c r="H372">
        <v>8.3333333333333321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58.333333333333343</v>
      </c>
      <c r="P372">
        <v>0</v>
      </c>
      <c r="Q372">
        <v>33.333333333333329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s">
        <v>1</v>
      </c>
      <c r="AL372" t="s">
        <v>374</v>
      </c>
      <c r="AQ372" s="1">
        <f>SUM(G372:AI372)</f>
        <v>100</v>
      </c>
      <c r="AR372" s="1">
        <f>(L372+M372+O372+X372)/100</f>
        <v>0.58333333333333348</v>
      </c>
      <c r="AS372" s="1">
        <f>G372/100</f>
        <v>0</v>
      </c>
      <c r="AT372" s="1">
        <f>H372/100</f>
        <v>8.3333333333333315E-2</v>
      </c>
      <c r="AU372" s="1">
        <f>Q372/100</f>
        <v>0.33333333333333326</v>
      </c>
      <c r="AV372" s="1">
        <f>AJ372/100</f>
        <v>0</v>
      </c>
      <c r="AX372" s="1">
        <f>AU372/(AT372+AS372)</f>
        <v>4</v>
      </c>
      <c r="AY372" s="1">
        <f>AR372/(AS372+AT372)</f>
        <v>7.0000000000000036</v>
      </c>
      <c r="AZ372" s="1">
        <f>0.5+AX372/16</f>
        <v>0.75</v>
      </c>
      <c r="BA372" s="1">
        <f>0.5+AX372/4</f>
        <v>1.5</v>
      </c>
      <c r="BB372" s="1">
        <f>IF(AY372&lt;=AZ372,AY372,IF(AY372&lt;=BA372,AZ372,AZ372-(AY372-BA372)*(8+AX372)/(12*(2+AX372))))</f>
        <v>-0.1666666666666673</v>
      </c>
      <c r="BC372" s="1">
        <f>IF(BB372&lt;1,BB372,1)</f>
        <v>-0.1666666666666673</v>
      </c>
      <c r="BD372" s="1">
        <f>ABS(BC372-AV372)</f>
        <v>0.1666666666666673</v>
      </c>
      <c r="BF372">
        <f>$BQ$3*H372+$BQ$4*G372+$BQ$5*P372+$BQ$6*K372+$BQ$7*S372+$BQ$8*U372+$BQ$9*Y372+$BQ$10*J372+$BQ$11*AC372+$BQ$12*AG372+$BQ$13*AH372+$BQ$14*R372+$BQ$15*AE372</f>
        <v>8.3333333333333321</v>
      </c>
      <c r="BG372">
        <f>O372+$BQ$17*M372+$BQ$18*L372+$BQ$19*X372+$BQ$20*AD372+$BQ$21*I372+$BQ$22*N372+$BQ$23*AB372+$BQ$24*V372+$BQ$25*T372+$BQ$26*AA372+$BQ$28*Z372+$BQ$29*AF372+$BQ$30*W372+$BQ$27*AI372</f>
        <v>58.333333333333343</v>
      </c>
      <c r="BH372" s="1">
        <f>(Q372)/BF372</f>
        <v>4</v>
      </c>
      <c r="BI372" s="1">
        <f>BG372/BF372</f>
        <v>7.0000000000000018</v>
      </c>
      <c r="BJ372" s="1">
        <f>$BQ$32+BH372*$BQ$33</f>
        <v>0.66999999999999993</v>
      </c>
      <c r="BK372" s="1">
        <f>IF(BI372&lt;BJ372,BI372,$BQ$35*($BQ$36+BI372)*($BQ$37-BI372/($BQ$38+BH372)*$BQ$39)^5)</f>
        <v>1.7519290969291904E-2</v>
      </c>
      <c r="BL372" s="22">
        <f>IF(BK372&lt;1,IF(BK372&gt;0,BK372,0),1)</f>
        <v>1.7519290969291904E-2</v>
      </c>
      <c r="BM372" s="1">
        <f>(BL372-AV372)^2</f>
        <v>3.0692555606671285E-4</v>
      </c>
      <c r="BN372" s="1">
        <f t="shared" si="137"/>
        <v>0.16617112367241488</v>
      </c>
    </row>
    <row r="373" spans="1:66" x14ac:dyDescent="0.25">
      <c r="A373" s="3"/>
      <c r="B373" s="3"/>
      <c r="C373">
        <v>28</v>
      </c>
      <c r="D373" s="5">
        <v>1</v>
      </c>
      <c r="E373" s="9">
        <f t="shared" si="145"/>
        <v>17.647058823529409</v>
      </c>
      <c r="F373" s="9">
        <f t="shared" si="146"/>
        <v>0.8571428571428571</v>
      </c>
      <c r="G373">
        <v>0</v>
      </c>
      <c r="H373">
        <v>11.76470588235294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17.647058823529409</v>
      </c>
      <c r="P373">
        <v>0</v>
      </c>
      <c r="Q373">
        <v>70.588235294117652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81</v>
      </c>
      <c r="AK373" t="s">
        <v>1</v>
      </c>
      <c r="AL373" t="s">
        <v>374</v>
      </c>
      <c r="AQ373" s="1">
        <f t="shared" si="138"/>
        <v>100</v>
      </c>
      <c r="AR373" s="1">
        <f t="shared" si="123"/>
        <v>0.1764705882352941</v>
      </c>
      <c r="AS373" s="1">
        <f t="shared" si="124"/>
        <v>0</v>
      </c>
      <c r="AT373" s="1">
        <f t="shared" si="125"/>
        <v>0.1176470588235294</v>
      </c>
      <c r="AU373" s="1">
        <f t="shared" si="126"/>
        <v>0.70588235294117652</v>
      </c>
      <c r="AV373" s="1">
        <f t="shared" si="139"/>
        <v>0.81</v>
      </c>
      <c r="AX373" s="1">
        <f t="shared" si="140"/>
        <v>6.0000000000000009</v>
      </c>
      <c r="AY373" s="1">
        <f t="shared" si="127"/>
        <v>1.5</v>
      </c>
      <c r="AZ373" s="1">
        <f t="shared" si="128"/>
        <v>0.875</v>
      </c>
      <c r="BA373" s="1">
        <f t="shared" si="129"/>
        <v>2</v>
      </c>
      <c r="BB373" s="1">
        <f t="shared" si="130"/>
        <v>0.875</v>
      </c>
      <c r="BC373" s="1">
        <f t="shared" si="131"/>
        <v>0.875</v>
      </c>
      <c r="BD373" s="1">
        <f t="shared" si="141"/>
        <v>6.4999999999999947E-2</v>
      </c>
      <c r="BF373">
        <f t="shared" si="132"/>
        <v>11.76470588235294</v>
      </c>
      <c r="BG373">
        <f t="shared" si="133"/>
        <v>17.647058823529409</v>
      </c>
      <c r="BH373" s="1">
        <f t="shared" si="134"/>
        <v>6.0000000000000009</v>
      </c>
      <c r="BI373" s="1">
        <f t="shared" si="135"/>
        <v>1.5</v>
      </c>
      <c r="BJ373" s="1">
        <f t="shared" si="142"/>
        <v>0.79</v>
      </c>
      <c r="BK373" s="1">
        <f t="shared" si="143"/>
        <v>0.86838340983951778</v>
      </c>
      <c r="BL373" s="22">
        <f t="shared" si="144"/>
        <v>0.86838340983951778</v>
      </c>
      <c r="BM373" s="1">
        <f t="shared" si="136"/>
        <v>3.4086225444890958E-3</v>
      </c>
      <c r="BN373" s="1">
        <f t="shared" si="137"/>
        <v>0.16189282529648735</v>
      </c>
    </row>
    <row r="374" spans="1:66" x14ac:dyDescent="0.25">
      <c r="A374" s="3"/>
      <c r="B374" s="3"/>
      <c r="C374">
        <v>29</v>
      </c>
      <c r="D374" s="5">
        <v>1</v>
      </c>
      <c r="E374" s="9">
        <f t="shared" si="145"/>
        <v>22.222222222222221</v>
      </c>
      <c r="F374" s="9">
        <f t="shared" si="146"/>
        <v>0.8571428571428571</v>
      </c>
      <c r="G374">
        <v>0</v>
      </c>
      <c r="H374">
        <v>11.111111111111111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22.222222222222221</v>
      </c>
      <c r="P374">
        <v>0</v>
      </c>
      <c r="Q374">
        <v>66.666666666666657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79</v>
      </c>
      <c r="AK374" t="s">
        <v>1</v>
      </c>
      <c r="AL374" t="s">
        <v>374</v>
      </c>
      <c r="AQ374" s="1">
        <f t="shared" si="138"/>
        <v>99.999999999999986</v>
      </c>
      <c r="AR374" s="1">
        <f t="shared" si="123"/>
        <v>0.22222222222222221</v>
      </c>
      <c r="AS374" s="1">
        <f t="shared" si="124"/>
        <v>0</v>
      </c>
      <c r="AT374" s="1">
        <f t="shared" si="125"/>
        <v>0.1111111111111111</v>
      </c>
      <c r="AU374" s="1">
        <f t="shared" si="126"/>
        <v>0.66666666666666652</v>
      </c>
      <c r="AV374" s="1">
        <f t="shared" si="139"/>
        <v>0.79</v>
      </c>
      <c r="AX374" s="1">
        <f t="shared" si="140"/>
        <v>5.9999999999999991</v>
      </c>
      <c r="AY374" s="1">
        <f t="shared" si="127"/>
        <v>2</v>
      </c>
      <c r="AZ374" s="1">
        <f t="shared" si="128"/>
        <v>0.875</v>
      </c>
      <c r="BA374" s="1">
        <f t="shared" si="129"/>
        <v>1.9999999999999998</v>
      </c>
      <c r="BB374" s="1">
        <f t="shared" si="130"/>
        <v>0.875</v>
      </c>
      <c r="BC374" s="1">
        <f t="shared" si="131"/>
        <v>0.875</v>
      </c>
      <c r="BD374" s="1">
        <f t="shared" si="141"/>
        <v>8.4999999999999964E-2</v>
      </c>
      <c r="BF374">
        <f t="shared" si="132"/>
        <v>11.111111111111111</v>
      </c>
      <c r="BG374">
        <f t="shared" si="133"/>
        <v>22.222222222222221</v>
      </c>
      <c r="BH374" s="1">
        <f t="shared" si="134"/>
        <v>5.9999999999999991</v>
      </c>
      <c r="BI374" s="1">
        <f t="shared" si="135"/>
        <v>2</v>
      </c>
      <c r="BJ374" s="1">
        <f t="shared" si="142"/>
        <v>0.78999999999999992</v>
      </c>
      <c r="BK374" s="1">
        <f t="shared" si="143"/>
        <v>0.88707800030453254</v>
      </c>
      <c r="BL374" s="22">
        <f t="shared" si="144"/>
        <v>0.88707800030453254</v>
      </c>
      <c r="BM374" s="1">
        <f t="shared" si="136"/>
        <v>9.4241381431268145E-3</v>
      </c>
      <c r="BN374" s="1">
        <f t="shared" si="137"/>
        <v>0.14619846229342381</v>
      </c>
    </row>
    <row r="375" spans="1:66" x14ac:dyDescent="0.25">
      <c r="A375" s="3"/>
      <c r="B375" s="3"/>
      <c r="C375">
        <v>30</v>
      </c>
      <c r="D375" s="5">
        <v>1</v>
      </c>
      <c r="E375" s="9">
        <f t="shared" si="145"/>
        <v>26.315789473684209</v>
      </c>
      <c r="F375" s="9">
        <f t="shared" si="146"/>
        <v>0.85714285714285721</v>
      </c>
      <c r="G375">
        <v>0</v>
      </c>
      <c r="H375">
        <v>10.52631578947368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26.315789473684209</v>
      </c>
      <c r="P375">
        <v>0</v>
      </c>
      <c r="Q375">
        <v>63.157894736842103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79</v>
      </c>
      <c r="AK375" t="s">
        <v>1</v>
      </c>
      <c r="AL375" t="s">
        <v>374</v>
      </c>
      <c r="AQ375" s="1">
        <f t="shared" si="138"/>
        <v>100</v>
      </c>
      <c r="AR375" s="1">
        <f t="shared" si="123"/>
        <v>0.26315789473684209</v>
      </c>
      <c r="AS375" s="1">
        <f t="shared" si="124"/>
        <v>0</v>
      </c>
      <c r="AT375" s="1">
        <f t="shared" si="125"/>
        <v>0.10526315789473679</v>
      </c>
      <c r="AU375" s="1">
        <f t="shared" si="126"/>
        <v>0.63157894736842102</v>
      </c>
      <c r="AV375" s="1">
        <f t="shared" si="139"/>
        <v>0.79</v>
      </c>
      <c r="AX375" s="1">
        <f t="shared" si="140"/>
        <v>6.0000000000000027</v>
      </c>
      <c r="AY375" s="1">
        <f t="shared" si="127"/>
        <v>2.5000000000000009</v>
      </c>
      <c r="AZ375" s="1">
        <f t="shared" si="128"/>
        <v>0.87500000000000022</v>
      </c>
      <c r="BA375" s="1">
        <f t="shared" si="129"/>
        <v>2.0000000000000009</v>
      </c>
      <c r="BB375" s="1">
        <f t="shared" si="130"/>
        <v>0.80208333333333359</v>
      </c>
      <c r="BC375" s="1">
        <f t="shared" si="131"/>
        <v>0.80208333333333359</v>
      </c>
      <c r="BD375" s="1">
        <f t="shared" si="141"/>
        <v>1.2083333333333557E-2</v>
      </c>
      <c r="BF375">
        <f t="shared" si="132"/>
        <v>10.52631578947368</v>
      </c>
      <c r="BG375">
        <f t="shared" si="133"/>
        <v>26.315789473684209</v>
      </c>
      <c r="BH375" s="1">
        <f t="shared" si="134"/>
        <v>6.0000000000000027</v>
      </c>
      <c r="BI375" s="1">
        <f t="shared" si="135"/>
        <v>2.5000000000000009</v>
      </c>
      <c r="BJ375" s="1">
        <f t="shared" si="142"/>
        <v>0.79000000000000015</v>
      </c>
      <c r="BK375" s="1">
        <f t="shared" si="143"/>
        <v>0.85241889270589033</v>
      </c>
      <c r="BL375" s="22">
        <f t="shared" si="144"/>
        <v>0.85241889270589033</v>
      </c>
      <c r="BM375" s="1">
        <f t="shared" si="136"/>
        <v>3.8961181666294447E-3</v>
      </c>
      <c r="BN375" s="1">
        <f t="shared" si="137"/>
        <v>0.14619846229342381</v>
      </c>
    </row>
    <row r="376" spans="1:66" x14ac:dyDescent="0.25">
      <c r="A376" s="3"/>
      <c r="B376" s="3"/>
      <c r="C376">
        <v>31</v>
      </c>
      <c r="D376" s="5">
        <v>1</v>
      </c>
      <c r="E376" s="9">
        <f t="shared" si="145"/>
        <v>30</v>
      </c>
      <c r="F376" s="9">
        <f t="shared" si="146"/>
        <v>0.8571428571428571</v>
      </c>
      <c r="G376">
        <v>0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30</v>
      </c>
      <c r="P376">
        <v>0</v>
      </c>
      <c r="Q376">
        <v>60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75</v>
      </c>
      <c r="AK376" t="s">
        <v>1</v>
      </c>
      <c r="AL376" t="s">
        <v>374</v>
      </c>
      <c r="AQ376" s="1">
        <f t="shared" si="138"/>
        <v>100</v>
      </c>
      <c r="AR376" s="1">
        <f t="shared" si="123"/>
        <v>0.3</v>
      </c>
      <c r="AS376" s="1">
        <f t="shared" si="124"/>
        <v>0</v>
      </c>
      <c r="AT376" s="1">
        <f t="shared" si="125"/>
        <v>0.1</v>
      </c>
      <c r="AU376" s="1">
        <f t="shared" si="126"/>
        <v>0.6</v>
      </c>
      <c r="AV376" s="1">
        <f t="shared" si="139"/>
        <v>0.75</v>
      </c>
      <c r="AX376" s="1">
        <f t="shared" si="140"/>
        <v>5.9999999999999991</v>
      </c>
      <c r="AY376" s="1">
        <f t="shared" si="127"/>
        <v>2.9999999999999996</v>
      </c>
      <c r="AZ376" s="1">
        <f t="shared" si="128"/>
        <v>0.875</v>
      </c>
      <c r="BA376" s="1">
        <f t="shared" si="129"/>
        <v>1.9999999999999998</v>
      </c>
      <c r="BB376" s="1">
        <f t="shared" si="130"/>
        <v>0.72916666666666674</v>
      </c>
      <c r="BC376" s="1">
        <f t="shared" si="131"/>
        <v>0.72916666666666674</v>
      </c>
      <c r="BD376" s="1">
        <f t="shared" si="141"/>
        <v>2.0833333333333259E-2</v>
      </c>
      <c r="BF376">
        <f t="shared" si="132"/>
        <v>10</v>
      </c>
      <c r="BG376">
        <f t="shared" si="133"/>
        <v>30</v>
      </c>
      <c r="BH376" s="1">
        <f t="shared" si="134"/>
        <v>6</v>
      </c>
      <c r="BI376" s="1">
        <f t="shared" si="135"/>
        <v>3</v>
      </c>
      <c r="BJ376" s="1">
        <f t="shared" si="142"/>
        <v>0.79</v>
      </c>
      <c r="BK376" s="1">
        <f t="shared" si="143"/>
        <v>0.78272335922851355</v>
      </c>
      <c r="BL376" s="22">
        <f t="shared" si="144"/>
        <v>0.78272335922851355</v>
      </c>
      <c r="BM376" s="1">
        <f t="shared" si="136"/>
        <v>1.0708182391983428E-3</v>
      </c>
      <c r="BN376" s="1">
        <f t="shared" si="137"/>
        <v>0.11720973628729676</v>
      </c>
    </row>
    <row r="377" spans="1:66" x14ac:dyDescent="0.25">
      <c r="A377" s="3"/>
      <c r="B377" s="3"/>
      <c r="C377">
        <v>32</v>
      </c>
      <c r="D377" s="5">
        <v>1</v>
      </c>
      <c r="E377" s="9">
        <f t="shared" si="145"/>
        <v>36.363636363636367</v>
      </c>
      <c r="F377" s="9">
        <f t="shared" si="146"/>
        <v>0.8571428571428571</v>
      </c>
      <c r="G377">
        <v>0</v>
      </c>
      <c r="H377">
        <v>9.0909090909090917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36.363636363636367</v>
      </c>
      <c r="P377">
        <v>0</v>
      </c>
      <c r="Q377">
        <v>54.54545454545454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62</v>
      </c>
      <c r="AK377" t="s">
        <v>1</v>
      </c>
      <c r="AL377" t="s">
        <v>374</v>
      </c>
      <c r="AQ377" s="1">
        <f t="shared" si="138"/>
        <v>100</v>
      </c>
      <c r="AR377" s="1">
        <f t="shared" si="123"/>
        <v>0.36363636363636365</v>
      </c>
      <c r="AS377" s="1">
        <f t="shared" si="124"/>
        <v>0</v>
      </c>
      <c r="AT377" s="1">
        <f t="shared" si="125"/>
        <v>9.0909090909090912E-2</v>
      </c>
      <c r="AU377" s="1">
        <f t="shared" si="126"/>
        <v>0.54545454545454541</v>
      </c>
      <c r="AV377" s="1">
        <f t="shared" si="139"/>
        <v>0.62</v>
      </c>
      <c r="AX377" s="1">
        <f t="shared" si="140"/>
        <v>5.9999999999999991</v>
      </c>
      <c r="AY377" s="1">
        <f t="shared" si="127"/>
        <v>4</v>
      </c>
      <c r="AZ377" s="1">
        <f t="shared" si="128"/>
        <v>0.875</v>
      </c>
      <c r="BA377" s="1">
        <f t="shared" si="129"/>
        <v>1.9999999999999998</v>
      </c>
      <c r="BB377" s="1">
        <f t="shared" si="130"/>
        <v>0.58333333333333326</v>
      </c>
      <c r="BC377" s="1">
        <f t="shared" si="131"/>
        <v>0.58333333333333326</v>
      </c>
      <c r="BD377" s="1">
        <f t="shared" si="141"/>
        <v>3.6666666666666736E-2</v>
      </c>
      <c r="BF377">
        <f t="shared" si="132"/>
        <v>9.0909090909090917</v>
      </c>
      <c r="BG377">
        <f t="shared" si="133"/>
        <v>36.363636363636367</v>
      </c>
      <c r="BH377" s="1">
        <f t="shared" si="134"/>
        <v>5.9999999999999991</v>
      </c>
      <c r="BI377" s="1">
        <f t="shared" si="135"/>
        <v>4</v>
      </c>
      <c r="BJ377" s="1">
        <f t="shared" si="142"/>
        <v>0.78999999999999992</v>
      </c>
      <c r="BK377" s="1">
        <f t="shared" si="143"/>
        <v>0.59298376969495004</v>
      </c>
      <c r="BL377" s="22">
        <f t="shared" si="144"/>
        <v>0.59298376969495004</v>
      </c>
      <c r="BM377" s="1">
        <f t="shared" si="136"/>
        <v>7.2987669989549981E-4</v>
      </c>
      <c r="BN377" s="1">
        <f t="shared" si="137"/>
        <v>4.50963767673839E-2</v>
      </c>
    </row>
    <row r="378" spans="1:66" x14ac:dyDescent="0.25">
      <c r="A378" s="3"/>
      <c r="B378" s="3"/>
      <c r="C378">
        <v>33</v>
      </c>
      <c r="D378" s="5">
        <v>1</v>
      </c>
      <c r="E378" s="9">
        <f t="shared" si="145"/>
        <v>41.666666666666671</v>
      </c>
      <c r="F378" s="9">
        <f t="shared" si="146"/>
        <v>0.85714285714285721</v>
      </c>
      <c r="G378">
        <v>0</v>
      </c>
      <c r="H378">
        <v>8.3333333333333321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41.666666666666671</v>
      </c>
      <c r="P378">
        <v>0</v>
      </c>
      <c r="Q378">
        <v>50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50</v>
      </c>
      <c r="AK378" t="s">
        <v>1</v>
      </c>
      <c r="AL378" t="s">
        <v>374</v>
      </c>
      <c r="AQ378" s="1">
        <f t="shared" si="138"/>
        <v>100</v>
      </c>
      <c r="AR378" s="1">
        <f t="shared" si="123"/>
        <v>0.41666666666666674</v>
      </c>
      <c r="AS378" s="1">
        <f t="shared" si="124"/>
        <v>0</v>
      </c>
      <c r="AT378" s="1">
        <f t="shared" si="125"/>
        <v>8.3333333333333315E-2</v>
      </c>
      <c r="AU378" s="1">
        <f t="shared" si="126"/>
        <v>0.5</v>
      </c>
      <c r="AV378" s="1">
        <f t="shared" si="139"/>
        <v>0.5</v>
      </c>
      <c r="AX378" s="1">
        <f t="shared" si="140"/>
        <v>6.0000000000000018</v>
      </c>
      <c r="AY378" s="1">
        <f t="shared" si="127"/>
        <v>5.0000000000000018</v>
      </c>
      <c r="AZ378" s="1">
        <f t="shared" si="128"/>
        <v>0.87500000000000011</v>
      </c>
      <c r="BA378" s="1">
        <f t="shared" si="129"/>
        <v>2.0000000000000004</v>
      </c>
      <c r="BB378" s="1">
        <f t="shared" si="130"/>
        <v>0.4375</v>
      </c>
      <c r="BC378" s="1">
        <f t="shared" si="131"/>
        <v>0.4375</v>
      </c>
      <c r="BD378" s="1">
        <f t="shared" si="141"/>
        <v>6.25E-2</v>
      </c>
      <c r="BF378">
        <f t="shared" si="132"/>
        <v>8.3333333333333321</v>
      </c>
      <c r="BG378">
        <f t="shared" si="133"/>
        <v>41.666666666666671</v>
      </c>
      <c r="BH378" s="1">
        <f t="shared" si="134"/>
        <v>6.0000000000000009</v>
      </c>
      <c r="BI378" s="1">
        <f t="shared" si="135"/>
        <v>5.0000000000000009</v>
      </c>
      <c r="BJ378" s="1">
        <f t="shared" si="142"/>
        <v>0.79</v>
      </c>
      <c r="BK378" s="1">
        <f t="shared" si="143"/>
        <v>0.39705665791503225</v>
      </c>
      <c r="BL378" s="22">
        <f t="shared" si="144"/>
        <v>0.39705665791503225</v>
      </c>
      <c r="BM378" s="1">
        <f t="shared" si="136"/>
        <v>1.0597331679622691E-2</v>
      </c>
      <c r="BN378" s="1">
        <f t="shared" si="137"/>
        <v>8.5301987490028035E-3</v>
      </c>
    </row>
    <row r="379" spans="1:66" x14ac:dyDescent="0.25">
      <c r="A379" s="3"/>
      <c r="B379" s="3"/>
      <c r="C379">
        <v>34</v>
      </c>
      <c r="D379" s="5">
        <v>1</v>
      </c>
      <c r="E379" s="9">
        <f t="shared" si="145"/>
        <v>46.153846153846153</v>
      </c>
      <c r="F379" s="9">
        <f t="shared" si="146"/>
        <v>0.8571428571428571</v>
      </c>
      <c r="G379">
        <v>0</v>
      </c>
      <c r="H379">
        <v>7.6923076923076934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46.153846153846153</v>
      </c>
      <c r="P379">
        <v>0</v>
      </c>
      <c r="Q379">
        <v>46.153846153846153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27</v>
      </c>
      <c r="AK379" t="s">
        <v>1</v>
      </c>
      <c r="AL379" t="s">
        <v>374</v>
      </c>
      <c r="AQ379" s="1">
        <f t="shared" si="138"/>
        <v>100</v>
      </c>
      <c r="AR379" s="1">
        <f t="shared" si="123"/>
        <v>0.46153846153846151</v>
      </c>
      <c r="AS379" s="1">
        <f t="shared" si="124"/>
        <v>0</v>
      </c>
      <c r="AT379" s="1">
        <f t="shared" si="125"/>
        <v>7.6923076923076927E-2</v>
      </c>
      <c r="AU379" s="1">
        <f t="shared" si="126"/>
        <v>0.46153846153846151</v>
      </c>
      <c r="AV379" s="1">
        <f t="shared" si="139"/>
        <v>0.27</v>
      </c>
      <c r="AX379" s="1">
        <f t="shared" si="140"/>
        <v>5.9999999999999991</v>
      </c>
      <c r="AY379" s="1">
        <f t="shared" si="127"/>
        <v>5.9999999999999991</v>
      </c>
      <c r="AZ379" s="1">
        <f t="shared" si="128"/>
        <v>0.875</v>
      </c>
      <c r="BA379" s="1">
        <f t="shared" si="129"/>
        <v>1.9999999999999998</v>
      </c>
      <c r="BB379" s="1">
        <f t="shared" si="130"/>
        <v>0.29166666666666674</v>
      </c>
      <c r="BC379" s="1">
        <f t="shared" si="131"/>
        <v>0.29166666666666674</v>
      </c>
      <c r="BD379" s="1">
        <f t="shared" si="141"/>
        <v>2.1666666666666723E-2</v>
      </c>
      <c r="BF379">
        <f t="shared" si="132"/>
        <v>7.6923076923076934</v>
      </c>
      <c r="BG379">
        <f t="shared" si="133"/>
        <v>46.153846153846153</v>
      </c>
      <c r="BH379" s="1">
        <f t="shared" si="134"/>
        <v>5.9999999999999991</v>
      </c>
      <c r="BI379" s="1">
        <f t="shared" si="135"/>
        <v>5.9999999999999991</v>
      </c>
      <c r="BJ379" s="1">
        <f t="shared" si="142"/>
        <v>0.78999999999999992</v>
      </c>
      <c r="BK379" s="1">
        <f t="shared" si="143"/>
        <v>0.23526165171066354</v>
      </c>
      <c r="BL379" s="22">
        <f t="shared" si="144"/>
        <v>0.23526165171066354</v>
      </c>
      <c r="BM379" s="1">
        <f t="shared" si="136"/>
        <v>1.2067528418712463E-3</v>
      </c>
      <c r="BN379" s="1">
        <f t="shared" si="137"/>
        <v>1.8945024213772359E-2</v>
      </c>
    </row>
    <row r="380" spans="1:66" x14ac:dyDescent="0.25">
      <c r="A380" s="3"/>
      <c r="B380" s="3"/>
      <c r="C380">
        <v>35</v>
      </c>
      <c r="D380" s="5">
        <v>1</v>
      </c>
      <c r="E380" s="9">
        <f t="shared" si="145"/>
        <v>50</v>
      </c>
      <c r="F380" s="9">
        <f t="shared" si="146"/>
        <v>0.85714285714285721</v>
      </c>
      <c r="G380">
        <v>0</v>
      </c>
      <c r="H380">
        <v>7.1428571428571423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50</v>
      </c>
      <c r="P380">
        <v>0</v>
      </c>
      <c r="Q380">
        <v>42.857142857142847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16</v>
      </c>
      <c r="AK380" t="s">
        <v>1</v>
      </c>
      <c r="AL380" t="s">
        <v>374</v>
      </c>
      <c r="AQ380" s="1">
        <f t="shared" si="138"/>
        <v>99.999999999999986</v>
      </c>
      <c r="AR380" s="1">
        <f t="shared" si="123"/>
        <v>0.5</v>
      </c>
      <c r="AS380" s="1">
        <f t="shared" si="124"/>
        <v>0</v>
      </c>
      <c r="AT380" s="1">
        <f t="shared" si="125"/>
        <v>7.1428571428571425E-2</v>
      </c>
      <c r="AU380" s="1">
        <f t="shared" si="126"/>
        <v>0.42857142857142849</v>
      </c>
      <c r="AV380" s="1">
        <f t="shared" si="139"/>
        <v>0.16</v>
      </c>
      <c r="AX380" s="1">
        <f t="shared" si="140"/>
        <v>5.9999999999999991</v>
      </c>
      <c r="AY380" s="1">
        <f t="shared" si="127"/>
        <v>7</v>
      </c>
      <c r="AZ380" s="1">
        <f t="shared" si="128"/>
        <v>0.875</v>
      </c>
      <c r="BA380" s="1">
        <f t="shared" si="129"/>
        <v>1.9999999999999998</v>
      </c>
      <c r="BB380" s="1">
        <f t="shared" si="130"/>
        <v>0.14583333333333326</v>
      </c>
      <c r="BC380" s="1">
        <f t="shared" si="131"/>
        <v>0.14583333333333326</v>
      </c>
      <c r="BD380" s="1">
        <f t="shared" si="141"/>
        <v>1.4166666666666744E-2</v>
      </c>
      <c r="BF380">
        <f t="shared" si="132"/>
        <v>7.1428571428571423</v>
      </c>
      <c r="BG380">
        <f t="shared" si="133"/>
        <v>50</v>
      </c>
      <c r="BH380" s="1">
        <f t="shared" si="134"/>
        <v>5.9999999999999991</v>
      </c>
      <c r="BI380" s="1">
        <f t="shared" si="135"/>
        <v>7.0000000000000009</v>
      </c>
      <c r="BJ380" s="1">
        <f t="shared" si="142"/>
        <v>0.78999999999999992</v>
      </c>
      <c r="BK380" s="1">
        <f t="shared" si="143"/>
        <v>0.12128820647913505</v>
      </c>
      <c r="BL380" s="22">
        <f t="shared" si="144"/>
        <v>0.12128820647913505</v>
      </c>
      <c r="BM380" s="1">
        <f t="shared" si="136"/>
        <v>1.498602957602082E-3</v>
      </c>
      <c r="BN380" s="1">
        <f t="shared" si="137"/>
        <v>6.1326027696923018E-2</v>
      </c>
    </row>
    <row r="381" spans="1:66" ht="14.45" customHeight="1" x14ac:dyDescent="0.25">
      <c r="A381" s="3"/>
      <c r="B381" s="3"/>
      <c r="C381" t="s">
        <v>171</v>
      </c>
      <c r="D381" s="5">
        <v>1</v>
      </c>
      <c r="E381" s="9">
        <f t="shared" si="145"/>
        <v>18.3</v>
      </c>
      <c r="F381" s="9">
        <f t="shared" si="146"/>
        <v>0.79002624671916011</v>
      </c>
      <c r="G381">
        <v>3.8</v>
      </c>
      <c r="H381">
        <v>16</v>
      </c>
      <c r="I381">
        <v>5.7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12.6</v>
      </c>
      <c r="P381">
        <v>0</v>
      </c>
      <c r="Q381">
        <v>60.2</v>
      </c>
      <c r="R381">
        <v>0</v>
      </c>
      <c r="S381">
        <v>0</v>
      </c>
      <c r="T381">
        <v>0</v>
      </c>
      <c r="U381">
        <v>1.7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45</v>
      </c>
      <c r="AK381" t="s">
        <v>1</v>
      </c>
      <c r="AL381" t="s">
        <v>372</v>
      </c>
      <c r="AO381" t="s">
        <v>378</v>
      </c>
      <c r="AQ381" s="1">
        <f t="shared" si="138"/>
        <v>100.00000000000001</v>
      </c>
      <c r="AR381" s="1">
        <f t="shared" si="123"/>
        <v>0.126</v>
      </c>
      <c r="AS381" s="1">
        <f t="shared" si="124"/>
        <v>3.7999999999999999E-2</v>
      </c>
      <c r="AT381" s="1">
        <f t="shared" si="125"/>
        <v>0.16</v>
      </c>
      <c r="AU381" s="1">
        <f t="shared" si="126"/>
        <v>0.60199999999999998</v>
      </c>
      <c r="AV381" s="1">
        <f t="shared" si="139"/>
        <v>0.45</v>
      </c>
      <c r="AX381" s="1">
        <f t="shared" si="140"/>
        <v>3.0404040404040402</v>
      </c>
      <c r="AY381" s="1">
        <f t="shared" si="127"/>
        <v>0.63636363636363635</v>
      </c>
      <c r="AZ381" s="1">
        <f t="shared" si="128"/>
        <v>0.69002525252525249</v>
      </c>
      <c r="BA381" s="1">
        <f t="shared" si="129"/>
        <v>1.2601010101010099</v>
      </c>
      <c r="BB381" s="1">
        <f t="shared" si="130"/>
        <v>0.63636363636363635</v>
      </c>
      <c r="BC381" s="1">
        <f t="shared" si="131"/>
        <v>0.63636363636363635</v>
      </c>
      <c r="BD381" s="1">
        <f t="shared" si="141"/>
        <v>0.18636363636363634</v>
      </c>
      <c r="BF381">
        <f t="shared" si="132"/>
        <v>34.6</v>
      </c>
      <c r="BG381">
        <f t="shared" si="133"/>
        <v>15.45</v>
      </c>
      <c r="BH381" s="1">
        <f t="shared" si="134"/>
        <v>1.7398843930635839</v>
      </c>
      <c r="BI381" s="1">
        <f t="shared" si="135"/>
        <v>0.44653179190751441</v>
      </c>
      <c r="BJ381" s="1">
        <f t="shared" si="142"/>
        <v>0.534393063583815</v>
      </c>
      <c r="BK381" s="1">
        <f t="shared" si="143"/>
        <v>0.44653179190751441</v>
      </c>
      <c r="BL381" s="22">
        <f t="shared" si="144"/>
        <v>0.44653179190751441</v>
      </c>
      <c r="BM381" s="1">
        <f t="shared" si="136"/>
        <v>1.2028467372782624E-5</v>
      </c>
      <c r="BN381" s="1">
        <f t="shared" si="137"/>
        <v>1.7942912413440124E-3</v>
      </c>
    </row>
    <row r="382" spans="1:66" x14ac:dyDescent="0.25">
      <c r="A382" s="3"/>
      <c r="B382" s="3"/>
      <c r="C382" t="s">
        <v>172</v>
      </c>
      <c r="D382" s="5">
        <v>1</v>
      </c>
      <c r="E382" s="9">
        <f t="shared" si="145"/>
        <v>18.600000000000001</v>
      </c>
      <c r="F382" s="9">
        <f t="shared" si="146"/>
        <v>0.78967741935483871</v>
      </c>
      <c r="G382">
        <v>3.9</v>
      </c>
      <c r="H382">
        <v>16.3</v>
      </c>
      <c r="I382">
        <v>5.8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12.8</v>
      </c>
      <c r="P382">
        <v>0</v>
      </c>
      <c r="Q382">
        <v>61.2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57</v>
      </c>
      <c r="AK382" t="s">
        <v>1</v>
      </c>
      <c r="AL382" t="s">
        <v>372</v>
      </c>
      <c r="AQ382" s="1">
        <f t="shared" si="138"/>
        <v>100</v>
      </c>
      <c r="AR382" s="1">
        <f t="shared" si="123"/>
        <v>0.128</v>
      </c>
      <c r="AS382" s="1">
        <f t="shared" si="124"/>
        <v>3.9E-2</v>
      </c>
      <c r="AT382" s="1">
        <f t="shared" si="125"/>
        <v>0.16300000000000001</v>
      </c>
      <c r="AU382" s="1">
        <f t="shared" si="126"/>
        <v>0.61199999999999999</v>
      </c>
      <c r="AV382" s="1">
        <f t="shared" si="139"/>
        <v>0.56999999999999995</v>
      </c>
      <c r="AX382" s="1">
        <f t="shared" si="140"/>
        <v>3.0297029702970293</v>
      </c>
      <c r="AY382" s="1">
        <f t="shared" si="127"/>
        <v>0.63366336633663367</v>
      </c>
      <c r="AZ382" s="1">
        <f t="shared" si="128"/>
        <v>0.6893564356435643</v>
      </c>
      <c r="BA382" s="1">
        <f t="shared" si="129"/>
        <v>1.2574257425742572</v>
      </c>
      <c r="BB382" s="1">
        <f t="shared" si="130"/>
        <v>0.63366336633663367</v>
      </c>
      <c r="BC382" s="1">
        <f t="shared" si="131"/>
        <v>0.63366336633663367</v>
      </c>
      <c r="BD382" s="1">
        <f t="shared" si="141"/>
        <v>6.366336633663372E-2</v>
      </c>
      <c r="BF382">
        <f t="shared" si="132"/>
        <v>31.9</v>
      </c>
      <c r="BG382">
        <f t="shared" si="133"/>
        <v>15.700000000000001</v>
      </c>
      <c r="BH382" s="1">
        <f t="shared" si="134"/>
        <v>1.9184952978056429</v>
      </c>
      <c r="BI382" s="1">
        <f t="shared" si="135"/>
        <v>0.49216300940438878</v>
      </c>
      <c r="BJ382" s="1">
        <f t="shared" si="142"/>
        <v>0.54510971786833862</v>
      </c>
      <c r="BK382" s="1">
        <f t="shared" si="143"/>
        <v>0.49216300940438878</v>
      </c>
      <c r="BL382" s="22">
        <f t="shared" si="144"/>
        <v>0.49216300940438878</v>
      </c>
      <c r="BM382" s="1">
        <f t="shared" si="136"/>
        <v>6.0585971049812613E-3</v>
      </c>
      <c r="BN382" s="1">
        <f t="shared" si="137"/>
        <v>2.6360469259725097E-2</v>
      </c>
    </row>
    <row r="383" spans="1:66" x14ac:dyDescent="0.25">
      <c r="A383" s="3"/>
      <c r="B383" s="3"/>
      <c r="C383" t="s">
        <v>173</v>
      </c>
      <c r="D383" s="5">
        <v>1</v>
      </c>
      <c r="E383" s="9">
        <f t="shared" si="145"/>
        <v>18.5</v>
      </c>
      <c r="F383" s="9">
        <f t="shared" si="146"/>
        <v>0.85070785070785071</v>
      </c>
      <c r="G383">
        <v>3.8</v>
      </c>
      <c r="H383">
        <v>11.6</v>
      </c>
      <c r="I383">
        <v>5.7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12.8</v>
      </c>
      <c r="P383">
        <v>0</v>
      </c>
      <c r="Q383">
        <v>66.099999999999994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81</v>
      </c>
      <c r="AK383" t="s">
        <v>1</v>
      </c>
      <c r="AL383" t="s">
        <v>372</v>
      </c>
      <c r="AQ383" s="1">
        <f t="shared" si="138"/>
        <v>100</v>
      </c>
      <c r="AR383" s="1">
        <f t="shared" si="123"/>
        <v>0.128</v>
      </c>
      <c r="AS383" s="1">
        <f t="shared" si="124"/>
        <v>3.7999999999999999E-2</v>
      </c>
      <c r="AT383" s="1">
        <f t="shared" si="125"/>
        <v>0.11599999999999999</v>
      </c>
      <c r="AU383" s="1">
        <f t="shared" si="126"/>
        <v>0.66099999999999992</v>
      </c>
      <c r="AV383" s="1">
        <f t="shared" si="139"/>
        <v>0.81</v>
      </c>
      <c r="AX383" s="1">
        <f t="shared" si="140"/>
        <v>4.2922077922077921</v>
      </c>
      <c r="AY383" s="1">
        <f t="shared" si="127"/>
        <v>0.83116883116883122</v>
      </c>
      <c r="AZ383" s="1">
        <f t="shared" si="128"/>
        <v>0.76826298701298701</v>
      </c>
      <c r="BA383" s="1">
        <f t="shared" si="129"/>
        <v>1.573051948051948</v>
      </c>
      <c r="BB383" s="1">
        <f t="shared" si="130"/>
        <v>0.76826298701298701</v>
      </c>
      <c r="BC383" s="1">
        <f t="shared" si="131"/>
        <v>0.76826298701298701</v>
      </c>
      <c r="BD383" s="1">
        <f t="shared" si="141"/>
        <v>4.1737012987013045E-2</v>
      </c>
      <c r="BF383">
        <f t="shared" si="132"/>
        <v>26.799999999999997</v>
      </c>
      <c r="BG383">
        <f t="shared" si="133"/>
        <v>15.65</v>
      </c>
      <c r="BH383" s="1">
        <f t="shared" si="134"/>
        <v>2.466417910447761</v>
      </c>
      <c r="BI383" s="1">
        <f t="shared" si="135"/>
        <v>0.58395522388059706</v>
      </c>
      <c r="BJ383" s="1">
        <f t="shared" si="142"/>
        <v>0.57798507462686566</v>
      </c>
      <c r="BK383" s="1">
        <f t="shared" si="143"/>
        <v>0.53628889035937899</v>
      </c>
      <c r="BL383" s="22">
        <f t="shared" si="144"/>
        <v>0.53628889035937899</v>
      </c>
      <c r="BM383" s="1">
        <f t="shared" si="136"/>
        <v>7.491777154070009E-2</v>
      </c>
      <c r="BN383" s="1">
        <f t="shared" si="137"/>
        <v>0.16189282529648735</v>
      </c>
    </row>
    <row r="384" spans="1:66" x14ac:dyDescent="0.25">
      <c r="A384" s="3"/>
      <c r="B384" s="3"/>
      <c r="C384" t="s">
        <v>174</v>
      </c>
      <c r="D384" s="5">
        <v>1</v>
      </c>
      <c r="E384" s="9">
        <f t="shared" si="145"/>
        <v>33.9</v>
      </c>
      <c r="F384" s="9">
        <f t="shared" si="146"/>
        <v>0.66902654867256628</v>
      </c>
      <c r="G384">
        <v>9.6</v>
      </c>
      <c r="H384">
        <v>18.7</v>
      </c>
      <c r="I384">
        <v>26.6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7.3</v>
      </c>
      <c r="P384">
        <v>0</v>
      </c>
      <c r="Q384">
        <v>37.799999999999997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29</v>
      </c>
      <c r="AK384" t="s">
        <v>1</v>
      </c>
      <c r="AL384" t="s">
        <v>372</v>
      </c>
      <c r="AQ384" s="1">
        <f t="shared" si="138"/>
        <v>100</v>
      </c>
      <c r="AR384" s="1">
        <f t="shared" si="123"/>
        <v>7.2999999999999995E-2</v>
      </c>
      <c r="AS384" s="1">
        <f t="shared" si="124"/>
        <v>9.6000000000000002E-2</v>
      </c>
      <c r="AT384" s="1">
        <f t="shared" si="125"/>
        <v>0.187</v>
      </c>
      <c r="AU384" s="1">
        <f t="shared" si="126"/>
        <v>0.37799999999999995</v>
      </c>
      <c r="AV384" s="1">
        <f t="shared" si="139"/>
        <v>0.28999999999999998</v>
      </c>
      <c r="AX384" s="1">
        <f t="shared" si="140"/>
        <v>1.3356890459363955</v>
      </c>
      <c r="AY384" s="1">
        <f t="shared" si="127"/>
        <v>0.25795053003533563</v>
      </c>
      <c r="AZ384" s="1">
        <f t="shared" si="128"/>
        <v>0.58348056537102466</v>
      </c>
      <c r="BA384" s="1">
        <f t="shared" si="129"/>
        <v>0.83392226148409887</v>
      </c>
      <c r="BB384" s="1">
        <f t="shared" si="130"/>
        <v>0.25795053003533563</v>
      </c>
      <c r="BC384" s="1">
        <f t="shared" si="131"/>
        <v>0.25795053003533563</v>
      </c>
      <c r="BD384" s="1">
        <f t="shared" si="141"/>
        <v>3.2049469964664346E-2</v>
      </c>
      <c r="BF384">
        <f t="shared" si="132"/>
        <v>57.099999999999994</v>
      </c>
      <c r="BG384">
        <f t="shared" si="133"/>
        <v>20.6</v>
      </c>
      <c r="BH384" s="1">
        <f t="shared" si="134"/>
        <v>0.66199649737302979</v>
      </c>
      <c r="BI384" s="1">
        <f t="shared" si="135"/>
        <v>0.36077057793345013</v>
      </c>
      <c r="BJ384" s="1">
        <f t="shared" si="142"/>
        <v>0.46971978984238177</v>
      </c>
      <c r="BK384" s="1">
        <f t="shared" si="143"/>
        <v>0.36077057793345013</v>
      </c>
      <c r="BL384" s="22">
        <f t="shared" si="144"/>
        <v>0.36077057793345013</v>
      </c>
      <c r="BM384" s="1">
        <f t="shared" si="136"/>
        <v>5.0084747010345418E-3</v>
      </c>
      <c r="BN384" s="1">
        <f t="shared" si="137"/>
        <v>1.3839387216835882E-2</v>
      </c>
    </row>
    <row r="385" spans="1:66" x14ac:dyDescent="0.25">
      <c r="A385" s="3"/>
      <c r="B385" s="3"/>
      <c r="C385" t="s">
        <v>175</v>
      </c>
      <c r="D385" s="5">
        <v>1</v>
      </c>
      <c r="E385" s="9">
        <f t="shared" si="145"/>
        <v>33.699999999999996</v>
      </c>
      <c r="F385" s="9">
        <f t="shared" si="146"/>
        <v>0.75528169014084512</v>
      </c>
      <c r="G385">
        <v>9.5</v>
      </c>
      <c r="H385">
        <v>13.9</v>
      </c>
      <c r="I385">
        <v>26.4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7.3</v>
      </c>
      <c r="P385">
        <v>0</v>
      </c>
      <c r="Q385">
        <v>42.9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33</v>
      </c>
      <c r="AK385" t="s">
        <v>1</v>
      </c>
      <c r="AL385" t="s">
        <v>372</v>
      </c>
      <c r="AQ385" s="1">
        <f t="shared" si="138"/>
        <v>100</v>
      </c>
      <c r="AR385" s="1">
        <f t="shared" si="123"/>
        <v>7.2999999999999995E-2</v>
      </c>
      <c r="AS385" s="1">
        <f t="shared" si="124"/>
        <v>9.5000000000000001E-2</v>
      </c>
      <c r="AT385" s="1">
        <f t="shared" si="125"/>
        <v>0.13900000000000001</v>
      </c>
      <c r="AU385" s="1">
        <f t="shared" si="126"/>
        <v>0.42899999999999999</v>
      </c>
      <c r="AV385" s="1">
        <f t="shared" si="139"/>
        <v>0.33</v>
      </c>
      <c r="AX385" s="1">
        <f t="shared" si="140"/>
        <v>1.8333333333333333</v>
      </c>
      <c r="AY385" s="1">
        <f t="shared" si="127"/>
        <v>0.31196581196581191</v>
      </c>
      <c r="AZ385" s="1">
        <f t="shared" si="128"/>
        <v>0.61458333333333337</v>
      </c>
      <c r="BA385" s="1">
        <f t="shared" si="129"/>
        <v>0.95833333333333326</v>
      </c>
      <c r="BB385" s="1">
        <f t="shared" si="130"/>
        <v>0.31196581196581191</v>
      </c>
      <c r="BC385" s="1">
        <f t="shared" si="131"/>
        <v>0.31196581196581191</v>
      </c>
      <c r="BD385" s="1">
        <f t="shared" si="141"/>
        <v>1.8034188034188103E-2</v>
      </c>
      <c r="BF385">
        <f t="shared" si="132"/>
        <v>51.9</v>
      </c>
      <c r="BG385">
        <f t="shared" si="133"/>
        <v>20.5</v>
      </c>
      <c r="BH385" s="1">
        <f t="shared" si="134"/>
        <v>0.82658959537572252</v>
      </c>
      <c r="BI385" s="1">
        <f t="shared" si="135"/>
        <v>0.39499036608863197</v>
      </c>
      <c r="BJ385" s="1">
        <f t="shared" si="142"/>
        <v>0.47959537572254335</v>
      </c>
      <c r="BK385" s="1">
        <f t="shared" si="143"/>
        <v>0.39499036608863197</v>
      </c>
      <c r="BL385" s="22">
        <f t="shared" si="144"/>
        <v>0.39499036608863197</v>
      </c>
      <c r="BM385" s="1">
        <f t="shared" si="136"/>
        <v>4.2237476843344024E-3</v>
      </c>
      <c r="BN385" s="1">
        <f t="shared" si="137"/>
        <v>6.0281132229629093E-3</v>
      </c>
    </row>
    <row r="386" spans="1:66" x14ac:dyDescent="0.25">
      <c r="A386" s="3"/>
      <c r="B386" s="3"/>
      <c r="C386" t="s">
        <v>176</v>
      </c>
      <c r="D386" s="5">
        <v>1</v>
      </c>
      <c r="E386" s="9">
        <f t="shared" si="145"/>
        <v>34.200000000000003</v>
      </c>
      <c r="F386" s="9">
        <f t="shared" si="146"/>
        <v>0.58185053380782925</v>
      </c>
      <c r="G386">
        <v>9.6</v>
      </c>
      <c r="H386">
        <v>23.5</v>
      </c>
      <c r="I386">
        <v>26.8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7.4</v>
      </c>
      <c r="P386">
        <v>0</v>
      </c>
      <c r="Q386">
        <v>32.700000000000003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28</v>
      </c>
      <c r="AK386" t="s">
        <v>1</v>
      </c>
      <c r="AL386" t="s">
        <v>372</v>
      </c>
      <c r="AQ386" s="1">
        <f t="shared" si="138"/>
        <v>100.00000000000001</v>
      </c>
      <c r="AR386" s="1">
        <f t="shared" ref="AR386:AR449" si="147">(L386+M386+O386+X386)/100</f>
        <v>7.400000000000001E-2</v>
      </c>
      <c r="AS386" s="1">
        <f t="shared" ref="AS386:AS449" si="148">G386/100</f>
        <v>9.6000000000000002E-2</v>
      </c>
      <c r="AT386" s="1">
        <f t="shared" ref="AT386:AT449" si="149">H386/100</f>
        <v>0.23499999999999999</v>
      </c>
      <c r="AU386" s="1">
        <f t="shared" ref="AU386:AU449" si="150">Q386/100</f>
        <v>0.32700000000000001</v>
      </c>
      <c r="AV386" s="1">
        <f t="shared" si="139"/>
        <v>0.28000000000000003</v>
      </c>
      <c r="AX386" s="1">
        <f t="shared" si="140"/>
        <v>0.98791540785498499</v>
      </c>
      <c r="AY386" s="1">
        <f t="shared" ref="AY386:AY449" si="151">AR386/(AS386+AT386)</f>
        <v>0.22356495468277951</v>
      </c>
      <c r="AZ386" s="1">
        <f t="shared" ref="AZ386:AZ449" si="152">0.5+AX386/16</f>
        <v>0.56174471299093653</v>
      </c>
      <c r="BA386" s="1">
        <f t="shared" ref="BA386:BA449" si="153">0.5+AX386/4</f>
        <v>0.74697885196374625</v>
      </c>
      <c r="BB386" s="1">
        <f t="shared" ref="BB386:BB449" si="154">IF(AY386&lt;=AZ386,AY386,IF(AY386&lt;=BA386,AZ386,AZ386-(AY386-BA386)*(8+AX386)/(12*(2+AX386))))</f>
        <v>0.22356495468277951</v>
      </c>
      <c r="BC386" s="1">
        <f t="shared" ref="BC386:BC449" si="155">IF(BB386&lt;1,BB386,1)</f>
        <v>0.22356495468277951</v>
      </c>
      <c r="BD386" s="1">
        <f t="shared" si="141"/>
        <v>5.6435045317220517E-2</v>
      </c>
      <c r="BF386">
        <f t="shared" ref="BF386:BF449" si="156">$BQ$3*H386+$BQ$4*G386+$BQ$5*P386+$BQ$6*K386+$BQ$7*S386+$BQ$8*U386+$BQ$9*Y386+$BQ$10*J386+$BQ$11*AC386+$BQ$12*AG386+$BQ$13*AH386+$BQ$14*R386+$BQ$15*AE386</f>
        <v>61.9</v>
      </c>
      <c r="BG386">
        <f t="shared" ref="BG386:BG449" si="157">O386+$BQ$17*M386+$BQ$18*L386+$BQ$19*X386+$BQ$20*AD386+$BQ$21*I386+$BQ$22*N386+$BQ$23*AB386+$BQ$24*V386+$BQ$25*T386+$BQ$26*AA386+$BQ$28*Z386+$BQ$29*AF386+$BQ$30*W386+$BQ$27*AI386</f>
        <v>20.8</v>
      </c>
      <c r="BH386" s="1">
        <f t="shared" ref="BH386:BH449" si="158">(Q386)/BF386</f>
        <v>0.52827140549273022</v>
      </c>
      <c r="BI386" s="1">
        <f t="shared" ref="BI386:BI449" si="159">BG386/BF386</f>
        <v>0.3360258481421648</v>
      </c>
      <c r="BJ386" s="1">
        <f t="shared" si="142"/>
        <v>0.46169628432956378</v>
      </c>
      <c r="BK386" s="1">
        <f t="shared" si="143"/>
        <v>0.3360258481421648</v>
      </c>
      <c r="BL386" s="22">
        <f t="shared" si="144"/>
        <v>0.3360258481421648</v>
      </c>
      <c r="BM386" s="1">
        <f t="shared" ref="BM386:BM449" si="160">(BL386-AV386)^2</f>
        <v>3.1388956600489075E-3</v>
      </c>
      <c r="BN386" s="1">
        <f t="shared" ref="BN386:BN449" si="161">(AV386-AVERAGE($AV$2:$AV$638))^2</f>
        <v>1.6292205715304115E-2</v>
      </c>
    </row>
    <row r="387" spans="1:66" x14ac:dyDescent="0.25">
      <c r="A387" s="3"/>
      <c r="B387" s="3"/>
      <c r="C387" t="s">
        <v>177</v>
      </c>
      <c r="D387" s="5">
        <v>1</v>
      </c>
      <c r="E387" s="9">
        <f t="shared" si="145"/>
        <v>34.1</v>
      </c>
      <c r="F387" s="9">
        <f t="shared" si="146"/>
        <v>0.61743772241992889</v>
      </c>
      <c r="G387">
        <v>9.6</v>
      </c>
      <c r="H387">
        <v>21.5</v>
      </c>
      <c r="I387">
        <v>26.7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7.4</v>
      </c>
      <c r="P387">
        <v>0</v>
      </c>
      <c r="Q387">
        <v>34.700000000000003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25</v>
      </c>
      <c r="AK387" t="s">
        <v>1</v>
      </c>
      <c r="AL387" t="s">
        <v>372</v>
      </c>
      <c r="AQ387" s="1">
        <f t="shared" ref="AQ387:AQ450" si="162">SUM(G387:AI387)</f>
        <v>99.9</v>
      </c>
      <c r="AR387" s="1">
        <f t="shared" si="147"/>
        <v>7.400000000000001E-2</v>
      </c>
      <c r="AS387" s="1">
        <f t="shared" si="148"/>
        <v>9.6000000000000002E-2</v>
      </c>
      <c r="AT387" s="1">
        <f t="shared" si="149"/>
        <v>0.215</v>
      </c>
      <c r="AU387" s="1">
        <f t="shared" si="150"/>
        <v>0.34700000000000003</v>
      </c>
      <c r="AV387" s="1">
        <f t="shared" ref="AV387:AV450" si="163">AJ387/100</f>
        <v>0.25</v>
      </c>
      <c r="AX387" s="1">
        <f t="shared" ref="AX387:AX450" si="164">AU387/(AT387+AS387)</f>
        <v>1.1157556270096465</v>
      </c>
      <c r="AY387" s="1">
        <f t="shared" si="151"/>
        <v>0.23794212218649521</v>
      </c>
      <c r="AZ387" s="1">
        <f t="shared" si="152"/>
        <v>0.56973472668810288</v>
      </c>
      <c r="BA387" s="1">
        <f t="shared" si="153"/>
        <v>0.77893890675241162</v>
      </c>
      <c r="BB387" s="1">
        <f t="shared" si="154"/>
        <v>0.23794212218649521</v>
      </c>
      <c r="BC387" s="1">
        <f t="shared" si="155"/>
        <v>0.23794212218649521</v>
      </c>
      <c r="BD387" s="1">
        <f t="shared" ref="BD387:BD450" si="165">ABS(BC387-AV387)</f>
        <v>1.2057877813504786E-2</v>
      </c>
      <c r="BF387">
        <f t="shared" si="156"/>
        <v>59.9</v>
      </c>
      <c r="BG387">
        <f t="shared" si="157"/>
        <v>20.75</v>
      </c>
      <c r="BH387" s="1">
        <f t="shared" si="158"/>
        <v>0.57929883138564275</v>
      </c>
      <c r="BI387" s="1">
        <f t="shared" si="159"/>
        <v>0.34641068447412354</v>
      </c>
      <c r="BJ387" s="1">
        <f t="shared" ref="BJ387:BJ450" si="166">$BQ$32+BH387*$BQ$33</f>
        <v>0.46475792988313858</v>
      </c>
      <c r="BK387" s="1">
        <f t="shared" ref="BK387:BK450" si="167">IF(BI387&lt;BJ387,BI387,$BQ$35*($BQ$36+BI387)*($BQ$37-BI387/($BQ$38+BH387)*$BQ$39)^5)</f>
        <v>0.34641068447412354</v>
      </c>
      <c r="BL387" s="22">
        <f t="shared" ref="BL387:BL450" si="168">IF(BK387&lt;1,IF(BK387&gt;0,BK387,0),1)</f>
        <v>0.34641068447412354</v>
      </c>
      <c r="BM387" s="1">
        <f t="shared" si="160"/>
        <v>9.2950200807690071E-3</v>
      </c>
      <c r="BN387" s="1">
        <f t="shared" si="161"/>
        <v>2.4850661210708846E-2</v>
      </c>
    </row>
    <row r="388" spans="1:66" x14ac:dyDescent="0.25">
      <c r="A388" s="3"/>
      <c r="B388" s="3"/>
      <c r="C388" t="s">
        <v>178</v>
      </c>
      <c r="D388" s="5">
        <v>1</v>
      </c>
      <c r="E388" s="9">
        <f t="shared" si="145"/>
        <v>21.8</v>
      </c>
      <c r="F388" s="9">
        <f t="shared" si="146"/>
        <v>0.57456140350877183</v>
      </c>
      <c r="G388">
        <v>9.9</v>
      </c>
      <c r="H388">
        <v>29.1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21.8</v>
      </c>
      <c r="P388">
        <v>0</v>
      </c>
      <c r="Q388">
        <v>39.299999999999997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31</v>
      </c>
      <c r="AK388" t="s">
        <v>1</v>
      </c>
      <c r="AL388" t="s">
        <v>372</v>
      </c>
      <c r="AQ388" s="1">
        <f t="shared" si="162"/>
        <v>100.1</v>
      </c>
      <c r="AR388" s="1">
        <f t="shared" si="147"/>
        <v>0.218</v>
      </c>
      <c r="AS388" s="1">
        <f t="shared" si="148"/>
        <v>9.9000000000000005E-2</v>
      </c>
      <c r="AT388" s="1">
        <f t="shared" si="149"/>
        <v>0.29100000000000004</v>
      </c>
      <c r="AU388" s="1">
        <f t="shared" si="150"/>
        <v>0.39299999999999996</v>
      </c>
      <c r="AV388" s="1">
        <f t="shared" si="163"/>
        <v>0.31</v>
      </c>
      <c r="AX388" s="1">
        <f t="shared" si="164"/>
        <v>1.0076923076923077</v>
      </c>
      <c r="AY388" s="1">
        <f t="shared" si="151"/>
        <v>0.55897435897435899</v>
      </c>
      <c r="AZ388" s="1">
        <f t="shared" si="152"/>
        <v>0.56298076923076923</v>
      </c>
      <c r="BA388" s="1">
        <f t="shared" si="153"/>
        <v>0.75192307692307692</v>
      </c>
      <c r="BB388" s="1">
        <f t="shared" si="154"/>
        <v>0.55897435897435899</v>
      </c>
      <c r="BC388" s="1">
        <f t="shared" si="155"/>
        <v>0.55897435897435899</v>
      </c>
      <c r="BD388" s="1">
        <f t="shared" si="165"/>
        <v>0.24897435897435899</v>
      </c>
      <c r="BF388">
        <f t="shared" si="156"/>
        <v>68.7</v>
      </c>
      <c r="BG388">
        <f t="shared" si="157"/>
        <v>21.8</v>
      </c>
      <c r="BH388" s="1">
        <f t="shared" si="158"/>
        <v>0.57205240174672478</v>
      </c>
      <c r="BI388" s="1">
        <f t="shared" si="159"/>
        <v>0.31732168850072778</v>
      </c>
      <c r="BJ388" s="1">
        <f t="shared" si="166"/>
        <v>0.46432314410480346</v>
      </c>
      <c r="BK388" s="1">
        <f t="shared" si="167"/>
        <v>0.31732168850072778</v>
      </c>
      <c r="BL388" s="22">
        <f t="shared" si="168"/>
        <v>0.31732168850072778</v>
      </c>
      <c r="BM388" s="1">
        <f t="shared" si="160"/>
        <v>5.3607122501689487E-5</v>
      </c>
      <c r="BN388" s="1">
        <f t="shared" si="161"/>
        <v>9.5337502198993961E-3</v>
      </c>
    </row>
    <row r="389" spans="1:66" x14ac:dyDescent="0.25">
      <c r="A389" s="3"/>
      <c r="B389" s="3"/>
      <c r="C389" t="s">
        <v>179</v>
      </c>
      <c r="D389" s="5">
        <v>1</v>
      </c>
      <c r="E389" s="9">
        <f t="shared" si="145"/>
        <v>21.9</v>
      </c>
      <c r="F389" s="9">
        <f t="shared" si="146"/>
        <v>0.49779735682819387</v>
      </c>
      <c r="G389">
        <v>10</v>
      </c>
      <c r="H389">
        <v>34.200000000000003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21.9</v>
      </c>
      <c r="P389">
        <v>0</v>
      </c>
      <c r="Q389">
        <v>33.9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28</v>
      </c>
      <c r="AK389" t="s">
        <v>1</v>
      </c>
      <c r="AL389" t="s">
        <v>372</v>
      </c>
      <c r="AQ389" s="1">
        <f t="shared" si="162"/>
        <v>100</v>
      </c>
      <c r="AR389" s="1">
        <f t="shared" si="147"/>
        <v>0.21899999999999997</v>
      </c>
      <c r="AS389" s="1">
        <f t="shared" si="148"/>
        <v>0.1</v>
      </c>
      <c r="AT389" s="1">
        <f t="shared" si="149"/>
        <v>0.34200000000000003</v>
      </c>
      <c r="AU389" s="1">
        <f t="shared" si="150"/>
        <v>0.33899999999999997</v>
      </c>
      <c r="AV389" s="1">
        <f t="shared" si="163"/>
        <v>0.28000000000000003</v>
      </c>
      <c r="AX389" s="1">
        <f t="shared" si="164"/>
        <v>0.76696832579185503</v>
      </c>
      <c r="AY389" s="1">
        <f t="shared" si="151"/>
        <v>0.4954751131221718</v>
      </c>
      <c r="AZ389" s="1">
        <f t="shared" si="152"/>
        <v>0.54793552036199089</v>
      </c>
      <c r="BA389" s="1">
        <f t="shared" si="153"/>
        <v>0.69174208144796379</v>
      </c>
      <c r="BB389" s="1">
        <f t="shared" si="154"/>
        <v>0.4954751131221718</v>
      </c>
      <c r="BC389" s="1">
        <f t="shared" si="155"/>
        <v>0.4954751131221718</v>
      </c>
      <c r="BD389" s="1">
        <f t="shared" si="165"/>
        <v>0.21547511312217177</v>
      </c>
      <c r="BF389">
        <f t="shared" si="156"/>
        <v>74.2</v>
      </c>
      <c r="BG389">
        <f t="shared" si="157"/>
        <v>21.9</v>
      </c>
      <c r="BH389" s="1">
        <f t="shared" si="158"/>
        <v>0.45687331536388137</v>
      </c>
      <c r="BI389" s="1">
        <f t="shared" si="159"/>
        <v>0.29514824797843664</v>
      </c>
      <c r="BJ389" s="1">
        <f t="shared" si="166"/>
        <v>0.45741239892183289</v>
      </c>
      <c r="BK389" s="1">
        <f t="shared" si="167"/>
        <v>0.29514824797843664</v>
      </c>
      <c r="BL389" s="22">
        <f t="shared" si="168"/>
        <v>0.29514824797843664</v>
      </c>
      <c r="BM389" s="1">
        <f t="shared" si="160"/>
        <v>2.2946941681620893E-4</v>
      </c>
      <c r="BN389" s="1">
        <f t="shared" si="161"/>
        <v>1.6292205715304115E-2</v>
      </c>
    </row>
    <row r="390" spans="1:66" x14ac:dyDescent="0.25">
      <c r="A390" s="3"/>
      <c r="B390" s="3"/>
      <c r="C390" t="s">
        <v>180</v>
      </c>
      <c r="D390" s="5">
        <v>1</v>
      </c>
      <c r="E390" s="9">
        <f t="shared" si="145"/>
        <v>21</v>
      </c>
      <c r="F390" s="9">
        <f t="shared" si="146"/>
        <v>0.93237410071942439</v>
      </c>
      <c r="G390">
        <v>9.6</v>
      </c>
      <c r="H390">
        <v>4.7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21</v>
      </c>
      <c r="P390">
        <v>0</v>
      </c>
      <c r="Q390">
        <v>64.8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52</v>
      </c>
      <c r="AK390" t="s">
        <v>1</v>
      </c>
      <c r="AL390" t="s">
        <v>372</v>
      </c>
      <c r="AQ390" s="1">
        <f t="shared" si="162"/>
        <v>100.1</v>
      </c>
      <c r="AR390" s="1">
        <f t="shared" si="147"/>
        <v>0.21</v>
      </c>
      <c r="AS390" s="1">
        <f t="shared" si="148"/>
        <v>9.6000000000000002E-2</v>
      </c>
      <c r="AT390" s="1">
        <f t="shared" si="149"/>
        <v>4.7E-2</v>
      </c>
      <c r="AU390" s="1">
        <f t="shared" si="150"/>
        <v>0.64800000000000002</v>
      </c>
      <c r="AV390" s="1">
        <f t="shared" si="163"/>
        <v>0.52</v>
      </c>
      <c r="AX390" s="1">
        <f t="shared" si="164"/>
        <v>4.5314685314685308</v>
      </c>
      <c r="AY390" s="1">
        <f t="shared" si="151"/>
        <v>1.4685314685314683</v>
      </c>
      <c r="AZ390" s="1">
        <f t="shared" si="152"/>
        <v>0.78321678321678312</v>
      </c>
      <c r="BA390" s="1">
        <f t="shared" si="153"/>
        <v>1.6328671328671327</v>
      </c>
      <c r="BB390" s="1">
        <f t="shared" si="154"/>
        <v>0.78321678321678312</v>
      </c>
      <c r="BC390" s="1">
        <f t="shared" si="155"/>
        <v>0.78321678321678312</v>
      </c>
      <c r="BD390" s="1">
        <f t="shared" si="165"/>
        <v>0.2632167832167831</v>
      </c>
      <c r="BF390">
        <f t="shared" si="156"/>
        <v>43.1</v>
      </c>
      <c r="BG390">
        <f t="shared" si="157"/>
        <v>21</v>
      </c>
      <c r="BH390" s="1">
        <f t="shared" si="158"/>
        <v>1.5034802784222736</v>
      </c>
      <c r="BI390" s="1">
        <f t="shared" si="159"/>
        <v>0.48723897911832947</v>
      </c>
      <c r="BJ390" s="1">
        <f t="shared" si="166"/>
        <v>0.52020881670533636</v>
      </c>
      <c r="BK390" s="1">
        <f t="shared" si="167"/>
        <v>0.48723897911832947</v>
      </c>
      <c r="BL390" s="22">
        <f t="shared" si="168"/>
        <v>0.48723897911832947</v>
      </c>
      <c r="BM390" s="1">
        <f t="shared" si="160"/>
        <v>1.0732844892092535E-3</v>
      </c>
      <c r="BN390" s="1">
        <f t="shared" si="161"/>
        <v>1.2624561752066324E-2</v>
      </c>
    </row>
    <row r="391" spans="1:66" x14ac:dyDescent="0.25">
      <c r="A391" s="3"/>
      <c r="B391" s="3"/>
      <c r="C391" t="s">
        <v>181</v>
      </c>
      <c r="D391" s="5">
        <v>1</v>
      </c>
      <c r="E391" s="9">
        <f t="shared" si="145"/>
        <v>21.1</v>
      </c>
      <c r="F391" s="9">
        <f t="shared" si="146"/>
        <v>0.86435786435786433</v>
      </c>
      <c r="G391">
        <v>9.6</v>
      </c>
      <c r="H391">
        <v>9.4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21.1</v>
      </c>
      <c r="P391">
        <v>0</v>
      </c>
      <c r="Q391">
        <v>59.9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48</v>
      </c>
      <c r="AK391" t="s">
        <v>1</v>
      </c>
      <c r="AL391" t="s">
        <v>372</v>
      </c>
      <c r="AQ391" s="1">
        <f t="shared" si="162"/>
        <v>100</v>
      </c>
      <c r="AR391" s="1">
        <f t="shared" si="147"/>
        <v>0.21100000000000002</v>
      </c>
      <c r="AS391" s="1">
        <f t="shared" si="148"/>
        <v>9.6000000000000002E-2</v>
      </c>
      <c r="AT391" s="1">
        <f t="shared" si="149"/>
        <v>9.4E-2</v>
      </c>
      <c r="AU391" s="1">
        <f t="shared" si="150"/>
        <v>0.59899999999999998</v>
      </c>
      <c r="AV391" s="1">
        <f t="shared" si="163"/>
        <v>0.48</v>
      </c>
      <c r="AX391" s="1">
        <f t="shared" si="164"/>
        <v>3.1526315789473682</v>
      </c>
      <c r="AY391" s="1">
        <f t="shared" si="151"/>
        <v>1.1105263157894738</v>
      </c>
      <c r="AZ391" s="1">
        <f t="shared" si="152"/>
        <v>0.69703947368421049</v>
      </c>
      <c r="BA391" s="1">
        <f t="shared" si="153"/>
        <v>1.2881578947368419</v>
      </c>
      <c r="BB391" s="1">
        <f t="shared" si="154"/>
        <v>0.69703947368421049</v>
      </c>
      <c r="BC391" s="1">
        <f t="shared" si="155"/>
        <v>0.69703947368421049</v>
      </c>
      <c r="BD391" s="1">
        <f t="shared" si="165"/>
        <v>0.2170394736842105</v>
      </c>
      <c r="BF391">
        <f t="shared" si="156"/>
        <v>47.8</v>
      </c>
      <c r="BG391">
        <f t="shared" si="157"/>
        <v>21.1</v>
      </c>
      <c r="BH391" s="1">
        <f t="shared" si="158"/>
        <v>1.2531380753138075</v>
      </c>
      <c r="BI391" s="1">
        <f t="shared" si="159"/>
        <v>0.44142259414225948</v>
      </c>
      <c r="BJ391" s="1">
        <f t="shared" si="166"/>
        <v>0.50518828451882847</v>
      </c>
      <c r="BK391" s="1">
        <f t="shared" si="167"/>
        <v>0.44142259414225948</v>
      </c>
      <c r="BL391" s="22">
        <f t="shared" si="168"/>
        <v>0.44142259414225948</v>
      </c>
      <c r="BM391" s="1">
        <f t="shared" si="160"/>
        <v>1.4882162427128308E-3</v>
      </c>
      <c r="BN391" s="1">
        <f t="shared" si="161"/>
        <v>5.2358357459392837E-3</v>
      </c>
    </row>
    <row r="392" spans="1:66" x14ac:dyDescent="0.25">
      <c r="A392" s="3"/>
      <c r="B392" s="3"/>
      <c r="C392" t="s">
        <v>182</v>
      </c>
      <c r="D392" s="5">
        <v>1</v>
      </c>
      <c r="E392" s="9">
        <f t="shared" si="145"/>
        <v>21</v>
      </c>
      <c r="F392" s="9">
        <f t="shared" si="146"/>
        <v>0.41012658227848098</v>
      </c>
      <c r="G392">
        <v>0</v>
      </c>
      <c r="H392">
        <v>46.6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21</v>
      </c>
      <c r="P392">
        <v>0</v>
      </c>
      <c r="Q392">
        <v>32.4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38</v>
      </c>
      <c r="AK392" t="s">
        <v>1</v>
      </c>
      <c r="AL392" t="s">
        <v>372</v>
      </c>
      <c r="AQ392" s="1">
        <f t="shared" si="162"/>
        <v>100</v>
      </c>
      <c r="AR392" s="1">
        <f t="shared" si="147"/>
        <v>0.21</v>
      </c>
      <c r="AS392" s="1">
        <f t="shared" si="148"/>
        <v>0</v>
      </c>
      <c r="AT392" s="1">
        <f t="shared" si="149"/>
        <v>0.46600000000000003</v>
      </c>
      <c r="AU392" s="1">
        <f t="shared" si="150"/>
        <v>0.32400000000000001</v>
      </c>
      <c r="AV392" s="1">
        <f t="shared" si="163"/>
        <v>0.38</v>
      </c>
      <c r="AX392" s="1">
        <f t="shared" si="164"/>
        <v>0.69527896995708149</v>
      </c>
      <c r="AY392" s="1">
        <f t="shared" si="151"/>
        <v>0.45064377682403428</v>
      </c>
      <c r="AZ392" s="1">
        <f t="shared" si="152"/>
        <v>0.54345493562231761</v>
      </c>
      <c r="BA392" s="1">
        <f t="shared" si="153"/>
        <v>0.67381974248927035</v>
      </c>
      <c r="BB392" s="1">
        <f t="shared" si="154"/>
        <v>0.45064377682403428</v>
      </c>
      <c r="BC392" s="1">
        <f t="shared" si="155"/>
        <v>0.45064377682403428</v>
      </c>
      <c r="BD392" s="1">
        <f t="shared" si="165"/>
        <v>7.0643776824034277E-2</v>
      </c>
      <c r="BF392">
        <f t="shared" si="156"/>
        <v>46.6</v>
      </c>
      <c r="BG392">
        <f t="shared" si="157"/>
        <v>21</v>
      </c>
      <c r="BH392" s="1">
        <f t="shared" si="158"/>
        <v>0.69527896995708149</v>
      </c>
      <c r="BI392" s="1">
        <f t="shared" si="159"/>
        <v>0.45064377682403434</v>
      </c>
      <c r="BJ392" s="1">
        <f t="shared" si="166"/>
        <v>0.47171673819742488</v>
      </c>
      <c r="BK392" s="1">
        <f t="shared" si="167"/>
        <v>0.45064377682403434</v>
      </c>
      <c r="BL392" s="22">
        <f t="shared" si="168"/>
        <v>0.45064377682403434</v>
      </c>
      <c r="BM392" s="1">
        <f t="shared" si="160"/>
        <v>4.9905432039639699E-3</v>
      </c>
      <c r="BN392" s="1">
        <f t="shared" si="161"/>
        <v>7.6402073062170313E-4</v>
      </c>
    </row>
    <row r="393" spans="1:66" x14ac:dyDescent="0.25">
      <c r="A393" s="3"/>
      <c r="B393" s="3"/>
      <c r="C393" t="s">
        <v>183</v>
      </c>
      <c r="D393" s="5">
        <v>1</v>
      </c>
      <c r="E393" s="9">
        <f t="shared" si="145"/>
        <v>20.8</v>
      </c>
      <c r="F393" s="9">
        <f t="shared" si="146"/>
        <v>0.47348484848484845</v>
      </c>
      <c r="G393">
        <v>0</v>
      </c>
      <c r="H393">
        <v>41.7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20.8</v>
      </c>
      <c r="P393">
        <v>0</v>
      </c>
      <c r="Q393">
        <v>37.5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41</v>
      </c>
      <c r="AK393" t="s">
        <v>1</v>
      </c>
      <c r="AL393" t="s">
        <v>372</v>
      </c>
      <c r="AQ393" s="1">
        <f t="shared" si="162"/>
        <v>100</v>
      </c>
      <c r="AR393" s="1">
        <f t="shared" si="147"/>
        <v>0.20800000000000002</v>
      </c>
      <c r="AS393" s="1">
        <f t="shared" si="148"/>
        <v>0</v>
      </c>
      <c r="AT393" s="1">
        <f t="shared" si="149"/>
        <v>0.41700000000000004</v>
      </c>
      <c r="AU393" s="1">
        <f t="shared" si="150"/>
        <v>0.375</v>
      </c>
      <c r="AV393" s="1">
        <f t="shared" si="163"/>
        <v>0.41</v>
      </c>
      <c r="AX393" s="1">
        <f t="shared" si="164"/>
        <v>0.89928057553956831</v>
      </c>
      <c r="AY393" s="1">
        <f t="shared" si="151"/>
        <v>0.49880095923261392</v>
      </c>
      <c r="AZ393" s="1">
        <f t="shared" si="152"/>
        <v>0.55620503597122306</v>
      </c>
      <c r="BA393" s="1">
        <f t="shared" si="153"/>
        <v>0.72482014388489202</v>
      </c>
      <c r="BB393" s="1">
        <f t="shared" si="154"/>
        <v>0.49880095923261392</v>
      </c>
      <c r="BC393" s="1">
        <f t="shared" si="155"/>
        <v>0.49880095923261392</v>
      </c>
      <c r="BD393" s="1">
        <f t="shared" si="165"/>
        <v>8.8800959232613941E-2</v>
      </c>
      <c r="BF393">
        <f t="shared" si="156"/>
        <v>41.7</v>
      </c>
      <c r="BG393">
        <f t="shared" si="157"/>
        <v>20.8</v>
      </c>
      <c r="BH393" s="1">
        <f t="shared" si="158"/>
        <v>0.89928057553956831</v>
      </c>
      <c r="BI393" s="1">
        <f t="shared" si="159"/>
        <v>0.49880095923261392</v>
      </c>
      <c r="BJ393" s="1">
        <f t="shared" si="166"/>
        <v>0.48395683453237409</v>
      </c>
      <c r="BK393" s="1">
        <f t="shared" si="167"/>
        <v>0.45518572668682711</v>
      </c>
      <c r="BL393" s="22">
        <f t="shared" si="168"/>
        <v>0.45518572668682711</v>
      </c>
      <c r="BM393" s="1">
        <f t="shared" si="160"/>
        <v>2.0417498962166415E-3</v>
      </c>
      <c r="BN393" s="1">
        <f t="shared" si="161"/>
        <v>5.5652352169781633E-6</v>
      </c>
    </row>
    <row r="394" spans="1:66" x14ac:dyDescent="0.25">
      <c r="A394" s="3"/>
      <c r="B394" s="3"/>
      <c r="C394" t="s">
        <v>184</v>
      </c>
      <c r="D394" s="5">
        <v>1</v>
      </c>
      <c r="E394" s="9">
        <f t="shared" si="145"/>
        <v>15.8</v>
      </c>
      <c r="F394" s="9">
        <f t="shared" si="146"/>
        <v>0.53703703703703709</v>
      </c>
      <c r="G394">
        <v>3.2</v>
      </c>
      <c r="H394">
        <v>37.5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15.8</v>
      </c>
      <c r="P394">
        <v>0</v>
      </c>
      <c r="Q394">
        <v>43.5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36</v>
      </c>
      <c r="AK394" t="s">
        <v>1</v>
      </c>
      <c r="AL394" t="s">
        <v>372</v>
      </c>
      <c r="AQ394" s="1">
        <f t="shared" si="162"/>
        <v>100</v>
      </c>
      <c r="AR394" s="1">
        <f t="shared" si="147"/>
        <v>0.158</v>
      </c>
      <c r="AS394" s="1">
        <f t="shared" si="148"/>
        <v>3.2000000000000001E-2</v>
      </c>
      <c r="AT394" s="1">
        <f t="shared" si="149"/>
        <v>0.375</v>
      </c>
      <c r="AU394" s="1">
        <f t="shared" si="150"/>
        <v>0.435</v>
      </c>
      <c r="AV394" s="1">
        <f t="shared" si="163"/>
        <v>0.36</v>
      </c>
      <c r="AX394" s="1">
        <f t="shared" si="164"/>
        <v>1.0687960687960687</v>
      </c>
      <c r="AY394" s="1">
        <f t="shared" si="151"/>
        <v>0.3882063882063882</v>
      </c>
      <c r="AZ394" s="1">
        <f t="shared" si="152"/>
        <v>0.56679975429975427</v>
      </c>
      <c r="BA394" s="1">
        <f t="shared" si="153"/>
        <v>0.76719901719901717</v>
      </c>
      <c r="BB394" s="1">
        <f t="shared" si="154"/>
        <v>0.3882063882063882</v>
      </c>
      <c r="BC394" s="1">
        <f t="shared" si="155"/>
        <v>0.3882063882063882</v>
      </c>
      <c r="BD394" s="1">
        <f t="shared" si="165"/>
        <v>2.8206388206388211E-2</v>
      </c>
      <c r="BF394">
        <f t="shared" si="156"/>
        <v>50.3</v>
      </c>
      <c r="BG394">
        <f t="shared" si="157"/>
        <v>15.8</v>
      </c>
      <c r="BH394" s="1">
        <f t="shared" si="158"/>
        <v>0.86481113320079528</v>
      </c>
      <c r="BI394" s="1">
        <f t="shared" si="159"/>
        <v>0.31411530815109345</v>
      </c>
      <c r="BJ394" s="1">
        <f t="shared" si="166"/>
        <v>0.48188866799204771</v>
      </c>
      <c r="BK394" s="1">
        <f t="shared" si="167"/>
        <v>0.31411530815109345</v>
      </c>
      <c r="BL394" s="22">
        <f t="shared" si="168"/>
        <v>0.31411530815109345</v>
      </c>
      <c r="BM394" s="1">
        <f t="shared" si="160"/>
        <v>2.1054049460691097E-3</v>
      </c>
      <c r="BN394" s="1">
        <f t="shared" si="161"/>
        <v>2.2696577275581882E-3</v>
      </c>
    </row>
    <row r="395" spans="1:66" x14ac:dyDescent="0.25">
      <c r="A395" s="3"/>
      <c r="B395" s="3"/>
      <c r="C395" t="s">
        <v>185</v>
      </c>
      <c r="D395" s="5">
        <v>1</v>
      </c>
      <c r="E395" s="9">
        <f t="shared" si="145"/>
        <v>15.7</v>
      </c>
      <c r="F395" s="9">
        <f t="shared" si="146"/>
        <v>0.5980271270036992</v>
      </c>
      <c r="G395">
        <v>3.2</v>
      </c>
      <c r="H395">
        <v>32.6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15.7</v>
      </c>
      <c r="P395">
        <v>0</v>
      </c>
      <c r="Q395">
        <v>48.5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34</v>
      </c>
      <c r="AK395" t="s">
        <v>1</v>
      </c>
      <c r="AL395" t="s">
        <v>372</v>
      </c>
      <c r="AQ395" s="1">
        <f t="shared" si="162"/>
        <v>100</v>
      </c>
      <c r="AR395" s="1">
        <f t="shared" si="147"/>
        <v>0.157</v>
      </c>
      <c r="AS395" s="1">
        <f t="shared" si="148"/>
        <v>3.2000000000000001E-2</v>
      </c>
      <c r="AT395" s="1">
        <f t="shared" si="149"/>
        <v>0.32600000000000001</v>
      </c>
      <c r="AU395" s="1">
        <f t="shared" si="150"/>
        <v>0.48499999999999999</v>
      </c>
      <c r="AV395" s="1">
        <f t="shared" si="163"/>
        <v>0.34</v>
      </c>
      <c r="AX395" s="1">
        <f t="shared" si="164"/>
        <v>1.3547486033519553</v>
      </c>
      <c r="AY395" s="1">
        <f t="shared" si="151"/>
        <v>0.43854748603351956</v>
      </c>
      <c r="AZ395" s="1">
        <f t="shared" si="152"/>
        <v>0.58467178770949724</v>
      </c>
      <c r="BA395" s="1">
        <f t="shared" si="153"/>
        <v>0.83868715083798884</v>
      </c>
      <c r="BB395" s="1">
        <f t="shared" si="154"/>
        <v>0.43854748603351956</v>
      </c>
      <c r="BC395" s="1">
        <f t="shared" si="155"/>
        <v>0.43854748603351956</v>
      </c>
      <c r="BD395" s="1">
        <f t="shared" si="165"/>
        <v>9.8547486033519538E-2</v>
      </c>
      <c r="BF395">
        <f t="shared" si="156"/>
        <v>45.400000000000006</v>
      </c>
      <c r="BG395">
        <f t="shared" si="157"/>
        <v>15.7</v>
      </c>
      <c r="BH395" s="1">
        <f t="shared" si="158"/>
        <v>1.0682819383259912</v>
      </c>
      <c r="BI395" s="1">
        <f t="shared" si="159"/>
        <v>0.34581497797356825</v>
      </c>
      <c r="BJ395" s="1">
        <f t="shared" si="166"/>
        <v>0.49409691629955943</v>
      </c>
      <c r="BK395" s="1">
        <f t="shared" si="167"/>
        <v>0.34581497797356825</v>
      </c>
      <c r="BL395" s="22">
        <f t="shared" si="168"/>
        <v>0.34581497797356825</v>
      </c>
      <c r="BM395" s="1">
        <f t="shared" si="160"/>
        <v>3.381396883308362E-5</v>
      </c>
      <c r="BN395" s="1">
        <f t="shared" si="161"/>
        <v>4.5752947244946671E-3</v>
      </c>
    </row>
    <row r="396" spans="1:66" x14ac:dyDescent="0.25">
      <c r="A396" s="3"/>
      <c r="B396" s="3"/>
      <c r="C396" t="s">
        <v>186</v>
      </c>
      <c r="D396" s="5">
        <v>1</v>
      </c>
      <c r="E396" s="9">
        <f t="shared" si="145"/>
        <v>18.5</v>
      </c>
      <c r="F396" s="9">
        <f t="shared" si="146"/>
        <v>0.63481675392670156</v>
      </c>
      <c r="G396">
        <v>5.0999999999999996</v>
      </c>
      <c r="H396">
        <v>27.9</v>
      </c>
      <c r="I396">
        <v>8.1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10.4</v>
      </c>
      <c r="P396">
        <v>0</v>
      </c>
      <c r="Q396">
        <v>48.5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34</v>
      </c>
      <c r="AK396" t="s">
        <v>1</v>
      </c>
      <c r="AL396" t="s">
        <v>372</v>
      </c>
      <c r="AQ396" s="1">
        <f t="shared" si="162"/>
        <v>100</v>
      </c>
      <c r="AR396" s="1">
        <f t="shared" si="147"/>
        <v>0.10400000000000001</v>
      </c>
      <c r="AS396" s="1">
        <f t="shared" si="148"/>
        <v>5.0999999999999997E-2</v>
      </c>
      <c r="AT396" s="1">
        <f t="shared" si="149"/>
        <v>0.27899999999999997</v>
      </c>
      <c r="AU396" s="1">
        <f t="shared" si="150"/>
        <v>0.48499999999999999</v>
      </c>
      <c r="AV396" s="1">
        <f t="shared" si="163"/>
        <v>0.34</v>
      </c>
      <c r="AX396" s="1">
        <f t="shared" si="164"/>
        <v>1.4696969696969697</v>
      </c>
      <c r="AY396" s="1">
        <f t="shared" si="151"/>
        <v>0.31515151515151524</v>
      </c>
      <c r="AZ396" s="1">
        <f t="shared" si="152"/>
        <v>0.59185606060606055</v>
      </c>
      <c r="BA396" s="1">
        <f t="shared" si="153"/>
        <v>0.86742424242424243</v>
      </c>
      <c r="BB396" s="1">
        <f t="shared" si="154"/>
        <v>0.31515151515151524</v>
      </c>
      <c r="BC396" s="1">
        <f t="shared" si="155"/>
        <v>0.31515151515151524</v>
      </c>
      <c r="BD396" s="1">
        <f t="shared" si="165"/>
        <v>2.4848484848484786E-2</v>
      </c>
      <c r="BF396">
        <f t="shared" si="156"/>
        <v>48.3</v>
      </c>
      <c r="BG396">
        <f t="shared" si="157"/>
        <v>14.45</v>
      </c>
      <c r="BH396" s="1">
        <f t="shared" si="158"/>
        <v>1.0041407867494825</v>
      </c>
      <c r="BI396" s="1">
        <f t="shared" si="159"/>
        <v>0.29917184265010355</v>
      </c>
      <c r="BJ396" s="1">
        <f t="shared" si="166"/>
        <v>0.49024844720496896</v>
      </c>
      <c r="BK396" s="1">
        <f t="shared" si="167"/>
        <v>0.29917184265010355</v>
      </c>
      <c r="BL396" s="22">
        <f t="shared" si="168"/>
        <v>0.29917184265010355</v>
      </c>
      <c r="BM396" s="1">
        <f t="shared" si="160"/>
        <v>1.6669384325879058E-3</v>
      </c>
      <c r="BN396" s="1">
        <f t="shared" si="161"/>
        <v>4.5752947244946671E-3</v>
      </c>
    </row>
    <row r="397" spans="1:66" x14ac:dyDescent="0.25">
      <c r="A397" s="3"/>
      <c r="B397" s="3"/>
      <c r="C397" t="s">
        <v>187</v>
      </c>
      <c r="D397" s="5">
        <v>1</v>
      </c>
      <c r="E397" s="9">
        <f t="shared" si="145"/>
        <v>18.399999999999999</v>
      </c>
      <c r="F397" s="9">
        <f t="shared" si="146"/>
        <v>0.69843342036553535</v>
      </c>
      <c r="G397">
        <v>5</v>
      </c>
      <c r="H397">
        <v>23.1</v>
      </c>
      <c r="I397">
        <v>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10.4</v>
      </c>
      <c r="P397">
        <v>0</v>
      </c>
      <c r="Q397">
        <v>53.5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37</v>
      </c>
      <c r="AK397" t="s">
        <v>1</v>
      </c>
      <c r="AL397" t="s">
        <v>372</v>
      </c>
      <c r="AQ397" s="1">
        <f t="shared" si="162"/>
        <v>100</v>
      </c>
      <c r="AR397" s="1">
        <f t="shared" si="147"/>
        <v>0.10400000000000001</v>
      </c>
      <c r="AS397" s="1">
        <f t="shared" si="148"/>
        <v>0.05</v>
      </c>
      <c r="AT397" s="1">
        <f t="shared" si="149"/>
        <v>0.23100000000000001</v>
      </c>
      <c r="AU397" s="1">
        <f t="shared" si="150"/>
        <v>0.53500000000000003</v>
      </c>
      <c r="AV397" s="1">
        <f t="shared" si="163"/>
        <v>0.37</v>
      </c>
      <c r="AX397" s="1">
        <f t="shared" si="164"/>
        <v>1.9039145907473309</v>
      </c>
      <c r="AY397" s="1">
        <f t="shared" si="151"/>
        <v>0.37010676156583627</v>
      </c>
      <c r="AZ397" s="1">
        <f t="shared" si="152"/>
        <v>0.61899466192170816</v>
      </c>
      <c r="BA397" s="1">
        <f t="shared" si="153"/>
        <v>0.97597864768683273</v>
      </c>
      <c r="BB397" s="1">
        <f t="shared" si="154"/>
        <v>0.37010676156583627</v>
      </c>
      <c r="BC397" s="1">
        <f t="shared" si="155"/>
        <v>0.37010676156583627</v>
      </c>
      <c r="BD397" s="1">
        <f t="shared" si="165"/>
        <v>1.0676156583627749E-4</v>
      </c>
      <c r="BF397">
        <f t="shared" si="156"/>
        <v>43.1</v>
      </c>
      <c r="BG397">
        <f t="shared" si="157"/>
        <v>14.4</v>
      </c>
      <c r="BH397" s="1">
        <f t="shared" si="158"/>
        <v>1.2412993039443154</v>
      </c>
      <c r="BI397" s="1">
        <f t="shared" si="159"/>
        <v>0.33410672853828305</v>
      </c>
      <c r="BJ397" s="1">
        <f t="shared" si="166"/>
        <v>0.50447795823665897</v>
      </c>
      <c r="BK397" s="1">
        <f t="shared" si="167"/>
        <v>0.33410672853828305</v>
      </c>
      <c r="BL397" s="22">
        <f t="shared" si="168"/>
        <v>0.33410672853828305</v>
      </c>
      <c r="BM397" s="1">
        <f t="shared" si="160"/>
        <v>1.2883269362245042E-3</v>
      </c>
      <c r="BN397" s="1">
        <f t="shared" si="161"/>
        <v>1.4168392290899454E-3</v>
      </c>
    </row>
    <row r="398" spans="1:66" x14ac:dyDescent="0.25">
      <c r="A398" s="3"/>
      <c r="B398" s="3"/>
      <c r="C398" t="s">
        <v>188</v>
      </c>
      <c r="D398" s="5">
        <v>1</v>
      </c>
      <c r="E398" s="9">
        <f t="shared" si="145"/>
        <v>21.2</v>
      </c>
      <c r="F398" s="9">
        <f t="shared" si="146"/>
        <v>0.47619047619047622</v>
      </c>
      <c r="G398">
        <v>3.2</v>
      </c>
      <c r="H398">
        <v>39.6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21.2</v>
      </c>
      <c r="P398">
        <v>0</v>
      </c>
      <c r="Q398">
        <v>36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38</v>
      </c>
      <c r="AK398" t="s">
        <v>1</v>
      </c>
      <c r="AL398" t="s">
        <v>372</v>
      </c>
      <c r="AQ398" s="1">
        <f t="shared" si="162"/>
        <v>100</v>
      </c>
      <c r="AR398" s="1">
        <f t="shared" si="147"/>
        <v>0.21199999999999999</v>
      </c>
      <c r="AS398" s="1">
        <f t="shared" si="148"/>
        <v>3.2000000000000001E-2</v>
      </c>
      <c r="AT398" s="1">
        <f t="shared" si="149"/>
        <v>0.39600000000000002</v>
      </c>
      <c r="AU398" s="1">
        <f t="shared" si="150"/>
        <v>0.36</v>
      </c>
      <c r="AV398" s="1">
        <f t="shared" si="163"/>
        <v>0.38</v>
      </c>
      <c r="AX398" s="1">
        <f t="shared" si="164"/>
        <v>0.84112149532710268</v>
      </c>
      <c r="AY398" s="1">
        <f t="shared" si="151"/>
        <v>0.49532710280373826</v>
      </c>
      <c r="AZ398" s="1">
        <f t="shared" si="152"/>
        <v>0.55257009345794394</v>
      </c>
      <c r="BA398" s="1">
        <f t="shared" si="153"/>
        <v>0.71028037383177567</v>
      </c>
      <c r="BB398" s="1">
        <f t="shared" si="154"/>
        <v>0.49532710280373826</v>
      </c>
      <c r="BC398" s="1">
        <f t="shared" si="155"/>
        <v>0.49532710280373826</v>
      </c>
      <c r="BD398" s="1">
        <f t="shared" si="165"/>
        <v>0.11532710280373826</v>
      </c>
      <c r="BF398">
        <f t="shared" si="156"/>
        <v>52.400000000000006</v>
      </c>
      <c r="BG398">
        <f t="shared" si="157"/>
        <v>21.2</v>
      </c>
      <c r="BH398" s="1">
        <f t="shared" si="158"/>
        <v>0.6870229007633587</v>
      </c>
      <c r="BI398" s="1">
        <f t="shared" si="159"/>
        <v>0.40458015267175568</v>
      </c>
      <c r="BJ398" s="1">
        <f t="shared" si="166"/>
        <v>0.4712213740458015</v>
      </c>
      <c r="BK398" s="1">
        <f t="shared" si="167"/>
        <v>0.40458015267175568</v>
      </c>
      <c r="BL398" s="22">
        <f t="shared" si="168"/>
        <v>0.40458015267175568</v>
      </c>
      <c r="BM398" s="1">
        <f t="shared" si="160"/>
        <v>6.0418390536681754E-4</v>
      </c>
      <c r="BN398" s="1">
        <f t="shared" si="161"/>
        <v>7.6402073062170313E-4</v>
      </c>
    </row>
    <row r="399" spans="1:66" x14ac:dyDescent="0.25">
      <c r="A399" s="3"/>
      <c r="B399" s="3"/>
      <c r="C399" t="s">
        <v>189</v>
      </c>
      <c r="D399" s="5">
        <v>1</v>
      </c>
      <c r="E399" s="9">
        <f t="shared" si="145"/>
        <v>16.399999999999999</v>
      </c>
      <c r="F399" s="9">
        <f t="shared" si="146"/>
        <v>0.59569377990430628</v>
      </c>
      <c r="G399">
        <v>0</v>
      </c>
      <c r="H399">
        <v>33.799999999999997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16.399999999999999</v>
      </c>
      <c r="P399">
        <v>0</v>
      </c>
      <c r="Q399">
        <v>49.8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42</v>
      </c>
      <c r="AK399" t="s">
        <v>1</v>
      </c>
      <c r="AL399" t="s">
        <v>372</v>
      </c>
      <c r="AQ399" s="1">
        <f t="shared" si="162"/>
        <v>100</v>
      </c>
      <c r="AR399" s="1">
        <f t="shared" si="147"/>
        <v>0.16399999999999998</v>
      </c>
      <c r="AS399" s="1">
        <f t="shared" si="148"/>
        <v>0</v>
      </c>
      <c r="AT399" s="1">
        <f t="shared" si="149"/>
        <v>0.33799999999999997</v>
      </c>
      <c r="AU399" s="1">
        <f t="shared" si="150"/>
        <v>0.498</v>
      </c>
      <c r="AV399" s="1">
        <f t="shared" si="163"/>
        <v>0.42</v>
      </c>
      <c r="AX399" s="1">
        <f t="shared" si="164"/>
        <v>1.473372781065089</v>
      </c>
      <c r="AY399" s="1">
        <f t="shared" si="151"/>
        <v>0.48520710059171596</v>
      </c>
      <c r="AZ399" s="1">
        <f t="shared" si="152"/>
        <v>0.59208579881656809</v>
      </c>
      <c r="BA399" s="1">
        <f t="shared" si="153"/>
        <v>0.86834319526627224</v>
      </c>
      <c r="BB399" s="1">
        <f t="shared" si="154"/>
        <v>0.48520710059171596</v>
      </c>
      <c r="BC399" s="1">
        <f t="shared" si="155"/>
        <v>0.48520710059171596</v>
      </c>
      <c r="BD399" s="1">
        <f t="shared" si="165"/>
        <v>6.5207100591715972E-2</v>
      </c>
      <c r="BF399">
        <f t="shared" si="156"/>
        <v>33.799999999999997</v>
      </c>
      <c r="BG399">
        <f t="shared" si="157"/>
        <v>16.399999999999999</v>
      </c>
      <c r="BH399" s="1">
        <f t="shared" si="158"/>
        <v>1.4733727810650887</v>
      </c>
      <c r="BI399" s="1">
        <f t="shared" si="159"/>
        <v>0.48520710059171596</v>
      </c>
      <c r="BJ399" s="1">
        <f t="shared" si="166"/>
        <v>0.51840236686390528</v>
      </c>
      <c r="BK399" s="1">
        <f t="shared" si="167"/>
        <v>0.48520710059171596</v>
      </c>
      <c r="BL399" s="22">
        <f t="shared" si="168"/>
        <v>0.48520710059171596</v>
      </c>
      <c r="BM399" s="1">
        <f t="shared" si="160"/>
        <v>4.2519659675781651E-3</v>
      </c>
      <c r="BN399" s="1">
        <f t="shared" si="161"/>
        <v>1.527467367487362E-4</v>
      </c>
    </row>
    <row r="400" spans="1:66" x14ac:dyDescent="0.25">
      <c r="A400" s="3"/>
      <c r="B400" s="3"/>
      <c r="C400" t="s">
        <v>551</v>
      </c>
      <c r="D400" s="5">
        <v>1</v>
      </c>
      <c r="E400" s="9">
        <f t="shared" si="145"/>
        <v>0</v>
      </c>
      <c r="F400" s="9">
        <f t="shared" si="146"/>
        <v>0.33333333333333331</v>
      </c>
      <c r="G400">
        <v>0</v>
      </c>
      <c r="H400">
        <v>66.666666666666657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33.333333333333329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s">
        <v>1</v>
      </c>
      <c r="AL400" t="s">
        <v>374</v>
      </c>
      <c r="AO400" t="s">
        <v>378</v>
      </c>
      <c r="AQ400" s="1">
        <f t="shared" si="162"/>
        <v>99.999999999999986</v>
      </c>
      <c r="AR400" s="1">
        <f t="shared" si="147"/>
        <v>0</v>
      </c>
      <c r="AS400" s="1">
        <f t="shared" si="148"/>
        <v>0</v>
      </c>
      <c r="AT400" s="1">
        <f t="shared" si="149"/>
        <v>0.66666666666666652</v>
      </c>
      <c r="AU400" s="1">
        <f t="shared" si="150"/>
        <v>0.33333333333333326</v>
      </c>
      <c r="AV400" s="1">
        <f t="shared" si="163"/>
        <v>0</v>
      </c>
      <c r="AX400" s="1">
        <f t="shared" si="164"/>
        <v>0.5</v>
      </c>
      <c r="AY400" s="1">
        <f t="shared" si="151"/>
        <v>0</v>
      </c>
      <c r="AZ400" s="1">
        <f t="shared" si="152"/>
        <v>0.53125</v>
      </c>
      <c r="BA400" s="1">
        <f t="shared" si="153"/>
        <v>0.625</v>
      </c>
      <c r="BB400" s="1">
        <f t="shared" si="154"/>
        <v>0</v>
      </c>
      <c r="BC400" s="1">
        <f t="shared" si="155"/>
        <v>0</v>
      </c>
      <c r="BD400" s="1">
        <f t="shared" si="165"/>
        <v>0</v>
      </c>
      <c r="BF400">
        <f t="shared" si="156"/>
        <v>66.666666666666657</v>
      </c>
      <c r="BG400">
        <f t="shared" si="157"/>
        <v>0</v>
      </c>
      <c r="BH400" s="1">
        <f t="shared" si="158"/>
        <v>0.5</v>
      </c>
      <c r="BI400" s="1">
        <f t="shared" si="159"/>
        <v>0</v>
      </c>
      <c r="BJ400" s="1">
        <f t="shared" si="166"/>
        <v>0.45999999999999996</v>
      </c>
      <c r="BK400" s="1">
        <f t="shared" si="167"/>
        <v>0</v>
      </c>
      <c r="BL400" s="22">
        <f t="shared" si="168"/>
        <v>0</v>
      </c>
      <c r="BM400" s="1">
        <f t="shared" si="160"/>
        <v>0</v>
      </c>
      <c r="BN400" s="1">
        <f t="shared" si="161"/>
        <v>0.16617112367241488</v>
      </c>
    </row>
    <row r="401" spans="1:66" x14ac:dyDescent="0.25">
      <c r="A401" s="3"/>
      <c r="B401" s="3"/>
      <c r="C401" t="s">
        <v>552</v>
      </c>
      <c r="D401" s="5">
        <v>1</v>
      </c>
      <c r="E401" s="9">
        <f t="shared" si="145"/>
        <v>21.05263157894737</v>
      </c>
      <c r="F401" s="9">
        <f t="shared" si="146"/>
        <v>0.33333333333333331</v>
      </c>
      <c r="G401">
        <v>0</v>
      </c>
      <c r="H401">
        <v>52.631578947368418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21.05263157894737</v>
      </c>
      <c r="P401">
        <v>0</v>
      </c>
      <c r="Q401">
        <v>26.315789473684209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42</v>
      </c>
      <c r="AK401" t="s">
        <v>1</v>
      </c>
      <c r="AL401" t="s">
        <v>374</v>
      </c>
      <c r="AQ401" s="1">
        <f t="shared" si="162"/>
        <v>99.999999999999986</v>
      </c>
      <c r="AR401" s="1">
        <f t="shared" si="147"/>
        <v>0.2105263157894737</v>
      </c>
      <c r="AS401" s="1">
        <f t="shared" si="148"/>
        <v>0</v>
      </c>
      <c r="AT401" s="1">
        <f t="shared" si="149"/>
        <v>0.52631578947368418</v>
      </c>
      <c r="AU401" s="1">
        <f t="shared" si="150"/>
        <v>0.26315789473684209</v>
      </c>
      <c r="AV401" s="1">
        <f t="shared" si="163"/>
        <v>0.42</v>
      </c>
      <c r="AX401" s="1">
        <f t="shared" si="164"/>
        <v>0.5</v>
      </c>
      <c r="AY401" s="1">
        <f t="shared" si="151"/>
        <v>0.40000000000000008</v>
      </c>
      <c r="AZ401" s="1">
        <f t="shared" si="152"/>
        <v>0.53125</v>
      </c>
      <c r="BA401" s="1">
        <f t="shared" si="153"/>
        <v>0.625</v>
      </c>
      <c r="BB401" s="1">
        <f t="shared" si="154"/>
        <v>0.40000000000000008</v>
      </c>
      <c r="BC401" s="1">
        <f t="shared" si="155"/>
        <v>0.40000000000000008</v>
      </c>
      <c r="BD401" s="1">
        <f t="shared" si="165"/>
        <v>1.9999999999999907E-2</v>
      </c>
      <c r="BF401">
        <f t="shared" si="156"/>
        <v>52.631578947368418</v>
      </c>
      <c r="BG401">
        <f t="shared" si="157"/>
        <v>21.05263157894737</v>
      </c>
      <c r="BH401" s="1">
        <f t="shared" si="158"/>
        <v>0.5</v>
      </c>
      <c r="BI401" s="1">
        <f t="shared" si="159"/>
        <v>0.40000000000000008</v>
      </c>
      <c r="BJ401" s="1">
        <f t="shared" si="166"/>
        <v>0.45999999999999996</v>
      </c>
      <c r="BK401" s="1">
        <f t="shared" si="167"/>
        <v>0.40000000000000008</v>
      </c>
      <c r="BL401" s="22">
        <f t="shared" si="168"/>
        <v>0.40000000000000008</v>
      </c>
      <c r="BM401" s="1">
        <f t="shared" si="160"/>
        <v>3.9999999999999628E-4</v>
      </c>
      <c r="BN401" s="1">
        <f t="shared" si="161"/>
        <v>1.527467367487362E-4</v>
      </c>
    </row>
    <row r="402" spans="1:66" x14ac:dyDescent="0.25">
      <c r="A402" s="3"/>
      <c r="B402" s="3"/>
      <c r="C402" t="s">
        <v>553</v>
      </c>
      <c r="D402" s="5">
        <v>1</v>
      </c>
      <c r="E402" s="9">
        <f t="shared" si="145"/>
        <v>34.782608695652179</v>
      </c>
      <c r="F402" s="9">
        <f t="shared" si="146"/>
        <v>0.33333333333333331</v>
      </c>
      <c r="G402">
        <v>0</v>
      </c>
      <c r="H402">
        <v>43.478260869565219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34.782608695652179</v>
      </c>
      <c r="P402">
        <v>0</v>
      </c>
      <c r="Q402">
        <v>21.739130434782609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49</v>
      </c>
      <c r="AK402" t="s">
        <v>1</v>
      </c>
      <c r="AL402" t="s">
        <v>374</v>
      </c>
      <c r="AQ402" s="1">
        <f t="shared" si="162"/>
        <v>100.00000000000001</v>
      </c>
      <c r="AR402" s="1">
        <f t="shared" si="147"/>
        <v>0.34782608695652178</v>
      </c>
      <c r="AS402" s="1">
        <f t="shared" si="148"/>
        <v>0</v>
      </c>
      <c r="AT402" s="1">
        <f t="shared" si="149"/>
        <v>0.43478260869565216</v>
      </c>
      <c r="AU402" s="1">
        <f t="shared" si="150"/>
        <v>0.21739130434782608</v>
      </c>
      <c r="AV402" s="1">
        <f t="shared" si="163"/>
        <v>0.49</v>
      </c>
      <c r="AX402" s="1">
        <f t="shared" si="164"/>
        <v>0.5</v>
      </c>
      <c r="AY402" s="1">
        <f t="shared" si="151"/>
        <v>0.80000000000000016</v>
      </c>
      <c r="AZ402" s="1">
        <f t="shared" si="152"/>
        <v>0.53125</v>
      </c>
      <c r="BA402" s="1">
        <f t="shared" si="153"/>
        <v>0.625</v>
      </c>
      <c r="BB402" s="1">
        <f t="shared" si="154"/>
        <v>0.48166666666666663</v>
      </c>
      <c r="BC402" s="1">
        <f t="shared" si="155"/>
        <v>0.48166666666666663</v>
      </c>
      <c r="BD402" s="1">
        <f t="shared" si="165"/>
        <v>8.3333333333333592E-3</v>
      </c>
      <c r="BF402">
        <f t="shared" si="156"/>
        <v>43.478260869565219</v>
      </c>
      <c r="BG402">
        <f t="shared" si="157"/>
        <v>34.782608695652179</v>
      </c>
      <c r="BH402" s="1">
        <f t="shared" si="158"/>
        <v>0.5</v>
      </c>
      <c r="BI402" s="1">
        <f t="shared" si="159"/>
        <v>0.8</v>
      </c>
      <c r="BJ402" s="1">
        <f t="shared" si="166"/>
        <v>0.45999999999999996</v>
      </c>
      <c r="BK402" s="1">
        <f t="shared" si="167"/>
        <v>0.44556937302475941</v>
      </c>
      <c r="BL402" s="22">
        <f t="shared" si="168"/>
        <v>0.44556937302475941</v>
      </c>
      <c r="BM402" s="1">
        <f t="shared" si="160"/>
        <v>1.9740806134129762E-3</v>
      </c>
      <c r="BN402" s="1">
        <f t="shared" si="161"/>
        <v>6.7830172474710433E-3</v>
      </c>
    </row>
    <row r="403" spans="1:66" x14ac:dyDescent="0.25">
      <c r="A403" s="3"/>
      <c r="B403" s="3"/>
      <c r="C403" t="s">
        <v>554</v>
      </c>
      <c r="D403" s="5">
        <v>1</v>
      </c>
      <c r="E403" s="9">
        <f t="shared" si="145"/>
        <v>40</v>
      </c>
      <c r="F403" s="9">
        <f t="shared" si="146"/>
        <v>0.33333333333333331</v>
      </c>
      <c r="G403">
        <v>0</v>
      </c>
      <c r="H403">
        <v>40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40</v>
      </c>
      <c r="P403">
        <v>0</v>
      </c>
      <c r="Q403">
        <v>20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47</v>
      </c>
      <c r="AK403" t="s">
        <v>1</v>
      </c>
      <c r="AL403" t="s">
        <v>374</v>
      </c>
      <c r="AQ403" s="1">
        <f t="shared" si="162"/>
        <v>100</v>
      </c>
      <c r="AR403" s="1">
        <f t="shared" si="147"/>
        <v>0.4</v>
      </c>
      <c r="AS403" s="1">
        <f t="shared" si="148"/>
        <v>0</v>
      </c>
      <c r="AT403" s="1">
        <f t="shared" si="149"/>
        <v>0.4</v>
      </c>
      <c r="AU403" s="1">
        <f t="shared" si="150"/>
        <v>0.2</v>
      </c>
      <c r="AV403" s="1">
        <f t="shared" si="163"/>
        <v>0.47</v>
      </c>
      <c r="AX403" s="1">
        <f t="shared" si="164"/>
        <v>0.5</v>
      </c>
      <c r="AY403" s="1">
        <f t="shared" si="151"/>
        <v>1</v>
      </c>
      <c r="AZ403" s="1">
        <f t="shared" si="152"/>
        <v>0.53125</v>
      </c>
      <c r="BA403" s="1">
        <f t="shared" si="153"/>
        <v>0.625</v>
      </c>
      <c r="BB403" s="1">
        <f t="shared" si="154"/>
        <v>0.42499999999999999</v>
      </c>
      <c r="BC403" s="1">
        <f t="shared" si="155"/>
        <v>0.42499999999999999</v>
      </c>
      <c r="BD403" s="1">
        <f t="shared" si="165"/>
        <v>4.4999999999999984E-2</v>
      </c>
      <c r="BF403">
        <f t="shared" si="156"/>
        <v>40</v>
      </c>
      <c r="BG403">
        <f t="shared" si="157"/>
        <v>40</v>
      </c>
      <c r="BH403" s="1">
        <f t="shared" si="158"/>
        <v>0.5</v>
      </c>
      <c r="BI403" s="1">
        <f t="shared" si="159"/>
        <v>1</v>
      </c>
      <c r="BJ403" s="1">
        <f t="shared" si="166"/>
        <v>0.45999999999999996</v>
      </c>
      <c r="BK403" s="1">
        <f t="shared" si="167"/>
        <v>0.42565107808197022</v>
      </c>
      <c r="BL403" s="22">
        <f t="shared" si="168"/>
        <v>0.42565107808197022</v>
      </c>
      <c r="BM403" s="1">
        <f t="shared" si="160"/>
        <v>1.9668268752914995E-3</v>
      </c>
      <c r="BN403" s="1">
        <f t="shared" si="161"/>
        <v>3.8886542444075247E-3</v>
      </c>
    </row>
    <row r="404" spans="1:66" x14ac:dyDescent="0.25">
      <c r="A404" s="3"/>
      <c r="B404" s="3"/>
      <c r="C404" t="s">
        <v>555</v>
      </c>
      <c r="D404" s="5">
        <v>1</v>
      </c>
      <c r="E404" s="9">
        <f t="shared" si="145"/>
        <v>44.444444444444443</v>
      </c>
      <c r="F404" s="9">
        <f t="shared" si="146"/>
        <v>0.33333333333333331</v>
      </c>
      <c r="G404">
        <v>0</v>
      </c>
      <c r="H404">
        <v>37.037037037037038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44.444444444444443</v>
      </c>
      <c r="P404">
        <v>0</v>
      </c>
      <c r="Q404">
        <v>18.518518518518519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39</v>
      </c>
      <c r="AK404" t="s">
        <v>1</v>
      </c>
      <c r="AL404" t="s">
        <v>374</v>
      </c>
      <c r="AQ404" s="1">
        <f t="shared" si="162"/>
        <v>100</v>
      </c>
      <c r="AR404" s="1">
        <f t="shared" si="147"/>
        <v>0.44444444444444442</v>
      </c>
      <c r="AS404" s="1">
        <f t="shared" si="148"/>
        <v>0</v>
      </c>
      <c r="AT404" s="1">
        <f t="shared" si="149"/>
        <v>0.37037037037037041</v>
      </c>
      <c r="AU404" s="1">
        <f t="shared" si="150"/>
        <v>0.1851851851851852</v>
      </c>
      <c r="AV404" s="1">
        <f t="shared" si="163"/>
        <v>0.39</v>
      </c>
      <c r="AX404" s="1">
        <f t="shared" si="164"/>
        <v>0.5</v>
      </c>
      <c r="AY404" s="1">
        <f t="shared" si="151"/>
        <v>1.1999999999999997</v>
      </c>
      <c r="AZ404" s="1">
        <f t="shared" si="152"/>
        <v>0.53125</v>
      </c>
      <c r="BA404" s="1">
        <f t="shared" si="153"/>
        <v>0.625</v>
      </c>
      <c r="BB404" s="1">
        <f t="shared" si="154"/>
        <v>0.3683333333333334</v>
      </c>
      <c r="BC404" s="1">
        <f t="shared" si="155"/>
        <v>0.3683333333333334</v>
      </c>
      <c r="BD404" s="1">
        <f t="shared" si="165"/>
        <v>2.1666666666666612E-2</v>
      </c>
      <c r="BF404">
        <f t="shared" si="156"/>
        <v>37.037037037037038</v>
      </c>
      <c r="BG404">
        <f t="shared" si="157"/>
        <v>44.444444444444443</v>
      </c>
      <c r="BH404" s="1">
        <f t="shared" si="158"/>
        <v>0.5</v>
      </c>
      <c r="BI404" s="1">
        <f t="shared" si="159"/>
        <v>1.2</v>
      </c>
      <c r="BJ404" s="1">
        <f t="shared" si="166"/>
        <v>0.45999999999999996</v>
      </c>
      <c r="BK404" s="1">
        <f t="shared" si="167"/>
        <v>0.39243668939191939</v>
      </c>
      <c r="BL404" s="22">
        <f t="shared" si="168"/>
        <v>0.39243668939191939</v>
      </c>
      <c r="BM404" s="1">
        <f t="shared" si="160"/>
        <v>5.937455192692427E-6</v>
      </c>
      <c r="BN404" s="1">
        <f t="shared" si="161"/>
        <v>3.1120223215346117E-4</v>
      </c>
    </row>
    <row r="405" spans="1:66" x14ac:dyDescent="0.25">
      <c r="A405" s="3"/>
      <c r="B405" s="3"/>
      <c r="C405" t="s">
        <v>556</v>
      </c>
      <c r="D405" s="5">
        <v>1</v>
      </c>
      <c r="E405" s="9">
        <f t="shared" si="145"/>
        <v>13.043478260869559</v>
      </c>
      <c r="F405" s="9">
        <f t="shared" si="146"/>
        <v>0.66666666666666674</v>
      </c>
      <c r="G405">
        <v>0</v>
      </c>
      <c r="H405">
        <v>28.985507246376809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13.043478260869559</v>
      </c>
      <c r="P405">
        <v>0</v>
      </c>
      <c r="Q405">
        <v>57.971014492753618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38</v>
      </c>
      <c r="AK405" t="s">
        <v>1</v>
      </c>
      <c r="AL405" t="s">
        <v>374</v>
      </c>
      <c r="AQ405" s="1">
        <f t="shared" si="162"/>
        <v>99.999999999999986</v>
      </c>
      <c r="AR405" s="1">
        <f t="shared" si="147"/>
        <v>0.13043478260869559</v>
      </c>
      <c r="AS405" s="1">
        <f t="shared" si="148"/>
        <v>0</v>
      </c>
      <c r="AT405" s="1">
        <f t="shared" si="149"/>
        <v>0.28985507246376807</v>
      </c>
      <c r="AU405" s="1">
        <f t="shared" si="150"/>
        <v>0.57971014492753614</v>
      </c>
      <c r="AV405" s="1">
        <f t="shared" si="163"/>
        <v>0.38</v>
      </c>
      <c r="AX405" s="1">
        <f t="shared" si="164"/>
        <v>2</v>
      </c>
      <c r="AY405" s="1">
        <f t="shared" si="151"/>
        <v>0.44999999999999984</v>
      </c>
      <c r="AZ405" s="1">
        <f t="shared" si="152"/>
        <v>0.625</v>
      </c>
      <c r="BA405" s="1">
        <f t="shared" si="153"/>
        <v>1</v>
      </c>
      <c r="BB405" s="1">
        <f t="shared" si="154"/>
        <v>0.44999999999999984</v>
      </c>
      <c r="BC405" s="1">
        <f t="shared" si="155"/>
        <v>0.44999999999999984</v>
      </c>
      <c r="BD405" s="1">
        <f t="shared" si="165"/>
        <v>6.999999999999984E-2</v>
      </c>
      <c r="BF405">
        <f t="shared" si="156"/>
        <v>28.985507246376809</v>
      </c>
      <c r="BG405">
        <f t="shared" si="157"/>
        <v>13.043478260869559</v>
      </c>
      <c r="BH405" s="1">
        <f t="shared" si="158"/>
        <v>2</v>
      </c>
      <c r="BI405" s="1">
        <f t="shared" si="159"/>
        <v>0.44999999999999984</v>
      </c>
      <c r="BJ405" s="1">
        <f t="shared" si="166"/>
        <v>0.55000000000000004</v>
      </c>
      <c r="BK405" s="1">
        <f t="shared" si="167"/>
        <v>0.44999999999999984</v>
      </c>
      <c r="BL405" s="22">
        <f t="shared" si="168"/>
        <v>0.44999999999999984</v>
      </c>
      <c r="BM405" s="1">
        <f t="shared" si="160"/>
        <v>4.8999999999999773E-3</v>
      </c>
      <c r="BN405" s="1">
        <f t="shared" si="161"/>
        <v>7.6402073062170313E-4</v>
      </c>
    </row>
    <row r="406" spans="1:66" x14ac:dyDescent="0.25">
      <c r="A406" s="3"/>
      <c r="B406" s="3"/>
      <c r="C406" t="s">
        <v>557</v>
      </c>
      <c r="D406" s="5">
        <v>1</v>
      </c>
      <c r="E406" s="9">
        <f t="shared" si="145"/>
        <v>16.666666666666661</v>
      </c>
      <c r="F406" s="9">
        <f t="shared" si="146"/>
        <v>0.66666666666666663</v>
      </c>
      <c r="G406">
        <v>0</v>
      </c>
      <c r="H406">
        <v>27.777777777777779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16.666666666666661</v>
      </c>
      <c r="P406">
        <v>0</v>
      </c>
      <c r="Q406">
        <v>55.555555555555557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45</v>
      </c>
      <c r="AK406" t="s">
        <v>1</v>
      </c>
      <c r="AL406" t="s">
        <v>374</v>
      </c>
      <c r="AQ406" s="1">
        <f t="shared" si="162"/>
        <v>100</v>
      </c>
      <c r="AR406" s="1">
        <f t="shared" si="147"/>
        <v>0.1666666666666666</v>
      </c>
      <c r="AS406" s="1">
        <f t="shared" si="148"/>
        <v>0</v>
      </c>
      <c r="AT406" s="1">
        <f t="shared" si="149"/>
        <v>0.27777777777777779</v>
      </c>
      <c r="AU406" s="1">
        <f t="shared" si="150"/>
        <v>0.55555555555555558</v>
      </c>
      <c r="AV406" s="1">
        <f t="shared" si="163"/>
        <v>0.45</v>
      </c>
      <c r="AX406" s="1">
        <f t="shared" si="164"/>
        <v>2</v>
      </c>
      <c r="AY406" s="1">
        <f t="shared" si="151"/>
        <v>0.59999999999999976</v>
      </c>
      <c r="AZ406" s="1">
        <f t="shared" si="152"/>
        <v>0.625</v>
      </c>
      <c r="BA406" s="1">
        <f t="shared" si="153"/>
        <v>1</v>
      </c>
      <c r="BB406" s="1">
        <f t="shared" si="154"/>
        <v>0.59999999999999976</v>
      </c>
      <c r="BC406" s="1">
        <f t="shared" si="155"/>
        <v>0.59999999999999976</v>
      </c>
      <c r="BD406" s="1">
        <f t="shared" si="165"/>
        <v>0.14999999999999974</v>
      </c>
      <c r="BF406">
        <f t="shared" si="156"/>
        <v>27.777777777777779</v>
      </c>
      <c r="BG406">
        <f t="shared" si="157"/>
        <v>16.666666666666661</v>
      </c>
      <c r="BH406" s="1">
        <f t="shared" si="158"/>
        <v>2</v>
      </c>
      <c r="BI406" s="1">
        <f t="shared" si="159"/>
        <v>0.59999999999999976</v>
      </c>
      <c r="BJ406" s="1">
        <f t="shared" si="166"/>
        <v>0.55000000000000004</v>
      </c>
      <c r="BK406" s="1">
        <f t="shared" si="167"/>
        <v>0.52300095456751516</v>
      </c>
      <c r="BL406" s="22">
        <f t="shared" si="168"/>
        <v>0.52300095456751516</v>
      </c>
      <c r="BM406" s="1">
        <f t="shared" si="160"/>
        <v>5.3291393677684113E-3</v>
      </c>
      <c r="BN406" s="1">
        <f t="shared" si="161"/>
        <v>1.7942912413440124E-3</v>
      </c>
    </row>
    <row r="407" spans="1:66" x14ac:dyDescent="0.25">
      <c r="A407" s="3"/>
      <c r="B407" s="3"/>
      <c r="C407" t="s">
        <v>558</v>
      </c>
      <c r="D407" s="5">
        <v>1</v>
      </c>
      <c r="E407" s="9">
        <f t="shared" si="145"/>
        <v>25</v>
      </c>
      <c r="F407" s="9">
        <f t="shared" si="146"/>
        <v>0.66666666666666663</v>
      </c>
      <c r="G407">
        <v>0</v>
      </c>
      <c r="H407">
        <v>25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25</v>
      </c>
      <c r="P407">
        <v>0</v>
      </c>
      <c r="Q407">
        <v>50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60</v>
      </c>
      <c r="AK407" t="s">
        <v>1</v>
      </c>
      <c r="AL407" t="s">
        <v>374</v>
      </c>
      <c r="AQ407" s="1">
        <f t="shared" si="162"/>
        <v>100</v>
      </c>
      <c r="AR407" s="1">
        <f t="shared" si="147"/>
        <v>0.25</v>
      </c>
      <c r="AS407" s="1">
        <f t="shared" si="148"/>
        <v>0</v>
      </c>
      <c r="AT407" s="1">
        <f t="shared" si="149"/>
        <v>0.25</v>
      </c>
      <c r="AU407" s="1">
        <f t="shared" si="150"/>
        <v>0.5</v>
      </c>
      <c r="AV407" s="1">
        <f t="shared" si="163"/>
        <v>0.6</v>
      </c>
      <c r="AX407" s="1">
        <f t="shared" si="164"/>
        <v>2</v>
      </c>
      <c r="AY407" s="1">
        <f t="shared" si="151"/>
        <v>1</v>
      </c>
      <c r="AZ407" s="1">
        <f t="shared" si="152"/>
        <v>0.625</v>
      </c>
      <c r="BA407" s="1">
        <f t="shared" si="153"/>
        <v>1</v>
      </c>
      <c r="BB407" s="1">
        <f t="shared" si="154"/>
        <v>0.625</v>
      </c>
      <c r="BC407" s="1">
        <f t="shared" si="155"/>
        <v>0.625</v>
      </c>
      <c r="BD407" s="1">
        <f t="shared" si="165"/>
        <v>2.5000000000000022E-2</v>
      </c>
      <c r="BF407">
        <f t="shared" si="156"/>
        <v>25</v>
      </c>
      <c r="BG407">
        <f t="shared" si="157"/>
        <v>25</v>
      </c>
      <c r="BH407" s="1">
        <f t="shared" si="158"/>
        <v>2</v>
      </c>
      <c r="BI407" s="1">
        <f t="shared" si="159"/>
        <v>1</v>
      </c>
      <c r="BJ407" s="1">
        <f t="shared" si="166"/>
        <v>0.55000000000000004</v>
      </c>
      <c r="BK407" s="1">
        <f t="shared" si="167"/>
        <v>0.56694271147394415</v>
      </c>
      <c r="BL407" s="22">
        <f t="shared" si="168"/>
        <v>0.56694271147394415</v>
      </c>
      <c r="BM407" s="1">
        <f t="shared" si="160"/>
        <v>1.0927843246949023E-3</v>
      </c>
      <c r="BN407" s="1">
        <f t="shared" si="161"/>
        <v>3.7002013764320378E-2</v>
      </c>
    </row>
    <row r="408" spans="1:66" x14ac:dyDescent="0.25">
      <c r="A408" s="3"/>
      <c r="B408" s="3"/>
      <c r="C408" t="s">
        <v>559</v>
      </c>
      <c r="D408" s="5">
        <v>1</v>
      </c>
      <c r="E408" s="9">
        <f t="shared" si="145"/>
        <v>40</v>
      </c>
      <c r="F408" s="9">
        <f t="shared" si="146"/>
        <v>0.66666666666666663</v>
      </c>
      <c r="G408">
        <v>0</v>
      </c>
      <c r="H408">
        <v>20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40</v>
      </c>
      <c r="P408">
        <v>0</v>
      </c>
      <c r="Q408">
        <v>40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45</v>
      </c>
      <c r="AK408" t="s">
        <v>1</v>
      </c>
      <c r="AL408" t="s">
        <v>374</v>
      </c>
      <c r="AQ408" s="1">
        <f t="shared" si="162"/>
        <v>100</v>
      </c>
      <c r="AR408" s="1">
        <f t="shared" si="147"/>
        <v>0.4</v>
      </c>
      <c r="AS408" s="1">
        <f t="shared" si="148"/>
        <v>0</v>
      </c>
      <c r="AT408" s="1">
        <f t="shared" si="149"/>
        <v>0.2</v>
      </c>
      <c r="AU408" s="1">
        <f t="shared" si="150"/>
        <v>0.4</v>
      </c>
      <c r="AV408" s="1">
        <f t="shared" si="163"/>
        <v>0.45</v>
      </c>
      <c r="AX408" s="1">
        <f t="shared" si="164"/>
        <v>2</v>
      </c>
      <c r="AY408" s="1">
        <f t="shared" si="151"/>
        <v>2</v>
      </c>
      <c r="AZ408" s="1">
        <f t="shared" si="152"/>
        <v>0.625</v>
      </c>
      <c r="BA408" s="1">
        <f t="shared" si="153"/>
        <v>1</v>
      </c>
      <c r="BB408" s="1">
        <f t="shared" si="154"/>
        <v>0.41666666666666663</v>
      </c>
      <c r="BC408" s="1">
        <f t="shared" si="155"/>
        <v>0.41666666666666663</v>
      </c>
      <c r="BD408" s="1">
        <f t="shared" si="165"/>
        <v>3.3333333333333381E-2</v>
      </c>
      <c r="BF408">
        <f t="shared" si="156"/>
        <v>20</v>
      </c>
      <c r="BG408">
        <f t="shared" si="157"/>
        <v>40</v>
      </c>
      <c r="BH408" s="1">
        <f t="shared" si="158"/>
        <v>2</v>
      </c>
      <c r="BI408" s="1">
        <f t="shared" si="159"/>
        <v>2</v>
      </c>
      <c r="BJ408" s="1">
        <f t="shared" si="166"/>
        <v>0.55000000000000004</v>
      </c>
      <c r="BK408" s="1">
        <f t="shared" si="167"/>
        <v>0.43741312618371181</v>
      </c>
      <c r="BL408" s="22">
        <f t="shared" si="168"/>
        <v>0.43741312618371181</v>
      </c>
      <c r="BM408" s="1">
        <f t="shared" si="160"/>
        <v>1.5842939246716152E-4</v>
      </c>
      <c r="BN408" s="1">
        <f t="shared" si="161"/>
        <v>1.7942912413440124E-3</v>
      </c>
    </row>
    <row r="409" spans="1:66" x14ac:dyDescent="0.25">
      <c r="A409" s="3"/>
      <c r="B409" s="3"/>
      <c r="C409" t="s">
        <v>560</v>
      </c>
      <c r="D409" s="5">
        <v>1</v>
      </c>
      <c r="E409" s="9">
        <f t="shared" si="145"/>
        <v>45.454545454545453</v>
      </c>
      <c r="F409" s="9">
        <f t="shared" si="146"/>
        <v>0.66666666666666674</v>
      </c>
      <c r="G409">
        <v>0</v>
      </c>
      <c r="H409">
        <v>18.18181818181818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45.454545454545453</v>
      </c>
      <c r="P409">
        <v>0</v>
      </c>
      <c r="Q409">
        <v>36.363636363636367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33</v>
      </c>
      <c r="AK409" t="s">
        <v>1</v>
      </c>
      <c r="AL409" t="s">
        <v>374</v>
      </c>
      <c r="AQ409" s="1">
        <f t="shared" si="162"/>
        <v>100</v>
      </c>
      <c r="AR409" s="1">
        <f t="shared" si="147"/>
        <v>0.45454545454545453</v>
      </c>
      <c r="AS409" s="1">
        <f t="shared" si="148"/>
        <v>0</v>
      </c>
      <c r="AT409" s="1">
        <f t="shared" si="149"/>
        <v>0.1818181818181818</v>
      </c>
      <c r="AU409" s="1">
        <f t="shared" si="150"/>
        <v>0.36363636363636365</v>
      </c>
      <c r="AV409" s="1">
        <f t="shared" si="163"/>
        <v>0.33</v>
      </c>
      <c r="AX409" s="1">
        <f t="shared" si="164"/>
        <v>2.0000000000000004</v>
      </c>
      <c r="AY409" s="1">
        <f t="shared" si="151"/>
        <v>2.5000000000000004</v>
      </c>
      <c r="AZ409" s="1">
        <f t="shared" si="152"/>
        <v>0.625</v>
      </c>
      <c r="BA409" s="1">
        <f t="shared" si="153"/>
        <v>1</v>
      </c>
      <c r="BB409" s="1">
        <f t="shared" si="154"/>
        <v>0.31249999999999994</v>
      </c>
      <c r="BC409" s="1">
        <f t="shared" si="155"/>
        <v>0.31249999999999994</v>
      </c>
      <c r="BD409" s="1">
        <f t="shared" si="165"/>
        <v>1.7500000000000071E-2</v>
      </c>
      <c r="BF409">
        <f t="shared" si="156"/>
        <v>18.18181818181818</v>
      </c>
      <c r="BG409">
        <f t="shared" si="157"/>
        <v>45.454545454545453</v>
      </c>
      <c r="BH409" s="1">
        <f t="shared" si="158"/>
        <v>2.0000000000000004</v>
      </c>
      <c r="BI409" s="1">
        <f t="shared" si="159"/>
        <v>2.5</v>
      </c>
      <c r="BJ409" s="1">
        <f t="shared" si="166"/>
        <v>0.55000000000000004</v>
      </c>
      <c r="BK409" s="1">
        <f t="shared" si="167"/>
        <v>0.32988685975501875</v>
      </c>
      <c r="BL409" s="22">
        <f t="shared" si="168"/>
        <v>0.32988685975501875</v>
      </c>
      <c r="BM409" s="1">
        <f t="shared" si="160"/>
        <v>1.2800715034421581E-8</v>
      </c>
      <c r="BN409" s="1">
        <f t="shared" si="161"/>
        <v>6.0281132229629093E-3</v>
      </c>
    </row>
    <row r="410" spans="1:66" x14ac:dyDescent="0.25">
      <c r="A410" s="3"/>
      <c r="B410" s="3"/>
      <c r="C410" t="s">
        <v>561</v>
      </c>
      <c r="D410" s="5">
        <v>1</v>
      </c>
      <c r="E410" s="9">
        <f t="shared" si="145"/>
        <v>20.82</v>
      </c>
      <c r="F410" s="9">
        <f t="shared" si="146"/>
        <v>0.76547107855519059</v>
      </c>
      <c r="G410">
        <v>0</v>
      </c>
      <c r="H410">
        <v>18.57</v>
      </c>
      <c r="I410">
        <v>0</v>
      </c>
      <c r="J410">
        <v>0</v>
      </c>
      <c r="K410">
        <v>0</v>
      </c>
      <c r="L410">
        <v>0</v>
      </c>
      <c r="M410">
        <v>10.29</v>
      </c>
      <c r="N410">
        <v>0</v>
      </c>
      <c r="O410">
        <v>10.53</v>
      </c>
      <c r="P410">
        <v>0</v>
      </c>
      <c r="Q410">
        <v>60.61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69</v>
      </c>
      <c r="AK410" t="s">
        <v>1</v>
      </c>
      <c r="AL410" t="s">
        <v>374</v>
      </c>
      <c r="AM410" t="s">
        <v>392</v>
      </c>
      <c r="AO410" t="s">
        <v>378</v>
      </c>
      <c r="AQ410" s="1">
        <f t="shared" si="162"/>
        <v>100</v>
      </c>
      <c r="AR410" s="1">
        <f t="shared" si="147"/>
        <v>0.2082</v>
      </c>
      <c r="AS410" s="1">
        <f t="shared" si="148"/>
        <v>0</v>
      </c>
      <c r="AT410" s="1">
        <f t="shared" si="149"/>
        <v>0.1857</v>
      </c>
      <c r="AU410" s="1">
        <f t="shared" si="150"/>
        <v>0.60609999999999997</v>
      </c>
      <c r="AV410" s="1">
        <f t="shared" si="163"/>
        <v>0.69</v>
      </c>
      <c r="AX410" s="1">
        <f t="shared" si="164"/>
        <v>3.2638664512654816</v>
      </c>
      <c r="AY410" s="1">
        <f t="shared" si="151"/>
        <v>1.1211631663974151</v>
      </c>
      <c r="AZ410" s="1">
        <f t="shared" si="152"/>
        <v>0.70399165320409263</v>
      </c>
      <c r="BA410" s="1">
        <f t="shared" si="153"/>
        <v>1.3159666128163705</v>
      </c>
      <c r="BB410" s="1">
        <f t="shared" si="154"/>
        <v>0.70399165320409263</v>
      </c>
      <c r="BC410" s="1">
        <f t="shared" si="155"/>
        <v>0.70399165320409263</v>
      </c>
      <c r="BD410" s="1">
        <f t="shared" si="165"/>
        <v>1.399165320409268E-2</v>
      </c>
      <c r="BF410">
        <f t="shared" si="156"/>
        <v>18.57</v>
      </c>
      <c r="BG410">
        <f t="shared" si="157"/>
        <v>20.82</v>
      </c>
      <c r="BH410" s="1">
        <f t="shared" si="158"/>
        <v>3.263866451265482</v>
      </c>
      <c r="BI410" s="1">
        <f t="shared" si="159"/>
        <v>1.1211631663974151</v>
      </c>
      <c r="BJ410" s="1">
        <f t="shared" si="166"/>
        <v>0.62583198707592891</v>
      </c>
      <c r="BK410" s="1">
        <f t="shared" si="167"/>
        <v>0.66249878658266281</v>
      </c>
      <c r="BL410" s="22">
        <f t="shared" si="168"/>
        <v>0.66249878658266281</v>
      </c>
      <c r="BM410" s="1">
        <f t="shared" si="160"/>
        <v>7.5631673942592396E-4</v>
      </c>
      <c r="BN410" s="1">
        <f t="shared" si="161"/>
        <v>7.9726647278106175E-2</v>
      </c>
    </row>
    <row r="411" spans="1:66" x14ac:dyDescent="0.25">
      <c r="A411" s="3"/>
      <c r="B411" s="3"/>
      <c r="C411" t="s">
        <v>562</v>
      </c>
      <c r="D411" s="5">
        <v>1</v>
      </c>
      <c r="E411" s="9">
        <f t="shared" si="145"/>
        <v>22.736000000000004</v>
      </c>
      <c r="F411" s="9">
        <f t="shared" si="146"/>
        <v>0.76546645268171465</v>
      </c>
      <c r="G411">
        <v>0</v>
      </c>
      <c r="H411">
        <v>18.120999999999999</v>
      </c>
      <c r="I411">
        <v>0</v>
      </c>
      <c r="J411">
        <v>0</v>
      </c>
      <c r="K411">
        <v>0</v>
      </c>
      <c r="L411">
        <v>0</v>
      </c>
      <c r="M411">
        <v>10.041</v>
      </c>
      <c r="N411">
        <v>0</v>
      </c>
      <c r="O411">
        <v>10.275</v>
      </c>
      <c r="P411">
        <v>0</v>
      </c>
      <c r="Q411">
        <v>59.143000000000001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2.42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70</v>
      </c>
      <c r="AK411" t="s">
        <v>1</v>
      </c>
      <c r="AL411" t="s">
        <v>374</v>
      </c>
      <c r="AQ411" s="1">
        <f t="shared" si="162"/>
        <v>100</v>
      </c>
      <c r="AR411" s="1">
        <f t="shared" si="147"/>
        <v>0.22736000000000003</v>
      </c>
      <c r="AS411" s="1">
        <f t="shared" si="148"/>
        <v>0</v>
      </c>
      <c r="AT411" s="1">
        <f t="shared" si="149"/>
        <v>0.18120999999999998</v>
      </c>
      <c r="AU411" s="1">
        <f t="shared" si="150"/>
        <v>0.59143000000000001</v>
      </c>
      <c r="AV411" s="1">
        <f t="shared" si="163"/>
        <v>0.7</v>
      </c>
      <c r="AX411" s="1">
        <f t="shared" si="164"/>
        <v>3.2637823519673312</v>
      </c>
      <c r="AY411" s="1">
        <f t="shared" si="151"/>
        <v>1.2546768942111366</v>
      </c>
      <c r="AZ411" s="1">
        <f t="shared" si="152"/>
        <v>0.70398639699795817</v>
      </c>
      <c r="BA411" s="1">
        <f t="shared" si="153"/>
        <v>1.3159455879918327</v>
      </c>
      <c r="BB411" s="1">
        <f t="shared" si="154"/>
        <v>0.70398639699795817</v>
      </c>
      <c r="BC411" s="1">
        <f t="shared" si="155"/>
        <v>0.70398639699795817</v>
      </c>
      <c r="BD411" s="1">
        <f t="shared" si="165"/>
        <v>3.9863969979582192E-3</v>
      </c>
      <c r="BF411">
        <f t="shared" si="156"/>
        <v>18.120999999999999</v>
      </c>
      <c r="BG411">
        <f t="shared" si="157"/>
        <v>22.736000000000004</v>
      </c>
      <c r="BH411" s="1">
        <f t="shared" si="158"/>
        <v>3.2637823519673308</v>
      </c>
      <c r="BI411" s="1">
        <f t="shared" si="159"/>
        <v>1.2546768942111366</v>
      </c>
      <c r="BJ411" s="1">
        <f t="shared" si="166"/>
        <v>0.62582694111803983</v>
      </c>
      <c r="BK411" s="1">
        <f t="shared" si="167"/>
        <v>0.66772212248092755</v>
      </c>
      <c r="BL411" s="22">
        <f t="shared" si="168"/>
        <v>0.66772212248092755</v>
      </c>
      <c r="BM411" s="1">
        <f t="shared" si="160"/>
        <v>1.0418613771362398E-3</v>
      </c>
      <c r="BN411" s="1">
        <f t="shared" si="161"/>
        <v>8.5473828779637939E-2</v>
      </c>
    </row>
    <row r="412" spans="1:66" x14ac:dyDescent="0.25">
      <c r="A412" s="3"/>
      <c r="B412" s="3"/>
      <c r="C412" t="s">
        <v>563</v>
      </c>
      <c r="D412" s="5">
        <v>1</v>
      </c>
      <c r="E412" s="9">
        <f t="shared" si="145"/>
        <v>23.687000000000001</v>
      </c>
      <c r="F412" s="9">
        <f t="shared" si="146"/>
        <v>0.76546898341064551</v>
      </c>
      <c r="G412">
        <v>0</v>
      </c>
      <c r="H412">
        <v>17.898</v>
      </c>
      <c r="I412">
        <v>0</v>
      </c>
      <c r="J412">
        <v>0</v>
      </c>
      <c r="K412">
        <v>0</v>
      </c>
      <c r="L412">
        <v>0</v>
      </c>
      <c r="M412">
        <v>9.9179999999999993</v>
      </c>
      <c r="N412">
        <v>0</v>
      </c>
      <c r="O412">
        <v>10.148999999999999</v>
      </c>
      <c r="P412">
        <v>0</v>
      </c>
      <c r="Q412">
        <v>58.415999999999997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3.62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69</v>
      </c>
      <c r="AK412" t="s">
        <v>1</v>
      </c>
      <c r="AL412" t="s">
        <v>374</v>
      </c>
      <c r="AQ412" s="1">
        <f t="shared" si="162"/>
        <v>100.001</v>
      </c>
      <c r="AR412" s="1">
        <f t="shared" si="147"/>
        <v>0.23687000000000002</v>
      </c>
      <c r="AS412" s="1">
        <f t="shared" si="148"/>
        <v>0</v>
      </c>
      <c r="AT412" s="1">
        <f t="shared" si="149"/>
        <v>0.17898</v>
      </c>
      <c r="AU412" s="1">
        <f t="shared" si="150"/>
        <v>0.58416000000000001</v>
      </c>
      <c r="AV412" s="1">
        <f t="shared" si="163"/>
        <v>0.69</v>
      </c>
      <c r="AX412" s="1">
        <f t="shared" si="164"/>
        <v>3.2638283607106939</v>
      </c>
      <c r="AY412" s="1">
        <f t="shared" si="151"/>
        <v>1.3234439602190191</v>
      </c>
      <c r="AZ412" s="1">
        <f t="shared" si="152"/>
        <v>0.70398927254441834</v>
      </c>
      <c r="BA412" s="1">
        <f t="shared" si="153"/>
        <v>1.3159570901776734</v>
      </c>
      <c r="BB412" s="1">
        <f t="shared" si="154"/>
        <v>0.70265420464760464</v>
      </c>
      <c r="BC412" s="1">
        <f t="shared" si="155"/>
        <v>0.70265420464760464</v>
      </c>
      <c r="BD412" s="1">
        <f t="shared" si="165"/>
        <v>1.2654204647604694E-2</v>
      </c>
      <c r="BF412">
        <f t="shared" si="156"/>
        <v>17.898</v>
      </c>
      <c r="BG412">
        <f t="shared" si="157"/>
        <v>23.687000000000001</v>
      </c>
      <c r="BH412" s="1">
        <f t="shared" si="158"/>
        <v>3.2638283607106939</v>
      </c>
      <c r="BI412" s="1">
        <f t="shared" si="159"/>
        <v>1.3234439602190189</v>
      </c>
      <c r="BJ412" s="1">
        <f t="shared" si="166"/>
        <v>0.62582970164264162</v>
      </c>
      <c r="BK412" s="1">
        <f t="shared" si="167"/>
        <v>0.66796597954961223</v>
      </c>
      <c r="BL412" s="22">
        <f t="shared" si="168"/>
        <v>0.66796597954961223</v>
      </c>
      <c r="BM412" s="1">
        <f t="shared" si="160"/>
        <v>4.8549805720810404E-4</v>
      </c>
      <c r="BN412" s="1">
        <f t="shared" si="161"/>
        <v>7.9726647278106175E-2</v>
      </c>
    </row>
    <row r="413" spans="1:66" x14ac:dyDescent="0.25">
      <c r="A413" s="3"/>
      <c r="B413" s="3"/>
      <c r="C413" t="s">
        <v>564</v>
      </c>
      <c r="D413" s="5">
        <v>1</v>
      </c>
      <c r="E413" s="9">
        <f t="shared" si="145"/>
        <v>24.643999999999998</v>
      </c>
      <c r="F413" s="9">
        <f t="shared" si="146"/>
        <v>0.76547322044694521</v>
      </c>
      <c r="G413">
        <v>0</v>
      </c>
      <c r="H413">
        <v>17.672999999999998</v>
      </c>
      <c r="I413">
        <v>0</v>
      </c>
      <c r="J413">
        <v>0</v>
      </c>
      <c r="K413">
        <v>0</v>
      </c>
      <c r="L413">
        <v>0</v>
      </c>
      <c r="M413">
        <v>9.7929999999999993</v>
      </c>
      <c r="N413">
        <v>0</v>
      </c>
      <c r="O413">
        <v>10.021000000000001</v>
      </c>
      <c r="P413">
        <v>0</v>
      </c>
      <c r="Q413">
        <v>57.683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4.83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70</v>
      </c>
      <c r="AK413" t="s">
        <v>1</v>
      </c>
      <c r="AL413" t="s">
        <v>374</v>
      </c>
      <c r="AQ413" s="1">
        <f t="shared" si="162"/>
        <v>99.999999999999986</v>
      </c>
      <c r="AR413" s="1">
        <f t="shared" si="147"/>
        <v>0.24643999999999999</v>
      </c>
      <c r="AS413" s="1">
        <f t="shared" si="148"/>
        <v>0</v>
      </c>
      <c r="AT413" s="1">
        <f t="shared" si="149"/>
        <v>0.17672999999999997</v>
      </c>
      <c r="AU413" s="1">
        <f t="shared" si="150"/>
        <v>0.57682999999999995</v>
      </c>
      <c r="AV413" s="1">
        <f t="shared" si="163"/>
        <v>0.7</v>
      </c>
      <c r="AX413" s="1">
        <f t="shared" si="164"/>
        <v>3.263905392406496</v>
      </c>
      <c r="AY413" s="1">
        <f t="shared" si="151"/>
        <v>1.3944435013862957</v>
      </c>
      <c r="AZ413" s="1">
        <f t="shared" si="152"/>
        <v>0.703994087025406</v>
      </c>
      <c r="BA413" s="1">
        <f t="shared" si="153"/>
        <v>1.315976348101624</v>
      </c>
      <c r="BB413" s="1">
        <f t="shared" si="154"/>
        <v>0.69000183657758885</v>
      </c>
      <c r="BC413" s="1">
        <f t="shared" si="155"/>
        <v>0.69000183657758885</v>
      </c>
      <c r="BD413" s="1">
        <f t="shared" si="165"/>
        <v>9.9981634224111104E-3</v>
      </c>
      <c r="BF413">
        <f t="shared" si="156"/>
        <v>17.672999999999998</v>
      </c>
      <c r="BG413">
        <f t="shared" si="157"/>
        <v>24.643999999999998</v>
      </c>
      <c r="BH413" s="1">
        <f t="shared" si="158"/>
        <v>3.263905392406496</v>
      </c>
      <c r="BI413" s="1">
        <f t="shared" si="159"/>
        <v>1.3944435013862955</v>
      </c>
      <c r="BJ413" s="1">
        <f t="shared" si="166"/>
        <v>0.62583432354438973</v>
      </c>
      <c r="BK413" s="1">
        <f t="shared" si="167"/>
        <v>0.66662598153096397</v>
      </c>
      <c r="BL413" s="22">
        <f t="shared" si="168"/>
        <v>0.66662598153096397</v>
      </c>
      <c r="BM413" s="1">
        <f t="shared" si="160"/>
        <v>1.1138251087715548E-3</v>
      </c>
      <c r="BN413" s="1">
        <f t="shared" si="161"/>
        <v>8.5473828779637939E-2</v>
      </c>
    </row>
    <row r="414" spans="1:66" x14ac:dyDescent="0.25">
      <c r="A414" s="3"/>
      <c r="B414" s="3"/>
      <c r="C414" t="s">
        <v>565</v>
      </c>
      <c r="D414" s="5">
        <v>1</v>
      </c>
      <c r="E414" s="9">
        <f t="shared" si="145"/>
        <v>26.561</v>
      </c>
      <c r="F414" s="9">
        <f t="shared" si="146"/>
        <v>0.76546840958605666</v>
      </c>
      <c r="G414">
        <v>0</v>
      </c>
      <c r="H414">
        <v>17.224</v>
      </c>
      <c r="I414">
        <v>0</v>
      </c>
      <c r="J414">
        <v>0</v>
      </c>
      <c r="K414">
        <v>0</v>
      </c>
      <c r="L414">
        <v>0</v>
      </c>
      <c r="M414">
        <v>9.5440000000000005</v>
      </c>
      <c r="N414">
        <v>0</v>
      </c>
      <c r="O414">
        <v>9.7669999999999995</v>
      </c>
      <c r="P414">
        <v>0</v>
      </c>
      <c r="Q414">
        <v>56.216000000000001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7.25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72</v>
      </c>
      <c r="AK414" t="s">
        <v>1</v>
      </c>
      <c r="AL414" t="s">
        <v>374</v>
      </c>
      <c r="AQ414" s="1">
        <f t="shared" si="162"/>
        <v>100.001</v>
      </c>
      <c r="AR414" s="1">
        <f t="shared" si="147"/>
        <v>0.26561000000000001</v>
      </c>
      <c r="AS414" s="1">
        <f t="shared" si="148"/>
        <v>0</v>
      </c>
      <c r="AT414" s="1">
        <f t="shared" si="149"/>
        <v>0.17224</v>
      </c>
      <c r="AU414" s="1">
        <f t="shared" si="150"/>
        <v>0.56215999999999999</v>
      </c>
      <c r="AV414" s="1">
        <f t="shared" si="163"/>
        <v>0.72</v>
      </c>
      <c r="AX414" s="1">
        <f t="shared" si="164"/>
        <v>3.2638179284718998</v>
      </c>
      <c r="AY414" s="1">
        <f t="shared" si="151"/>
        <v>1.542092429168602</v>
      </c>
      <c r="AZ414" s="1">
        <f t="shared" si="152"/>
        <v>0.70398862052949374</v>
      </c>
      <c r="BA414" s="1">
        <f t="shared" si="153"/>
        <v>1.3159544821179749</v>
      </c>
      <c r="BB414" s="1">
        <f t="shared" si="154"/>
        <v>0.6636633804200438</v>
      </c>
      <c r="BC414" s="1">
        <f t="shared" si="155"/>
        <v>0.6636633804200438</v>
      </c>
      <c r="BD414" s="1">
        <f t="shared" si="165"/>
        <v>5.6336619579956171E-2</v>
      </c>
      <c r="BF414">
        <f t="shared" si="156"/>
        <v>17.224</v>
      </c>
      <c r="BG414">
        <f t="shared" si="157"/>
        <v>26.561</v>
      </c>
      <c r="BH414" s="1">
        <f t="shared" si="158"/>
        <v>3.2638179284718998</v>
      </c>
      <c r="BI414" s="1">
        <f t="shared" si="159"/>
        <v>1.542092429168602</v>
      </c>
      <c r="BJ414" s="1">
        <f t="shared" si="166"/>
        <v>0.62582907570831403</v>
      </c>
      <c r="BK414" s="1">
        <f t="shared" si="167"/>
        <v>0.65912900301747768</v>
      </c>
      <c r="BL414" s="22">
        <f t="shared" si="168"/>
        <v>0.65912900301747768</v>
      </c>
      <c r="BM414" s="1">
        <f t="shared" si="160"/>
        <v>3.7052782736462387E-3</v>
      </c>
      <c r="BN414" s="1">
        <f t="shared" si="161"/>
        <v>9.7568191782701472E-2</v>
      </c>
    </row>
    <row r="415" spans="1:66" x14ac:dyDescent="0.25">
      <c r="A415" s="3"/>
      <c r="B415" s="3"/>
      <c r="C415" t="s">
        <v>566</v>
      </c>
      <c r="D415" s="5">
        <v>1</v>
      </c>
      <c r="E415" s="9">
        <f t="shared" si="145"/>
        <v>28.468999999999998</v>
      </c>
      <c r="F415" s="9">
        <f t="shared" si="146"/>
        <v>0.76547231270358307</v>
      </c>
      <c r="G415">
        <v>0</v>
      </c>
      <c r="H415">
        <v>16.776</v>
      </c>
      <c r="I415">
        <v>0</v>
      </c>
      <c r="J415">
        <v>0</v>
      </c>
      <c r="K415">
        <v>0</v>
      </c>
      <c r="L415">
        <v>0</v>
      </c>
      <c r="M415">
        <v>9.2959999999999994</v>
      </c>
      <c r="N415">
        <v>0</v>
      </c>
      <c r="O415">
        <v>9.5129999999999999</v>
      </c>
      <c r="P415">
        <v>0</v>
      </c>
      <c r="Q415">
        <v>54.755000000000003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9.66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75</v>
      </c>
      <c r="AK415" t="s">
        <v>1</v>
      </c>
      <c r="AL415" t="s">
        <v>374</v>
      </c>
      <c r="AQ415" s="1">
        <f t="shared" si="162"/>
        <v>100</v>
      </c>
      <c r="AR415" s="1">
        <f t="shared" si="147"/>
        <v>0.28469</v>
      </c>
      <c r="AS415" s="1">
        <f t="shared" si="148"/>
        <v>0</v>
      </c>
      <c r="AT415" s="1">
        <f t="shared" si="149"/>
        <v>0.16775999999999999</v>
      </c>
      <c r="AU415" s="1">
        <f t="shared" si="150"/>
        <v>0.54754999999999998</v>
      </c>
      <c r="AV415" s="1">
        <f t="shared" si="163"/>
        <v>0.75</v>
      </c>
      <c r="AX415" s="1">
        <f t="shared" si="164"/>
        <v>3.2638888888888888</v>
      </c>
      <c r="AY415" s="1">
        <f t="shared" si="151"/>
        <v>1.6970076299475443</v>
      </c>
      <c r="AZ415" s="1">
        <f t="shared" si="152"/>
        <v>0.70399305555555558</v>
      </c>
      <c r="BA415" s="1">
        <f t="shared" si="153"/>
        <v>1.3159722222222223</v>
      </c>
      <c r="BB415" s="1">
        <f t="shared" si="154"/>
        <v>0.63604676803021787</v>
      </c>
      <c r="BC415" s="1">
        <f t="shared" si="155"/>
        <v>0.63604676803021787</v>
      </c>
      <c r="BD415" s="1">
        <f t="shared" si="165"/>
        <v>0.11395323196978213</v>
      </c>
      <c r="BF415">
        <f t="shared" si="156"/>
        <v>16.776</v>
      </c>
      <c r="BG415">
        <f t="shared" si="157"/>
        <v>28.468999999999998</v>
      </c>
      <c r="BH415" s="1">
        <f t="shared" si="158"/>
        <v>3.2638888888888893</v>
      </c>
      <c r="BI415" s="1">
        <f t="shared" si="159"/>
        <v>1.6970076299475441</v>
      </c>
      <c r="BJ415" s="1">
        <f t="shared" si="166"/>
        <v>0.62583333333333335</v>
      </c>
      <c r="BK415" s="1">
        <f t="shared" si="167"/>
        <v>0.64535391489883587</v>
      </c>
      <c r="BL415" s="22">
        <f t="shared" si="168"/>
        <v>0.64535391489883587</v>
      </c>
      <c r="BM415" s="1">
        <f t="shared" si="160"/>
        <v>1.0950803127000086E-2</v>
      </c>
      <c r="BN415" s="1">
        <f t="shared" si="161"/>
        <v>0.11720973628729676</v>
      </c>
    </row>
    <row r="416" spans="1:66" x14ac:dyDescent="0.25">
      <c r="A416" s="3"/>
      <c r="B416" s="3"/>
      <c r="C416" t="s">
        <v>191</v>
      </c>
      <c r="D416" s="5">
        <v>1</v>
      </c>
      <c r="E416" s="9">
        <f t="shared" si="145"/>
        <v>22.47</v>
      </c>
      <c r="F416" s="9">
        <f t="shared" si="146"/>
        <v>0.79517606087965942</v>
      </c>
      <c r="G416">
        <v>0</v>
      </c>
      <c r="H416">
        <v>15.88</v>
      </c>
      <c r="I416">
        <v>0</v>
      </c>
      <c r="J416">
        <v>0</v>
      </c>
      <c r="K416">
        <v>0</v>
      </c>
      <c r="L416">
        <v>0</v>
      </c>
      <c r="M416">
        <v>12.1</v>
      </c>
      <c r="N416">
        <v>0</v>
      </c>
      <c r="O416">
        <v>10.37</v>
      </c>
      <c r="P416">
        <v>0</v>
      </c>
      <c r="Q416">
        <v>61.65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77.099999999999994</v>
      </c>
      <c r="AK416" t="s">
        <v>1</v>
      </c>
      <c r="AL416" t="s">
        <v>374</v>
      </c>
      <c r="AM416" t="s">
        <v>391</v>
      </c>
      <c r="AO416" t="s">
        <v>378</v>
      </c>
      <c r="AQ416" s="1">
        <f t="shared" si="162"/>
        <v>100</v>
      </c>
      <c r="AR416" s="1">
        <f t="shared" si="147"/>
        <v>0.22469999999999998</v>
      </c>
      <c r="AS416" s="1">
        <f t="shared" si="148"/>
        <v>0</v>
      </c>
      <c r="AT416" s="1">
        <f t="shared" si="149"/>
        <v>0.1588</v>
      </c>
      <c r="AU416" s="1">
        <f t="shared" si="150"/>
        <v>0.61649999999999994</v>
      </c>
      <c r="AV416" s="1">
        <f t="shared" si="163"/>
        <v>0.77099999999999991</v>
      </c>
      <c r="AX416" s="1">
        <f t="shared" si="164"/>
        <v>3.8822418136020147</v>
      </c>
      <c r="AY416" s="1">
        <f t="shared" si="151"/>
        <v>1.4149874055415617</v>
      </c>
      <c r="AZ416" s="1">
        <f t="shared" si="152"/>
        <v>0.74264011335012592</v>
      </c>
      <c r="BA416" s="1">
        <f t="shared" si="153"/>
        <v>1.4705604534005037</v>
      </c>
      <c r="BB416" s="1">
        <f t="shared" si="154"/>
        <v>0.74264011335012592</v>
      </c>
      <c r="BC416" s="1">
        <f t="shared" si="155"/>
        <v>0.74264011335012592</v>
      </c>
      <c r="BD416" s="1">
        <f t="shared" si="165"/>
        <v>2.8359886649873989E-2</v>
      </c>
      <c r="BF416">
        <f t="shared" si="156"/>
        <v>15.88</v>
      </c>
      <c r="BG416">
        <f t="shared" si="157"/>
        <v>22.47</v>
      </c>
      <c r="BH416" s="1">
        <f t="shared" si="158"/>
        <v>3.8822418136020147</v>
      </c>
      <c r="BI416" s="1">
        <f t="shared" si="159"/>
        <v>1.4149874055415617</v>
      </c>
      <c r="BJ416" s="1">
        <f t="shared" si="166"/>
        <v>0.66293450881612093</v>
      </c>
      <c r="BK416" s="1">
        <f t="shared" si="167"/>
        <v>0.71763676558845824</v>
      </c>
      <c r="BL416" s="22">
        <f t="shared" si="168"/>
        <v>0.71763676558845824</v>
      </c>
      <c r="BM416" s="1">
        <f t="shared" si="160"/>
        <v>2.8476347868611452E-3</v>
      </c>
      <c r="BN416" s="1">
        <f t="shared" si="161"/>
        <v>0.1320298174405134</v>
      </c>
    </row>
    <row r="417" spans="1:66" x14ac:dyDescent="0.25">
      <c r="A417" s="3"/>
      <c r="B417" s="3"/>
      <c r="C417" t="s">
        <v>192</v>
      </c>
      <c r="D417" s="5">
        <v>1</v>
      </c>
      <c r="E417" s="9">
        <f t="shared" si="145"/>
        <v>22.810000000000002</v>
      </c>
      <c r="F417" s="9">
        <f t="shared" si="146"/>
        <v>0.79300899960871263</v>
      </c>
      <c r="G417">
        <v>0</v>
      </c>
      <c r="H417">
        <v>15.87</v>
      </c>
      <c r="I417">
        <v>0</v>
      </c>
      <c r="J417">
        <v>0</v>
      </c>
      <c r="K417">
        <v>0</v>
      </c>
      <c r="L417">
        <v>0</v>
      </c>
      <c r="M417">
        <v>12.8</v>
      </c>
      <c r="N417">
        <v>0</v>
      </c>
      <c r="O417">
        <v>10.01</v>
      </c>
      <c r="P417">
        <v>0</v>
      </c>
      <c r="Q417">
        <v>60.8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0.52</v>
      </c>
      <c r="AF417">
        <v>0</v>
      </c>
      <c r="AG417">
        <v>0</v>
      </c>
      <c r="AH417">
        <v>0</v>
      </c>
      <c r="AI417">
        <v>0</v>
      </c>
      <c r="AJ417">
        <v>74.400000000000006</v>
      </c>
      <c r="AK417" t="s">
        <v>1</v>
      </c>
      <c r="AL417" t="s">
        <v>374</v>
      </c>
      <c r="AQ417" s="1">
        <f t="shared" si="162"/>
        <v>99.999999999999986</v>
      </c>
      <c r="AR417" s="1">
        <f t="shared" si="147"/>
        <v>0.22810000000000002</v>
      </c>
      <c r="AS417" s="1">
        <f t="shared" si="148"/>
        <v>0</v>
      </c>
      <c r="AT417" s="1">
        <f t="shared" si="149"/>
        <v>0.15869999999999998</v>
      </c>
      <c r="AU417" s="1">
        <f t="shared" si="150"/>
        <v>0.60799999999999998</v>
      </c>
      <c r="AV417" s="1">
        <f t="shared" si="163"/>
        <v>0.74400000000000011</v>
      </c>
      <c r="AX417" s="1">
        <f t="shared" si="164"/>
        <v>3.831127914303718</v>
      </c>
      <c r="AY417" s="1">
        <f t="shared" si="151"/>
        <v>1.4373030875866417</v>
      </c>
      <c r="AZ417" s="1">
        <f t="shared" si="152"/>
        <v>0.73944549464398235</v>
      </c>
      <c r="BA417" s="1">
        <f t="shared" si="153"/>
        <v>1.4577819785759294</v>
      </c>
      <c r="BB417" s="1">
        <f t="shared" si="154"/>
        <v>0.73944549464398235</v>
      </c>
      <c r="BC417" s="1">
        <f t="shared" si="155"/>
        <v>0.73944549464398235</v>
      </c>
      <c r="BD417" s="1">
        <f t="shared" si="165"/>
        <v>4.5545053560177573E-3</v>
      </c>
      <c r="BF417">
        <f t="shared" si="156"/>
        <v>15.973999999999998</v>
      </c>
      <c r="BG417">
        <f t="shared" si="157"/>
        <v>22.810000000000002</v>
      </c>
      <c r="BH417" s="1">
        <f t="shared" si="158"/>
        <v>3.8061850507073998</v>
      </c>
      <c r="BI417" s="1">
        <f t="shared" si="159"/>
        <v>1.4279454112933521</v>
      </c>
      <c r="BJ417" s="1">
        <f t="shared" si="166"/>
        <v>0.65837110304244395</v>
      </c>
      <c r="BK417" s="1">
        <f t="shared" si="167"/>
        <v>0.71156840704804047</v>
      </c>
      <c r="BL417" s="22">
        <f t="shared" si="168"/>
        <v>0.71156840704804047</v>
      </c>
      <c r="BM417" s="1">
        <f t="shared" si="160"/>
        <v>1.0518082214015976E-3</v>
      </c>
      <c r="BN417" s="1">
        <f t="shared" si="161"/>
        <v>0.11313742738637778</v>
      </c>
    </row>
    <row r="418" spans="1:66" x14ac:dyDescent="0.25">
      <c r="A418" s="3"/>
      <c r="B418" s="3"/>
      <c r="C418" t="s">
        <v>193</v>
      </c>
      <c r="D418" s="5">
        <v>1</v>
      </c>
      <c r="E418" s="9">
        <f t="shared" si="145"/>
        <v>21.98</v>
      </c>
      <c r="F418" s="9">
        <f t="shared" si="146"/>
        <v>0.78296988577362414</v>
      </c>
      <c r="G418">
        <v>0</v>
      </c>
      <c r="H418">
        <v>16.72</v>
      </c>
      <c r="I418">
        <v>0</v>
      </c>
      <c r="J418">
        <v>0</v>
      </c>
      <c r="K418">
        <v>0</v>
      </c>
      <c r="L418">
        <v>0</v>
      </c>
      <c r="M418">
        <v>12.01</v>
      </c>
      <c r="N418">
        <v>0</v>
      </c>
      <c r="O418">
        <v>9.9700000000000006</v>
      </c>
      <c r="P418">
        <v>0</v>
      </c>
      <c r="Q418">
        <v>60.32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0.99</v>
      </c>
      <c r="AF418">
        <v>0</v>
      </c>
      <c r="AG418">
        <v>0</v>
      </c>
      <c r="AH418">
        <v>0</v>
      </c>
      <c r="AI418">
        <v>0</v>
      </c>
      <c r="AJ418">
        <v>72.7</v>
      </c>
      <c r="AK418" t="s">
        <v>1</v>
      </c>
      <c r="AL418" t="s">
        <v>374</v>
      </c>
      <c r="AQ418" s="1">
        <f t="shared" si="162"/>
        <v>100.00999999999999</v>
      </c>
      <c r="AR418" s="1">
        <f t="shared" si="147"/>
        <v>0.2198</v>
      </c>
      <c r="AS418" s="1">
        <f t="shared" si="148"/>
        <v>0</v>
      </c>
      <c r="AT418" s="1">
        <f t="shared" si="149"/>
        <v>0.16719999999999999</v>
      </c>
      <c r="AU418" s="1">
        <f t="shared" si="150"/>
        <v>0.60319999999999996</v>
      </c>
      <c r="AV418" s="1">
        <f t="shared" si="163"/>
        <v>0.72699999999999998</v>
      </c>
      <c r="AX418" s="1">
        <f t="shared" si="164"/>
        <v>3.6076555023923444</v>
      </c>
      <c r="AY418" s="1">
        <f t="shared" si="151"/>
        <v>1.3145933014354068</v>
      </c>
      <c r="AZ418" s="1">
        <f t="shared" si="152"/>
        <v>0.7254784688995215</v>
      </c>
      <c r="BA418" s="1">
        <f t="shared" si="153"/>
        <v>1.401913875598086</v>
      </c>
      <c r="BB418" s="1">
        <f t="shared" si="154"/>
        <v>0.7254784688995215</v>
      </c>
      <c r="BC418" s="1">
        <f t="shared" si="155"/>
        <v>0.7254784688995215</v>
      </c>
      <c r="BD418" s="1">
        <f t="shared" si="165"/>
        <v>1.5215311004784793E-3</v>
      </c>
      <c r="BF418">
        <f t="shared" si="156"/>
        <v>16.917999999999999</v>
      </c>
      <c r="BG418">
        <f t="shared" si="157"/>
        <v>21.98</v>
      </c>
      <c r="BH418" s="1">
        <f t="shared" si="158"/>
        <v>3.5654332663435397</v>
      </c>
      <c r="BI418" s="1">
        <f t="shared" si="159"/>
        <v>1.2992079442014424</v>
      </c>
      <c r="BJ418" s="1">
        <f t="shared" si="166"/>
        <v>0.6439259959806124</v>
      </c>
      <c r="BK418" s="1">
        <f t="shared" si="167"/>
        <v>0.69155268041824003</v>
      </c>
      <c r="BL418" s="22">
        <f t="shared" si="168"/>
        <v>0.69155268041824003</v>
      </c>
      <c r="BM418" s="1">
        <f t="shared" si="160"/>
        <v>1.2565124655314224E-3</v>
      </c>
      <c r="BN418" s="1">
        <f t="shared" si="161"/>
        <v>0.10199021883377371</v>
      </c>
    </row>
    <row r="419" spans="1:66" x14ac:dyDescent="0.25">
      <c r="A419" s="3"/>
      <c r="B419" s="3"/>
      <c r="C419" t="s">
        <v>194</v>
      </c>
      <c r="D419" s="5">
        <v>1</v>
      </c>
      <c r="E419" s="9">
        <f t="shared" si="145"/>
        <v>22.240000000000002</v>
      </c>
      <c r="F419" s="9">
        <f t="shared" si="146"/>
        <v>0.76909905163329817</v>
      </c>
      <c r="G419">
        <v>0</v>
      </c>
      <c r="H419">
        <v>17.53</v>
      </c>
      <c r="I419">
        <v>0</v>
      </c>
      <c r="J419">
        <v>0</v>
      </c>
      <c r="K419">
        <v>0</v>
      </c>
      <c r="L419">
        <v>0</v>
      </c>
      <c r="M419">
        <v>11.76</v>
      </c>
      <c r="N419">
        <v>0</v>
      </c>
      <c r="O419">
        <v>10.48</v>
      </c>
      <c r="P419">
        <v>0</v>
      </c>
      <c r="Q419">
        <v>58.39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1.84</v>
      </c>
      <c r="AF419">
        <v>0</v>
      </c>
      <c r="AG419">
        <v>0</v>
      </c>
      <c r="AH419">
        <v>0</v>
      </c>
      <c r="AI419">
        <v>0</v>
      </c>
      <c r="AJ419">
        <v>71.099999999999994</v>
      </c>
      <c r="AK419" t="s">
        <v>1</v>
      </c>
      <c r="AL419" t="s">
        <v>374</v>
      </c>
      <c r="AQ419" s="1">
        <f t="shared" si="162"/>
        <v>100</v>
      </c>
      <c r="AR419" s="1">
        <f t="shared" si="147"/>
        <v>0.22240000000000001</v>
      </c>
      <c r="AS419" s="1">
        <f t="shared" si="148"/>
        <v>0</v>
      </c>
      <c r="AT419" s="1">
        <f t="shared" si="149"/>
        <v>0.17530000000000001</v>
      </c>
      <c r="AU419" s="1">
        <f t="shared" si="150"/>
        <v>0.58389999999999997</v>
      </c>
      <c r="AV419" s="1">
        <f t="shared" si="163"/>
        <v>0.71099999999999997</v>
      </c>
      <c r="AX419" s="1">
        <f t="shared" si="164"/>
        <v>3.3308613804905871</v>
      </c>
      <c r="AY419" s="1">
        <f t="shared" si="151"/>
        <v>1.2686822589845979</v>
      </c>
      <c r="AZ419" s="1">
        <f t="shared" si="152"/>
        <v>0.70817883628066169</v>
      </c>
      <c r="BA419" s="1">
        <f t="shared" si="153"/>
        <v>1.3327153451226468</v>
      </c>
      <c r="BB419" s="1">
        <f t="shared" si="154"/>
        <v>0.70817883628066169</v>
      </c>
      <c r="BC419" s="1">
        <f t="shared" si="155"/>
        <v>0.70817883628066169</v>
      </c>
      <c r="BD419" s="1">
        <f t="shared" si="165"/>
        <v>2.821163719338271E-3</v>
      </c>
      <c r="BF419">
        <f t="shared" si="156"/>
        <v>17.898</v>
      </c>
      <c r="BG419">
        <f t="shared" si="157"/>
        <v>22.240000000000002</v>
      </c>
      <c r="BH419" s="1">
        <f t="shared" si="158"/>
        <v>3.2623756844340153</v>
      </c>
      <c r="BI419" s="1">
        <f t="shared" si="159"/>
        <v>1.2425969382053863</v>
      </c>
      <c r="BJ419" s="1">
        <f t="shared" si="166"/>
        <v>0.62574254106604088</v>
      </c>
      <c r="BK419" s="1">
        <f t="shared" si="167"/>
        <v>0.66740766215941139</v>
      </c>
      <c r="BL419" s="22">
        <f t="shared" si="168"/>
        <v>0.66740766215941139</v>
      </c>
      <c r="BM419" s="1">
        <f t="shared" si="160"/>
        <v>1.900291918408011E-3</v>
      </c>
      <c r="BN419" s="1">
        <f t="shared" si="161"/>
        <v>9.2026728431322882E-2</v>
      </c>
    </row>
    <row r="420" spans="1:66" x14ac:dyDescent="0.25">
      <c r="A420" s="3"/>
      <c r="B420" s="3"/>
      <c r="C420" t="s">
        <v>195</v>
      </c>
      <c r="D420" s="5">
        <v>1</v>
      </c>
      <c r="E420" s="9">
        <f t="shared" si="145"/>
        <v>21.5</v>
      </c>
      <c r="F420" s="9">
        <f t="shared" si="146"/>
        <v>0.7728013029315961</v>
      </c>
      <c r="G420">
        <v>0</v>
      </c>
      <c r="H420">
        <v>16.739999999999998</v>
      </c>
      <c r="I420">
        <v>0</v>
      </c>
      <c r="J420">
        <v>0</v>
      </c>
      <c r="K420">
        <v>0</v>
      </c>
      <c r="L420">
        <v>0</v>
      </c>
      <c r="M420">
        <v>12.3</v>
      </c>
      <c r="N420">
        <v>0</v>
      </c>
      <c r="O420">
        <v>9.1999999999999993</v>
      </c>
      <c r="P420">
        <v>0</v>
      </c>
      <c r="Q420">
        <v>56.94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4.83</v>
      </c>
      <c r="AF420">
        <v>0</v>
      </c>
      <c r="AG420">
        <v>0</v>
      </c>
      <c r="AH420">
        <v>0</v>
      </c>
      <c r="AI420">
        <v>0</v>
      </c>
      <c r="AJ420">
        <v>63.1</v>
      </c>
      <c r="AK420" t="s">
        <v>1</v>
      </c>
      <c r="AL420" t="s">
        <v>374</v>
      </c>
      <c r="AQ420" s="1">
        <f t="shared" si="162"/>
        <v>100.00999999999999</v>
      </c>
      <c r="AR420" s="1">
        <f t="shared" si="147"/>
        <v>0.215</v>
      </c>
      <c r="AS420" s="1">
        <f t="shared" si="148"/>
        <v>0</v>
      </c>
      <c r="AT420" s="1">
        <f t="shared" si="149"/>
        <v>0.16739999999999999</v>
      </c>
      <c r="AU420" s="1">
        <f t="shared" si="150"/>
        <v>0.56940000000000002</v>
      </c>
      <c r="AV420" s="1">
        <f t="shared" si="163"/>
        <v>0.63100000000000001</v>
      </c>
      <c r="AX420" s="1">
        <f t="shared" si="164"/>
        <v>3.4014336917562726</v>
      </c>
      <c r="AY420" s="1">
        <f t="shared" si="151"/>
        <v>1.2843488649940262</v>
      </c>
      <c r="AZ420" s="1">
        <f t="shared" si="152"/>
        <v>0.71258960573476704</v>
      </c>
      <c r="BA420" s="1">
        <f t="shared" si="153"/>
        <v>1.3503584229390682</v>
      </c>
      <c r="BB420" s="1">
        <f t="shared" si="154"/>
        <v>0.71258960573476704</v>
      </c>
      <c r="BC420" s="1">
        <f t="shared" si="155"/>
        <v>0.71258960573476704</v>
      </c>
      <c r="BD420" s="1">
        <f t="shared" si="165"/>
        <v>8.1589605734767034E-2</v>
      </c>
      <c r="BF420">
        <f t="shared" si="156"/>
        <v>17.706</v>
      </c>
      <c r="BG420">
        <f t="shared" si="157"/>
        <v>21.5</v>
      </c>
      <c r="BH420" s="1">
        <f t="shared" si="158"/>
        <v>3.2158590308370045</v>
      </c>
      <c r="BI420" s="1">
        <f t="shared" si="159"/>
        <v>1.2142776459957076</v>
      </c>
      <c r="BJ420" s="1">
        <f t="shared" si="166"/>
        <v>0.62295154185022028</v>
      </c>
      <c r="BK420" s="1">
        <f t="shared" si="167"/>
        <v>0.66326546412815246</v>
      </c>
      <c r="BL420" s="22">
        <f t="shared" si="168"/>
        <v>0.66326546412815246</v>
      </c>
      <c r="BM420" s="1">
        <f t="shared" si="160"/>
        <v>1.0410601754050929E-3</v>
      </c>
      <c r="BN420" s="1">
        <f t="shared" si="161"/>
        <v>4.9889276419068838E-2</v>
      </c>
    </row>
    <row r="421" spans="1:66" x14ac:dyDescent="0.25">
      <c r="A421" s="3"/>
      <c r="B421" s="3"/>
      <c r="C421" t="s">
        <v>567</v>
      </c>
      <c r="D421" s="5">
        <v>1</v>
      </c>
      <c r="E421" s="9">
        <f t="shared" si="145"/>
        <v>13.9</v>
      </c>
      <c r="F421" s="9">
        <f t="shared" si="146"/>
        <v>0.91440217391304357</v>
      </c>
      <c r="G421">
        <v>12.5</v>
      </c>
      <c r="H421">
        <v>6.3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13.9</v>
      </c>
      <c r="P421">
        <v>0</v>
      </c>
      <c r="Q421">
        <v>67.300000000000011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18.096309999999999</v>
      </c>
      <c r="AK421" t="s">
        <v>1</v>
      </c>
      <c r="AL421" t="s">
        <v>374</v>
      </c>
      <c r="AN421" t="s">
        <v>373</v>
      </c>
      <c r="AO421" t="s">
        <v>378</v>
      </c>
      <c r="AQ421" s="1">
        <f t="shared" si="162"/>
        <v>100.00000000000001</v>
      </c>
      <c r="AR421" s="1">
        <f t="shared" si="147"/>
        <v>0.13900000000000001</v>
      </c>
      <c r="AS421" s="1">
        <f t="shared" si="148"/>
        <v>0.125</v>
      </c>
      <c r="AT421" s="1">
        <f t="shared" si="149"/>
        <v>6.3E-2</v>
      </c>
      <c r="AU421" s="1">
        <f t="shared" si="150"/>
        <v>0.67300000000000015</v>
      </c>
      <c r="AV421" s="1">
        <f t="shared" si="163"/>
        <v>0.18096309999999999</v>
      </c>
      <c r="AX421" s="1">
        <f t="shared" si="164"/>
        <v>3.5797872340425538</v>
      </c>
      <c r="AY421" s="1">
        <f t="shared" si="151"/>
        <v>0.73936170212765961</v>
      </c>
      <c r="AZ421" s="1">
        <f t="shared" si="152"/>
        <v>0.72373670212765961</v>
      </c>
      <c r="BA421" s="1">
        <f t="shared" si="153"/>
        <v>1.3949468085106385</v>
      </c>
      <c r="BB421" s="1">
        <f t="shared" si="154"/>
        <v>0.72373670212765961</v>
      </c>
      <c r="BC421" s="1">
        <f t="shared" si="155"/>
        <v>0.72373670212765961</v>
      </c>
      <c r="BD421" s="1">
        <f t="shared" si="165"/>
        <v>0.54277360212765968</v>
      </c>
      <c r="BF421">
        <f t="shared" si="156"/>
        <v>56.3</v>
      </c>
      <c r="BG421">
        <f t="shared" si="157"/>
        <v>13.9</v>
      </c>
      <c r="BH421" s="1">
        <f t="shared" si="158"/>
        <v>1.1953818827708707</v>
      </c>
      <c r="BI421" s="1">
        <f t="shared" si="159"/>
        <v>0.24689165186500889</v>
      </c>
      <c r="BJ421" s="1">
        <f t="shared" si="166"/>
        <v>0.50172291296625227</v>
      </c>
      <c r="BK421" s="1">
        <f t="shared" si="167"/>
        <v>0.24689165186500889</v>
      </c>
      <c r="BL421" s="22">
        <f t="shared" si="168"/>
        <v>0.24689165186500889</v>
      </c>
      <c r="BM421" s="1">
        <f t="shared" si="160"/>
        <v>4.3465739510171681E-3</v>
      </c>
      <c r="BN421" s="1">
        <f t="shared" si="161"/>
        <v>5.1382836312009066E-2</v>
      </c>
    </row>
    <row r="422" spans="1:66" x14ac:dyDescent="0.25">
      <c r="A422" s="3"/>
      <c r="B422" s="3"/>
      <c r="C422" t="s">
        <v>568</v>
      </c>
      <c r="D422" s="5">
        <v>1</v>
      </c>
      <c r="E422" s="9">
        <f t="shared" ref="E422:E441" si="169">I422+L422+M422+N422+O422+V422+X422+AB422+AD422</f>
        <v>13.9</v>
      </c>
      <c r="F422" s="9">
        <f t="shared" ref="F422:F441" si="170">Q422/(H422+P422+Q422+AC422)</f>
        <v>0.87744458930899605</v>
      </c>
      <c r="G422">
        <v>9.4</v>
      </c>
      <c r="H422">
        <v>9.4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13.9</v>
      </c>
      <c r="P422">
        <v>0</v>
      </c>
      <c r="Q422">
        <v>67.300000000000011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38.70814</v>
      </c>
      <c r="AK422" t="s">
        <v>1</v>
      </c>
      <c r="AL422" t="s">
        <v>374</v>
      </c>
      <c r="AQ422" s="1">
        <f t="shared" si="162"/>
        <v>100.00000000000001</v>
      </c>
      <c r="AR422" s="1">
        <f t="shared" si="147"/>
        <v>0.13900000000000001</v>
      </c>
      <c r="AS422" s="1">
        <f t="shared" si="148"/>
        <v>9.4E-2</v>
      </c>
      <c r="AT422" s="1">
        <f t="shared" si="149"/>
        <v>9.4E-2</v>
      </c>
      <c r="AU422" s="1">
        <f t="shared" si="150"/>
        <v>0.67300000000000015</v>
      </c>
      <c r="AV422" s="1">
        <f t="shared" si="163"/>
        <v>0.38708140000000002</v>
      </c>
      <c r="AX422" s="1">
        <f t="shared" si="164"/>
        <v>3.5797872340425538</v>
      </c>
      <c r="AY422" s="1">
        <f t="shared" si="151"/>
        <v>0.73936170212765961</v>
      </c>
      <c r="AZ422" s="1">
        <f t="shared" si="152"/>
        <v>0.72373670212765961</v>
      </c>
      <c r="BA422" s="1">
        <f t="shared" si="153"/>
        <v>1.3949468085106385</v>
      </c>
      <c r="BB422" s="1">
        <f t="shared" si="154"/>
        <v>0.72373670212765961</v>
      </c>
      <c r="BC422" s="1">
        <f t="shared" si="155"/>
        <v>0.72373670212765961</v>
      </c>
      <c r="BD422" s="1">
        <f t="shared" si="165"/>
        <v>0.33665530212765959</v>
      </c>
      <c r="BF422">
        <f t="shared" si="156"/>
        <v>47</v>
      </c>
      <c r="BG422">
        <f t="shared" si="157"/>
        <v>13.9</v>
      </c>
      <c r="BH422" s="1">
        <f t="shared" si="158"/>
        <v>1.4319148936170216</v>
      </c>
      <c r="BI422" s="1">
        <f t="shared" si="159"/>
        <v>0.29574468085106381</v>
      </c>
      <c r="BJ422" s="1">
        <f t="shared" si="166"/>
        <v>0.51591489361702125</v>
      </c>
      <c r="BK422" s="1">
        <f t="shared" si="167"/>
        <v>0.29574468085106381</v>
      </c>
      <c r="BL422" s="22">
        <f t="shared" si="168"/>
        <v>0.29574468085106381</v>
      </c>
      <c r="BM422" s="1">
        <f t="shared" si="160"/>
        <v>8.3423962648916505E-3</v>
      </c>
      <c r="BN422" s="1">
        <f t="shared" si="161"/>
        <v>4.2269406507640188E-4</v>
      </c>
    </row>
    <row r="423" spans="1:66" x14ac:dyDescent="0.25">
      <c r="A423" s="3"/>
      <c r="B423" s="3"/>
      <c r="C423" t="s">
        <v>569</v>
      </c>
      <c r="D423" s="5">
        <v>1</v>
      </c>
      <c r="E423" s="9">
        <f t="shared" si="169"/>
        <v>13.9</v>
      </c>
      <c r="F423" s="9">
        <f t="shared" si="170"/>
        <v>0.84230287859824793</v>
      </c>
      <c r="G423">
        <v>6.2</v>
      </c>
      <c r="H423">
        <v>12.6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13.9</v>
      </c>
      <c r="P423">
        <v>0</v>
      </c>
      <c r="Q423">
        <v>67.300000000000011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48.08484</v>
      </c>
      <c r="AK423" t="s">
        <v>1</v>
      </c>
      <c r="AL423" t="s">
        <v>374</v>
      </c>
      <c r="AQ423" s="1">
        <f t="shared" si="162"/>
        <v>100.00000000000001</v>
      </c>
      <c r="AR423" s="1">
        <f t="shared" si="147"/>
        <v>0.13900000000000001</v>
      </c>
      <c r="AS423" s="1">
        <f t="shared" si="148"/>
        <v>6.2E-2</v>
      </c>
      <c r="AT423" s="1">
        <f t="shared" si="149"/>
        <v>0.126</v>
      </c>
      <c r="AU423" s="1">
        <f t="shared" si="150"/>
        <v>0.67300000000000015</v>
      </c>
      <c r="AV423" s="1">
        <f t="shared" si="163"/>
        <v>0.48084840000000001</v>
      </c>
      <c r="AX423" s="1">
        <f t="shared" si="164"/>
        <v>3.5797872340425538</v>
      </c>
      <c r="AY423" s="1">
        <f t="shared" si="151"/>
        <v>0.73936170212765961</v>
      </c>
      <c r="AZ423" s="1">
        <f t="shared" si="152"/>
        <v>0.72373670212765961</v>
      </c>
      <c r="BA423" s="1">
        <f t="shared" si="153"/>
        <v>1.3949468085106385</v>
      </c>
      <c r="BB423" s="1">
        <f t="shared" si="154"/>
        <v>0.72373670212765961</v>
      </c>
      <c r="BC423" s="1">
        <f t="shared" si="155"/>
        <v>0.72373670212765961</v>
      </c>
      <c r="BD423" s="1">
        <f t="shared" si="165"/>
        <v>0.24288830212765961</v>
      </c>
      <c r="BF423">
        <f t="shared" si="156"/>
        <v>37.4</v>
      </c>
      <c r="BG423">
        <f t="shared" si="157"/>
        <v>13.9</v>
      </c>
      <c r="BH423" s="1">
        <f t="shared" si="158"/>
        <v>1.7994652406417115</v>
      </c>
      <c r="BI423" s="1">
        <f t="shared" si="159"/>
        <v>0.37165775401069523</v>
      </c>
      <c r="BJ423" s="1">
        <f t="shared" si="166"/>
        <v>0.53796791443850267</v>
      </c>
      <c r="BK423" s="1">
        <f t="shared" si="167"/>
        <v>0.37165775401069523</v>
      </c>
      <c r="BL423" s="22">
        <f t="shared" si="168"/>
        <v>0.37165775401069523</v>
      </c>
      <c r="BM423" s="1">
        <f t="shared" si="160"/>
        <v>1.192259717156168E-2</v>
      </c>
      <c r="BN423" s="1">
        <f t="shared" si="161"/>
        <v>5.359334407089242E-3</v>
      </c>
    </row>
    <row r="424" spans="1:66" x14ac:dyDescent="0.25">
      <c r="A424" s="3"/>
      <c r="B424" s="3"/>
      <c r="C424" t="s">
        <v>570</v>
      </c>
      <c r="D424" s="5">
        <v>1</v>
      </c>
      <c r="E424" s="9">
        <f t="shared" si="169"/>
        <v>13.9</v>
      </c>
      <c r="F424" s="9">
        <f t="shared" si="170"/>
        <v>0.81084337349397595</v>
      </c>
      <c r="G424">
        <v>3.1</v>
      </c>
      <c r="H424">
        <v>15.7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13.9</v>
      </c>
      <c r="P424">
        <v>0</v>
      </c>
      <c r="Q424">
        <v>67.300000000000011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51.632779999999997</v>
      </c>
      <c r="AK424" t="s">
        <v>1</v>
      </c>
      <c r="AL424" t="s">
        <v>374</v>
      </c>
      <c r="AQ424" s="1">
        <f t="shared" si="162"/>
        <v>100.00000000000001</v>
      </c>
      <c r="AR424" s="1">
        <f t="shared" si="147"/>
        <v>0.13900000000000001</v>
      </c>
      <c r="AS424" s="1">
        <f t="shared" si="148"/>
        <v>3.1E-2</v>
      </c>
      <c r="AT424" s="1">
        <f t="shared" si="149"/>
        <v>0.157</v>
      </c>
      <c r="AU424" s="1">
        <f t="shared" si="150"/>
        <v>0.67300000000000015</v>
      </c>
      <c r="AV424" s="1">
        <f t="shared" si="163"/>
        <v>0.5163278</v>
      </c>
      <c r="AX424" s="1">
        <f t="shared" si="164"/>
        <v>3.5797872340425538</v>
      </c>
      <c r="AY424" s="1">
        <f t="shared" si="151"/>
        <v>0.73936170212765961</v>
      </c>
      <c r="AZ424" s="1">
        <f t="shared" si="152"/>
        <v>0.72373670212765961</v>
      </c>
      <c r="BA424" s="1">
        <f t="shared" si="153"/>
        <v>1.3949468085106385</v>
      </c>
      <c r="BB424" s="1">
        <f t="shared" si="154"/>
        <v>0.72373670212765961</v>
      </c>
      <c r="BC424" s="1">
        <f t="shared" si="155"/>
        <v>0.72373670212765961</v>
      </c>
      <c r="BD424" s="1">
        <f t="shared" si="165"/>
        <v>0.20740890212765961</v>
      </c>
      <c r="BF424">
        <f t="shared" si="156"/>
        <v>28.1</v>
      </c>
      <c r="BG424">
        <f t="shared" si="157"/>
        <v>13.9</v>
      </c>
      <c r="BH424" s="1">
        <f t="shared" si="158"/>
        <v>2.3950177935943064</v>
      </c>
      <c r="BI424" s="1">
        <f t="shared" si="159"/>
        <v>0.49466192170818502</v>
      </c>
      <c r="BJ424" s="1">
        <f t="shared" si="166"/>
        <v>0.57370106761565842</v>
      </c>
      <c r="BK424" s="1">
        <f t="shared" si="167"/>
        <v>0.49466192170818502</v>
      </c>
      <c r="BL424" s="22">
        <f t="shared" si="168"/>
        <v>0.49466192170818502</v>
      </c>
      <c r="BM424" s="1">
        <f t="shared" si="160"/>
        <v>4.6941028215573998E-4</v>
      </c>
      <c r="BN424" s="1">
        <f t="shared" si="161"/>
        <v>1.1812836813913829E-2</v>
      </c>
    </row>
    <row r="425" spans="1:66" x14ac:dyDescent="0.25">
      <c r="A425" s="3"/>
      <c r="B425" s="3"/>
      <c r="C425" t="s">
        <v>571</v>
      </c>
      <c r="D425" s="5">
        <v>1</v>
      </c>
      <c r="E425" s="9">
        <f t="shared" si="169"/>
        <v>13.9</v>
      </c>
      <c r="F425" s="9">
        <f t="shared" si="170"/>
        <v>0.78164924506387923</v>
      </c>
      <c r="G425">
        <v>0</v>
      </c>
      <c r="H425">
        <v>18.8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13.9</v>
      </c>
      <c r="P425">
        <v>0</v>
      </c>
      <c r="Q425">
        <v>67.300000000000011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66.099080000000001</v>
      </c>
      <c r="AK425" t="s">
        <v>1</v>
      </c>
      <c r="AL425" t="s">
        <v>374</v>
      </c>
      <c r="AQ425" s="1">
        <f t="shared" si="162"/>
        <v>100.00000000000001</v>
      </c>
      <c r="AR425" s="1">
        <f t="shared" si="147"/>
        <v>0.13900000000000001</v>
      </c>
      <c r="AS425" s="1">
        <f t="shared" si="148"/>
        <v>0</v>
      </c>
      <c r="AT425" s="1">
        <f t="shared" si="149"/>
        <v>0.188</v>
      </c>
      <c r="AU425" s="1">
        <f t="shared" si="150"/>
        <v>0.67300000000000015</v>
      </c>
      <c r="AV425" s="1">
        <f t="shared" si="163"/>
        <v>0.66099079999999999</v>
      </c>
      <c r="AX425" s="1">
        <f t="shared" si="164"/>
        <v>3.5797872340425538</v>
      </c>
      <c r="AY425" s="1">
        <f t="shared" si="151"/>
        <v>0.73936170212765961</v>
      </c>
      <c r="AZ425" s="1">
        <f t="shared" si="152"/>
        <v>0.72373670212765961</v>
      </c>
      <c r="BA425" s="1">
        <f t="shared" si="153"/>
        <v>1.3949468085106385</v>
      </c>
      <c r="BB425" s="1">
        <f t="shared" si="154"/>
        <v>0.72373670212765961</v>
      </c>
      <c r="BC425" s="1">
        <f t="shared" si="155"/>
        <v>0.72373670212765961</v>
      </c>
      <c r="BD425" s="1">
        <f t="shared" si="165"/>
        <v>6.2745902127659625E-2</v>
      </c>
      <c r="BF425">
        <f t="shared" si="156"/>
        <v>18.8</v>
      </c>
      <c r="BG425">
        <f t="shared" si="157"/>
        <v>13.9</v>
      </c>
      <c r="BH425" s="1">
        <f t="shared" si="158"/>
        <v>3.5797872340425538</v>
      </c>
      <c r="BI425" s="1">
        <f t="shared" si="159"/>
        <v>0.73936170212765961</v>
      </c>
      <c r="BJ425" s="1">
        <f t="shared" si="166"/>
        <v>0.64478723404255323</v>
      </c>
      <c r="BK425" s="1">
        <f t="shared" si="167"/>
        <v>0.61737640366506086</v>
      </c>
      <c r="BL425" s="22">
        <f t="shared" si="168"/>
        <v>0.61737640366506086</v>
      </c>
      <c r="BM425" s="1">
        <f t="shared" si="160"/>
        <v>1.9022155676611519E-3</v>
      </c>
      <c r="BN425" s="1">
        <f t="shared" si="161"/>
        <v>6.4186159201322701E-2</v>
      </c>
    </row>
    <row r="426" spans="1:66" x14ac:dyDescent="0.25">
      <c r="A426" s="3"/>
      <c r="B426" s="3"/>
      <c r="C426" t="s">
        <v>572</v>
      </c>
      <c r="D426" s="5">
        <v>1</v>
      </c>
      <c r="E426" s="9">
        <f t="shared" si="169"/>
        <v>18.8</v>
      </c>
      <c r="F426" s="9">
        <f t="shared" si="170"/>
        <v>0.8288177339901478</v>
      </c>
      <c r="G426">
        <v>0</v>
      </c>
      <c r="H426">
        <v>13.9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18.8</v>
      </c>
      <c r="P426">
        <v>0</v>
      </c>
      <c r="Q426">
        <v>67.300000000000011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69.942679999999996</v>
      </c>
      <c r="AK426" t="s">
        <v>1</v>
      </c>
      <c r="AL426" t="s">
        <v>374</v>
      </c>
      <c r="AQ426" s="1">
        <f t="shared" si="162"/>
        <v>100.00000000000001</v>
      </c>
      <c r="AR426" s="1">
        <f t="shared" si="147"/>
        <v>0.188</v>
      </c>
      <c r="AS426" s="1">
        <f t="shared" si="148"/>
        <v>0</v>
      </c>
      <c r="AT426" s="1">
        <f t="shared" si="149"/>
        <v>0.13900000000000001</v>
      </c>
      <c r="AU426" s="1">
        <f t="shared" si="150"/>
        <v>0.67300000000000015</v>
      </c>
      <c r="AV426" s="1">
        <f t="shared" si="163"/>
        <v>0.6994267999999999</v>
      </c>
      <c r="AX426" s="1">
        <f t="shared" si="164"/>
        <v>4.841726618705037</v>
      </c>
      <c r="AY426" s="1">
        <f t="shared" si="151"/>
        <v>1.3525179856115106</v>
      </c>
      <c r="AZ426" s="1">
        <f t="shared" si="152"/>
        <v>0.80260791366906481</v>
      </c>
      <c r="BA426" s="1">
        <f t="shared" si="153"/>
        <v>1.7104316546762592</v>
      </c>
      <c r="BB426" s="1">
        <f t="shared" si="154"/>
        <v>0.80260791366906481</v>
      </c>
      <c r="BC426" s="1">
        <f t="shared" si="155"/>
        <v>0.80260791366906481</v>
      </c>
      <c r="BD426" s="1">
        <f t="shared" si="165"/>
        <v>0.10318111366906491</v>
      </c>
      <c r="BF426">
        <f t="shared" si="156"/>
        <v>13.9</v>
      </c>
      <c r="BG426">
        <f t="shared" si="157"/>
        <v>18.8</v>
      </c>
      <c r="BH426" s="1">
        <f t="shared" si="158"/>
        <v>4.841726618705037</v>
      </c>
      <c r="BI426" s="1">
        <f t="shared" si="159"/>
        <v>1.3525179856115108</v>
      </c>
      <c r="BJ426" s="1">
        <f t="shared" si="166"/>
        <v>0.72050359712230216</v>
      </c>
      <c r="BK426" s="1">
        <f t="shared" si="167"/>
        <v>0.78276568565340343</v>
      </c>
      <c r="BL426" s="22">
        <f t="shared" si="168"/>
        <v>0.78276568565340343</v>
      </c>
      <c r="BM426" s="1">
        <f t="shared" si="160"/>
        <v>6.9453698619510685E-3</v>
      </c>
      <c r="BN426" s="1">
        <f t="shared" si="161"/>
        <v>8.5138996894210117E-2</v>
      </c>
    </row>
    <row r="427" spans="1:66" x14ac:dyDescent="0.25">
      <c r="A427" s="3"/>
      <c r="B427" s="3"/>
      <c r="C427" t="s">
        <v>573</v>
      </c>
      <c r="D427" s="5">
        <v>1</v>
      </c>
      <c r="E427" s="9">
        <f t="shared" si="169"/>
        <v>18.8</v>
      </c>
      <c r="F427" s="9">
        <f t="shared" si="170"/>
        <v>0.85297845373891013</v>
      </c>
      <c r="G427">
        <v>2.3000000000000012</v>
      </c>
      <c r="H427">
        <v>11.6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18.8</v>
      </c>
      <c r="P427">
        <v>0</v>
      </c>
      <c r="Q427">
        <v>67.300000000000011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69.942679999999996</v>
      </c>
      <c r="AK427" t="s">
        <v>1</v>
      </c>
      <c r="AL427" t="s">
        <v>374</v>
      </c>
      <c r="AQ427" s="1">
        <f t="shared" si="162"/>
        <v>100.00000000000001</v>
      </c>
      <c r="AR427" s="1">
        <f t="shared" si="147"/>
        <v>0.188</v>
      </c>
      <c r="AS427" s="1">
        <f t="shared" si="148"/>
        <v>2.300000000000001E-2</v>
      </c>
      <c r="AT427" s="1">
        <f t="shared" si="149"/>
        <v>0.11599999999999999</v>
      </c>
      <c r="AU427" s="1">
        <f t="shared" si="150"/>
        <v>0.67300000000000015</v>
      </c>
      <c r="AV427" s="1">
        <f t="shared" si="163"/>
        <v>0.6994267999999999</v>
      </c>
      <c r="AX427" s="1">
        <f t="shared" si="164"/>
        <v>4.841726618705037</v>
      </c>
      <c r="AY427" s="1">
        <f t="shared" si="151"/>
        <v>1.3525179856115106</v>
      </c>
      <c r="AZ427" s="1">
        <f t="shared" si="152"/>
        <v>0.80260791366906481</v>
      </c>
      <c r="BA427" s="1">
        <f t="shared" si="153"/>
        <v>1.7104316546762592</v>
      </c>
      <c r="BB427" s="1">
        <f t="shared" si="154"/>
        <v>0.80260791366906481</v>
      </c>
      <c r="BC427" s="1">
        <f t="shared" si="155"/>
        <v>0.80260791366906481</v>
      </c>
      <c r="BD427" s="1">
        <f t="shared" si="165"/>
        <v>0.10318111366906491</v>
      </c>
      <c r="BF427">
        <f t="shared" si="156"/>
        <v>20.800000000000004</v>
      </c>
      <c r="BG427">
        <f t="shared" si="157"/>
        <v>18.8</v>
      </c>
      <c r="BH427" s="1">
        <f t="shared" si="158"/>
        <v>3.2355769230769229</v>
      </c>
      <c r="BI427" s="1">
        <f t="shared" si="159"/>
        <v>0.90384615384615374</v>
      </c>
      <c r="BJ427" s="1">
        <f t="shared" si="166"/>
        <v>0.62413461538461534</v>
      </c>
      <c r="BK427" s="1">
        <f t="shared" si="167"/>
        <v>0.63713808917228776</v>
      </c>
      <c r="BL427" s="22">
        <f t="shared" si="168"/>
        <v>0.63713808917228776</v>
      </c>
      <c r="BM427" s="1">
        <f t="shared" si="160"/>
        <v>3.8798834965783442E-3</v>
      </c>
      <c r="BN427" s="1">
        <f t="shared" si="161"/>
        <v>8.5138996894210117E-2</v>
      </c>
    </row>
    <row r="428" spans="1:66" x14ac:dyDescent="0.25">
      <c r="A428" s="3"/>
      <c r="B428" s="3"/>
      <c r="C428" t="s">
        <v>574</v>
      </c>
      <c r="D428" s="5">
        <v>1</v>
      </c>
      <c r="E428" s="9">
        <f t="shared" si="169"/>
        <v>18.8</v>
      </c>
      <c r="F428" s="9">
        <f t="shared" si="170"/>
        <v>0.87859007832898173</v>
      </c>
      <c r="G428">
        <v>4.6000000000000014</v>
      </c>
      <c r="H428">
        <v>9.3000000000000007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18.8</v>
      </c>
      <c r="P428">
        <v>0</v>
      </c>
      <c r="Q428">
        <v>67.300000000000011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66.711519999999993</v>
      </c>
      <c r="AK428" t="s">
        <v>1</v>
      </c>
      <c r="AL428" t="s">
        <v>374</v>
      </c>
      <c r="AQ428" s="1">
        <f t="shared" si="162"/>
        <v>100.00000000000001</v>
      </c>
      <c r="AR428" s="1">
        <f t="shared" si="147"/>
        <v>0.188</v>
      </c>
      <c r="AS428" s="1">
        <f t="shared" si="148"/>
        <v>4.6000000000000013E-2</v>
      </c>
      <c r="AT428" s="1">
        <f t="shared" si="149"/>
        <v>9.3000000000000013E-2</v>
      </c>
      <c r="AU428" s="1">
        <f t="shared" si="150"/>
        <v>0.67300000000000015</v>
      </c>
      <c r="AV428" s="1">
        <f t="shared" si="163"/>
        <v>0.66711519999999991</v>
      </c>
      <c r="AX428" s="1">
        <f t="shared" si="164"/>
        <v>4.841726618705037</v>
      </c>
      <c r="AY428" s="1">
        <f t="shared" si="151"/>
        <v>1.3525179856115106</v>
      </c>
      <c r="AZ428" s="1">
        <f t="shared" si="152"/>
        <v>0.80260791366906481</v>
      </c>
      <c r="BA428" s="1">
        <f t="shared" si="153"/>
        <v>1.7104316546762592</v>
      </c>
      <c r="BB428" s="1">
        <f t="shared" si="154"/>
        <v>0.80260791366906481</v>
      </c>
      <c r="BC428" s="1">
        <f t="shared" si="155"/>
        <v>0.80260791366906481</v>
      </c>
      <c r="BD428" s="1">
        <f t="shared" si="165"/>
        <v>0.1354927136690649</v>
      </c>
      <c r="BF428">
        <f t="shared" si="156"/>
        <v>27.700000000000006</v>
      </c>
      <c r="BG428">
        <f t="shared" si="157"/>
        <v>18.8</v>
      </c>
      <c r="BH428" s="1">
        <f t="shared" si="158"/>
        <v>2.4296028880866425</v>
      </c>
      <c r="BI428" s="1">
        <f t="shared" si="159"/>
        <v>0.6787003610108302</v>
      </c>
      <c r="BJ428" s="1">
        <f t="shared" si="166"/>
        <v>0.57577617328519848</v>
      </c>
      <c r="BK428" s="1">
        <f t="shared" si="167"/>
        <v>0.55805334047513622</v>
      </c>
      <c r="BL428" s="22">
        <f t="shared" si="168"/>
        <v>0.55805334047513622</v>
      </c>
      <c r="BM428" s="1">
        <f t="shared" si="160"/>
        <v>1.1894489203021101E-2</v>
      </c>
      <c r="BN428" s="1">
        <f t="shared" si="161"/>
        <v>6.7326899426520759E-2</v>
      </c>
    </row>
    <row r="429" spans="1:66" x14ac:dyDescent="0.25">
      <c r="A429" s="3"/>
      <c r="B429" s="3"/>
      <c r="C429" t="s">
        <v>575</v>
      </c>
      <c r="D429" s="5">
        <v>1</v>
      </c>
      <c r="E429" s="9">
        <f t="shared" si="169"/>
        <v>18.8</v>
      </c>
      <c r="F429" s="9">
        <f t="shared" si="170"/>
        <v>0.90700808625336926</v>
      </c>
      <c r="G429">
        <v>7.0000000000000009</v>
      </c>
      <c r="H429">
        <v>6.9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18.8</v>
      </c>
      <c r="P429">
        <v>0</v>
      </c>
      <c r="Q429">
        <v>67.300000000000011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62.867919999999998</v>
      </c>
      <c r="AK429" t="s">
        <v>1</v>
      </c>
      <c r="AL429" t="s">
        <v>374</v>
      </c>
      <c r="AQ429" s="1">
        <f t="shared" si="162"/>
        <v>100.00000000000001</v>
      </c>
      <c r="AR429" s="1">
        <f t="shared" si="147"/>
        <v>0.188</v>
      </c>
      <c r="AS429" s="1">
        <f t="shared" si="148"/>
        <v>7.0000000000000007E-2</v>
      </c>
      <c r="AT429" s="1">
        <f t="shared" si="149"/>
        <v>6.9000000000000006E-2</v>
      </c>
      <c r="AU429" s="1">
        <f t="shared" si="150"/>
        <v>0.67300000000000015</v>
      </c>
      <c r="AV429" s="1">
        <f t="shared" si="163"/>
        <v>0.62867919999999999</v>
      </c>
      <c r="AX429" s="1">
        <f t="shared" si="164"/>
        <v>4.841726618705037</v>
      </c>
      <c r="AY429" s="1">
        <f t="shared" si="151"/>
        <v>1.3525179856115106</v>
      </c>
      <c r="AZ429" s="1">
        <f t="shared" si="152"/>
        <v>0.80260791366906481</v>
      </c>
      <c r="BA429" s="1">
        <f t="shared" si="153"/>
        <v>1.7104316546762592</v>
      </c>
      <c r="BB429" s="1">
        <f t="shared" si="154"/>
        <v>0.80260791366906481</v>
      </c>
      <c r="BC429" s="1">
        <f t="shared" si="155"/>
        <v>0.80260791366906481</v>
      </c>
      <c r="BD429" s="1">
        <f t="shared" si="165"/>
        <v>0.17392871366906482</v>
      </c>
      <c r="BF429">
        <f t="shared" si="156"/>
        <v>34.900000000000006</v>
      </c>
      <c r="BG429">
        <f t="shared" si="157"/>
        <v>18.8</v>
      </c>
      <c r="BH429" s="1">
        <f t="shared" si="158"/>
        <v>1.9283667621776504</v>
      </c>
      <c r="BI429" s="1">
        <f t="shared" si="159"/>
        <v>0.53868194842406869</v>
      </c>
      <c r="BJ429" s="1">
        <f t="shared" si="166"/>
        <v>0.54570200573065897</v>
      </c>
      <c r="BK429" s="1">
        <f t="shared" si="167"/>
        <v>0.53868194842406869</v>
      </c>
      <c r="BL429" s="22">
        <f t="shared" si="168"/>
        <v>0.53868194842406869</v>
      </c>
      <c r="BM429" s="1">
        <f t="shared" si="160"/>
        <v>8.0995052912214687E-3</v>
      </c>
      <c r="BN429" s="1">
        <f t="shared" si="161"/>
        <v>4.8857919048833347E-2</v>
      </c>
    </row>
    <row r="430" spans="1:66" x14ac:dyDescent="0.25">
      <c r="A430" s="3"/>
      <c r="B430" s="3"/>
      <c r="C430" t="s">
        <v>576</v>
      </c>
      <c r="D430" s="5">
        <v>1</v>
      </c>
      <c r="E430" s="9">
        <f t="shared" si="169"/>
        <v>18.8</v>
      </c>
      <c r="F430" s="9">
        <f t="shared" si="170"/>
        <v>0.93602225312934639</v>
      </c>
      <c r="G430">
        <v>9.3000000000000007</v>
      </c>
      <c r="H430">
        <v>4.5999999999999996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18.8</v>
      </c>
      <c r="P430">
        <v>0</v>
      </c>
      <c r="Q430">
        <v>67.300000000000011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58.39076</v>
      </c>
      <c r="AK430" t="s">
        <v>1</v>
      </c>
      <c r="AL430" t="s">
        <v>374</v>
      </c>
      <c r="AQ430" s="1">
        <f t="shared" si="162"/>
        <v>100.00000000000001</v>
      </c>
      <c r="AR430" s="1">
        <f t="shared" si="147"/>
        <v>0.188</v>
      </c>
      <c r="AS430" s="1">
        <f t="shared" si="148"/>
        <v>9.3000000000000013E-2</v>
      </c>
      <c r="AT430" s="1">
        <f t="shared" si="149"/>
        <v>4.5999999999999999E-2</v>
      </c>
      <c r="AU430" s="1">
        <f t="shared" si="150"/>
        <v>0.67300000000000015</v>
      </c>
      <c r="AV430" s="1">
        <f t="shared" si="163"/>
        <v>0.58390759999999997</v>
      </c>
      <c r="AX430" s="1">
        <f t="shared" si="164"/>
        <v>4.841726618705037</v>
      </c>
      <c r="AY430" s="1">
        <f t="shared" si="151"/>
        <v>1.3525179856115106</v>
      </c>
      <c r="AZ430" s="1">
        <f t="shared" si="152"/>
        <v>0.80260791366906481</v>
      </c>
      <c r="BA430" s="1">
        <f t="shared" si="153"/>
        <v>1.7104316546762592</v>
      </c>
      <c r="BB430" s="1">
        <f t="shared" si="154"/>
        <v>0.80260791366906481</v>
      </c>
      <c r="BC430" s="1">
        <f t="shared" si="155"/>
        <v>0.80260791366906481</v>
      </c>
      <c r="BD430" s="1">
        <f t="shared" si="165"/>
        <v>0.21870031366906484</v>
      </c>
      <c r="BF430">
        <f t="shared" si="156"/>
        <v>41.800000000000004</v>
      </c>
      <c r="BG430">
        <f t="shared" si="157"/>
        <v>18.8</v>
      </c>
      <c r="BH430" s="1">
        <f t="shared" si="158"/>
        <v>1.6100478468899522</v>
      </c>
      <c r="BI430" s="1">
        <f t="shared" si="159"/>
        <v>0.44976076555023919</v>
      </c>
      <c r="BJ430" s="1">
        <f t="shared" si="166"/>
        <v>0.52660287081339707</v>
      </c>
      <c r="BK430" s="1">
        <f t="shared" si="167"/>
        <v>0.44976076555023919</v>
      </c>
      <c r="BL430" s="22">
        <f t="shared" si="168"/>
        <v>0.44976076555023919</v>
      </c>
      <c r="BM430" s="1">
        <f t="shared" si="160"/>
        <v>1.7995373192891524E-2</v>
      </c>
      <c r="BN430" s="1">
        <f t="shared" si="161"/>
        <v>3.106994074255541E-2</v>
      </c>
    </row>
    <row r="431" spans="1:66" x14ac:dyDescent="0.25">
      <c r="A431" s="3"/>
      <c r="B431" s="3"/>
      <c r="C431" t="s">
        <v>577</v>
      </c>
      <c r="D431" s="5">
        <v>1</v>
      </c>
      <c r="E431" s="9">
        <f t="shared" si="169"/>
        <v>18.8</v>
      </c>
      <c r="F431" s="9">
        <f t="shared" si="170"/>
        <v>0.96695402298850575</v>
      </c>
      <c r="G431">
        <v>11.6</v>
      </c>
      <c r="H431">
        <v>2.2999999999999998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18.8</v>
      </c>
      <c r="P431">
        <v>0</v>
      </c>
      <c r="Q431">
        <v>67.300000000000011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51.316000000000003</v>
      </c>
      <c r="AK431" t="s">
        <v>1</v>
      </c>
      <c r="AL431" t="s">
        <v>374</v>
      </c>
      <c r="AQ431" s="1">
        <f t="shared" si="162"/>
        <v>100.00000000000001</v>
      </c>
      <c r="AR431" s="1">
        <f t="shared" si="147"/>
        <v>0.188</v>
      </c>
      <c r="AS431" s="1">
        <f t="shared" si="148"/>
        <v>0.11599999999999999</v>
      </c>
      <c r="AT431" s="1">
        <f t="shared" si="149"/>
        <v>2.3E-2</v>
      </c>
      <c r="AU431" s="1">
        <f t="shared" si="150"/>
        <v>0.67300000000000015</v>
      </c>
      <c r="AV431" s="1">
        <f t="shared" si="163"/>
        <v>0.51316000000000006</v>
      </c>
      <c r="AX431" s="1">
        <f t="shared" si="164"/>
        <v>4.8417266187050378</v>
      </c>
      <c r="AY431" s="1">
        <f t="shared" si="151"/>
        <v>1.352517985611511</v>
      </c>
      <c r="AZ431" s="1">
        <f t="shared" si="152"/>
        <v>0.80260791366906492</v>
      </c>
      <c r="BA431" s="1">
        <f t="shared" si="153"/>
        <v>1.7104316546762595</v>
      </c>
      <c r="BB431" s="1">
        <f t="shared" si="154"/>
        <v>0.80260791366906492</v>
      </c>
      <c r="BC431" s="1">
        <f t="shared" si="155"/>
        <v>0.80260791366906492</v>
      </c>
      <c r="BD431" s="1">
        <f t="shared" si="165"/>
        <v>0.28944791366906486</v>
      </c>
      <c r="BF431">
        <f t="shared" si="156"/>
        <v>48.699999999999996</v>
      </c>
      <c r="BG431">
        <f t="shared" si="157"/>
        <v>18.8</v>
      </c>
      <c r="BH431" s="1">
        <f t="shared" si="158"/>
        <v>1.3819301848049286</v>
      </c>
      <c r="BI431" s="1">
        <f t="shared" si="159"/>
        <v>0.38603696098562634</v>
      </c>
      <c r="BJ431" s="1">
        <f t="shared" si="166"/>
        <v>0.51291581108829565</v>
      </c>
      <c r="BK431" s="1">
        <f t="shared" si="167"/>
        <v>0.38603696098562634</v>
      </c>
      <c r="BL431" s="22">
        <f t="shared" si="168"/>
        <v>0.38603696098562634</v>
      </c>
      <c r="BM431" s="1">
        <f t="shared" si="160"/>
        <v>1.6160267048249983E-2</v>
      </c>
      <c r="BN431" s="1">
        <f t="shared" si="161"/>
        <v>1.113427520501861E-2</v>
      </c>
    </row>
    <row r="432" spans="1:66" x14ac:dyDescent="0.25">
      <c r="A432" s="3"/>
      <c r="B432" s="3"/>
      <c r="C432" t="s">
        <v>198</v>
      </c>
      <c r="D432" s="5">
        <v>1</v>
      </c>
      <c r="E432" s="9">
        <f t="shared" si="169"/>
        <v>27.450000000000003</v>
      </c>
      <c r="F432" s="9">
        <f t="shared" si="170"/>
        <v>0.92419021364576159</v>
      </c>
      <c r="G432">
        <v>0</v>
      </c>
      <c r="H432">
        <v>5.5</v>
      </c>
      <c r="I432">
        <v>11.22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16.23</v>
      </c>
      <c r="P432">
        <v>0</v>
      </c>
      <c r="Q432">
        <v>67.05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64</v>
      </c>
      <c r="AK432" t="s">
        <v>1</v>
      </c>
      <c r="AL432" t="s">
        <v>374</v>
      </c>
      <c r="AO432" t="s">
        <v>378</v>
      </c>
      <c r="AQ432" s="1">
        <f t="shared" si="162"/>
        <v>100</v>
      </c>
      <c r="AR432" s="1">
        <f t="shared" si="147"/>
        <v>0.1623</v>
      </c>
      <c r="AS432" s="1">
        <f t="shared" si="148"/>
        <v>0</v>
      </c>
      <c r="AT432" s="1">
        <f t="shared" si="149"/>
        <v>5.5E-2</v>
      </c>
      <c r="AU432" s="1">
        <f t="shared" si="150"/>
        <v>0.67049999999999998</v>
      </c>
      <c r="AV432" s="1">
        <f t="shared" si="163"/>
        <v>0.64</v>
      </c>
      <c r="AX432" s="1">
        <f t="shared" si="164"/>
        <v>12.190909090909091</v>
      </c>
      <c r="AY432" s="1">
        <f t="shared" si="151"/>
        <v>2.9509090909090907</v>
      </c>
      <c r="AZ432" s="1">
        <f t="shared" si="152"/>
        <v>1.2619318181818182</v>
      </c>
      <c r="BA432" s="1">
        <f t="shared" si="153"/>
        <v>3.5477272727272728</v>
      </c>
      <c r="BB432" s="1">
        <f t="shared" si="154"/>
        <v>1.2619318181818182</v>
      </c>
      <c r="BC432" s="1">
        <f t="shared" si="155"/>
        <v>1</v>
      </c>
      <c r="BD432" s="1">
        <f t="shared" si="165"/>
        <v>0.36</v>
      </c>
      <c r="BF432">
        <f t="shared" si="156"/>
        <v>5.5</v>
      </c>
      <c r="BG432">
        <f t="shared" si="157"/>
        <v>21.84</v>
      </c>
      <c r="BH432" s="1">
        <f t="shared" si="158"/>
        <v>12.19090909090909</v>
      </c>
      <c r="BI432" s="1">
        <f t="shared" si="159"/>
        <v>3.9709090909090907</v>
      </c>
      <c r="BJ432" s="1">
        <f t="shared" si="166"/>
        <v>1.1614545454545453</v>
      </c>
      <c r="BK432" s="1">
        <f t="shared" si="167"/>
        <v>1.3575740427373637</v>
      </c>
      <c r="BL432" s="22">
        <f t="shared" si="168"/>
        <v>1</v>
      </c>
      <c r="BM432" s="1">
        <f t="shared" si="160"/>
        <v>0.12959999999999999</v>
      </c>
      <c r="BN432" s="1">
        <f t="shared" si="161"/>
        <v>5.3990739770447424E-2</v>
      </c>
    </row>
    <row r="433" spans="1:66" x14ac:dyDescent="0.25">
      <c r="A433" s="3"/>
      <c r="B433" s="3"/>
      <c r="C433" t="s">
        <v>199</v>
      </c>
      <c r="D433" s="5">
        <v>1</v>
      </c>
      <c r="E433" s="9">
        <f t="shared" si="169"/>
        <v>28.54</v>
      </c>
      <c r="F433" s="9">
        <f t="shared" si="170"/>
        <v>0.94236270022883295</v>
      </c>
      <c r="G433">
        <v>1.54</v>
      </c>
      <c r="H433">
        <v>4.03</v>
      </c>
      <c r="I433">
        <v>11.69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16.850000000000001</v>
      </c>
      <c r="P433">
        <v>0</v>
      </c>
      <c r="Q433">
        <v>65.89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72</v>
      </c>
      <c r="AK433" t="s">
        <v>1</v>
      </c>
      <c r="AL433" t="s">
        <v>374</v>
      </c>
      <c r="AQ433" s="1">
        <f t="shared" si="162"/>
        <v>100</v>
      </c>
      <c r="AR433" s="1">
        <f t="shared" si="147"/>
        <v>0.16850000000000001</v>
      </c>
      <c r="AS433" s="1">
        <f t="shared" si="148"/>
        <v>1.54E-2</v>
      </c>
      <c r="AT433" s="1">
        <f t="shared" si="149"/>
        <v>4.0300000000000002E-2</v>
      </c>
      <c r="AU433" s="1">
        <f t="shared" si="150"/>
        <v>0.65890000000000004</v>
      </c>
      <c r="AV433" s="1">
        <f t="shared" si="163"/>
        <v>0.72</v>
      </c>
      <c r="AX433" s="1">
        <f t="shared" si="164"/>
        <v>11.829443447037702</v>
      </c>
      <c r="AY433" s="1">
        <f t="shared" si="151"/>
        <v>3.0251346499102336</v>
      </c>
      <c r="AZ433" s="1">
        <f t="shared" si="152"/>
        <v>1.2393402154398565</v>
      </c>
      <c r="BA433" s="1">
        <f t="shared" si="153"/>
        <v>3.4573608617594256</v>
      </c>
      <c r="BB433" s="1">
        <f t="shared" si="154"/>
        <v>1.2393402154398565</v>
      </c>
      <c r="BC433" s="1">
        <f t="shared" si="155"/>
        <v>1</v>
      </c>
      <c r="BD433" s="1">
        <f t="shared" si="165"/>
        <v>0.28000000000000003</v>
      </c>
      <c r="BF433">
        <f t="shared" si="156"/>
        <v>10.190000000000001</v>
      </c>
      <c r="BG433">
        <f t="shared" si="157"/>
        <v>22.695</v>
      </c>
      <c r="BH433" s="1">
        <f t="shared" si="158"/>
        <v>6.4661432777232575</v>
      </c>
      <c r="BI433" s="1">
        <f t="shared" si="159"/>
        <v>2.2271835132482822</v>
      </c>
      <c r="BJ433" s="1">
        <f t="shared" si="166"/>
        <v>0.81796859666339539</v>
      </c>
      <c r="BK433" s="1">
        <f t="shared" si="167"/>
        <v>0.9205063776206559</v>
      </c>
      <c r="BL433" s="22">
        <f t="shared" si="168"/>
        <v>0.9205063776206559</v>
      </c>
      <c r="BM433" s="1">
        <f t="shared" si="160"/>
        <v>4.0202807466557071E-2</v>
      </c>
      <c r="BN433" s="1">
        <f t="shared" si="161"/>
        <v>9.7568191782701472E-2</v>
      </c>
    </row>
    <row r="434" spans="1:66" x14ac:dyDescent="0.25">
      <c r="A434" s="3"/>
      <c r="B434" s="3"/>
      <c r="C434" t="s">
        <v>200</v>
      </c>
      <c r="D434" s="5">
        <v>1</v>
      </c>
      <c r="E434" s="9">
        <f t="shared" si="169"/>
        <v>14.23</v>
      </c>
      <c r="F434" s="9">
        <f t="shared" si="170"/>
        <v>0.7896700478022618</v>
      </c>
      <c r="G434">
        <v>0</v>
      </c>
      <c r="H434">
        <v>18.04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14.23</v>
      </c>
      <c r="P434">
        <v>0</v>
      </c>
      <c r="Q434">
        <v>67.73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73</v>
      </c>
      <c r="AK434" t="s">
        <v>1</v>
      </c>
      <c r="AL434" t="s">
        <v>374</v>
      </c>
      <c r="AQ434" s="1">
        <f t="shared" si="162"/>
        <v>100</v>
      </c>
      <c r="AR434" s="1">
        <f t="shared" si="147"/>
        <v>0.14230000000000001</v>
      </c>
      <c r="AS434" s="1">
        <f t="shared" si="148"/>
        <v>0</v>
      </c>
      <c r="AT434" s="1">
        <f t="shared" si="149"/>
        <v>0.1804</v>
      </c>
      <c r="AU434" s="1">
        <f t="shared" si="150"/>
        <v>0.67730000000000001</v>
      </c>
      <c r="AV434" s="1">
        <f t="shared" si="163"/>
        <v>0.73</v>
      </c>
      <c r="AX434" s="1">
        <f t="shared" si="164"/>
        <v>3.7544345898004434</v>
      </c>
      <c r="AY434" s="1">
        <f t="shared" si="151"/>
        <v>0.78880266075388028</v>
      </c>
      <c r="AZ434" s="1">
        <f t="shared" si="152"/>
        <v>0.73465216186252769</v>
      </c>
      <c r="BA434" s="1">
        <f t="shared" si="153"/>
        <v>1.4386086474501107</v>
      </c>
      <c r="BB434" s="1">
        <f t="shared" si="154"/>
        <v>0.73465216186252769</v>
      </c>
      <c r="BC434" s="1">
        <f t="shared" si="155"/>
        <v>0.73465216186252769</v>
      </c>
      <c r="BD434" s="1">
        <f t="shared" si="165"/>
        <v>4.6521618625277039E-3</v>
      </c>
      <c r="BF434">
        <f t="shared" si="156"/>
        <v>18.04</v>
      </c>
      <c r="BG434">
        <f t="shared" si="157"/>
        <v>14.23</v>
      </c>
      <c r="BH434" s="1">
        <f t="shared" si="158"/>
        <v>3.7544345898004439</v>
      </c>
      <c r="BI434" s="1">
        <f t="shared" si="159"/>
        <v>0.78880266075388028</v>
      </c>
      <c r="BJ434" s="1">
        <f t="shared" si="166"/>
        <v>0.65526607538802661</v>
      </c>
      <c r="BK434" s="1">
        <f t="shared" si="167"/>
        <v>0.63658276219741683</v>
      </c>
      <c r="BL434" s="22">
        <f t="shared" si="168"/>
        <v>0.63658276219741683</v>
      </c>
      <c r="BM434" s="1">
        <f t="shared" si="160"/>
        <v>8.7267803186643709E-3</v>
      </c>
      <c r="BN434" s="1">
        <f t="shared" si="161"/>
        <v>0.10391537328423324</v>
      </c>
    </row>
    <row r="435" spans="1:66" x14ac:dyDescent="0.25">
      <c r="A435" s="3"/>
      <c r="B435" s="3"/>
      <c r="C435" t="s">
        <v>201</v>
      </c>
      <c r="D435" s="5">
        <v>1</v>
      </c>
      <c r="E435" s="9">
        <f t="shared" si="169"/>
        <v>13.64</v>
      </c>
      <c r="F435" s="9">
        <f t="shared" si="170"/>
        <v>0.78961449592606114</v>
      </c>
      <c r="G435">
        <v>4.13</v>
      </c>
      <c r="H435">
        <v>17.3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13.64</v>
      </c>
      <c r="P435">
        <v>0</v>
      </c>
      <c r="Q435">
        <v>64.930000000000007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52</v>
      </c>
      <c r="AK435" t="s">
        <v>1</v>
      </c>
      <c r="AL435" t="s">
        <v>374</v>
      </c>
      <c r="AQ435" s="1">
        <f t="shared" si="162"/>
        <v>100</v>
      </c>
      <c r="AR435" s="1">
        <f t="shared" si="147"/>
        <v>0.13639999999999999</v>
      </c>
      <c r="AS435" s="1">
        <f t="shared" si="148"/>
        <v>4.1299999999999996E-2</v>
      </c>
      <c r="AT435" s="1">
        <f t="shared" si="149"/>
        <v>0.17300000000000001</v>
      </c>
      <c r="AU435" s="1">
        <f t="shared" si="150"/>
        <v>0.6493000000000001</v>
      </c>
      <c r="AV435" s="1">
        <f t="shared" si="163"/>
        <v>0.52</v>
      </c>
      <c r="AX435" s="1">
        <f t="shared" si="164"/>
        <v>3.0298646756882874</v>
      </c>
      <c r="AY435" s="1">
        <f t="shared" si="151"/>
        <v>0.63649090060662616</v>
      </c>
      <c r="AZ435" s="1">
        <f t="shared" si="152"/>
        <v>0.68936654223051796</v>
      </c>
      <c r="BA435" s="1">
        <f t="shared" si="153"/>
        <v>1.2574661689220719</v>
      </c>
      <c r="BB435" s="1">
        <f t="shared" si="154"/>
        <v>0.63649090060662616</v>
      </c>
      <c r="BC435" s="1">
        <f t="shared" si="155"/>
        <v>0.63649090060662616</v>
      </c>
      <c r="BD435" s="1">
        <f t="shared" si="165"/>
        <v>0.11649090060662615</v>
      </c>
      <c r="BF435">
        <f t="shared" si="156"/>
        <v>33.82</v>
      </c>
      <c r="BG435">
        <f t="shared" si="157"/>
        <v>13.64</v>
      </c>
      <c r="BH435" s="1">
        <f t="shared" si="158"/>
        <v>1.9198698994677708</v>
      </c>
      <c r="BI435" s="1">
        <f t="shared" si="159"/>
        <v>0.40331164991129509</v>
      </c>
      <c r="BJ435" s="1">
        <f t="shared" si="166"/>
        <v>0.54519219396806617</v>
      </c>
      <c r="BK435" s="1">
        <f t="shared" si="167"/>
        <v>0.40331164991129509</v>
      </c>
      <c r="BL435" s="22">
        <f t="shared" si="168"/>
        <v>0.40331164991129509</v>
      </c>
      <c r="BM435" s="1">
        <f t="shared" si="160"/>
        <v>1.3616171046424163E-2</v>
      </c>
      <c r="BN435" s="1">
        <f t="shared" si="161"/>
        <v>1.2624561752066324E-2</v>
      </c>
    </row>
    <row r="436" spans="1:66" x14ac:dyDescent="0.25">
      <c r="A436" s="3"/>
      <c r="B436" s="3"/>
      <c r="C436" t="s">
        <v>202</v>
      </c>
      <c r="D436" s="5">
        <v>1</v>
      </c>
      <c r="E436" s="9">
        <f t="shared" si="169"/>
        <v>18.66</v>
      </c>
      <c r="F436" s="9">
        <f t="shared" si="170"/>
        <v>0.78967075532601683</v>
      </c>
      <c r="G436">
        <v>3.89</v>
      </c>
      <c r="H436">
        <v>16.29</v>
      </c>
      <c r="I436">
        <v>5.81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12.85</v>
      </c>
      <c r="P436">
        <v>0</v>
      </c>
      <c r="Q436">
        <v>61.16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51</v>
      </c>
      <c r="AK436" t="s">
        <v>1</v>
      </c>
      <c r="AL436" t="s">
        <v>374</v>
      </c>
      <c r="AQ436" s="1">
        <f t="shared" si="162"/>
        <v>100</v>
      </c>
      <c r="AR436" s="1">
        <f t="shared" si="147"/>
        <v>0.1285</v>
      </c>
      <c r="AS436" s="1">
        <f t="shared" si="148"/>
        <v>3.8900000000000004E-2</v>
      </c>
      <c r="AT436" s="1">
        <f t="shared" si="149"/>
        <v>0.16289999999999999</v>
      </c>
      <c r="AU436" s="1">
        <f t="shared" si="150"/>
        <v>0.61159999999999992</v>
      </c>
      <c r="AV436" s="1">
        <f t="shared" si="163"/>
        <v>0.51</v>
      </c>
      <c r="AX436" s="1">
        <f t="shared" si="164"/>
        <v>3.0307234886025767</v>
      </c>
      <c r="AY436" s="1">
        <f t="shared" si="151"/>
        <v>0.63676907829534202</v>
      </c>
      <c r="AZ436" s="1">
        <f t="shared" si="152"/>
        <v>0.68942021803766107</v>
      </c>
      <c r="BA436" s="1">
        <f t="shared" si="153"/>
        <v>1.2576808721506443</v>
      </c>
      <c r="BB436" s="1">
        <f t="shared" si="154"/>
        <v>0.63676907829534202</v>
      </c>
      <c r="BC436" s="1">
        <f t="shared" si="155"/>
        <v>0.63676907829534202</v>
      </c>
      <c r="BD436" s="1">
        <f t="shared" si="165"/>
        <v>0.12676907829534201</v>
      </c>
      <c r="BF436">
        <f t="shared" si="156"/>
        <v>31.85</v>
      </c>
      <c r="BG436">
        <f t="shared" si="157"/>
        <v>15.754999999999999</v>
      </c>
      <c r="BH436" s="1">
        <f t="shared" si="158"/>
        <v>1.9202511773940343</v>
      </c>
      <c r="BI436" s="1">
        <f t="shared" si="159"/>
        <v>0.49466248037676602</v>
      </c>
      <c r="BJ436" s="1">
        <f t="shared" si="166"/>
        <v>0.54521507064364205</v>
      </c>
      <c r="BK436" s="1">
        <f t="shared" si="167"/>
        <v>0.49466248037676602</v>
      </c>
      <c r="BL436" s="22">
        <f t="shared" si="168"/>
        <v>0.49466248037676602</v>
      </c>
      <c r="BM436" s="1">
        <f t="shared" si="160"/>
        <v>2.3523950819308759E-4</v>
      </c>
      <c r="BN436" s="1">
        <f t="shared" si="161"/>
        <v>1.0477380250534563E-2</v>
      </c>
    </row>
    <row r="437" spans="1:66" x14ac:dyDescent="0.25">
      <c r="A437" s="3"/>
      <c r="B437" s="3"/>
      <c r="C437" t="s">
        <v>203</v>
      </c>
      <c r="D437" s="5">
        <v>1</v>
      </c>
      <c r="E437" s="9">
        <f t="shared" si="169"/>
        <v>18.34</v>
      </c>
      <c r="F437" s="9">
        <f t="shared" si="170"/>
        <v>0.78970182582424797</v>
      </c>
      <c r="G437">
        <v>3.82</v>
      </c>
      <c r="H437">
        <v>16.010000000000002</v>
      </c>
      <c r="I437">
        <v>5.71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12.63</v>
      </c>
      <c r="P437">
        <v>0</v>
      </c>
      <c r="Q437">
        <v>60.12</v>
      </c>
      <c r="R437">
        <v>0</v>
      </c>
      <c r="S437">
        <v>0</v>
      </c>
      <c r="T437">
        <v>0</v>
      </c>
      <c r="U437">
        <v>1.71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47</v>
      </c>
      <c r="AK437" t="s">
        <v>1</v>
      </c>
      <c r="AL437" t="s">
        <v>374</v>
      </c>
      <c r="AQ437" s="1">
        <f t="shared" si="162"/>
        <v>99.999999999999986</v>
      </c>
      <c r="AR437" s="1">
        <f t="shared" si="147"/>
        <v>0.1263</v>
      </c>
      <c r="AS437" s="1">
        <f t="shared" si="148"/>
        <v>3.8199999999999998E-2</v>
      </c>
      <c r="AT437" s="1">
        <f t="shared" si="149"/>
        <v>0.16010000000000002</v>
      </c>
      <c r="AU437" s="1">
        <f t="shared" si="150"/>
        <v>0.60119999999999996</v>
      </c>
      <c r="AV437" s="1">
        <f t="shared" si="163"/>
        <v>0.47</v>
      </c>
      <c r="AX437" s="1">
        <f t="shared" si="164"/>
        <v>3.0317700453857785</v>
      </c>
      <c r="AY437" s="1">
        <f t="shared" si="151"/>
        <v>0.63691376701966707</v>
      </c>
      <c r="AZ437" s="1">
        <f t="shared" si="152"/>
        <v>0.68948562783661116</v>
      </c>
      <c r="BA437" s="1">
        <f t="shared" si="153"/>
        <v>1.2579425113464446</v>
      </c>
      <c r="BB437" s="1">
        <f t="shared" si="154"/>
        <v>0.63691376701966707</v>
      </c>
      <c r="BC437" s="1">
        <f t="shared" si="155"/>
        <v>0.63691376701966707</v>
      </c>
      <c r="BD437" s="1">
        <f t="shared" si="165"/>
        <v>0.16691376701966709</v>
      </c>
      <c r="BF437">
        <f t="shared" si="156"/>
        <v>34.71</v>
      </c>
      <c r="BG437">
        <f t="shared" si="157"/>
        <v>15.485000000000001</v>
      </c>
      <c r="BH437" s="1">
        <f t="shared" si="158"/>
        <v>1.7320656871218667</v>
      </c>
      <c r="BI437" s="1">
        <f t="shared" si="159"/>
        <v>0.4461250360126765</v>
      </c>
      <c r="BJ437" s="1">
        <f t="shared" si="166"/>
        <v>0.53392394122731202</v>
      </c>
      <c r="BK437" s="1">
        <f t="shared" si="167"/>
        <v>0.4461250360126765</v>
      </c>
      <c r="BL437" s="22">
        <f t="shared" si="168"/>
        <v>0.4461250360126765</v>
      </c>
      <c r="BM437" s="1">
        <f t="shared" si="160"/>
        <v>5.7001390539599274E-4</v>
      </c>
      <c r="BN437" s="1">
        <f t="shared" si="161"/>
        <v>3.8886542444075247E-3</v>
      </c>
    </row>
    <row r="438" spans="1:66" x14ac:dyDescent="0.25">
      <c r="A438" s="3"/>
      <c r="B438" s="3"/>
      <c r="C438" t="s">
        <v>81</v>
      </c>
      <c r="D438" s="5">
        <v>1</v>
      </c>
      <c r="E438" s="9">
        <f t="shared" si="169"/>
        <v>9.4</v>
      </c>
      <c r="F438" s="9">
        <f t="shared" si="170"/>
        <v>0.71964679911699792</v>
      </c>
      <c r="G438">
        <v>0</v>
      </c>
      <c r="H438">
        <v>25.4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9.4</v>
      </c>
      <c r="P438">
        <v>0</v>
      </c>
      <c r="Q438">
        <v>65.2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29.092199999999998</v>
      </c>
      <c r="AK438" t="s">
        <v>1</v>
      </c>
      <c r="AL438" t="s">
        <v>374</v>
      </c>
      <c r="AO438" t="s">
        <v>378</v>
      </c>
      <c r="AQ438" s="1">
        <f t="shared" si="162"/>
        <v>100</v>
      </c>
      <c r="AR438" s="1">
        <f t="shared" si="147"/>
        <v>9.4E-2</v>
      </c>
      <c r="AS438" s="1">
        <f t="shared" si="148"/>
        <v>0</v>
      </c>
      <c r="AT438" s="1">
        <f t="shared" si="149"/>
        <v>0.254</v>
      </c>
      <c r="AU438" s="1">
        <f t="shared" si="150"/>
        <v>0.65200000000000002</v>
      </c>
      <c r="AV438" s="1">
        <f t="shared" si="163"/>
        <v>0.29092199999999996</v>
      </c>
      <c r="AX438" s="1">
        <f t="shared" si="164"/>
        <v>2.5669291338582676</v>
      </c>
      <c r="AY438" s="1">
        <f t="shared" si="151"/>
        <v>0.37007874015748032</v>
      </c>
      <c r="AZ438" s="1">
        <f t="shared" si="152"/>
        <v>0.66043307086614167</v>
      </c>
      <c r="BA438" s="1">
        <f t="shared" si="153"/>
        <v>1.1417322834645669</v>
      </c>
      <c r="BB438" s="1">
        <f t="shared" si="154"/>
        <v>0.37007874015748032</v>
      </c>
      <c r="BC438" s="1">
        <f t="shared" si="155"/>
        <v>0.37007874015748032</v>
      </c>
      <c r="BD438" s="1">
        <f t="shared" si="165"/>
        <v>7.9156740157480365E-2</v>
      </c>
      <c r="BF438">
        <f t="shared" si="156"/>
        <v>25.4</v>
      </c>
      <c r="BG438">
        <f t="shared" si="157"/>
        <v>9.4</v>
      </c>
      <c r="BH438" s="1">
        <f t="shared" si="158"/>
        <v>2.566929133858268</v>
      </c>
      <c r="BI438" s="1">
        <f t="shared" si="159"/>
        <v>0.37007874015748032</v>
      </c>
      <c r="BJ438" s="1">
        <f t="shared" si="166"/>
        <v>0.58401574803149603</v>
      </c>
      <c r="BK438" s="1">
        <f t="shared" si="167"/>
        <v>0.37007874015748032</v>
      </c>
      <c r="BL438" s="22">
        <f t="shared" si="168"/>
        <v>0.37007874015748032</v>
      </c>
      <c r="BM438" s="1">
        <f t="shared" si="160"/>
        <v>6.2657895123588644E-3</v>
      </c>
      <c r="BN438" s="1">
        <f t="shared" si="161"/>
        <v>1.3623307435277116E-2</v>
      </c>
    </row>
    <row r="439" spans="1:66" x14ac:dyDescent="0.25">
      <c r="A439" s="3"/>
      <c r="B439" s="3"/>
      <c r="C439" t="s">
        <v>578</v>
      </c>
      <c r="D439" s="5">
        <v>1</v>
      </c>
      <c r="E439" s="9">
        <f t="shared" si="169"/>
        <v>9.3532338308457703</v>
      </c>
      <c r="F439" s="9">
        <f t="shared" si="170"/>
        <v>0.71964679911699769</v>
      </c>
      <c r="G439">
        <v>0.49751243781094528</v>
      </c>
      <c r="H439">
        <v>25.273631840796021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9.3532338308457703</v>
      </c>
      <c r="P439">
        <v>0</v>
      </c>
      <c r="Q439">
        <v>64.875621890547265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25.114730000000002</v>
      </c>
      <c r="AK439" t="s">
        <v>1</v>
      </c>
      <c r="AL439" t="s">
        <v>374</v>
      </c>
      <c r="AQ439" s="1">
        <f t="shared" si="162"/>
        <v>100</v>
      </c>
      <c r="AR439" s="1">
        <f t="shared" si="147"/>
        <v>9.3532338308457696E-2</v>
      </c>
      <c r="AS439" s="1">
        <f t="shared" si="148"/>
        <v>4.9751243781094526E-3</v>
      </c>
      <c r="AT439" s="1">
        <f t="shared" si="149"/>
        <v>0.25273631840796024</v>
      </c>
      <c r="AU439" s="1">
        <f t="shared" si="150"/>
        <v>0.64875621890547264</v>
      </c>
      <c r="AV439" s="1">
        <f t="shared" si="163"/>
        <v>0.25114730000000002</v>
      </c>
      <c r="AX439" s="1">
        <f t="shared" si="164"/>
        <v>2.5173745173745172</v>
      </c>
      <c r="AY439" s="1">
        <f t="shared" si="151"/>
        <v>0.36293436293436288</v>
      </c>
      <c r="AZ439" s="1">
        <f t="shared" si="152"/>
        <v>0.6573359073359073</v>
      </c>
      <c r="BA439" s="1">
        <f t="shared" si="153"/>
        <v>1.1293436293436292</v>
      </c>
      <c r="BB439" s="1">
        <f t="shared" si="154"/>
        <v>0.36293436293436288</v>
      </c>
      <c r="BC439" s="1">
        <f t="shared" si="155"/>
        <v>0.36293436293436288</v>
      </c>
      <c r="BD439" s="1">
        <f t="shared" si="165"/>
        <v>0.11178706293436286</v>
      </c>
      <c r="BF439">
        <f t="shared" si="156"/>
        <v>27.263681592039802</v>
      </c>
      <c r="BG439">
        <f t="shared" si="157"/>
        <v>9.3532338308457703</v>
      </c>
      <c r="BH439" s="1">
        <f t="shared" si="158"/>
        <v>2.3795620437956204</v>
      </c>
      <c r="BI439" s="1">
        <f t="shared" si="159"/>
        <v>0.3430656934306569</v>
      </c>
      <c r="BJ439" s="1">
        <f t="shared" si="166"/>
        <v>0.57277372262773718</v>
      </c>
      <c r="BK439" s="1">
        <f t="shared" si="167"/>
        <v>0.3430656934306569</v>
      </c>
      <c r="BL439" s="22">
        <f t="shared" si="168"/>
        <v>0.3430656934306569</v>
      </c>
      <c r="BM439" s="1">
        <f t="shared" si="160"/>
        <v>8.4489910508730275E-3</v>
      </c>
      <c r="BN439" s="1">
        <f t="shared" si="161"/>
        <v>2.4490254641669578E-2</v>
      </c>
    </row>
    <row r="440" spans="1:66" x14ac:dyDescent="0.25">
      <c r="A440" s="3"/>
      <c r="B440" s="3"/>
      <c r="C440" t="s">
        <v>82</v>
      </c>
      <c r="D440" s="5">
        <v>1</v>
      </c>
      <c r="E440" s="9">
        <f t="shared" si="169"/>
        <v>9.3069306930693063</v>
      </c>
      <c r="F440" s="9">
        <f t="shared" si="170"/>
        <v>0.7196467991169978</v>
      </c>
      <c r="G440">
        <v>0.99009900990099009</v>
      </c>
      <c r="H440">
        <v>25.14851485148515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9.3069306930693063</v>
      </c>
      <c r="P440">
        <v>0</v>
      </c>
      <c r="Q440">
        <v>64.554455445544562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25.08371</v>
      </c>
      <c r="AK440" t="s">
        <v>1</v>
      </c>
      <c r="AL440" t="s">
        <v>374</v>
      </c>
      <c r="AQ440" s="1">
        <f t="shared" si="162"/>
        <v>100</v>
      </c>
      <c r="AR440" s="1">
        <f t="shared" si="147"/>
        <v>9.3069306930693069E-2</v>
      </c>
      <c r="AS440" s="1">
        <f t="shared" si="148"/>
        <v>9.9009900990099011E-3</v>
      </c>
      <c r="AT440" s="1">
        <f t="shared" si="149"/>
        <v>0.25148514851485149</v>
      </c>
      <c r="AU440" s="1">
        <f t="shared" si="150"/>
        <v>0.64554455445544567</v>
      </c>
      <c r="AV440" s="1">
        <f t="shared" si="163"/>
        <v>0.25083709999999998</v>
      </c>
      <c r="AX440" s="1">
        <f t="shared" si="164"/>
        <v>2.4696969696969702</v>
      </c>
      <c r="AY440" s="1">
        <f t="shared" si="151"/>
        <v>0.35606060606060602</v>
      </c>
      <c r="AZ440" s="1">
        <f t="shared" si="152"/>
        <v>0.65435606060606066</v>
      </c>
      <c r="BA440" s="1">
        <f t="shared" si="153"/>
        <v>1.1174242424242427</v>
      </c>
      <c r="BB440" s="1">
        <f t="shared" si="154"/>
        <v>0.35606060606060602</v>
      </c>
      <c r="BC440" s="1">
        <f t="shared" si="155"/>
        <v>0.35606060606060602</v>
      </c>
      <c r="BD440" s="1">
        <f t="shared" si="165"/>
        <v>0.10522350606060604</v>
      </c>
      <c r="BF440">
        <f t="shared" si="156"/>
        <v>29.10891089108911</v>
      </c>
      <c r="BG440">
        <f t="shared" si="157"/>
        <v>9.3069306930693063</v>
      </c>
      <c r="BH440" s="1">
        <f t="shared" si="158"/>
        <v>2.2176870748299322</v>
      </c>
      <c r="BI440" s="1">
        <f t="shared" si="159"/>
        <v>0.31972789115646255</v>
      </c>
      <c r="BJ440" s="1">
        <f t="shared" si="166"/>
        <v>0.5630612244897959</v>
      </c>
      <c r="BK440" s="1">
        <f t="shared" si="167"/>
        <v>0.31972789115646255</v>
      </c>
      <c r="BL440" s="22">
        <f t="shared" si="168"/>
        <v>0.31972789115646255</v>
      </c>
      <c r="BM440" s="1">
        <f t="shared" si="160"/>
        <v>4.7459411061633421E-3</v>
      </c>
      <c r="BN440" s="1">
        <f t="shared" si="161"/>
        <v>2.4587439510612076E-2</v>
      </c>
    </row>
    <row r="441" spans="1:66" x14ac:dyDescent="0.25">
      <c r="A441" s="3"/>
      <c r="B441" s="3"/>
      <c r="C441" t="s">
        <v>579</v>
      </c>
      <c r="D441" s="5">
        <v>1</v>
      </c>
      <c r="E441" s="9">
        <f t="shared" si="169"/>
        <v>9.2156862745098049</v>
      </c>
      <c r="F441" s="9">
        <f t="shared" si="170"/>
        <v>0.7196467991169978</v>
      </c>
      <c r="G441">
        <v>1.9607843137254899</v>
      </c>
      <c r="H441">
        <v>24.901960784313719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9.2156862745098049</v>
      </c>
      <c r="P441">
        <v>0</v>
      </c>
      <c r="Q441">
        <v>63.921568627450988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22.605550000000001</v>
      </c>
      <c r="AK441" t="s">
        <v>1</v>
      </c>
      <c r="AL441" t="s">
        <v>374</v>
      </c>
      <c r="AQ441" s="1">
        <f t="shared" si="162"/>
        <v>100</v>
      </c>
      <c r="AR441" s="1">
        <f t="shared" si="147"/>
        <v>9.2156862745098045E-2</v>
      </c>
      <c r="AS441" s="1">
        <f t="shared" si="148"/>
        <v>1.9607843137254898E-2</v>
      </c>
      <c r="AT441" s="1">
        <f t="shared" si="149"/>
        <v>0.24901960784313718</v>
      </c>
      <c r="AU441" s="1">
        <f t="shared" si="150"/>
        <v>0.63921568627450986</v>
      </c>
      <c r="AV441" s="1">
        <f t="shared" si="163"/>
        <v>0.22605550000000002</v>
      </c>
      <c r="AX441" s="1">
        <f t="shared" si="164"/>
        <v>2.3795620437956213</v>
      </c>
      <c r="AY441" s="1">
        <f t="shared" si="151"/>
        <v>0.34306569343065701</v>
      </c>
      <c r="AZ441" s="1">
        <f t="shared" si="152"/>
        <v>0.64872262773722633</v>
      </c>
      <c r="BA441" s="1">
        <f t="shared" si="153"/>
        <v>1.0948905109489053</v>
      </c>
      <c r="BB441" s="1">
        <f t="shared" si="154"/>
        <v>0.34306569343065701</v>
      </c>
      <c r="BC441" s="1">
        <f t="shared" si="155"/>
        <v>0.34306569343065701</v>
      </c>
      <c r="BD441" s="1">
        <f t="shared" si="165"/>
        <v>0.11701019343065699</v>
      </c>
      <c r="BF441">
        <f t="shared" si="156"/>
        <v>32.745098039215677</v>
      </c>
      <c r="BG441">
        <f t="shared" si="157"/>
        <v>9.2156862745098049</v>
      </c>
      <c r="BH441" s="1">
        <f t="shared" si="158"/>
        <v>1.9520958083832343</v>
      </c>
      <c r="BI441" s="1">
        <f t="shared" si="159"/>
        <v>0.2814371257485031</v>
      </c>
      <c r="BJ441" s="1">
        <f t="shared" si="166"/>
        <v>0.547125748502994</v>
      </c>
      <c r="BK441" s="1">
        <f t="shared" si="167"/>
        <v>0.2814371257485031</v>
      </c>
      <c r="BL441" s="22">
        <f t="shared" si="168"/>
        <v>0.2814371257485031</v>
      </c>
      <c r="BM441" s="1">
        <f t="shared" si="160"/>
        <v>3.0671244705472596E-3</v>
      </c>
      <c r="BN441" s="1">
        <f t="shared" si="161"/>
        <v>3.2973266544616117E-2</v>
      </c>
    </row>
    <row r="442" spans="1:66" x14ac:dyDescent="0.25">
      <c r="A442" s="3"/>
      <c r="B442" s="3"/>
      <c r="C442" t="s">
        <v>580</v>
      </c>
      <c r="D442" s="6">
        <v>1</v>
      </c>
      <c r="E442" s="1"/>
      <c r="F442" s="1"/>
      <c r="G442">
        <v>2.912621359223301</v>
      </c>
      <c r="H442">
        <v>24.660194174757279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9.1262135922330092</v>
      </c>
      <c r="P442">
        <v>0</v>
      </c>
      <c r="Q442">
        <v>63.300970873786412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20.585799999999999</v>
      </c>
      <c r="AK442" t="s">
        <v>1</v>
      </c>
      <c r="AL442" t="s">
        <v>374</v>
      </c>
      <c r="AQ442" s="1">
        <f t="shared" si="162"/>
        <v>100</v>
      </c>
      <c r="AR442" s="1">
        <f t="shared" si="147"/>
        <v>9.1262135922330095E-2</v>
      </c>
      <c r="AS442" s="1">
        <f t="shared" si="148"/>
        <v>2.9126213592233011E-2</v>
      </c>
      <c r="AT442" s="1">
        <f t="shared" si="149"/>
        <v>0.2466019417475728</v>
      </c>
      <c r="AU442" s="1">
        <f t="shared" si="150"/>
        <v>0.63300970873786411</v>
      </c>
      <c r="AV442" s="1">
        <f t="shared" si="163"/>
        <v>0.20585799999999999</v>
      </c>
      <c r="AX442" s="1">
        <f t="shared" si="164"/>
        <v>2.295774647887324</v>
      </c>
      <c r="AY442" s="1">
        <f t="shared" si="151"/>
        <v>0.33098591549295775</v>
      </c>
      <c r="AZ442" s="1">
        <f t="shared" si="152"/>
        <v>0.64348591549295775</v>
      </c>
      <c r="BA442" s="1">
        <f t="shared" si="153"/>
        <v>1.073943661971831</v>
      </c>
      <c r="BB442" s="1">
        <f t="shared" si="154"/>
        <v>0.33098591549295775</v>
      </c>
      <c r="BC442" s="1">
        <f t="shared" si="155"/>
        <v>0.33098591549295775</v>
      </c>
      <c r="BD442" s="1">
        <f t="shared" si="165"/>
        <v>0.12512791549295776</v>
      </c>
      <c r="BF442">
        <f t="shared" si="156"/>
        <v>36.310679611650485</v>
      </c>
      <c r="BG442">
        <f t="shared" si="157"/>
        <v>9.1262135922330092</v>
      </c>
      <c r="BH442" s="1">
        <f t="shared" si="158"/>
        <v>1.7433155080213905</v>
      </c>
      <c r="BI442" s="1">
        <f t="shared" si="159"/>
        <v>0.25133689839572193</v>
      </c>
      <c r="BJ442" s="1">
        <f t="shared" si="166"/>
        <v>0.53459893048128337</v>
      </c>
      <c r="BK442" s="1">
        <f t="shared" si="167"/>
        <v>0.25133689839572193</v>
      </c>
      <c r="BL442" s="22">
        <f t="shared" si="168"/>
        <v>0.25133689839572193</v>
      </c>
      <c r="BM442" s="1">
        <f t="shared" si="160"/>
        <v>2.0683301992884002E-3</v>
      </c>
      <c r="BN442" s="1">
        <f t="shared" si="161"/>
        <v>4.0716348790647366E-2</v>
      </c>
    </row>
    <row r="443" spans="1:66" x14ac:dyDescent="0.25">
      <c r="A443" s="3"/>
      <c r="B443" s="3"/>
      <c r="C443" t="s">
        <v>205</v>
      </c>
      <c r="D443" s="5">
        <v>1</v>
      </c>
      <c r="E443" s="9">
        <f t="shared" ref="E443:E506" si="171">I443+L443+M443+N443+O443+V443+X443+AB443+AD443</f>
        <v>40</v>
      </c>
      <c r="F443" s="9">
        <f t="shared" ref="F443:F506" si="172">Q443/(H443+P443+Q443+AC443)</f>
        <v>0.5</v>
      </c>
      <c r="G443">
        <v>0</v>
      </c>
      <c r="H443">
        <v>30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40</v>
      </c>
      <c r="P443">
        <v>0</v>
      </c>
      <c r="Q443">
        <v>30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41</v>
      </c>
      <c r="AK443" t="s">
        <v>1</v>
      </c>
      <c r="AL443" t="s">
        <v>372</v>
      </c>
      <c r="AO443" t="s">
        <v>378</v>
      </c>
      <c r="AQ443" s="1">
        <f t="shared" si="162"/>
        <v>100</v>
      </c>
      <c r="AR443" s="1">
        <f t="shared" si="147"/>
        <v>0.4</v>
      </c>
      <c r="AS443" s="1">
        <f t="shared" si="148"/>
        <v>0</v>
      </c>
      <c r="AT443" s="1">
        <f t="shared" si="149"/>
        <v>0.3</v>
      </c>
      <c r="AU443" s="1">
        <f t="shared" si="150"/>
        <v>0.3</v>
      </c>
      <c r="AV443" s="1">
        <f t="shared" si="163"/>
        <v>0.41</v>
      </c>
      <c r="AX443" s="1">
        <f t="shared" si="164"/>
        <v>1</v>
      </c>
      <c r="AY443" s="1">
        <f t="shared" si="151"/>
        <v>1.3333333333333335</v>
      </c>
      <c r="AZ443" s="1">
        <f t="shared" si="152"/>
        <v>0.5625</v>
      </c>
      <c r="BA443" s="1">
        <f t="shared" si="153"/>
        <v>0.75</v>
      </c>
      <c r="BB443" s="1">
        <f t="shared" si="154"/>
        <v>0.41666666666666663</v>
      </c>
      <c r="BC443" s="1">
        <f t="shared" si="155"/>
        <v>0.41666666666666663</v>
      </c>
      <c r="BD443" s="1">
        <f t="shared" si="165"/>
        <v>6.6666666666666541E-3</v>
      </c>
      <c r="BF443">
        <f t="shared" si="156"/>
        <v>30</v>
      </c>
      <c r="BG443">
        <f t="shared" si="157"/>
        <v>40</v>
      </c>
      <c r="BH443" s="1">
        <f t="shared" si="158"/>
        <v>1</v>
      </c>
      <c r="BI443" s="1">
        <f t="shared" si="159"/>
        <v>1.3333333333333333</v>
      </c>
      <c r="BJ443" s="1">
        <f t="shared" si="166"/>
        <v>0.49</v>
      </c>
      <c r="BK443" s="1">
        <f t="shared" si="167"/>
        <v>0.4328609893047598</v>
      </c>
      <c r="BL443" s="22">
        <f t="shared" si="168"/>
        <v>0.4328609893047598</v>
      </c>
      <c r="BM443" s="1">
        <f t="shared" si="160"/>
        <v>5.2262483199234315E-4</v>
      </c>
      <c r="BN443" s="1">
        <f t="shared" si="161"/>
        <v>5.5652352169781633E-6</v>
      </c>
    </row>
    <row r="444" spans="1:66" x14ac:dyDescent="0.25">
      <c r="A444" s="3"/>
      <c r="B444" s="3"/>
      <c r="C444" t="s">
        <v>206</v>
      </c>
      <c r="D444" s="5">
        <v>1</v>
      </c>
      <c r="E444" s="9">
        <f t="shared" si="171"/>
        <v>38.5</v>
      </c>
      <c r="F444" s="9">
        <f t="shared" si="172"/>
        <v>0.5</v>
      </c>
      <c r="G444">
        <v>1.5</v>
      </c>
      <c r="H444">
        <v>30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38.5</v>
      </c>
      <c r="P444">
        <v>0</v>
      </c>
      <c r="Q444">
        <v>30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43</v>
      </c>
      <c r="AK444" t="s">
        <v>1</v>
      </c>
      <c r="AL444" t="s">
        <v>372</v>
      </c>
      <c r="AQ444" s="1">
        <f t="shared" si="162"/>
        <v>100</v>
      </c>
      <c r="AR444" s="1">
        <f t="shared" si="147"/>
        <v>0.38500000000000001</v>
      </c>
      <c r="AS444" s="1">
        <f t="shared" si="148"/>
        <v>1.4999999999999999E-2</v>
      </c>
      <c r="AT444" s="1">
        <f t="shared" si="149"/>
        <v>0.3</v>
      </c>
      <c r="AU444" s="1">
        <f t="shared" si="150"/>
        <v>0.3</v>
      </c>
      <c r="AV444" s="1">
        <f t="shared" si="163"/>
        <v>0.43</v>
      </c>
      <c r="AX444" s="1">
        <f t="shared" si="164"/>
        <v>0.95238095238095233</v>
      </c>
      <c r="AY444" s="1">
        <f t="shared" si="151"/>
        <v>1.2222222222222223</v>
      </c>
      <c r="AZ444" s="1">
        <f t="shared" si="152"/>
        <v>0.55952380952380953</v>
      </c>
      <c r="BA444" s="1">
        <f t="shared" si="153"/>
        <v>0.73809523809523814</v>
      </c>
      <c r="BB444" s="1">
        <f t="shared" si="154"/>
        <v>0.43719064686806619</v>
      </c>
      <c r="BC444" s="1">
        <f t="shared" si="155"/>
        <v>0.43719064686806619</v>
      </c>
      <c r="BD444" s="1">
        <f t="shared" si="165"/>
        <v>7.1906468680661972E-3</v>
      </c>
      <c r="BF444">
        <f t="shared" si="156"/>
        <v>36</v>
      </c>
      <c r="BG444">
        <f t="shared" si="157"/>
        <v>38.5</v>
      </c>
      <c r="BH444" s="1">
        <f t="shared" si="158"/>
        <v>0.83333333333333337</v>
      </c>
      <c r="BI444" s="1">
        <f t="shared" si="159"/>
        <v>1.0694444444444444</v>
      </c>
      <c r="BJ444" s="1">
        <f t="shared" si="166"/>
        <v>0.48</v>
      </c>
      <c r="BK444" s="1">
        <f t="shared" si="167"/>
        <v>0.45391725919337861</v>
      </c>
      <c r="BL444" s="22">
        <f t="shared" si="168"/>
        <v>0.45391725919337861</v>
      </c>
      <c r="BM444" s="1">
        <f t="shared" si="160"/>
        <v>5.7203528732325387E-4</v>
      </c>
      <c r="BN444" s="1">
        <f t="shared" si="161"/>
        <v>4.9992823828049458E-4</v>
      </c>
    </row>
    <row r="445" spans="1:66" x14ac:dyDescent="0.25">
      <c r="A445" s="3"/>
      <c r="B445" s="3"/>
      <c r="C445" t="s">
        <v>207</v>
      </c>
      <c r="D445" s="5">
        <v>1</v>
      </c>
      <c r="E445" s="9">
        <f t="shared" si="171"/>
        <v>35</v>
      </c>
      <c r="F445" s="9">
        <f t="shared" si="172"/>
        <v>0.5</v>
      </c>
      <c r="G445">
        <v>5</v>
      </c>
      <c r="H445">
        <v>30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35</v>
      </c>
      <c r="P445">
        <v>0</v>
      </c>
      <c r="Q445">
        <v>30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54</v>
      </c>
      <c r="AK445" t="s">
        <v>1</v>
      </c>
      <c r="AL445" t="s">
        <v>372</v>
      </c>
      <c r="AQ445" s="1">
        <f t="shared" si="162"/>
        <v>100</v>
      </c>
      <c r="AR445" s="1">
        <f t="shared" si="147"/>
        <v>0.35</v>
      </c>
      <c r="AS445" s="1">
        <f t="shared" si="148"/>
        <v>0.05</v>
      </c>
      <c r="AT445" s="1">
        <f t="shared" si="149"/>
        <v>0.3</v>
      </c>
      <c r="AU445" s="1">
        <f t="shared" si="150"/>
        <v>0.3</v>
      </c>
      <c r="AV445" s="1">
        <f t="shared" si="163"/>
        <v>0.54</v>
      </c>
      <c r="AX445" s="1">
        <f t="shared" si="164"/>
        <v>0.85714285714285721</v>
      </c>
      <c r="AY445" s="1">
        <f t="shared" si="151"/>
        <v>1</v>
      </c>
      <c r="AZ445" s="1">
        <f t="shared" si="152"/>
        <v>0.5535714285714286</v>
      </c>
      <c r="BA445" s="1">
        <f t="shared" si="153"/>
        <v>0.7142857142857143</v>
      </c>
      <c r="BB445" s="1">
        <f t="shared" si="154"/>
        <v>0.47976190476190478</v>
      </c>
      <c r="BC445" s="1">
        <f t="shared" si="155"/>
        <v>0.47976190476190478</v>
      </c>
      <c r="BD445" s="1">
        <f t="shared" si="165"/>
        <v>6.0238095238095257E-2</v>
      </c>
      <c r="BF445">
        <f t="shared" si="156"/>
        <v>50</v>
      </c>
      <c r="BG445">
        <f t="shared" si="157"/>
        <v>35</v>
      </c>
      <c r="BH445" s="1">
        <f t="shared" si="158"/>
        <v>0.6</v>
      </c>
      <c r="BI445" s="1">
        <f t="shared" si="159"/>
        <v>0.7</v>
      </c>
      <c r="BJ445" s="1">
        <f t="shared" si="166"/>
        <v>0.46599999999999997</v>
      </c>
      <c r="BK445" s="1">
        <f t="shared" si="167"/>
        <v>0.45630519445848833</v>
      </c>
      <c r="BL445" s="22">
        <f t="shared" si="168"/>
        <v>0.45630519445848833</v>
      </c>
      <c r="BM445" s="1">
        <f t="shared" si="160"/>
        <v>7.0048204746314584E-3</v>
      </c>
      <c r="BN445" s="1">
        <f t="shared" si="161"/>
        <v>1.7518924755129846E-2</v>
      </c>
    </row>
    <row r="446" spans="1:66" x14ac:dyDescent="0.25">
      <c r="A446" s="3"/>
      <c r="B446" s="3"/>
      <c r="C446" t="s">
        <v>208</v>
      </c>
      <c r="D446" s="5">
        <v>1</v>
      </c>
      <c r="E446" s="9">
        <f t="shared" si="171"/>
        <v>30</v>
      </c>
      <c r="F446" s="9">
        <f t="shared" si="172"/>
        <v>0.5</v>
      </c>
      <c r="G446">
        <v>10</v>
      </c>
      <c r="H446">
        <v>30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30</v>
      </c>
      <c r="P446">
        <v>0</v>
      </c>
      <c r="Q446">
        <v>30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37</v>
      </c>
      <c r="AK446" t="s">
        <v>1</v>
      </c>
      <c r="AL446" t="s">
        <v>372</v>
      </c>
      <c r="AQ446" s="1">
        <f t="shared" si="162"/>
        <v>100</v>
      </c>
      <c r="AR446" s="1">
        <f t="shared" si="147"/>
        <v>0.3</v>
      </c>
      <c r="AS446" s="1">
        <f t="shared" si="148"/>
        <v>0.1</v>
      </c>
      <c r="AT446" s="1">
        <f t="shared" si="149"/>
        <v>0.3</v>
      </c>
      <c r="AU446" s="1">
        <f t="shared" si="150"/>
        <v>0.3</v>
      </c>
      <c r="AV446" s="1">
        <f t="shared" si="163"/>
        <v>0.37</v>
      </c>
      <c r="AX446" s="1">
        <f t="shared" si="164"/>
        <v>0.74999999999999989</v>
      </c>
      <c r="AY446" s="1">
        <f t="shared" si="151"/>
        <v>0.74999999999999989</v>
      </c>
      <c r="AZ446" s="1">
        <f t="shared" si="152"/>
        <v>0.546875</v>
      </c>
      <c r="BA446" s="1">
        <f t="shared" si="153"/>
        <v>0.6875</v>
      </c>
      <c r="BB446" s="1">
        <f t="shared" si="154"/>
        <v>0.53030303030303028</v>
      </c>
      <c r="BC446" s="1">
        <f t="shared" si="155"/>
        <v>0.53030303030303028</v>
      </c>
      <c r="BD446" s="1">
        <f t="shared" si="165"/>
        <v>0.16030303030303028</v>
      </c>
      <c r="BF446">
        <f t="shared" si="156"/>
        <v>70</v>
      </c>
      <c r="BG446">
        <f t="shared" si="157"/>
        <v>30</v>
      </c>
      <c r="BH446" s="1">
        <f t="shared" si="158"/>
        <v>0.42857142857142855</v>
      </c>
      <c r="BI446" s="1">
        <f t="shared" si="159"/>
        <v>0.42857142857142855</v>
      </c>
      <c r="BJ446" s="1">
        <f t="shared" si="166"/>
        <v>0.45571428571428568</v>
      </c>
      <c r="BK446" s="1">
        <f t="shared" si="167"/>
        <v>0.42857142857142855</v>
      </c>
      <c r="BL446" s="22">
        <f t="shared" si="168"/>
        <v>0.42857142857142855</v>
      </c>
      <c r="BM446" s="1">
        <f t="shared" si="160"/>
        <v>3.4306122448979569E-3</v>
      </c>
      <c r="BN446" s="1">
        <f t="shared" si="161"/>
        <v>1.4168392290899454E-3</v>
      </c>
    </row>
    <row r="447" spans="1:66" x14ac:dyDescent="0.25">
      <c r="A447" s="3"/>
      <c r="B447" s="3"/>
      <c r="C447" t="s">
        <v>209</v>
      </c>
      <c r="D447" s="5">
        <v>1</v>
      </c>
      <c r="E447" s="9">
        <f t="shared" si="171"/>
        <v>25</v>
      </c>
      <c r="F447" s="9">
        <f t="shared" si="172"/>
        <v>0.5</v>
      </c>
      <c r="G447">
        <v>15</v>
      </c>
      <c r="H447">
        <v>30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25</v>
      </c>
      <c r="P447">
        <v>0</v>
      </c>
      <c r="Q447">
        <v>30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17</v>
      </c>
      <c r="AK447" t="s">
        <v>1</v>
      </c>
      <c r="AL447" t="s">
        <v>372</v>
      </c>
      <c r="AQ447" s="1">
        <f t="shared" si="162"/>
        <v>100</v>
      </c>
      <c r="AR447" s="1">
        <f t="shared" si="147"/>
        <v>0.25</v>
      </c>
      <c r="AS447" s="1">
        <f t="shared" si="148"/>
        <v>0.15</v>
      </c>
      <c r="AT447" s="1">
        <f t="shared" si="149"/>
        <v>0.3</v>
      </c>
      <c r="AU447" s="1">
        <f t="shared" si="150"/>
        <v>0.3</v>
      </c>
      <c r="AV447" s="1">
        <f t="shared" si="163"/>
        <v>0.17</v>
      </c>
      <c r="AX447" s="1">
        <f t="shared" si="164"/>
        <v>0.66666666666666674</v>
      </c>
      <c r="AY447" s="1">
        <f t="shared" si="151"/>
        <v>0.55555555555555558</v>
      </c>
      <c r="AZ447" s="1">
        <f t="shared" si="152"/>
        <v>0.54166666666666663</v>
      </c>
      <c r="BA447" s="1">
        <f t="shared" si="153"/>
        <v>0.66666666666666674</v>
      </c>
      <c r="BB447" s="1">
        <f t="shared" si="154"/>
        <v>0.54166666666666663</v>
      </c>
      <c r="BC447" s="1">
        <f t="shared" si="155"/>
        <v>0.54166666666666663</v>
      </c>
      <c r="BD447" s="1">
        <f t="shared" si="165"/>
        <v>0.37166666666666659</v>
      </c>
      <c r="BF447">
        <f t="shared" si="156"/>
        <v>90</v>
      </c>
      <c r="BG447">
        <f t="shared" si="157"/>
        <v>25</v>
      </c>
      <c r="BH447" s="1">
        <f t="shared" si="158"/>
        <v>0.33333333333333331</v>
      </c>
      <c r="BI447" s="1">
        <f t="shared" si="159"/>
        <v>0.27777777777777779</v>
      </c>
      <c r="BJ447" s="1">
        <f t="shared" si="166"/>
        <v>0.45</v>
      </c>
      <c r="BK447" s="1">
        <f t="shared" si="167"/>
        <v>0.27777777777777779</v>
      </c>
      <c r="BL447" s="22">
        <f t="shared" si="168"/>
        <v>0.27777777777777779</v>
      </c>
      <c r="BM447" s="1">
        <f t="shared" si="160"/>
        <v>1.161604938271605E-2</v>
      </c>
      <c r="BN447" s="1">
        <f t="shared" si="161"/>
        <v>5.647320919845477E-2</v>
      </c>
    </row>
    <row r="448" spans="1:66" x14ac:dyDescent="0.25">
      <c r="A448" s="3"/>
      <c r="B448" s="3"/>
      <c r="C448" t="s">
        <v>210</v>
      </c>
      <c r="D448" s="5">
        <v>1</v>
      </c>
      <c r="E448" s="9">
        <f t="shared" si="171"/>
        <v>20</v>
      </c>
      <c r="F448" s="9">
        <f t="shared" si="172"/>
        <v>0.5</v>
      </c>
      <c r="G448">
        <v>20</v>
      </c>
      <c r="H448">
        <v>30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20</v>
      </c>
      <c r="P448">
        <v>0</v>
      </c>
      <c r="Q448">
        <v>30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s">
        <v>1</v>
      </c>
      <c r="AL448" t="s">
        <v>372</v>
      </c>
      <c r="AQ448" s="1">
        <f t="shared" si="162"/>
        <v>100</v>
      </c>
      <c r="AR448" s="1">
        <f t="shared" si="147"/>
        <v>0.2</v>
      </c>
      <c r="AS448" s="1">
        <f t="shared" si="148"/>
        <v>0.2</v>
      </c>
      <c r="AT448" s="1">
        <f t="shared" si="149"/>
        <v>0.3</v>
      </c>
      <c r="AU448" s="1">
        <f t="shared" si="150"/>
        <v>0.3</v>
      </c>
      <c r="AV448" s="1">
        <f t="shared" si="163"/>
        <v>0</v>
      </c>
      <c r="AX448" s="1">
        <f t="shared" si="164"/>
        <v>0.6</v>
      </c>
      <c r="AY448" s="1">
        <f t="shared" si="151"/>
        <v>0.4</v>
      </c>
      <c r="AZ448" s="1">
        <f t="shared" si="152"/>
        <v>0.53749999999999998</v>
      </c>
      <c r="BA448" s="1">
        <f t="shared" si="153"/>
        <v>0.65</v>
      </c>
      <c r="BB448" s="1">
        <f t="shared" si="154"/>
        <v>0.4</v>
      </c>
      <c r="BC448" s="1">
        <f t="shared" si="155"/>
        <v>0.4</v>
      </c>
      <c r="BD448" s="1">
        <f t="shared" si="165"/>
        <v>0.4</v>
      </c>
      <c r="BF448">
        <f t="shared" si="156"/>
        <v>110</v>
      </c>
      <c r="BG448">
        <f t="shared" si="157"/>
        <v>20</v>
      </c>
      <c r="BH448" s="1">
        <f t="shared" si="158"/>
        <v>0.27272727272727271</v>
      </c>
      <c r="BI448" s="1">
        <f t="shared" si="159"/>
        <v>0.18181818181818182</v>
      </c>
      <c r="BJ448" s="1">
        <f t="shared" si="166"/>
        <v>0.44636363636363635</v>
      </c>
      <c r="BK448" s="1">
        <f t="shared" si="167"/>
        <v>0.18181818181818182</v>
      </c>
      <c r="BL448" s="22">
        <f t="shared" si="168"/>
        <v>0.18181818181818182</v>
      </c>
      <c r="BM448" s="1">
        <f t="shared" si="160"/>
        <v>3.3057851239669422E-2</v>
      </c>
      <c r="BN448" s="1">
        <f t="shared" si="161"/>
        <v>0.16617112367241488</v>
      </c>
    </row>
    <row r="449" spans="1:66" x14ac:dyDescent="0.25">
      <c r="A449" s="3"/>
      <c r="B449" s="3"/>
      <c r="C449" t="s">
        <v>211</v>
      </c>
      <c r="D449" s="5">
        <v>1</v>
      </c>
      <c r="E449" s="9">
        <f t="shared" si="171"/>
        <v>15</v>
      </c>
      <c r="F449" s="9">
        <f t="shared" si="172"/>
        <v>0.5</v>
      </c>
      <c r="G449">
        <v>25</v>
      </c>
      <c r="H449">
        <v>30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</v>
      </c>
      <c r="P449">
        <v>0</v>
      </c>
      <c r="Q449">
        <v>30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s">
        <v>1</v>
      </c>
      <c r="AL449" t="s">
        <v>372</v>
      </c>
      <c r="AQ449" s="1">
        <f t="shared" si="162"/>
        <v>100</v>
      </c>
      <c r="AR449" s="1">
        <f t="shared" si="147"/>
        <v>0.15</v>
      </c>
      <c r="AS449" s="1">
        <f t="shared" si="148"/>
        <v>0.25</v>
      </c>
      <c r="AT449" s="1">
        <f t="shared" si="149"/>
        <v>0.3</v>
      </c>
      <c r="AU449" s="1">
        <f t="shared" si="150"/>
        <v>0.3</v>
      </c>
      <c r="AV449" s="1">
        <f t="shared" si="163"/>
        <v>0</v>
      </c>
      <c r="AX449" s="1">
        <f t="shared" si="164"/>
        <v>0.54545454545454541</v>
      </c>
      <c r="AY449" s="1">
        <f t="shared" si="151"/>
        <v>0.27272727272727271</v>
      </c>
      <c r="AZ449" s="1">
        <f t="shared" si="152"/>
        <v>0.53409090909090906</v>
      </c>
      <c r="BA449" s="1">
        <f t="shared" si="153"/>
        <v>0.63636363636363635</v>
      </c>
      <c r="BB449" s="1">
        <f t="shared" si="154"/>
        <v>0.27272727272727271</v>
      </c>
      <c r="BC449" s="1">
        <f t="shared" si="155"/>
        <v>0.27272727272727271</v>
      </c>
      <c r="BD449" s="1">
        <f t="shared" si="165"/>
        <v>0.27272727272727271</v>
      </c>
      <c r="BF449">
        <f t="shared" si="156"/>
        <v>130</v>
      </c>
      <c r="BG449">
        <f t="shared" si="157"/>
        <v>15</v>
      </c>
      <c r="BH449" s="1">
        <f t="shared" si="158"/>
        <v>0.23076923076923078</v>
      </c>
      <c r="BI449" s="1">
        <f t="shared" si="159"/>
        <v>0.11538461538461539</v>
      </c>
      <c r="BJ449" s="1">
        <f t="shared" si="166"/>
        <v>0.44384615384615383</v>
      </c>
      <c r="BK449" s="1">
        <f t="shared" si="167"/>
        <v>0.11538461538461539</v>
      </c>
      <c r="BL449" s="22">
        <f t="shared" si="168"/>
        <v>0.11538461538461539</v>
      </c>
      <c r="BM449" s="1">
        <f t="shared" si="160"/>
        <v>1.3313609467455623E-2</v>
      </c>
      <c r="BN449" s="1">
        <f t="shared" si="161"/>
        <v>0.16617112367241488</v>
      </c>
    </row>
    <row r="450" spans="1:66" x14ac:dyDescent="0.25">
      <c r="A450" s="3"/>
      <c r="B450" s="3"/>
      <c r="C450" t="s">
        <v>212</v>
      </c>
      <c r="D450" s="5">
        <v>1</v>
      </c>
      <c r="E450" s="9">
        <f t="shared" si="171"/>
        <v>7</v>
      </c>
      <c r="F450" s="9">
        <f t="shared" si="172"/>
        <v>0.34146341463414637</v>
      </c>
      <c r="G450">
        <v>11</v>
      </c>
      <c r="H450">
        <v>54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7</v>
      </c>
      <c r="P450">
        <v>0</v>
      </c>
      <c r="Q450">
        <v>28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s">
        <v>1</v>
      </c>
      <c r="AL450" t="s">
        <v>372</v>
      </c>
      <c r="AQ450" s="1">
        <f t="shared" si="162"/>
        <v>100</v>
      </c>
      <c r="AR450" s="1">
        <f t="shared" ref="AR450:AR513" si="173">(L450+M450+O450+X450)/100</f>
        <v>7.0000000000000007E-2</v>
      </c>
      <c r="AS450" s="1">
        <f t="shared" ref="AS450:AS513" si="174">G450/100</f>
        <v>0.11</v>
      </c>
      <c r="AT450" s="1">
        <f t="shared" ref="AT450:AT513" si="175">H450/100</f>
        <v>0.54</v>
      </c>
      <c r="AU450" s="1">
        <f t="shared" ref="AU450:AU513" si="176">Q450/100</f>
        <v>0.28000000000000003</v>
      </c>
      <c r="AV450" s="1">
        <f t="shared" si="163"/>
        <v>0</v>
      </c>
      <c r="AX450" s="1">
        <f t="shared" si="164"/>
        <v>0.43076923076923079</v>
      </c>
      <c r="AY450" s="1">
        <f t="shared" ref="AY450:AY513" si="177">AR450/(AS450+AT450)</f>
        <v>0.1076923076923077</v>
      </c>
      <c r="AZ450" s="1">
        <f t="shared" ref="AZ450:AZ513" si="178">0.5+AX450/16</f>
        <v>0.52692307692307694</v>
      </c>
      <c r="BA450" s="1">
        <f t="shared" ref="BA450:BA513" si="179">0.5+AX450/4</f>
        <v>0.60769230769230775</v>
      </c>
      <c r="BB450" s="1">
        <f t="shared" ref="BB450:BB513" si="180">IF(AY450&lt;=AZ450,AY450,IF(AY450&lt;=BA450,AZ450,AZ450-(AY450-BA450)*(8+AX450)/(12*(2+AX450))))</f>
        <v>0.1076923076923077</v>
      </c>
      <c r="BC450" s="1">
        <f t="shared" ref="BC450:BC513" si="181">IF(BB450&lt;1,BB450,1)</f>
        <v>0.1076923076923077</v>
      </c>
      <c r="BD450" s="1">
        <f t="shared" si="165"/>
        <v>0.1076923076923077</v>
      </c>
      <c r="BF450">
        <f t="shared" ref="BF450:BF513" si="182">$BQ$3*H450+$BQ$4*G450+$BQ$5*P450+$BQ$6*K450+$BQ$7*S450+$BQ$8*U450+$BQ$9*Y450+$BQ$10*J450+$BQ$11*AC450+$BQ$12*AG450+$BQ$13*AH450+$BQ$14*R450+$BQ$15*AE450</f>
        <v>98</v>
      </c>
      <c r="BG450">
        <f t="shared" ref="BG450:BG513" si="183">O450+$BQ$17*M450+$BQ$18*L450+$BQ$19*X450+$BQ$20*AD450+$BQ$21*I450+$BQ$22*N450+$BQ$23*AB450+$BQ$24*V450+$BQ$25*T450+$BQ$26*AA450+$BQ$28*Z450+$BQ$29*AF450+$BQ$30*W450+$BQ$27*AI450</f>
        <v>7</v>
      </c>
      <c r="BH450" s="1">
        <f t="shared" ref="BH450:BH513" si="184">(Q450)/BF450</f>
        <v>0.2857142857142857</v>
      </c>
      <c r="BI450" s="1">
        <f t="shared" ref="BI450:BI513" si="185">BG450/BF450</f>
        <v>7.1428571428571425E-2</v>
      </c>
      <c r="BJ450" s="1">
        <f t="shared" si="166"/>
        <v>0.44714285714285712</v>
      </c>
      <c r="BK450" s="1">
        <f t="shared" si="167"/>
        <v>7.1428571428571425E-2</v>
      </c>
      <c r="BL450" s="22">
        <f t="shared" si="168"/>
        <v>7.1428571428571425E-2</v>
      </c>
      <c r="BM450" s="1">
        <f t="shared" ref="BM450:BM513" si="186">(BL450-AV450)^2</f>
        <v>5.1020408163265302E-3</v>
      </c>
      <c r="BN450" s="1">
        <f t="shared" ref="BN450:BN513" si="187">(AV450-AVERAGE($AV$2:$AV$638))^2</f>
        <v>0.16617112367241488</v>
      </c>
    </row>
    <row r="451" spans="1:66" x14ac:dyDescent="0.25">
      <c r="A451" s="3"/>
      <c r="B451" s="3"/>
      <c r="C451" t="s">
        <v>213</v>
      </c>
      <c r="D451" s="5">
        <v>1</v>
      </c>
      <c r="E451" s="9">
        <f t="shared" si="171"/>
        <v>10</v>
      </c>
      <c r="F451" s="9">
        <f t="shared" si="172"/>
        <v>6.5789473684210523E-2</v>
      </c>
      <c r="G451">
        <v>14</v>
      </c>
      <c r="H451">
        <v>71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0</v>
      </c>
      <c r="Q451">
        <v>5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4</v>
      </c>
      <c r="AK451" t="s">
        <v>1</v>
      </c>
      <c r="AL451" t="s">
        <v>372</v>
      </c>
      <c r="AQ451" s="1">
        <f t="shared" ref="AQ451:AQ514" si="188">SUM(G451:AI451)</f>
        <v>100</v>
      </c>
      <c r="AR451" s="1">
        <f t="shared" si="173"/>
        <v>0.1</v>
      </c>
      <c r="AS451" s="1">
        <f t="shared" si="174"/>
        <v>0.14000000000000001</v>
      </c>
      <c r="AT451" s="1">
        <f t="shared" si="175"/>
        <v>0.71</v>
      </c>
      <c r="AU451" s="1">
        <f t="shared" si="176"/>
        <v>0.05</v>
      </c>
      <c r="AV451" s="1">
        <f t="shared" ref="AV451:AV514" si="189">AJ451/100</f>
        <v>0.04</v>
      </c>
      <c r="AX451" s="1">
        <f t="shared" ref="AX451:AX514" si="190">AU451/(AT451+AS451)</f>
        <v>5.8823529411764712E-2</v>
      </c>
      <c r="AY451" s="1">
        <f t="shared" si="177"/>
        <v>0.11764705882352942</v>
      </c>
      <c r="AZ451" s="1">
        <f t="shared" si="178"/>
        <v>0.50367647058823528</v>
      </c>
      <c r="BA451" s="1">
        <f t="shared" si="179"/>
        <v>0.51470588235294112</v>
      </c>
      <c r="BB451" s="1">
        <f t="shared" si="180"/>
        <v>0.11764705882352942</v>
      </c>
      <c r="BC451" s="1">
        <f t="shared" si="181"/>
        <v>0.11764705882352942</v>
      </c>
      <c r="BD451" s="1">
        <f t="shared" ref="BD451:BD514" si="191">ABS(BC451-AV451)</f>
        <v>7.764705882352943E-2</v>
      </c>
      <c r="BF451">
        <f t="shared" si="182"/>
        <v>127</v>
      </c>
      <c r="BG451">
        <f t="shared" si="183"/>
        <v>10</v>
      </c>
      <c r="BH451" s="1">
        <f t="shared" si="184"/>
        <v>3.937007874015748E-2</v>
      </c>
      <c r="BI451" s="1">
        <f t="shared" si="185"/>
        <v>7.874015748031496E-2</v>
      </c>
      <c r="BJ451" s="1">
        <f t="shared" ref="BJ451:BJ514" si="192">$BQ$32+BH451*$BQ$33</f>
        <v>0.43236220472440945</v>
      </c>
      <c r="BK451" s="1">
        <f t="shared" ref="BK451:BK514" si="193">IF(BI451&lt;BJ451,BI451,$BQ$35*($BQ$36+BI451)*($BQ$37-BI451/($BQ$38+BH451)*$BQ$39)^5)</f>
        <v>7.874015748031496E-2</v>
      </c>
      <c r="BL451" s="22">
        <f t="shared" ref="BL451:BL514" si="194">IF(BK451&lt;1,IF(BK451&gt;0,BK451,0),1)</f>
        <v>7.874015748031496E-2</v>
      </c>
      <c r="BM451" s="1">
        <f t="shared" si="186"/>
        <v>1.500799801599603E-3</v>
      </c>
      <c r="BN451" s="1">
        <f t="shared" si="187"/>
        <v>0.13515984967854194</v>
      </c>
    </row>
    <row r="452" spans="1:66" x14ac:dyDescent="0.25">
      <c r="A452" s="3"/>
      <c r="B452" s="3"/>
      <c r="C452" t="s">
        <v>214</v>
      </c>
      <c r="D452" s="5">
        <v>1</v>
      </c>
      <c r="E452" s="9">
        <f t="shared" si="171"/>
        <v>12.2</v>
      </c>
      <c r="F452" s="9">
        <f t="shared" si="172"/>
        <v>0.67995444191343957</v>
      </c>
      <c r="G452">
        <v>0</v>
      </c>
      <c r="H452">
        <v>28.1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12.2</v>
      </c>
      <c r="P452">
        <v>0</v>
      </c>
      <c r="Q452">
        <v>59.7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34</v>
      </c>
      <c r="AK452" t="s">
        <v>1</v>
      </c>
      <c r="AL452" t="s">
        <v>374</v>
      </c>
      <c r="AN452" t="s">
        <v>373</v>
      </c>
      <c r="AO452" t="s">
        <v>378</v>
      </c>
      <c r="AQ452" s="1">
        <f t="shared" si="188"/>
        <v>100</v>
      </c>
      <c r="AR452" s="1">
        <f t="shared" si="173"/>
        <v>0.122</v>
      </c>
      <c r="AS452" s="1">
        <f t="shared" si="174"/>
        <v>0</v>
      </c>
      <c r="AT452" s="1">
        <f t="shared" si="175"/>
        <v>0.28100000000000003</v>
      </c>
      <c r="AU452" s="1">
        <f t="shared" si="176"/>
        <v>0.59699999999999998</v>
      </c>
      <c r="AV452" s="1">
        <f t="shared" si="189"/>
        <v>0.34</v>
      </c>
      <c r="AX452" s="1">
        <f t="shared" si="190"/>
        <v>2.1245551601423482</v>
      </c>
      <c r="AY452" s="1">
        <f t="shared" si="177"/>
        <v>0.43416370106761559</v>
      </c>
      <c r="AZ452" s="1">
        <f t="shared" si="178"/>
        <v>0.63278469750889677</v>
      </c>
      <c r="BA452" s="1">
        <f t="shared" si="179"/>
        <v>1.0311387900355871</v>
      </c>
      <c r="BB452" s="1">
        <f t="shared" si="180"/>
        <v>0.43416370106761559</v>
      </c>
      <c r="BC452" s="1">
        <f t="shared" si="181"/>
        <v>0.43416370106761559</v>
      </c>
      <c r="BD452" s="1">
        <f t="shared" si="191"/>
        <v>9.4163701067615568E-2</v>
      </c>
      <c r="BF452">
        <f t="shared" si="182"/>
        <v>28.1</v>
      </c>
      <c r="BG452">
        <f t="shared" si="183"/>
        <v>12.2</v>
      </c>
      <c r="BH452" s="1">
        <f t="shared" si="184"/>
        <v>2.1245551601423487</v>
      </c>
      <c r="BI452" s="1">
        <f t="shared" si="185"/>
        <v>0.43416370106761559</v>
      </c>
      <c r="BJ452" s="1">
        <f t="shared" si="192"/>
        <v>0.55747330960854091</v>
      </c>
      <c r="BK452" s="1">
        <f t="shared" si="193"/>
        <v>0.43416370106761559</v>
      </c>
      <c r="BL452" s="22">
        <f t="shared" si="194"/>
        <v>0.43416370106761559</v>
      </c>
      <c r="BM452" s="1">
        <f t="shared" si="186"/>
        <v>8.8668025987512656E-3</v>
      </c>
      <c r="BN452" s="1">
        <f t="shared" si="187"/>
        <v>4.5752947244946671E-3</v>
      </c>
    </row>
    <row r="453" spans="1:66" x14ac:dyDescent="0.25">
      <c r="A453" s="3"/>
      <c r="B453" s="3"/>
      <c r="C453" t="s">
        <v>215</v>
      </c>
      <c r="D453" s="5">
        <v>1</v>
      </c>
      <c r="E453" s="9">
        <f t="shared" si="171"/>
        <v>15.2</v>
      </c>
      <c r="F453" s="9">
        <f t="shared" si="172"/>
        <v>0.68004722550177099</v>
      </c>
      <c r="G453">
        <v>0</v>
      </c>
      <c r="H453">
        <v>27.1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15.2</v>
      </c>
      <c r="P453">
        <v>0</v>
      </c>
      <c r="Q453">
        <v>57.6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48</v>
      </c>
      <c r="AK453" t="s">
        <v>1</v>
      </c>
      <c r="AL453" t="s">
        <v>374</v>
      </c>
      <c r="AQ453" s="1">
        <f t="shared" si="188"/>
        <v>99.9</v>
      </c>
      <c r="AR453" s="1">
        <f t="shared" si="173"/>
        <v>0.152</v>
      </c>
      <c r="AS453" s="1">
        <f t="shared" si="174"/>
        <v>0</v>
      </c>
      <c r="AT453" s="1">
        <f t="shared" si="175"/>
        <v>0.27100000000000002</v>
      </c>
      <c r="AU453" s="1">
        <f t="shared" si="176"/>
        <v>0.57600000000000007</v>
      </c>
      <c r="AV453" s="1">
        <f t="shared" si="189"/>
        <v>0.48</v>
      </c>
      <c r="AX453" s="1">
        <f t="shared" si="190"/>
        <v>2.1254612546125462</v>
      </c>
      <c r="AY453" s="1">
        <f t="shared" si="177"/>
        <v>0.56088560885608851</v>
      </c>
      <c r="AZ453" s="1">
        <f t="shared" si="178"/>
        <v>0.63284132841328411</v>
      </c>
      <c r="BA453" s="1">
        <f t="shared" si="179"/>
        <v>1.0313653136531364</v>
      </c>
      <c r="BB453" s="1">
        <f t="shared" si="180"/>
        <v>0.56088560885608851</v>
      </c>
      <c r="BC453" s="1">
        <f t="shared" si="181"/>
        <v>0.56088560885608851</v>
      </c>
      <c r="BD453" s="1">
        <f t="shared" si="191"/>
        <v>8.0885608856088531E-2</v>
      </c>
      <c r="BF453">
        <f t="shared" si="182"/>
        <v>27.1</v>
      </c>
      <c r="BG453">
        <f t="shared" si="183"/>
        <v>15.2</v>
      </c>
      <c r="BH453" s="1">
        <f t="shared" si="184"/>
        <v>2.1254612546125462</v>
      </c>
      <c r="BI453" s="1">
        <f t="shared" si="185"/>
        <v>0.56088560885608851</v>
      </c>
      <c r="BJ453" s="1">
        <f t="shared" si="192"/>
        <v>0.55752767527675273</v>
      </c>
      <c r="BK453" s="1">
        <f t="shared" si="193"/>
        <v>0.51819089354887948</v>
      </c>
      <c r="BL453" s="22">
        <f t="shared" si="194"/>
        <v>0.51819089354887948</v>
      </c>
      <c r="BM453" s="1">
        <f t="shared" si="186"/>
        <v>1.4585443500618458E-3</v>
      </c>
      <c r="BN453" s="1">
        <f t="shared" si="187"/>
        <v>5.2358357459392837E-3</v>
      </c>
    </row>
    <row r="454" spans="1:66" x14ac:dyDescent="0.25">
      <c r="A454" s="3"/>
      <c r="B454" s="3"/>
      <c r="C454" t="s">
        <v>216</v>
      </c>
      <c r="D454" s="5">
        <v>1</v>
      </c>
      <c r="E454" s="9">
        <f t="shared" si="171"/>
        <v>20.3</v>
      </c>
      <c r="F454" s="9">
        <f t="shared" si="172"/>
        <v>0.68005018820577168</v>
      </c>
      <c r="G454">
        <v>0</v>
      </c>
      <c r="H454">
        <v>25.5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20.3</v>
      </c>
      <c r="P454">
        <v>0</v>
      </c>
      <c r="Q454">
        <v>54.2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54</v>
      </c>
      <c r="AK454" t="s">
        <v>1</v>
      </c>
      <c r="AL454" t="s">
        <v>374</v>
      </c>
      <c r="AQ454" s="1">
        <f t="shared" si="188"/>
        <v>100</v>
      </c>
      <c r="AR454" s="1">
        <f t="shared" si="173"/>
        <v>0.20300000000000001</v>
      </c>
      <c r="AS454" s="1">
        <f t="shared" si="174"/>
        <v>0</v>
      </c>
      <c r="AT454" s="1">
        <f t="shared" si="175"/>
        <v>0.255</v>
      </c>
      <c r="AU454" s="1">
        <f t="shared" si="176"/>
        <v>0.54200000000000004</v>
      </c>
      <c r="AV454" s="1">
        <f t="shared" si="189"/>
        <v>0.54</v>
      </c>
      <c r="AX454" s="1">
        <f t="shared" si="190"/>
        <v>2.1254901960784314</v>
      </c>
      <c r="AY454" s="1">
        <f t="shared" si="177"/>
        <v>0.79607843137254908</v>
      </c>
      <c r="AZ454" s="1">
        <f t="shared" si="178"/>
        <v>0.63284313725490193</v>
      </c>
      <c r="BA454" s="1">
        <f t="shared" si="179"/>
        <v>1.0313725490196077</v>
      </c>
      <c r="BB454" s="1">
        <f t="shared" si="180"/>
        <v>0.63284313725490193</v>
      </c>
      <c r="BC454" s="1">
        <f t="shared" si="181"/>
        <v>0.63284313725490193</v>
      </c>
      <c r="BD454" s="1">
        <f t="shared" si="191"/>
        <v>9.2843137254901897E-2</v>
      </c>
      <c r="BF454">
        <f t="shared" si="182"/>
        <v>25.5</v>
      </c>
      <c r="BG454">
        <f t="shared" si="183"/>
        <v>20.3</v>
      </c>
      <c r="BH454" s="1">
        <f t="shared" si="184"/>
        <v>2.1254901960784314</v>
      </c>
      <c r="BI454" s="1">
        <f t="shared" si="185"/>
        <v>0.79607843137254908</v>
      </c>
      <c r="BJ454" s="1">
        <f t="shared" si="192"/>
        <v>0.55752941176470583</v>
      </c>
      <c r="BK454" s="1">
        <f t="shared" si="193"/>
        <v>0.56255614599212322</v>
      </c>
      <c r="BL454" s="22">
        <f t="shared" si="194"/>
        <v>0.56255614599212322</v>
      </c>
      <c r="BM454" s="1">
        <f t="shared" si="186"/>
        <v>5.0877972201797503E-4</v>
      </c>
      <c r="BN454" s="1">
        <f t="shared" si="187"/>
        <v>1.7518924755129846E-2</v>
      </c>
    </row>
    <row r="455" spans="1:66" x14ac:dyDescent="0.25">
      <c r="A455" s="3"/>
      <c r="B455" s="3"/>
      <c r="C455" t="s">
        <v>217</v>
      </c>
      <c r="D455" s="5">
        <v>1</v>
      </c>
      <c r="E455" s="9">
        <f t="shared" si="171"/>
        <v>25.3</v>
      </c>
      <c r="F455" s="9">
        <f t="shared" si="172"/>
        <v>0.68005354752342706</v>
      </c>
      <c r="G455">
        <v>0</v>
      </c>
      <c r="H455">
        <v>23.9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25.3</v>
      </c>
      <c r="P455">
        <v>0</v>
      </c>
      <c r="Q455">
        <v>50.8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61</v>
      </c>
      <c r="AK455" t="s">
        <v>1</v>
      </c>
      <c r="AL455" t="s">
        <v>374</v>
      </c>
      <c r="AQ455" s="1">
        <f t="shared" si="188"/>
        <v>100</v>
      </c>
      <c r="AR455" s="1">
        <f t="shared" si="173"/>
        <v>0.253</v>
      </c>
      <c r="AS455" s="1">
        <f t="shared" si="174"/>
        <v>0</v>
      </c>
      <c r="AT455" s="1">
        <f t="shared" si="175"/>
        <v>0.23899999999999999</v>
      </c>
      <c r="AU455" s="1">
        <f t="shared" si="176"/>
        <v>0.50800000000000001</v>
      </c>
      <c r="AV455" s="1">
        <f t="shared" si="189"/>
        <v>0.61</v>
      </c>
      <c r="AX455" s="1">
        <f t="shared" si="190"/>
        <v>2.1255230125523012</v>
      </c>
      <c r="AY455" s="1">
        <f t="shared" si="177"/>
        <v>1.0585774058577406</v>
      </c>
      <c r="AZ455" s="1">
        <f t="shared" si="178"/>
        <v>0.63284518828451886</v>
      </c>
      <c r="BA455" s="1">
        <f t="shared" si="179"/>
        <v>1.0313807531380754</v>
      </c>
      <c r="BB455" s="1">
        <f t="shared" si="180"/>
        <v>0.62728265451325538</v>
      </c>
      <c r="BC455" s="1">
        <f t="shared" si="181"/>
        <v>0.62728265451325538</v>
      </c>
      <c r="BD455" s="1">
        <f t="shared" si="191"/>
        <v>1.7282654513255391E-2</v>
      </c>
      <c r="BF455">
        <f t="shared" si="182"/>
        <v>23.9</v>
      </c>
      <c r="BG455">
        <f t="shared" si="183"/>
        <v>25.3</v>
      </c>
      <c r="BH455" s="1">
        <f t="shared" si="184"/>
        <v>2.1255230125523012</v>
      </c>
      <c r="BI455" s="1">
        <f t="shared" si="185"/>
        <v>1.0585774058577406</v>
      </c>
      <c r="BJ455" s="1">
        <f t="shared" si="192"/>
        <v>0.55753138075313813</v>
      </c>
      <c r="BK455" s="1">
        <f t="shared" si="193"/>
        <v>0.57704316320679283</v>
      </c>
      <c r="BL455" s="22">
        <f t="shared" si="194"/>
        <v>0.57704316320679283</v>
      </c>
      <c r="BM455" s="1">
        <f t="shared" si="186"/>
        <v>1.086153091414093E-3</v>
      </c>
      <c r="BN455" s="1">
        <f t="shared" si="187"/>
        <v>4.094919526585214E-2</v>
      </c>
    </row>
    <row r="456" spans="1:66" x14ac:dyDescent="0.25">
      <c r="A456" s="3"/>
      <c r="B456" s="3"/>
      <c r="C456" t="s">
        <v>218</v>
      </c>
      <c r="D456" s="5">
        <v>1</v>
      </c>
      <c r="E456" s="9">
        <f t="shared" si="171"/>
        <v>30.4</v>
      </c>
      <c r="F456" s="9">
        <f t="shared" si="172"/>
        <v>0.6795977011494253</v>
      </c>
      <c r="G456">
        <v>0</v>
      </c>
      <c r="H456">
        <v>22.3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30.4</v>
      </c>
      <c r="P456">
        <v>0</v>
      </c>
      <c r="Q456">
        <v>47.3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57</v>
      </c>
      <c r="AK456" t="s">
        <v>1</v>
      </c>
      <c r="AL456" t="s">
        <v>374</v>
      </c>
      <c r="AQ456" s="1">
        <f t="shared" si="188"/>
        <v>100</v>
      </c>
      <c r="AR456" s="1">
        <f t="shared" si="173"/>
        <v>0.30399999999999999</v>
      </c>
      <c r="AS456" s="1">
        <f t="shared" si="174"/>
        <v>0</v>
      </c>
      <c r="AT456" s="1">
        <f t="shared" si="175"/>
        <v>0.223</v>
      </c>
      <c r="AU456" s="1">
        <f t="shared" si="176"/>
        <v>0.47299999999999998</v>
      </c>
      <c r="AV456" s="1">
        <f t="shared" si="189"/>
        <v>0.56999999999999995</v>
      </c>
      <c r="AX456" s="1">
        <f t="shared" si="190"/>
        <v>2.1210762331838562</v>
      </c>
      <c r="AY456" s="1">
        <f t="shared" si="177"/>
        <v>1.3632286995515694</v>
      </c>
      <c r="AZ456" s="1">
        <f t="shared" si="178"/>
        <v>0.63256726457399104</v>
      </c>
      <c r="BA456" s="1">
        <f t="shared" si="179"/>
        <v>1.0302690582959642</v>
      </c>
      <c r="BB456" s="1">
        <f t="shared" si="180"/>
        <v>0.56442345696482332</v>
      </c>
      <c r="BC456" s="1">
        <f t="shared" si="181"/>
        <v>0.56442345696482332</v>
      </c>
      <c r="BD456" s="1">
        <f t="shared" si="191"/>
        <v>5.5765430351766287E-3</v>
      </c>
      <c r="BF456">
        <f t="shared" si="182"/>
        <v>22.3</v>
      </c>
      <c r="BG456">
        <f t="shared" si="183"/>
        <v>30.4</v>
      </c>
      <c r="BH456" s="1">
        <f t="shared" si="184"/>
        <v>2.1210762331838562</v>
      </c>
      <c r="BI456" s="1">
        <f t="shared" si="185"/>
        <v>1.3632286995515694</v>
      </c>
      <c r="BJ456" s="1">
        <f t="shared" si="192"/>
        <v>0.55726457399103135</v>
      </c>
      <c r="BK456" s="1">
        <f t="shared" si="193"/>
        <v>0.55929599251536444</v>
      </c>
      <c r="BL456" s="22">
        <f t="shared" si="194"/>
        <v>0.55929599251536444</v>
      </c>
      <c r="BM456" s="1">
        <f t="shared" si="186"/>
        <v>1.145757762311331E-4</v>
      </c>
      <c r="BN456" s="1">
        <f t="shared" si="187"/>
        <v>2.6360469259725097E-2</v>
      </c>
    </row>
    <row r="457" spans="1:66" x14ac:dyDescent="0.25">
      <c r="A457" s="3"/>
      <c r="B457" s="3"/>
      <c r="C457" t="s">
        <v>219</v>
      </c>
      <c r="D457" s="5">
        <v>1</v>
      </c>
      <c r="E457" s="9">
        <f t="shared" si="171"/>
        <v>35.4</v>
      </c>
      <c r="F457" s="9">
        <f t="shared" si="172"/>
        <v>0.68062015503875972</v>
      </c>
      <c r="G457">
        <v>0</v>
      </c>
      <c r="H457">
        <v>20.6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35.4</v>
      </c>
      <c r="P457">
        <v>0</v>
      </c>
      <c r="Q457">
        <v>43.9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49</v>
      </c>
      <c r="AK457" t="s">
        <v>1</v>
      </c>
      <c r="AL457" t="s">
        <v>374</v>
      </c>
      <c r="AQ457" s="1">
        <f t="shared" si="188"/>
        <v>99.9</v>
      </c>
      <c r="AR457" s="1">
        <f t="shared" si="173"/>
        <v>0.35399999999999998</v>
      </c>
      <c r="AS457" s="1">
        <f t="shared" si="174"/>
        <v>0</v>
      </c>
      <c r="AT457" s="1">
        <f t="shared" si="175"/>
        <v>0.20600000000000002</v>
      </c>
      <c r="AU457" s="1">
        <f t="shared" si="176"/>
        <v>0.439</v>
      </c>
      <c r="AV457" s="1">
        <f t="shared" si="189"/>
        <v>0.49</v>
      </c>
      <c r="AX457" s="1">
        <f t="shared" si="190"/>
        <v>2.1310679611650483</v>
      </c>
      <c r="AY457" s="1">
        <f t="shared" si="177"/>
        <v>1.7184466019417473</v>
      </c>
      <c r="AZ457" s="1">
        <f t="shared" si="178"/>
        <v>0.63319174757281549</v>
      </c>
      <c r="BA457" s="1">
        <f t="shared" si="179"/>
        <v>1.032766990291262</v>
      </c>
      <c r="BB457" s="1">
        <f t="shared" si="180"/>
        <v>0.49306118064032789</v>
      </c>
      <c r="BC457" s="1">
        <f t="shared" si="181"/>
        <v>0.49306118064032789</v>
      </c>
      <c r="BD457" s="1">
        <f t="shared" si="191"/>
        <v>3.0611806403278985E-3</v>
      </c>
      <c r="BF457">
        <f t="shared" si="182"/>
        <v>20.6</v>
      </c>
      <c r="BG457">
        <f t="shared" si="183"/>
        <v>35.4</v>
      </c>
      <c r="BH457" s="1">
        <f t="shared" si="184"/>
        <v>2.1310679611650483</v>
      </c>
      <c r="BI457" s="1">
        <f t="shared" si="185"/>
        <v>1.7184466019417475</v>
      </c>
      <c r="BJ457" s="1">
        <f t="shared" si="192"/>
        <v>0.55786407766990287</v>
      </c>
      <c r="BK457" s="1">
        <f t="shared" si="193"/>
        <v>0.50971307565860657</v>
      </c>
      <c r="BL457" s="22">
        <f t="shared" si="194"/>
        <v>0.50971307565860657</v>
      </c>
      <c r="BM457" s="1">
        <f t="shared" si="186"/>
        <v>3.8860535192194735E-4</v>
      </c>
      <c r="BN457" s="1">
        <f t="shared" si="187"/>
        <v>6.7830172474710433E-3</v>
      </c>
    </row>
    <row r="458" spans="1:66" x14ac:dyDescent="0.25">
      <c r="A458" s="3"/>
      <c r="B458" s="3"/>
      <c r="C458" t="s">
        <v>220</v>
      </c>
      <c r="D458" s="5">
        <v>1</v>
      </c>
      <c r="E458" s="9">
        <f t="shared" si="171"/>
        <v>4</v>
      </c>
      <c r="F458" s="9">
        <f t="shared" si="172"/>
        <v>0.87737843551797046</v>
      </c>
      <c r="G458">
        <v>1.4</v>
      </c>
      <c r="H458">
        <v>11.6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4</v>
      </c>
      <c r="P458">
        <v>0</v>
      </c>
      <c r="Q458">
        <v>83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26</v>
      </c>
      <c r="AK458" t="s">
        <v>1</v>
      </c>
      <c r="AL458" t="s">
        <v>374</v>
      </c>
      <c r="AM458" t="s">
        <v>377</v>
      </c>
      <c r="AQ458" s="1">
        <f t="shared" si="188"/>
        <v>100</v>
      </c>
      <c r="AR458" s="1">
        <f t="shared" si="173"/>
        <v>0.04</v>
      </c>
      <c r="AS458" s="1">
        <f t="shared" si="174"/>
        <v>1.3999999999999999E-2</v>
      </c>
      <c r="AT458" s="1">
        <f t="shared" si="175"/>
        <v>0.11599999999999999</v>
      </c>
      <c r="AU458" s="1">
        <f t="shared" si="176"/>
        <v>0.83</v>
      </c>
      <c r="AV458" s="1">
        <f t="shared" si="189"/>
        <v>0.26</v>
      </c>
      <c r="AX458" s="1">
        <f t="shared" si="190"/>
        <v>6.3846153846153841</v>
      </c>
      <c r="AY458" s="1">
        <f t="shared" si="177"/>
        <v>0.30769230769230771</v>
      </c>
      <c r="AZ458" s="1">
        <f t="shared" si="178"/>
        <v>0.89903846153846145</v>
      </c>
      <c r="BA458" s="1">
        <f t="shared" si="179"/>
        <v>2.0961538461538458</v>
      </c>
      <c r="BB458" s="1">
        <f t="shared" si="180"/>
        <v>0.30769230769230771</v>
      </c>
      <c r="BC458" s="1">
        <f t="shared" si="181"/>
        <v>0.30769230769230771</v>
      </c>
      <c r="BD458" s="1">
        <f t="shared" si="191"/>
        <v>4.7692307692307701E-2</v>
      </c>
      <c r="BF458">
        <f t="shared" si="182"/>
        <v>17.2</v>
      </c>
      <c r="BG458">
        <f t="shared" si="183"/>
        <v>4</v>
      </c>
      <c r="BH458" s="1">
        <f t="shared" si="184"/>
        <v>4.8255813953488378</v>
      </c>
      <c r="BI458" s="1">
        <f t="shared" si="185"/>
        <v>0.23255813953488372</v>
      </c>
      <c r="BJ458" s="1">
        <f t="shared" si="192"/>
        <v>0.71953488372093033</v>
      </c>
      <c r="BK458" s="1">
        <f t="shared" si="193"/>
        <v>0.23255813953488372</v>
      </c>
      <c r="BL458" s="22">
        <f t="shared" si="194"/>
        <v>0.23255813953488372</v>
      </c>
      <c r="BM458" s="1">
        <f t="shared" si="186"/>
        <v>7.5305570578691251E-4</v>
      </c>
      <c r="BN458" s="1">
        <f t="shared" si="187"/>
        <v>2.1797842712240601E-2</v>
      </c>
    </row>
    <row r="459" spans="1:66" x14ac:dyDescent="0.25">
      <c r="A459" s="3"/>
      <c r="B459" s="3"/>
      <c r="C459" t="s">
        <v>246</v>
      </c>
      <c r="D459" s="5">
        <v>1</v>
      </c>
      <c r="E459" s="9">
        <f t="shared" si="171"/>
        <v>26.599999999999998</v>
      </c>
      <c r="F459" s="9">
        <f t="shared" si="172"/>
        <v>0.90521327014218012</v>
      </c>
      <c r="G459">
        <v>8.6999999999999993</v>
      </c>
      <c r="H459">
        <v>6</v>
      </c>
      <c r="I459">
        <v>24.9</v>
      </c>
      <c r="J459">
        <v>0</v>
      </c>
      <c r="K459">
        <v>0</v>
      </c>
      <c r="L459">
        <v>0</v>
      </c>
      <c r="M459">
        <v>0</v>
      </c>
      <c r="N459">
        <v>0.9</v>
      </c>
      <c r="O459">
        <v>0.8</v>
      </c>
      <c r="P459">
        <v>0</v>
      </c>
      <c r="Q459">
        <v>57.3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14</v>
      </c>
      <c r="AK459" t="s">
        <v>1</v>
      </c>
      <c r="AL459" t="s">
        <v>381</v>
      </c>
      <c r="AP459" t="s">
        <v>390</v>
      </c>
      <c r="AQ459" s="1">
        <f t="shared" si="188"/>
        <v>98.6</v>
      </c>
      <c r="AR459" s="1">
        <f t="shared" si="173"/>
        <v>8.0000000000000002E-3</v>
      </c>
      <c r="AS459" s="1">
        <f t="shared" si="174"/>
        <v>8.6999999999999994E-2</v>
      </c>
      <c r="AT459" s="1">
        <f t="shared" si="175"/>
        <v>0.06</v>
      </c>
      <c r="AU459" s="1">
        <f t="shared" si="176"/>
        <v>0.57299999999999995</v>
      </c>
      <c r="AV459" s="1">
        <f t="shared" si="189"/>
        <v>0.14000000000000001</v>
      </c>
      <c r="AX459" s="1">
        <f t="shared" si="190"/>
        <v>3.8979591836734695</v>
      </c>
      <c r="AY459" s="1">
        <f t="shared" si="177"/>
        <v>5.4421768707482998E-2</v>
      </c>
      <c r="AZ459" s="1">
        <f t="shared" si="178"/>
        <v>0.74362244897959184</v>
      </c>
      <c r="BA459" s="1">
        <f t="shared" si="179"/>
        <v>1.4744897959183674</v>
      </c>
      <c r="BB459" s="1">
        <f t="shared" si="180"/>
        <v>5.4421768707482998E-2</v>
      </c>
      <c r="BC459" s="1">
        <f t="shared" si="181"/>
        <v>5.4421768707482998E-2</v>
      </c>
      <c r="BD459" s="1">
        <f t="shared" si="191"/>
        <v>8.5578231292517015E-2</v>
      </c>
      <c r="BF459">
        <f t="shared" si="182"/>
        <v>40.799999999999997</v>
      </c>
      <c r="BG459">
        <f t="shared" si="183"/>
        <v>13.7</v>
      </c>
      <c r="BH459" s="1">
        <f t="shared" si="184"/>
        <v>1.4044117647058825</v>
      </c>
      <c r="BI459" s="1">
        <f t="shared" si="185"/>
        <v>0.33578431372549022</v>
      </c>
      <c r="BJ459" s="1">
        <f t="shared" si="192"/>
        <v>0.51426470588235296</v>
      </c>
      <c r="BK459" s="1">
        <f t="shared" si="193"/>
        <v>0.33578431372549022</v>
      </c>
      <c r="BL459" s="22">
        <f t="shared" si="194"/>
        <v>0.33578431372549022</v>
      </c>
      <c r="BM459" s="1">
        <f t="shared" si="186"/>
        <v>3.8331497500961174E-2</v>
      </c>
      <c r="BN459" s="1">
        <f t="shared" si="187"/>
        <v>7.1631664693859495E-2</v>
      </c>
    </row>
    <row r="460" spans="1:66" x14ac:dyDescent="0.25">
      <c r="A460" s="3"/>
      <c r="B460" s="3"/>
      <c r="C460" t="s">
        <v>222</v>
      </c>
      <c r="D460" s="5">
        <v>1</v>
      </c>
      <c r="E460" s="9">
        <f t="shared" si="171"/>
        <v>0</v>
      </c>
      <c r="F460" s="9">
        <f t="shared" si="172"/>
        <v>0</v>
      </c>
      <c r="G460">
        <v>0</v>
      </c>
      <c r="H460">
        <v>60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46</v>
      </c>
      <c r="AK460" t="s">
        <v>1</v>
      </c>
      <c r="AL460" t="s">
        <v>374</v>
      </c>
      <c r="AM460" t="s">
        <v>412</v>
      </c>
      <c r="AQ460" s="1">
        <f t="shared" si="188"/>
        <v>100</v>
      </c>
      <c r="AR460" s="1">
        <f t="shared" si="173"/>
        <v>0</v>
      </c>
      <c r="AS460" s="1">
        <f t="shared" si="174"/>
        <v>0</v>
      </c>
      <c r="AT460" s="1">
        <f t="shared" si="175"/>
        <v>0.6</v>
      </c>
      <c r="AU460" s="1">
        <f t="shared" si="176"/>
        <v>0</v>
      </c>
      <c r="AV460" s="1">
        <f t="shared" si="189"/>
        <v>0.46</v>
      </c>
      <c r="AX460" s="1">
        <f t="shared" si="190"/>
        <v>0</v>
      </c>
      <c r="AY460" s="1">
        <f t="shared" si="177"/>
        <v>0</v>
      </c>
      <c r="AZ460" s="1">
        <f t="shared" si="178"/>
        <v>0.5</v>
      </c>
      <c r="BA460" s="1">
        <f t="shared" si="179"/>
        <v>0.5</v>
      </c>
      <c r="BB460" s="1">
        <f t="shared" si="180"/>
        <v>0</v>
      </c>
      <c r="BC460" s="1">
        <f t="shared" si="181"/>
        <v>0</v>
      </c>
      <c r="BD460" s="1">
        <f t="shared" si="191"/>
        <v>0.46</v>
      </c>
      <c r="BF460">
        <f t="shared" si="182"/>
        <v>60</v>
      </c>
      <c r="BG460">
        <f t="shared" si="183"/>
        <v>13.333333333333332</v>
      </c>
      <c r="BH460" s="1">
        <f t="shared" si="184"/>
        <v>0</v>
      </c>
      <c r="BI460" s="1">
        <f t="shared" si="185"/>
        <v>0.22222222222222221</v>
      </c>
      <c r="BJ460" s="1">
        <f t="shared" si="192"/>
        <v>0.43</v>
      </c>
      <c r="BK460" s="1">
        <f t="shared" si="193"/>
        <v>0.22222222222222221</v>
      </c>
      <c r="BL460" s="22">
        <f t="shared" si="194"/>
        <v>0.22222222222222221</v>
      </c>
      <c r="BM460" s="1">
        <f t="shared" si="186"/>
        <v>5.6538271604938288E-2</v>
      </c>
      <c r="BN460" s="1">
        <f t="shared" si="187"/>
        <v>2.7414727428757718E-3</v>
      </c>
    </row>
    <row r="461" spans="1:66" x14ac:dyDescent="0.25">
      <c r="A461" s="3"/>
      <c r="B461" s="3"/>
      <c r="C461" t="s">
        <v>223</v>
      </c>
      <c r="D461" s="5">
        <v>1</v>
      </c>
      <c r="E461" s="9">
        <f t="shared" si="171"/>
        <v>0</v>
      </c>
      <c r="F461" s="9">
        <f t="shared" si="172"/>
        <v>8.3333333333333329E-2</v>
      </c>
      <c r="G461">
        <v>0</v>
      </c>
      <c r="H461">
        <v>55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46</v>
      </c>
      <c r="AK461" t="s">
        <v>1</v>
      </c>
      <c r="AL461" t="s">
        <v>374</v>
      </c>
      <c r="AQ461" s="1">
        <f t="shared" si="188"/>
        <v>100</v>
      </c>
      <c r="AR461" s="1">
        <f t="shared" si="173"/>
        <v>0</v>
      </c>
      <c r="AS461" s="1">
        <f t="shared" si="174"/>
        <v>0</v>
      </c>
      <c r="AT461" s="1">
        <f t="shared" si="175"/>
        <v>0.55000000000000004</v>
      </c>
      <c r="AU461" s="1">
        <f t="shared" si="176"/>
        <v>0.05</v>
      </c>
      <c r="AV461" s="1">
        <f t="shared" si="189"/>
        <v>0.46</v>
      </c>
      <c r="AX461" s="1">
        <f t="shared" si="190"/>
        <v>9.0909090909090912E-2</v>
      </c>
      <c r="AY461" s="1">
        <f t="shared" si="177"/>
        <v>0</v>
      </c>
      <c r="AZ461" s="1">
        <f t="shared" si="178"/>
        <v>0.50568181818181823</v>
      </c>
      <c r="BA461" s="1">
        <f t="shared" si="179"/>
        <v>0.52272727272727271</v>
      </c>
      <c r="BB461" s="1">
        <f t="shared" si="180"/>
        <v>0</v>
      </c>
      <c r="BC461" s="1">
        <f t="shared" si="181"/>
        <v>0</v>
      </c>
      <c r="BD461" s="1">
        <f t="shared" si="191"/>
        <v>0.46</v>
      </c>
      <c r="BF461">
        <f t="shared" si="182"/>
        <v>55</v>
      </c>
      <c r="BG461">
        <f t="shared" si="183"/>
        <v>13.333333333333332</v>
      </c>
      <c r="BH461" s="1">
        <f t="shared" si="184"/>
        <v>9.0909090909090912E-2</v>
      </c>
      <c r="BI461" s="1">
        <f t="shared" si="185"/>
        <v>0.2424242424242424</v>
      </c>
      <c r="BJ461" s="1">
        <f t="shared" si="192"/>
        <v>0.43545454545454543</v>
      </c>
      <c r="BK461" s="1">
        <f t="shared" si="193"/>
        <v>0.2424242424242424</v>
      </c>
      <c r="BL461" s="22">
        <f t="shared" si="194"/>
        <v>0.2424242424242424</v>
      </c>
      <c r="BM461" s="1">
        <f t="shared" si="186"/>
        <v>4.7339210284664847E-2</v>
      </c>
      <c r="BN461" s="1">
        <f t="shared" si="187"/>
        <v>2.7414727428757718E-3</v>
      </c>
    </row>
    <row r="462" spans="1:66" x14ac:dyDescent="0.25">
      <c r="A462" s="3"/>
      <c r="B462" s="3"/>
      <c r="C462" t="s">
        <v>224</v>
      </c>
      <c r="D462" s="5">
        <v>1</v>
      </c>
      <c r="E462" s="9">
        <f t="shared" si="171"/>
        <v>0</v>
      </c>
      <c r="F462" s="9">
        <f t="shared" si="172"/>
        <v>0.16666666666666666</v>
      </c>
      <c r="G462">
        <v>0</v>
      </c>
      <c r="H462">
        <v>50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46</v>
      </c>
      <c r="AK462" t="s">
        <v>1</v>
      </c>
      <c r="AL462" t="s">
        <v>374</v>
      </c>
      <c r="AQ462" s="1">
        <f t="shared" si="188"/>
        <v>100</v>
      </c>
      <c r="AR462" s="1">
        <f t="shared" si="173"/>
        <v>0</v>
      </c>
      <c r="AS462" s="1">
        <f t="shared" si="174"/>
        <v>0</v>
      </c>
      <c r="AT462" s="1">
        <f t="shared" si="175"/>
        <v>0.5</v>
      </c>
      <c r="AU462" s="1">
        <f t="shared" si="176"/>
        <v>0.1</v>
      </c>
      <c r="AV462" s="1">
        <f t="shared" si="189"/>
        <v>0.46</v>
      </c>
      <c r="AX462" s="1">
        <f t="shared" si="190"/>
        <v>0.2</v>
      </c>
      <c r="AY462" s="1">
        <f t="shared" si="177"/>
        <v>0</v>
      </c>
      <c r="AZ462" s="1">
        <f t="shared" si="178"/>
        <v>0.51249999999999996</v>
      </c>
      <c r="BA462" s="1">
        <f t="shared" si="179"/>
        <v>0.55000000000000004</v>
      </c>
      <c r="BB462" s="1">
        <f t="shared" si="180"/>
        <v>0</v>
      </c>
      <c r="BC462" s="1">
        <f t="shared" si="181"/>
        <v>0</v>
      </c>
      <c r="BD462" s="1">
        <f t="shared" si="191"/>
        <v>0.46</v>
      </c>
      <c r="BF462">
        <f t="shared" si="182"/>
        <v>50</v>
      </c>
      <c r="BG462">
        <f t="shared" si="183"/>
        <v>13.333333333333332</v>
      </c>
      <c r="BH462" s="1">
        <f t="shared" si="184"/>
        <v>0.2</v>
      </c>
      <c r="BI462" s="1">
        <f t="shared" si="185"/>
        <v>0.26666666666666666</v>
      </c>
      <c r="BJ462" s="1">
        <f t="shared" si="192"/>
        <v>0.442</v>
      </c>
      <c r="BK462" s="1">
        <f t="shared" si="193"/>
        <v>0.26666666666666666</v>
      </c>
      <c r="BL462" s="22">
        <f t="shared" si="194"/>
        <v>0.26666666666666666</v>
      </c>
      <c r="BM462" s="1">
        <f t="shared" si="186"/>
        <v>3.7377777777777788E-2</v>
      </c>
      <c r="BN462" s="1">
        <f t="shared" si="187"/>
        <v>2.7414727428757718E-3</v>
      </c>
    </row>
    <row r="463" spans="1:66" x14ac:dyDescent="0.25">
      <c r="A463" s="3"/>
      <c r="B463" s="3"/>
      <c r="C463" t="s">
        <v>225</v>
      </c>
      <c r="D463" s="5">
        <v>1</v>
      </c>
      <c r="E463" s="9">
        <f t="shared" si="171"/>
        <v>0</v>
      </c>
      <c r="F463" s="9">
        <f t="shared" si="172"/>
        <v>0.33333333333333331</v>
      </c>
      <c r="G463">
        <v>0</v>
      </c>
      <c r="H463">
        <v>40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46</v>
      </c>
      <c r="AK463" t="s">
        <v>1</v>
      </c>
      <c r="AL463" t="s">
        <v>374</v>
      </c>
      <c r="AQ463" s="1">
        <f t="shared" si="188"/>
        <v>100</v>
      </c>
      <c r="AR463" s="1">
        <f t="shared" si="173"/>
        <v>0</v>
      </c>
      <c r="AS463" s="1">
        <f t="shared" si="174"/>
        <v>0</v>
      </c>
      <c r="AT463" s="1">
        <f t="shared" si="175"/>
        <v>0.4</v>
      </c>
      <c r="AU463" s="1">
        <f t="shared" si="176"/>
        <v>0.2</v>
      </c>
      <c r="AV463" s="1">
        <f t="shared" si="189"/>
        <v>0.46</v>
      </c>
      <c r="AX463" s="1">
        <f t="shared" si="190"/>
        <v>0.5</v>
      </c>
      <c r="AY463" s="1">
        <f t="shared" si="177"/>
        <v>0</v>
      </c>
      <c r="AZ463" s="1">
        <f t="shared" si="178"/>
        <v>0.53125</v>
      </c>
      <c r="BA463" s="1">
        <f t="shared" si="179"/>
        <v>0.625</v>
      </c>
      <c r="BB463" s="1">
        <f t="shared" si="180"/>
        <v>0</v>
      </c>
      <c r="BC463" s="1">
        <f t="shared" si="181"/>
        <v>0</v>
      </c>
      <c r="BD463" s="1">
        <f t="shared" si="191"/>
        <v>0.46</v>
      </c>
      <c r="BF463">
        <f t="shared" si="182"/>
        <v>40</v>
      </c>
      <c r="BG463">
        <f t="shared" si="183"/>
        <v>13.333333333333332</v>
      </c>
      <c r="BH463" s="1">
        <f t="shared" si="184"/>
        <v>0.5</v>
      </c>
      <c r="BI463" s="1">
        <f t="shared" si="185"/>
        <v>0.33333333333333331</v>
      </c>
      <c r="BJ463" s="1">
        <f t="shared" si="192"/>
        <v>0.45999999999999996</v>
      </c>
      <c r="BK463" s="1">
        <f t="shared" si="193"/>
        <v>0.33333333333333331</v>
      </c>
      <c r="BL463" s="22">
        <f t="shared" si="194"/>
        <v>0.33333333333333331</v>
      </c>
      <c r="BM463" s="1">
        <f t="shared" si="186"/>
        <v>1.6044444444444455E-2</v>
      </c>
      <c r="BN463" s="1">
        <f t="shared" si="187"/>
        <v>2.7414727428757718E-3</v>
      </c>
    </row>
    <row r="464" spans="1:66" x14ac:dyDescent="0.25">
      <c r="A464" s="3"/>
      <c r="B464" s="3"/>
      <c r="C464" t="s">
        <v>226</v>
      </c>
      <c r="D464" s="5">
        <v>1</v>
      </c>
      <c r="E464" s="9">
        <f t="shared" si="171"/>
        <v>0</v>
      </c>
      <c r="F464" s="9">
        <f t="shared" si="172"/>
        <v>0</v>
      </c>
      <c r="G464">
        <v>0</v>
      </c>
      <c r="H464">
        <v>50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45</v>
      </c>
      <c r="AK464" t="s">
        <v>1</v>
      </c>
      <c r="AL464" t="s">
        <v>374</v>
      </c>
      <c r="AQ464" s="1">
        <f t="shared" si="188"/>
        <v>100</v>
      </c>
      <c r="AR464" s="1">
        <f t="shared" si="173"/>
        <v>0</v>
      </c>
      <c r="AS464" s="1">
        <f t="shared" si="174"/>
        <v>0</v>
      </c>
      <c r="AT464" s="1">
        <f t="shared" si="175"/>
        <v>0.5</v>
      </c>
      <c r="AU464" s="1">
        <f t="shared" si="176"/>
        <v>0</v>
      </c>
      <c r="AV464" s="1">
        <f t="shared" si="189"/>
        <v>0.45</v>
      </c>
      <c r="AX464" s="1">
        <f t="shared" si="190"/>
        <v>0</v>
      </c>
      <c r="AY464" s="1">
        <f t="shared" si="177"/>
        <v>0</v>
      </c>
      <c r="AZ464" s="1">
        <f t="shared" si="178"/>
        <v>0.5</v>
      </c>
      <c r="BA464" s="1">
        <f t="shared" si="179"/>
        <v>0.5</v>
      </c>
      <c r="BB464" s="1">
        <f t="shared" si="180"/>
        <v>0</v>
      </c>
      <c r="BC464" s="1">
        <f t="shared" si="181"/>
        <v>0</v>
      </c>
      <c r="BD464" s="1">
        <f t="shared" si="191"/>
        <v>0.45</v>
      </c>
      <c r="BF464">
        <f t="shared" si="182"/>
        <v>50</v>
      </c>
      <c r="BG464">
        <f t="shared" si="183"/>
        <v>16.666666666666664</v>
      </c>
      <c r="BH464" s="1">
        <f t="shared" si="184"/>
        <v>0</v>
      </c>
      <c r="BI464" s="1">
        <f t="shared" si="185"/>
        <v>0.33333333333333326</v>
      </c>
      <c r="BJ464" s="1">
        <f t="shared" si="192"/>
        <v>0.43</v>
      </c>
      <c r="BK464" s="1">
        <f t="shared" si="193"/>
        <v>0.33333333333333326</v>
      </c>
      <c r="BL464" s="22">
        <f t="shared" si="194"/>
        <v>0.33333333333333326</v>
      </c>
      <c r="BM464" s="1">
        <f t="shared" si="186"/>
        <v>1.3611111111111131E-2</v>
      </c>
      <c r="BN464" s="1">
        <f t="shared" si="187"/>
        <v>1.7942912413440124E-3</v>
      </c>
    </row>
    <row r="465" spans="1:66" x14ac:dyDescent="0.25">
      <c r="A465" s="3"/>
      <c r="B465" s="3"/>
      <c r="C465" t="s">
        <v>227</v>
      </c>
      <c r="D465" s="5">
        <v>1</v>
      </c>
      <c r="E465" s="9">
        <f t="shared" si="171"/>
        <v>0</v>
      </c>
      <c r="F465" s="9">
        <f t="shared" si="172"/>
        <v>0.1</v>
      </c>
      <c r="G465">
        <v>0</v>
      </c>
      <c r="H465">
        <v>45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43</v>
      </c>
      <c r="AK465" t="s">
        <v>1</v>
      </c>
      <c r="AL465" t="s">
        <v>374</v>
      </c>
      <c r="AQ465" s="1">
        <f t="shared" si="188"/>
        <v>100</v>
      </c>
      <c r="AR465" s="1">
        <f t="shared" si="173"/>
        <v>0</v>
      </c>
      <c r="AS465" s="1">
        <f t="shared" si="174"/>
        <v>0</v>
      </c>
      <c r="AT465" s="1">
        <f t="shared" si="175"/>
        <v>0.45</v>
      </c>
      <c r="AU465" s="1">
        <f t="shared" si="176"/>
        <v>0.05</v>
      </c>
      <c r="AV465" s="1">
        <f t="shared" si="189"/>
        <v>0.43</v>
      </c>
      <c r="AX465" s="1">
        <f t="shared" si="190"/>
        <v>0.11111111111111112</v>
      </c>
      <c r="AY465" s="1">
        <f t="shared" si="177"/>
        <v>0</v>
      </c>
      <c r="AZ465" s="1">
        <f t="shared" si="178"/>
        <v>0.50694444444444442</v>
      </c>
      <c r="BA465" s="1">
        <f t="shared" si="179"/>
        <v>0.52777777777777779</v>
      </c>
      <c r="BB465" s="1">
        <f t="shared" si="180"/>
        <v>0</v>
      </c>
      <c r="BC465" s="1">
        <f t="shared" si="181"/>
        <v>0</v>
      </c>
      <c r="BD465" s="1">
        <f t="shared" si="191"/>
        <v>0.43</v>
      </c>
      <c r="BF465">
        <f t="shared" si="182"/>
        <v>45</v>
      </c>
      <c r="BG465">
        <f t="shared" si="183"/>
        <v>16.666666666666664</v>
      </c>
      <c r="BH465" s="1">
        <f t="shared" si="184"/>
        <v>0.1111111111111111</v>
      </c>
      <c r="BI465" s="1">
        <f t="shared" si="185"/>
        <v>0.37037037037037029</v>
      </c>
      <c r="BJ465" s="1">
        <f t="shared" si="192"/>
        <v>0.43666666666666665</v>
      </c>
      <c r="BK465" s="1">
        <f t="shared" si="193"/>
        <v>0.37037037037037029</v>
      </c>
      <c r="BL465" s="22">
        <f t="shared" si="194"/>
        <v>0.37037037037037029</v>
      </c>
      <c r="BM465" s="1">
        <f t="shared" si="186"/>
        <v>3.5556927297668121E-3</v>
      </c>
      <c r="BN465" s="1">
        <f t="shared" si="187"/>
        <v>4.9992823828049458E-4</v>
      </c>
    </row>
    <row r="466" spans="1:66" x14ac:dyDescent="0.25">
      <c r="A466" s="3"/>
      <c r="B466" s="3"/>
      <c r="C466" t="s">
        <v>228</v>
      </c>
      <c r="D466" s="5">
        <v>1</v>
      </c>
      <c r="E466" s="9">
        <f t="shared" si="171"/>
        <v>0</v>
      </c>
      <c r="F466" s="9">
        <f t="shared" si="172"/>
        <v>0.2</v>
      </c>
      <c r="G466">
        <v>0</v>
      </c>
      <c r="H466">
        <v>40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43</v>
      </c>
      <c r="AK466" t="s">
        <v>1</v>
      </c>
      <c r="AL466" t="s">
        <v>374</v>
      </c>
      <c r="AQ466" s="1">
        <f t="shared" si="188"/>
        <v>100</v>
      </c>
      <c r="AR466" s="1">
        <f t="shared" si="173"/>
        <v>0</v>
      </c>
      <c r="AS466" s="1">
        <f t="shared" si="174"/>
        <v>0</v>
      </c>
      <c r="AT466" s="1">
        <f t="shared" si="175"/>
        <v>0.4</v>
      </c>
      <c r="AU466" s="1">
        <f t="shared" si="176"/>
        <v>0.1</v>
      </c>
      <c r="AV466" s="1">
        <f t="shared" si="189"/>
        <v>0.43</v>
      </c>
      <c r="AX466" s="1">
        <f t="shared" si="190"/>
        <v>0.25</v>
      </c>
      <c r="AY466" s="1">
        <f t="shared" si="177"/>
        <v>0</v>
      </c>
      <c r="AZ466" s="1">
        <f t="shared" si="178"/>
        <v>0.515625</v>
      </c>
      <c r="BA466" s="1">
        <f t="shared" si="179"/>
        <v>0.5625</v>
      </c>
      <c r="BB466" s="1">
        <f t="shared" si="180"/>
        <v>0</v>
      </c>
      <c r="BC466" s="1">
        <f t="shared" si="181"/>
        <v>0</v>
      </c>
      <c r="BD466" s="1">
        <f t="shared" si="191"/>
        <v>0.43</v>
      </c>
      <c r="BF466">
        <f t="shared" si="182"/>
        <v>40</v>
      </c>
      <c r="BG466">
        <f t="shared" si="183"/>
        <v>16.666666666666664</v>
      </c>
      <c r="BH466" s="1">
        <f t="shared" si="184"/>
        <v>0.25</v>
      </c>
      <c r="BI466" s="1">
        <f t="shared" si="185"/>
        <v>0.41666666666666663</v>
      </c>
      <c r="BJ466" s="1">
        <f t="shared" si="192"/>
        <v>0.44500000000000001</v>
      </c>
      <c r="BK466" s="1">
        <f t="shared" si="193"/>
        <v>0.41666666666666663</v>
      </c>
      <c r="BL466" s="22">
        <f t="shared" si="194"/>
        <v>0.41666666666666663</v>
      </c>
      <c r="BM466" s="1">
        <f t="shared" si="186"/>
        <v>1.777777777777786E-4</v>
      </c>
      <c r="BN466" s="1">
        <f t="shared" si="187"/>
        <v>4.9992823828049458E-4</v>
      </c>
    </row>
    <row r="467" spans="1:66" x14ac:dyDescent="0.25">
      <c r="A467" s="3"/>
      <c r="B467" s="3"/>
      <c r="C467" t="s">
        <v>229</v>
      </c>
      <c r="D467" s="5">
        <v>1</v>
      </c>
      <c r="E467" s="9">
        <f t="shared" si="171"/>
        <v>0</v>
      </c>
      <c r="F467" s="9">
        <f t="shared" si="172"/>
        <v>0.4</v>
      </c>
      <c r="G467">
        <v>0</v>
      </c>
      <c r="H467">
        <v>30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50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42</v>
      </c>
      <c r="AK467" t="s">
        <v>1</v>
      </c>
      <c r="AL467" t="s">
        <v>374</v>
      </c>
      <c r="AQ467" s="1">
        <f t="shared" si="188"/>
        <v>100</v>
      </c>
      <c r="AR467" s="1">
        <f t="shared" si="173"/>
        <v>0</v>
      </c>
      <c r="AS467" s="1">
        <f t="shared" si="174"/>
        <v>0</v>
      </c>
      <c r="AT467" s="1">
        <f t="shared" si="175"/>
        <v>0.3</v>
      </c>
      <c r="AU467" s="1">
        <f t="shared" si="176"/>
        <v>0.2</v>
      </c>
      <c r="AV467" s="1">
        <f t="shared" si="189"/>
        <v>0.42</v>
      </c>
      <c r="AX467" s="1">
        <f t="shared" si="190"/>
        <v>0.66666666666666674</v>
      </c>
      <c r="AY467" s="1">
        <f t="shared" si="177"/>
        <v>0</v>
      </c>
      <c r="AZ467" s="1">
        <f t="shared" si="178"/>
        <v>0.54166666666666663</v>
      </c>
      <c r="BA467" s="1">
        <f t="shared" si="179"/>
        <v>0.66666666666666674</v>
      </c>
      <c r="BB467" s="1">
        <f t="shared" si="180"/>
        <v>0</v>
      </c>
      <c r="BC467" s="1">
        <f t="shared" si="181"/>
        <v>0</v>
      </c>
      <c r="BD467" s="1">
        <f t="shared" si="191"/>
        <v>0.42</v>
      </c>
      <c r="BF467">
        <f t="shared" si="182"/>
        <v>30</v>
      </c>
      <c r="BG467">
        <f t="shared" si="183"/>
        <v>16.666666666666664</v>
      </c>
      <c r="BH467" s="1">
        <f t="shared" si="184"/>
        <v>0.66666666666666663</v>
      </c>
      <c r="BI467" s="1">
        <f t="shared" si="185"/>
        <v>0.55555555555555547</v>
      </c>
      <c r="BJ467" s="1">
        <f t="shared" si="192"/>
        <v>0.47</v>
      </c>
      <c r="BK467" s="1">
        <f t="shared" si="193"/>
        <v>0.45195769066397623</v>
      </c>
      <c r="BL467" s="22">
        <f t="shared" si="194"/>
        <v>0.45195769066397623</v>
      </c>
      <c r="BM467" s="1">
        <f t="shared" si="186"/>
        <v>1.0212939925743946E-3</v>
      </c>
      <c r="BN467" s="1">
        <f t="shared" si="187"/>
        <v>1.527467367487362E-4</v>
      </c>
    </row>
    <row r="468" spans="1:66" x14ac:dyDescent="0.25">
      <c r="A468" s="3"/>
      <c r="B468" s="3"/>
      <c r="C468" t="s">
        <v>230</v>
      </c>
      <c r="D468" s="5">
        <v>1</v>
      </c>
      <c r="E468" s="9">
        <f t="shared" si="171"/>
        <v>0</v>
      </c>
      <c r="F468" s="9">
        <f t="shared" si="172"/>
        <v>0</v>
      </c>
      <c r="G468">
        <v>2</v>
      </c>
      <c r="H468">
        <v>48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50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41</v>
      </c>
      <c r="AK468" t="s">
        <v>1</v>
      </c>
      <c r="AL468" t="s">
        <v>374</v>
      </c>
      <c r="AQ468" s="1">
        <f t="shared" si="188"/>
        <v>100</v>
      </c>
      <c r="AR468" s="1">
        <f t="shared" si="173"/>
        <v>0</v>
      </c>
      <c r="AS468" s="1">
        <f t="shared" si="174"/>
        <v>0.02</v>
      </c>
      <c r="AT468" s="1">
        <f t="shared" si="175"/>
        <v>0.48</v>
      </c>
      <c r="AU468" s="1">
        <f t="shared" si="176"/>
        <v>0</v>
      </c>
      <c r="AV468" s="1">
        <f t="shared" si="189"/>
        <v>0.41</v>
      </c>
      <c r="AX468" s="1">
        <f t="shared" si="190"/>
        <v>0</v>
      </c>
      <c r="AY468" s="1">
        <f t="shared" si="177"/>
        <v>0</v>
      </c>
      <c r="AZ468" s="1">
        <f t="shared" si="178"/>
        <v>0.5</v>
      </c>
      <c r="BA468" s="1">
        <f t="shared" si="179"/>
        <v>0.5</v>
      </c>
      <c r="BB468" s="1">
        <f t="shared" si="180"/>
        <v>0</v>
      </c>
      <c r="BC468" s="1">
        <f t="shared" si="181"/>
        <v>0</v>
      </c>
      <c r="BD468" s="1">
        <f t="shared" si="191"/>
        <v>0.41</v>
      </c>
      <c r="BF468">
        <f t="shared" si="182"/>
        <v>56</v>
      </c>
      <c r="BG468">
        <f t="shared" si="183"/>
        <v>16.666666666666664</v>
      </c>
      <c r="BH468" s="1">
        <f t="shared" si="184"/>
        <v>0</v>
      </c>
      <c r="BI468" s="1">
        <f t="shared" si="185"/>
        <v>0.29761904761904756</v>
      </c>
      <c r="BJ468" s="1">
        <f t="shared" si="192"/>
        <v>0.43</v>
      </c>
      <c r="BK468" s="1">
        <f t="shared" si="193"/>
        <v>0.29761904761904756</v>
      </c>
      <c r="BL468" s="22">
        <f t="shared" si="194"/>
        <v>0.29761904761904756</v>
      </c>
      <c r="BM468" s="1">
        <f t="shared" si="186"/>
        <v>1.2629478458049894E-2</v>
      </c>
      <c r="BN468" s="1">
        <f t="shared" si="187"/>
        <v>5.5652352169781633E-6</v>
      </c>
    </row>
    <row r="469" spans="1:66" x14ac:dyDescent="0.25">
      <c r="A469" s="3"/>
      <c r="B469" s="3"/>
      <c r="C469" t="s">
        <v>231</v>
      </c>
      <c r="D469" s="5">
        <v>1</v>
      </c>
      <c r="E469" s="9">
        <f t="shared" si="171"/>
        <v>0</v>
      </c>
      <c r="F469" s="9">
        <f t="shared" si="172"/>
        <v>0</v>
      </c>
      <c r="G469">
        <v>4</v>
      </c>
      <c r="H469">
        <v>46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50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36</v>
      </c>
      <c r="AK469" t="s">
        <v>1</v>
      </c>
      <c r="AL469" t="s">
        <v>374</v>
      </c>
      <c r="AQ469" s="1">
        <f t="shared" si="188"/>
        <v>100</v>
      </c>
      <c r="AR469" s="1">
        <f t="shared" si="173"/>
        <v>0</v>
      </c>
      <c r="AS469" s="1">
        <f t="shared" si="174"/>
        <v>0.04</v>
      </c>
      <c r="AT469" s="1">
        <f t="shared" si="175"/>
        <v>0.46</v>
      </c>
      <c r="AU469" s="1">
        <f t="shared" si="176"/>
        <v>0</v>
      </c>
      <c r="AV469" s="1">
        <f t="shared" si="189"/>
        <v>0.36</v>
      </c>
      <c r="AX469" s="1">
        <f t="shared" si="190"/>
        <v>0</v>
      </c>
      <c r="AY469" s="1">
        <f t="shared" si="177"/>
        <v>0</v>
      </c>
      <c r="AZ469" s="1">
        <f t="shared" si="178"/>
        <v>0.5</v>
      </c>
      <c r="BA469" s="1">
        <f t="shared" si="179"/>
        <v>0.5</v>
      </c>
      <c r="BB469" s="1">
        <f t="shared" si="180"/>
        <v>0</v>
      </c>
      <c r="BC469" s="1">
        <f t="shared" si="181"/>
        <v>0</v>
      </c>
      <c r="BD469" s="1">
        <f t="shared" si="191"/>
        <v>0.36</v>
      </c>
      <c r="BF469">
        <f t="shared" si="182"/>
        <v>62</v>
      </c>
      <c r="BG469">
        <f t="shared" si="183"/>
        <v>16.666666666666664</v>
      </c>
      <c r="BH469" s="1">
        <f t="shared" si="184"/>
        <v>0</v>
      </c>
      <c r="BI469" s="1">
        <f t="shared" si="185"/>
        <v>0.26881720430107525</v>
      </c>
      <c r="BJ469" s="1">
        <f t="shared" si="192"/>
        <v>0.43</v>
      </c>
      <c r="BK469" s="1">
        <f t="shared" si="193"/>
        <v>0.26881720430107525</v>
      </c>
      <c r="BL469" s="22">
        <f t="shared" si="194"/>
        <v>0.26881720430107525</v>
      </c>
      <c r="BM469" s="1">
        <f t="shared" si="186"/>
        <v>8.3143022314718477E-3</v>
      </c>
      <c r="BN469" s="1">
        <f t="shared" si="187"/>
        <v>2.2696577275581882E-3</v>
      </c>
    </row>
    <row r="470" spans="1:66" x14ac:dyDescent="0.25">
      <c r="A470" s="3"/>
      <c r="B470" s="3"/>
      <c r="C470" t="s">
        <v>232</v>
      </c>
      <c r="D470" s="5">
        <v>1</v>
      </c>
      <c r="E470" s="9">
        <f t="shared" si="171"/>
        <v>0</v>
      </c>
      <c r="F470" s="9">
        <f t="shared" si="172"/>
        <v>0</v>
      </c>
      <c r="G470">
        <v>6</v>
      </c>
      <c r="H470">
        <v>44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50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34</v>
      </c>
      <c r="AK470" t="s">
        <v>1</v>
      </c>
      <c r="AL470" t="s">
        <v>374</v>
      </c>
      <c r="AQ470" s="1">
        <f t="shared" si="188"/>
        <v>100</v>
      </c>
      <c r="AR470" s="1">
        <f t="shared" si="173"/>
        <v>0</v>
      </c>
      <c r="AS470" s="1">
        <f t="shared" si="174"/>
        <v>0.06</v>
      </c>
      <c r="AT470" s="1">
        <f t="shared" si="175"/>
        <v>0.44</v>
      </c>
      <c r="AU470" s="1">
        <f t="shared" si="176"/>
        <v>0</v>
      </c>
      <c r="AV470" s="1">
        <f t="shared" si="189"/>
        <v>0.34</v>
      </c>
      <c r="AX470" s="1">
        <f t="shared" si="190"/>
        <v>0</v>
      </c>
      <c r="AY470" s="1">
        <f t="shared" si="177"/>
        <v>0</v>
      </c>
      <c r="AZ470" s="1">
        <f t="shared" si="178"/>
        <v>0.5</v>
      </c>
      <c r="BA470" s="1">
        <f t="shared" si="179"/>
        <v>0.5</v>
      </c>
      <c r="BB470" s="1">
        <f t="shared" si="180"/>
        <v>0</v>
      </c>
      <c r="BC470" s="1">
        <f t="shared" si="181"/>
        <v>0</v>
      </c>
      <c r="BD470" s="1">
        <f t="shared" si="191"/>
        <v>0.34</v>
      </c>
      <c r="BF470">
        <f t="shared" si="182"/>
        <v>68</v>
      </c>
      <c r="BG470">
        <f t="shared" si="183"/>
        <v>16.666666666666664</v>
      </c>
      <c r="BH470" s="1">
        <f t="shared" si="184"/>
        <v>0</v>
      </c>
      <c r="BI470" s="1">
        <f t="shared" si="185"/>
        <v>0.24509803921568624</v>
      </c>
      <c r="BJ470" s="1">
        <f t="shared" si="192"/>
        <v>0.43</v>
      </c>
      <c r="BK470" s="1">
        <f t="shared" si="193"/>
        <v>0.24509803921568624</v>
      </c>
      <c r="BL470" s="22">
        <f t="shared" si="194"/>
        <v>0.24509803921568624</v>
      </c>
      <c r="BM470" s="1">
        <f t="shared" si="186"/>
        <v>9.006382160707432E-3</v>
      </c>
      <c r="BN470" s="1">
        <f t="shared" si="187"/>
        <v>4.5752947244946671E-3</v>
      </c>
    </row>
    <row r="471" spans="1:66" x14ac:dyDescent="0.25">
      <c r="A471" s="3"/>
      <c r="B471" s="3"/>
      <c r="C471" t="s">
        <v>233</v>
      </c>
      <c r="D471" s="5">
        <v>1</v>
      </c>
      <c r="E471" s="9">
        <f t="shared" si="171"/>
        <v>0</v>
      </c>
      <c r="F471" s="9">
        <f t="shared" si="172"/>
        <v>0</v>
      </c>
      <c r="G471">
        <v>8</v>
      </c>
      <c r="H471">
        <v>42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50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33</v>
      </c>
      <c r="AK471" t="s">
        <v>1</v>
      </c>
      <c r="AL471" t="s">
        <v>374</v>
      </c>
      <c r="AQ471" s="1">
        <f t="shared" si="188"/>
        <v>100</v>
      </c>
      <c r="AR471" s="1">
        <f t="shared" si="173"/>
        <v>0</v>
      </c>
      <c r="AS471" s="1">
        <f t="shared" si="174"/>
        <v>0.08</v>
      </c>
      <c r="AT471" s="1">
        <f t="shared" si="175"/>
        <v>0.42</v>
      </c>
      <c r="AU471" s="1">
        <f t="shared" si="176"/>
        <v>0</v>
      </c>
      <c r="AV471" s="1">
        <f t="shared" si="189"/>
        <v>0.33</v>
      </c>
      <c r="AX471" s="1">
        <f t="shared" si="190"/>
        <v>0</v>
      </c>
      <c r="AY471" s="1">
        <f t="shared" si="177"/>
        <v>0</v>
      </c>
      <c r="AZ471" s="1">
        <f t="shared" si="178"/>
        <v>0.5</v>
      </c>
      <c r="BA471" s="1">
        <f t="shared" si="179"/>
        <v>0.5</v>
      </c>
      <c r="BB471" s="1">
        <f t="shared" si="180"/>
        <v>0</v>
      </c>
      <c r="BC471" s="1">
        <f t="shared" si="181"/>
        <v>0</v>
      </c>
      <c r="BD471" s="1">
        <f t="shared" si="191"/>
        <v>0.33</v>
      </c>
      <c r="BF471">
        <f t="shared" si="182"/>
        <v>74</v>
      </c>
      <c r="BG471">
        <f t="shared" si="183"/>
        <v>16.666666666666664</v>
      </c>
      <c r="BH471" s="1">
        <f t="shared" si="184"/>
        <v>0</v>
      </c>
      <c r="BI471" s="1">
        <f t="shared" si="185"/>
        <v>0.2252252252252252</v>
      </c>
      <c r="BJ471" s="1">
        <f t="shared" si="192"/>
        <v>0.43</v>
      </c>
      <c r="BK471" s="1">
        <f t="shared" si="193"/>
        <v>0.2252252252252252</v>
      </c>
      <c r="BL471" s="22">
        <f t="shared" si="194"/>
        <v>0.2252252252252252</v>
      </c>
      <c r="BM471" s="1">
        <f t="shared" si="186"/>
        <v>1.097775342910479E-2</v>
      </c>
      <c r="BN471" s="1">
        <f t="shared" si="187"/>
        <v>6.0281132229629093E-3</v>
      </c>
    </row>
    <row r="472" spans="1:66" x14ac:dyDescent="0.25">
      <c r="A472" s="3"/>
      <c r="B472" s="3"/>
      <c r="C472" t="s">
        <v>234</v>
      </c>
      <c r="D472" s="5">
        <v>1</v>
      </c>
      <c r="E472" s="9">
        <f t="shared" si="171"/>
        <v>0</v>
      </c>
      <c r="F472" s="9">
        <f t="shared" si="172"/>
        <v>0.10416666666666667</v>
      </c>
      <c r="G472">
        <v>2</v>
      </c>
      <c r="H472">
        <v>43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41</v>
      </c>
      <c r="AK472" t="s">
        <v>1</v>
      </c>
      <c r="AL472" t="s">
        <v>374</v>
      </c>
      <c r="AQ472" s="1">
        <f t="shared" si="188"/>
        <v>100</v>
      </c>
      <c r="AR472" s="1">
        <f t="shared" si="173"/>
        <v>0</v>
      </c>
      <c r="AS472" s="1">
        <f t="shared" si="174"/>
        <v>0.02</v>
      </c>
      <c r="AT472" s="1">
        <f t="shared" si="175"/>
        <v>0.43</v>
      </c>
      <c r="AU472" s="1">
        <f t="shared" si="176"/>
        <v>0.05</v>
      </c>
      <c r="AV472" s="1">
        <f t="shared" si="189"/>
        <v>0.41</v>
      </c>
      <c r="AX472" s="1">
        <f t="shared" si="190"/>
        <v>0.11111111111111112</v>
      </c>
      <c r="AY472" s="1">
        <f t="shared" si="177"/>
        <v>0</v>
      </c>
      <c r="AZ472" s="1">
        <f t="shared" si="178"/>
        <v>0.50694444444444442</v>
      </c>
      <c r="BA472" s="1">
        <f t="shared" si="179"/>
        <v>0.52777777777777779</v>
      </c>
      <c r="BB472" s="1">
        <f t="shared" si="180"/>
        <v>0</v>
      </c>
      <c r="BC472" s="1">
        <f t="shared" si="181"/>
        <v>0</v>
      </c>
      <c r="BD472" s="1">
        <f t="shared" si="191"/>
        <v>0.41</v>
      </c>
      <c r="BF472">
        <f t="shared" si="182"/>
        <v>51</v>
      </c>
      <c r="BG472">
        <f t="shared" si="183"/>
        <v>16.666666666666664</v>
      </c>
      <c r="BH472" s="1">
        <f t="shared" si="184"/>
        <v>9.8039215686274508E-2</v>
      </c>
      <c r="BI472" s="1">
        <f t="shared" si="185"/>
        <v>0.32679738562091498</v>
      </c>
      <c r="BJ472" s="1">
        <f t="shared" si="192"/>
        <v>0.43588235294117644</v>
      </c>
      <c r="BK472" s="1">
        <f t="shared" si="193"/>
        <v>0.32679738562091498</v>
      </c>
      <c r="BL472" s="22">
        <f t="shared" si="194"/>
        <v>0.32679738562091498</v>
      </c>
      <c r="BM472" s="1">
        <f t="shared" si="186"/>
        <v>6.922675039514721E-3</v>
      </c>
      <c r="BN472" s="1">
        <f t="shared" si="187"/>
        <v>5.5652352169781633E-6</v>
      </c>
    </row>
    <row r="473" spans="1:66" x14ac:dyDescent="0.25">
      <c r="A473" s="3"/>
      <c r="B473" s="3"/>
      <c r="C473" t="s">
        <v>235</v>
      </c>
      <c r="D473" s="5">
        <v>1</v>
      </c>
      <c r="E473" s="9">
        <f t="shared" si="171"/>
        <v>0</v>
      </c>
      <c r="F473" s="9">
        <f t="shared" si="172"/>
        <v>0.20833333333333334</v>
      </c>
      <c r="G473">
        <v>2</v>
      </c>
      <c r="H473">
        <v>38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50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40</v>
      </c>
      <c r="AK473" t="s">
        <v>1</v>
      </c>
      <c r="AL473" t="s">
        <v>374</v>
      </c>
      <c r="AQ473" s="1">
        <f t="shared" si="188"/>
        <v>100</v>
      </c>
      <c r="AR473" s="1">
        <f t="shared" si="173"/>
        <v>0</v>
      </c>
      <c r="AS473" s="1">
        <f t="shared" si="174"/>
        <v>0.02</v>
      </c>
      <c r="AT473" s="1">
        <f t="shared" si="175"/>
        <v>0.38</v>
      </c>
      <c r="AU473" s="1">
        <f t="shared" si="176"/>
        <v>0.1</v>
      </c>
      <c r="AV473" s="1">
        <f t="shared" si="189"/>
        <v>0.4</v>
      </c>
      <c r="AX473" s="1">
        <f t="shared" si="190"/>
        <v>0.25</v>
      </c>
      <c r="AY473" s="1">
        <f t="shared" si="177"/>
        <v>0</v>
      </c>
      <c r="AZ473" s="1">
        <f t="shared" si="178"/>
        <v>0.515625</v>
      </c>
      <c r="BA473" s="1">
        <f t="shared" si="179"/>
        <v>0.5625</v>
      </c>
      <c r="BB473" s="1">
        <f t="shared" si="180"/>
        <v>0</v>
      </c>
      <c r="BC473" s="1">
        <f t="shared" si="181"/>
        <v>0</v>
      </c>
      <c r="BD473" s="1">
        <f t="shared" si="191"/>
        <v>0.4</v>
      </c>
      <c r="BF473">
        <f t="shared" si="182"/>
        <v>46</v>
      </c>
      <c r="BG473">
        <f t="shared" si="183"/>
        <v>16.666666666666664</v>
      </c>
      <c r="BH473" s="1">
        <f t="shared" si="184"/>
        <v>0.21739130434782608</v>
      </c>
      <c r="BI473" s="1">
        <f t="shared" si="185"/>
        <v>0.36231884057971009</v>
      </c>
      <c r="BJ473" s="1">
        <f t="shared" si="192"/>
        <v>0.44304347826086954</v>
      </c>
      <c r="BK473" s="1">
        <f t="shared" si="193"/>
        <v>0.36231884057971009</v>
      </c>
      <c r="BL473" s="22">
        <f t="shared" si="194"/>
        <v>0.36231884057971009</v>
      </c>
      <c r="BM473" s="1">
        <f t="shared" si="186"/>
        <v>1.4198697752573048E-3</v>
      </c>
      <c r="BN473" s="1">
        <f t="shared" si="187"/>
        <v>5.8383733685219634E-5</v>
      </c>
    </row>
    <row r="474" spans="1:66" x14ac:dyDescent="0.25">
      <c r="A474" s="3"/>
      <c r="B474" s="3"/>
      <c r="C474" t="s">
        <v>236</v>
      </c>
      <c r="D474" s="5">
        <v>1</v>
      </c>
      <c r="E474" s="9">
        <f t="shared" si="171"/>
        <v>0</v>
      </c>
      <c r="F474" s="9">
        <f t="shared" si="172"/>
        <v>0.41666666666666669</v>
      </c>
      <c r="G474">
        <v>2</v>
      </c>
      <c r="H474">
        <v>28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50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38</v>
      </c>
      <c r="AK474" t="s">
        <v>1</v>
      </c>
      <c r="AL474" t="s">
        <v>374</v>
      </c>
      <c r="AQ474" s="1">
        <f t="shared" si="188"/>
        <v>100</v>
      </c>
      <c r="AR474" s="1">
        <f t="shared" si="173"/>
        <v>0</v>
      </c>
      <c r="AS474" s="1">
        <f t="shared" si="174"/>
        <v>0.02</v>
      </c>
      <c r="AT474" s="1">
        <f t="shared" si="175"/>
        <v>0.28000000000000003</v>
      </c>
      <c r="AU474" s="1">
        <f t="shared" si="176"/>
        <v>0.2</v>
      </c>
      <c r="AV474" s="1">
        <f t="shared" si="189"/>
        <v>0.38</v>
      </c>
      <c r="AX474" s="1">
        <f t="shared" si="190"/>
        <v>0.66666666666666663</v>
      </c>
      <c r="AY474" s="1">
        <f t="shared" si="177"/>
        <v>0</v>
      </c>
      <c r="AZ474" s="1">
        <f t="shared" si="178"/>
        <v>0.54166666666666663</v>
      </c>
      <c r="BA474" s="1">
        <f t="shared" si="179"/>
        <v>0.66666666666666663</v>
      </c>
      <c r="BB474" s="1">
        <f t="shared" si="180"/>
        <v>0</v>
      </c>
      <c r="BC474" s="1">
        <f t="shared" si="181"/>
        <v>0</v>
      </c>
      <c r="BD474" s="1">
        <f t="shared" si="191"/>
        <v>0.38</v>
      </c>
      <c r="BF474">
        <f t="shared" si="182"/>
        <v>36</v>
      </c>
      <c r="BG474">
        <f t="shared" si="183"/>
        <v>16.666666666666664</v>
      </c>
      <c r="BH474" s="1">
        <f t="shared" si="184"/>
        <v>0.55555555555555558</v>
      </c>
      <c r="BI474" s="1">
        <f t="shared" si="185"/>
        <v>0.46296296296296291</v>
      </c>
      <c r="BJ474" s="1">
        <f t="shared" si="192"/>
        <v>0.46333333333333332</v>
      </c>
      <c r="BK474" s="1">
        <f t="shared" si="193"/>
        <v>0.46296296296296291</v>
      </c>
      <c r="BL474" s="22">
        <f t="shared" si="194"/>
        <v>0.46296296296296291</v>
      </c>
      <c r="BM474" s="1">
        <f t="shared" si="186"/>
        <v>6.8828532235939545E-3</v>
      </c>
      <c r="BN474" s="1">
        <f t="shared" si="187"/>
        <v>7.6402073062170313E-4</v>
      </c>
    </row>
    <row r="475" spans="1:66" x14ac:dyDescent="0.25">
      <c r="A475" s="3"/>
      <c r="B475" s="3"/>
      <c r="C475" t="s">
        <v>237</v>
      </c>
      <c r="D475" s="5">
        <v>1</v>
      </c>
      <c r="E475" s="9">
        <f t="shared" si="171"/>
        <v>0</v>
      </c>
      <c r="F475" s="9">
        <f t="shared" si="172"/>
        <v>0.10869565217391304</v>
      </c>
      <c r="G475">
        <v>4</v>
      </c>
      <c r="H475">
        <v>41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35</v>
      </c>
      <c r="AK475" t="s">
        <v>1</v>
      </c>
      <c r="AL475" t="s">
        <v>374</v>
      </c>
      <c r="AQ475" s="1">
        <f t="shared" si="188"/>
        <v>100</v>
      </c>
      <c r="AR475" s="1">
        <f t="shared" si="173"/>
        <v>0</v>
      </c>
      <c r="AS475" s="1">
        <f t="shared" si="174"/>
        <v>0.04</v>
      </c>
      <c r="AT475" s="1">
        <f t="shared" si="175"/>
        <v>0.41</v>
      </c>
      <c r="AU475" s="1">
        <f t="shared" si="176"/>
        <v>0.05</v>
      </c>
      <c r="AV475" s="1">
        <f t="shared" si="189"/>
        <v>0.35</v>
      </c>
      <c r="AX475" s="1">
        <f t="shared" si="190"/>
        <v>0.11111111111111113</v>
      </c>
      <c r="AY475" s="1">
        <f t="shared" si="177"/>
        <v>0</v>
      </c>
      <c r="AZ475" s="1">
        <f t="shared" si="178"/>
        <v>0.50694444444444442</v>
      </c>
      <c r="BA475" s="1">
        <f t="shared" si="179"/>
        <v>0.52777777777777779</v>
      </c>
      <c r="BB475" s="1">
        <f t="shared" si="180"/>
        <v>0</v>
      </c>
      <c r="BC475" s="1">
        <f t="shared" si="181"/>
        <v>0</v>
      </c>
      <c r="BD475" s="1">
        <f t="shared" si="191"/>
        <v>0.35</v>
      </c>
      <c r="BF475">
        <f t="shared" si="182"/>
        <v>57</v>
      </c>
      <c r="BG475">
        <f t="shared" si="183"/>
        <v>16.666666666666664</v>
      </c>
      <c r="BH475" s="1">
        <f t="shared" si="184"/>
        <v>8.771929824561403E-2</v>
      </c>
      <c r="BI475" s="1">
        <f t="shared" si="185"/>
        <v>0.29239766081871343</v>
      </c>
      <c r="BJ475" s="1">
        <f t="shared" si="192"/>
        <v>0.43526315789473685</v>
      </c>
      <c r="BK475" s="1">
        <f t="shared" si="193"/>
        <v>0.29239766081871343</v>
      </c>
      <c r="BL475" s="22">
        <f t="shared" si="194"/>
        <v>0.29239766081871343</v>
      </c>
      <c r="BM475" s="1">
        <f t="shared" si="186"/>
        <v>3.3180294791559789E-3</v>
      </c>
      <c r="BN475" s="1">
        <f t="shared" si="187"/>
        <v>3.3224762260264311E-3</v>
      </c>
    </row>
    <row r="476" spans="1:66" x14ac:dyDescent="0.25">
      <c r="A476" s="3"/>
      <c r="B476" s="3"/>
      <c r="C476" t="s">
        <v>238</v>
      </c>
      <c r="D476" s="5">
        <v>1</v>
      </c>
      <c r="E476" s="9">
        <f t="shared" si="171"/>
        <v>0</v>
      </c>
      <c r="F476" s="9">
        <f t="shared" si="172"/>
        <v>0.21739130434782608</v>
      </c>
      <c r="G476">
        <v>4</v>
      </c>
      <c r="H476">
        <v>36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35</v>
      </c>
      <c r="AK476" t="s">
        <v>1</v>
      </c>
      <c r="AL476" t="s">
        <v>374</v>
      </c>
      <c r="AQ476" s="1">
        <f t="shared" si="188"/>
        <v>100</v>
      </c>
      <c r="AR476" s="1">
        <f t="shared" si="173"/>
        <v>0</v>
      </c>
      <c r="AS476" s="1">
        <f t="shared" si="174"/>
        <v>0.04</v>
      </c>
      <c r="AT476" s="1">
        <f t="shared" si="175"/>
        <v>0.36</v>
      </c>
      <c r="AU476" s="1">
        <f t="shared" si="176"/>
        <v>0.1</v>
      </c>
      <c r="AV476" s="1">
        <f t="shared" si="189"/>
        <v>0.35</v>
      </c>
      <c r="AX476" s="1">
        <f t="shared" si="190"/>
        <v>0.25000000000000006</v>
      </c>
      <c r="AY476" s="1">
        <f t="shared" si="177"/>
        <v>0</v>
      </c>
      <c r="AZ476" s="1">
        <f t="shared" si="178"/>
        <v>0.515625</v>
      </c>
      <c r="BA476" s="1">
        <f t="shared" si="179"/>
        <v>0.5625</v>
      </c>
      <c r="BB476" s="1">
        <f t="shared" si="180"/>
        <v>0</v>
      </c>
      <c r="BC476" s="1">
        <f t="shared" si="181"/>
        <v>0</v>
      </c>
      <c r="BD476" s="1">
        <f t="shared" si="191"/>
        <v>0.35</v>
      </c>
      <c r="BF476">
        <f t="shared" si="182"/>
        <v>52</v>
      </c>
      <c r="BG476">
        <f t="shared" si="183"/>
        <v>16.666666666666664</v>
      </c>
      <c r="BH476" s="1">
        <f t="shared" si="184"/>
        <v>0.19230769230769232</v>
      </c>
      <c r="BI476" s="1">
        <f t="shared" si="185"/>
        <v>0.32051282051282048</v>
      </c>
      <c r="BJ476" s="1">
        <f t="shared" si="192"/>
        <v>0.44153846153846155</v>
      </c>
      <c r="BK476" s="1">
        <f t="shared" si="193"/>
        <v>0.32051282051282048</v>
      </c>
      <c r="BL476" s="22">
        <f t="shared" si="194"/>
        <v>0.32051282051282048</v>
      </c>
      <c r="BM476" s="1">
        <f t="shared" si="186"/>
        <v>8.6949375410913911E-4</v>
      </c>
      <c r="BN476" s="1">
        <f t="shared" si="187"/>
        <v>3.3224762260264311E-3</v>
      </c>
    </row>
    <row r="477" spans="1:66" x14ac:dyDescent="0.25">
      <c r="A477" s="3"/>
      <c r="B477" s="3"/>
      <c r="C477" t="s">
        <v>245</v>
      </c>
      <c r="D477" s="5">
        <v>1</v>
      </c>
      <c r="E477" s="9">
        <f t="shared" si="171"/>
        <v>0</v>
      </c>
      <c r="F477" s="9">
        <f t="shared" si="172"/>
        <v>0.43478260869565216</v>
      </c>
      <c r="G477">
        <v>4</v>
      </c>
      <c r="H477">
        <v>26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30</v>
      </c>
      <c r="AK477" t="s">
        <v>1</v>
      </c>
      <c r="AL477" t="s">
        <v>374</v>
      </c>
      <c r="AQ477" s="1">
        <f t="shared" si="188"/>
        <v>100</v>
      </c>
      <c r="AR477" s="1">
        <f t="shared" si="173"/>
        <v>0</v>
      </c>
      <c r="AS477" s="1">
        <f t="shared" si="174"/>
        <v>0.04</v>
      </c>
      <c r="AT477" s="1">
        <f t="shared" si="175"/>
        <v>0.26</v>
      </c>
      <c r="AU477" s="1">
        <f t="shared" si="176"/>
        <v>0.2</v>
      </c>
      <c r="AV477" s="1">
        <f t="shared" si="189"/>
        <v>0.3</v>
      </c>
      <c r="AX477" s="1">
        <f t="shared" si="190"/>
        <v>0.66666666666666674</v>
      </c>
      <c r="AY477" s="1">
        <f t="shared" si="177"/>
        <v>0</v>
      </c>
      <c r="AZ477" s="1">
        <f t="shared" si="178"/>
        <v>0.54166666666666663</v>
      </c>
      <c r="BA477" s="1">
        <f t="shared" si="179"/>
        <v>0.66666666666666674</v>
      </c>
      <c r="BB477" s="1">
        <f t="shared" si="180"/>
        <v>0</v>
      </c>
      <c r="BC477" s="1">
        <f t="shared" si="181"/>
        <v>0</v>
      </c>
      <c r="BD477" s="1">
        <f t="shared" si="191"/>
        <v>0.3</v>
      </c>
      <c r="BF477">
        <f t="shared" si="182"/>
        <v>42</v>
      </c>
      <c r="BG477">
        <f t="shared" si="183"/>
        <v>16.666666666666664</v>
      </c>
      <c r="BH477" s="1">
        <f t="shared" si="184"/>
        <v>0.47619047619047616</v>
      </c>
      <c r="BI477" s="1">
        <f t="shared" si="185"/>
        <v>0.39682539682539675</v>
      </c>
      <c r="BJ477" s="1">
        <f t="shared" si="192"/>
        <v>0.45857142857142857</v>
      </c>
      <c r="BK477" s="1">
        <f t="shared" si="193"/>
        <v>0.39682539682539675</v>
      </c>
      <c r="BL477" s="22">
        <f t="shared" si="194"/>
        <v>0.39682539682539675</v>
      </c>
      <c r="BM477" s="1">
        <f t="shared" si="186"/>
        <v>9.3751574703955527E-3</v>
      </c>
      <c r="BN477" s="1">
        <f t="shared" si="187"/>
        <v>1.158656871836764E-2</v>
      </c>
    </row>
    <row r="478" spans="1:66" x14ac:dyDescent="0.25">
      <c r="A478" s="3"/>
      <c r="B478" s="3"/>
      <c r="C478" t="s">
        <v>239</v>
      </c>
      <c r="D478" s="5">
        <v>1</v>
      </c>
      <c r="E478" s="9">
        <f t="shared" si="171"/>
        <v>0</v>
      </c>
      <c r="F478" s="9">
        <f t="shared" si="172"/>
        <v>0.11363636363636363</v>
      </c>
      <c r="G478">
        <v>6</v>
      </c>
      <c r="H478">
        <v>39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32</v>
      </c>
      <c r="AK478" t="s">
        <v>1</v>
      </c>
      <c r="AL478" t="s">
        <v>374</v>
      </c>
      <c r="AQ478" s="1">
        <f t="shared" si="188"/>
        <v>100</v>
      </c>
      <c r="AR478" s="1">
        <f t="shared" si="173"/>
        <v>0</v>
      </c>
      <c r="AS478" s="1">
        <f t="shared" si="174"/>
        <v>0.06</v>
      </c>
      <c r="AT478" s="1">
        <f t="shared" si="175"/>
        <v>0.39</v>
      </c>
      <c r="AU478" s="1">
        <f t="shared" si="176"/>
        <v>0.05</v>
      </c>
      <c r="AV478" s="1">
        <f t="shared" si="189"/>
        <v>0.32</v>
      </c>
      <c r="AX478" s="1">
        <f t="shared" si="190"/>
        <v>0.11111111111111112</v>
      </c>
      <c r="AY478" s="1">
        <f t="shared" si="177"/>
        <v>0</v>
      </c>
      <c r="AZ478" s="1">
        <f t="shared" si="178"/>
        <v>0.50694444444444442</v>
      </c>
      <c r="BA478" s="1">
        <f t="shared" si="179"/>
        <v>0.52777777777777779</v>
      </c>
      <c r="BB478" s="1">
        <f t="shared" si="180"/>
        <v>0</v>
      </c>
      <c r="BC478" s="1">
        <f t="shared" si="181"/>
        <v>0</v>
      </c>
      <c r="BD478" s="1">
        <f t="shared" si="191"/>
        <v>0.32</v>
      </c>
      <c r="BF478">
        <f t="shared" si="182"/>
        <v>63</v>
      </c>
      <c r="BG478">
        <f t="shared" si="183"/>
        <v>16.666666666666664</v>
      </c>
      <c r="BH478" s="1">
        <f t="shared" si="184"/>
        <v>7.9365079365079361E-2</v>
      </c>
      <c r="BI478" s="1">
        <f t="shared" si="185"/>
        <v>0.26455026455026454</v>
      </c>
      <c r="BJ478" s="1">
        <f t="shared" si="192"/>
        <v>0.43476190476190474</v>
      </c>
      <c r="BK478" s="1">
        <f t="shared" si="193"/>
        <v>0.26455026455026454</v>
      </c>
      <c r="BL478" s="22">
        <f t="shared" si="194"/>
        <v>0.26455026455026454</v>
      </c>
      <c r="BM478" s="1">
        <f t="shared" si="186"/>
        <v>3.0746731614456507E-3</v>
      </c>
      <c r="BN478" s="1">
        <f t="shared" si="187"/>
        <v>7.680931721431152E-3</v>
      </c>
    </row>
    <row r="479" spans="1:66" x14ac:dyDescent="0.25">
      <c r="A479" s="3"/>
      <c r="B479" s="3"/>
      <c r="C479" t="s">
        <v>240</v>
      </c>
      <c r="D479" s="5">
        <v>1</v>
      </c>
      <c r="E479" s="9">
        <f t="shared" si="171"/>
        <v>0</v>
      </c>
      <c r="F479" s="9">
        <f t="shared" si="172"/>
        <v>0.22727272727272727</v>
      </c>
      <c r="G479">
        <v>6</v>
      </c>
      <c r="H479">
        <v>34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33</v>
      </c>
      <c r="AK479" t="s">
        <v>1</v>
      </c>
      <c r="AL479" t="s">
        <v>374</v>
      </c>
      <c r="AQ479" s="1">
        <f t="shared" si="188"/>
        <v>100</v>
      </c>
      <c r="AR479" s="1">
        <f t="shared" si="173"/>
        <v>0</v>
      </c>
      <c r="AS479" s="1">
        <f t="shared" si="174"/>
        <v>0.06</v>
      </c>
      <c r="AT479" s="1">
        <f t="shared" si="175"/>
        <v>0.34</v>
      </c>
      <c r="AU479" s="1">
        <f t="shared" si="176"/>
        <v>0.1</v>
      </c>
      <c r="AV479" s="1">
        <f t="shared" si="189"/>
        <v>0.33</v>
      </c>
      <c r="AX479" s="1">
        <f t="shared" si="190"/>
        <v>0.25</v>
      </c>
      <c r="AY479" s="1">
        <f t="shared" si="177"/>
        <v>0</v>
      </c>
      <c r="AZ479" s="1">
        <f t="shared" si="178"/>
        <v>0.515625</v>
      </c>
      <c r="BA479" s="1">
        <f t="shared" si="179"/>
        <v>0.5625</v>
      </c>
      <c r="BB479" s="1">
        <f t="shared" si="180"/>
        <v>0</v>
      </c>
      <c r="BC479" s="1">
        <f t="shared" si="181"/>
        <v>0</v>
      </c>
      <c r="BD479" s="1">
        <f t="shared" si="191"/>
        <v>0.33</v>
      </c>
      <c r="BF479">
        <f t="shared" si="182"/>
        <v>58</v>
      </c>
      <c r="BG479">
        <f t="shared" si="183"/>
        <v>16.666666666666664</v>
      </c>
      <c r="BH479" s="1">
        <f t="shared" si="184"/>
        <v>0.17241379310344829</v>
      </c>
      <c r="BI479" s="1">
        <f t="shared" si="185"/>
        <v>0.28735632183908044</v>
      </c>
      <c r="BJ479" s="1">
        <f t="shared" si="192"/>
        <v>0.44034482758620691</v>
      </c>
      <c r="BK479" s="1">
        <f t="shared" si="193"/>
        <v>0.28735632183908044</v>
      </c>
      <c r="BL479" s="22">
        <f t="shared" si="194"/>
        <v>0.28735632183908044</v>
      </c>
      <c r="BM479" s="1">
        <f t="shared" si="186"/>
        <v>1.8184832870920889E-3</v>
      </c>
      <c r="BN479" s="1">
        <f t="shared" si="187"/>
        <v>6.0281132229629093E-3</v>
      </c>
    </row>
    <row r="480" spans="1:66" x14ac:dyDescent="0.25">
      <c r="A480" s="3"/>
      <c r="B480" s="3"/>
      <c r="C480" t="s">
        <v>241</v>
      </c>
      <c r="D480" s="5">
        <v>1</v>
      </c>
      <c r="E480" s="9">
        <f t="shared" si="171"/>
        <v>0</v>
      </c>
      <c r="F480" s="9">
        <f t="shared" si="172"/>
        <v>0.45454545454545453</v>
      </c>
      <c r="G480">
        <v>6</v>
      </c>
      <c r="H480">
        <v>24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29</v>
      </c>
      <c r="AK480" t="s">
        <v>1</v>
      </c>
      <c r="AL480" t="s">
        <v>374</v>
      </c>
      <c r="AQ480" s="1">
        <f t="shared" si="188"/>
        <v>100</v>
      </c>
      <c r="AR480" s="1">
        <f t="shared" si="173"/>
        <v>0</v>
      </c>
      <c r="AS480" s="1">
        <f t="shared" si="174"/>
        <v>0.06</v>
      </c>
      <c r="AT480" s="1">
        <f t="shared" si="175"/>
        <v>0.24</v>
      </c>
      <c r="AU480" s="1">
        <f t="shared" si="176"/>
        <v>0.2</v>
      </c>
      <c r="AV480" s="1">
        <f t="shared" si="189"/>
        <v>0.28999999999999998</v>
      </c>
      <c r="AX480" s="1">
        <f t="shared" si="190"/>
        <v>0.66666666666666674</v>
      </c>
      <c r="AY480" s="1">
        <f t="shared" si="177"/>
        <v>0</v>
      </c>
      <c r="AZ480" s="1">
        <f t="shared" si="178"/>
        <v>0.54166666666666663</v>
      </c>
      <c r="BA480" s="1">
        <f t="shared" si="179"/>
        <v>0.66666666666666674</v>
      </c>
      <c r="BB480" s="1">
        <f t="shared" si="180"/>
        <v>0</v>
      </c>
      <c r="BC480" s="1">
        <f t="shared" si="181"/>
        <v>0</v>
      </c>
      <c r="BD480" s="1">
        <f t="shared" si="191"/>
        <v>0.28999999999999998</v>
      </c>
      <c r="BF480">
        <f t="shared" si="182"/>
        <v>48</v>
      </c>
      <c r="BG480">
        <f t="shared" si="183"/>
        <v>16.666666666666664</v>
      </c>
      <c r="BH480" s="1">
        <f t="shared" si="184"/>
        <v>0.41666666666666669</v>
      </c>
      <c r="BI480" s="1">
        <f t="shared" si="185"/>
        <v>0.34722222222222215</v>
      </c>
      <c r="BJ480" s="1">
        <f t="shared" si="192"/>
        <v>0.45500000000000002</v>
      </c>
      <c r="BK480" s="1">
        <f t="shared" si="193"/>
        <v>0.34722222222222215</v>
      </c>
      <c r="BL480" s="22">
        <f t="shared" si="194"/>
        <v>0.34722222222222215</v>
      </c>
      <c r="BM480" s="1">
        <f t="shared" si="186"/>
        <v>3.2743827160493771E-3</v>
      </c>
      <c r="BN480" s="1">
        <f t="shared" si="187"/>
        <v>1.3839387216835882E-2</v>
      </c>
    </row>
    <row r="481" spans="1:66" x14ac:dyDescent="0.25">
      <c r="A481" s="3"/>
      <c r="B481" s="3"/>
      <c r="C481" t="s">
        <v>242</v>
      </c>
      <c r="D481" s="5">
        <v>1</v>
      </c>
      <c r="E481" s="9">
        <f t="shared" si="171"/>
        <v>0</v>
      </c>
      <c r="F481" s="9">
        <f t="shared" si="172"/>
        <v>0.11904761904761904</v>
      </c>
      <c r="G481">
        <v>8</v>
      </c>
      <c r="H481">
        <v>37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50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28</v>
      </c>
      <c r="AK481" t="s">
        <v>1</v>
      </c>
      <c r="AL481" t="s">
        <v>374</v>
      </c>
      <c r="AQ481" s="1">
        <f t="shared" si="188"/>
        <v>100</v>
      </c>
      <c r="AR481" s="1">
        <f t="shared" si="173"/>
        <v>0</v>
      </c>
      <c r="AS481" s="1">
        <f t="shared" si="174"/>
        <v>0.08</v>
      </c>
      <c r="AT481" s="1">
        <f t="shared" si="175"/>
        <v>0.37</v>
      </c>
      <c r="AU481" s="1">
        <f t="shared" si="176"/>
        <v>0.05</v>
      </c>
      <c r="AV481" s="1">
        <f t="shared" si="189"/>
        <v>0.28000000000000003</v>
      </c>
      <c r="AX481" s="1">
        <f t="shared" si="190"/>
        <v>0.11111111111111112</v>
      </c>
      <c r="AY481" s="1">
        <f t="shared" si="177"/>
        <v>0</v>
      </c>
      <c r="AZ481" s="1">
        <f t="shared" si="178"/>
        <v>0.50694444444444442</v>
      </c>
      <c r="BA481" s="1">
        <f t="shared" si="179"/>
        <v>0.52777777777777779</v>
      </c>
      <c r="BB481" s="1">
        <f t="shared" si="180"/>
        <v>0</v>
      </c>
      <c r="BC481" s="1">
        <f t="shared" si="181"/>
        <v>0</v>
      </c>
      <c r="BD481" s="1">
        <f t="shared" si="191"/>
        <v>0.28000000000000003</v>
      </c>
      <c r="BF481">
        <f t="shared" si="182"/>
        <v>69</v>
      </c>
      <c r="BG481">
        <f t="shared" si="183"/>
        <v>16.666666666666664</v>
      </c>
      <c r="BH481" s="1">
        <f t="shared" si="184"/>
        <v>7.2463768115942032E-2</v>
      </c>
      <c r="BI481" s="1">
        <f t="shared" si="185"/>
        <v>0.24154589371980673</v>
      </c>
      <c r="BJ481" s="1">
        <f t="shared" si="192"/>
        <v>0.43434782608695649</v>
      </c>
      <c r="BK481" s="1">
        <f t="shared" si="193"/>
        <v>0.24154589371980673</v>
      </c>
      <c r="BL481" s="22">
        <f t="shared" si="194"/>
        <v>0.24154589371980673</v>
      </c>
      <c r="BM481" s="1">
        <f t="shared" si="186"/>
        <v>1.4787182898084018E-3</v>
      </c>
      <c r="BN481" s="1">
        <f t="shared" si="187"/>
        <v>1.6292205715304115E-2</v>
      </c>
    </row>
    <row r="482" spans="1:66" x14ac:dyDescent="0.25">
      <c r="A482" s="3"/>
      <c r="B482" s="3"/>
      <c r="C482" t="s">
        <v>243</v>
      </c>
      <c r="D482" s="5">
        <v>1</v>
      </c>
      <c r="E482" s="9">
        <f t="shared" si="171"/>
        <v>0</v>
      </c>
      <c r="F482" s="9">
        <f t="shared" si="172"/>
        <v>0.23809523809523808</v>
      </c>
      <c r="G482">
        <v>8</v>
      </c>
      <c r="H482">
        <v>32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50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27</v>
      </c>
      <c r="AK482" t="s">
        <v>1</v>
      </c>
      <c r="AL482" t="s">
        <v>374</v>
      </c>
      <c r="AQ482" s="1">
        <f t="shared" si="188"/>
        <v>100</v>
      </c>
      <c r="AR482" s="1">
        <f t="shared" si="173"/>
        <v>0</v>
      </c>
      <c r="AS482" s="1">
        <f t="shared" si="174"/>
        <v>0.08</v>
      </c>
      <c r="AT482" s="1">
        <f t="shared" si="175"/>
        <v>0.32</v>
      </c>
      <c r="AU482" s="1">
        <f t="shared" si="176"/>
        <v>0.1</v>
      </c>
      <c r="AV482" s="1">
        <f t="shared" si="189"/>
        <v>0.27</v>
      </c>
      <c r="AX482" s="1">
        <f t="shared" si="190"/>
        <v>0.25</v>
      </c>
      <c r="AY482" s="1">
        <f t="shared" si="177"/>
        <v>0</v>
      </c>
      <c r="AZ482" s="1">
        <f t="shared" si="178"/>
        <v>0.515625</v>
      </c>
      <c r="BA482" s="1">
        <f t="shared" si="179"/>
        <v>0.5625</v>
      </c>
      <c r="BB482" s="1">
        <f t="shared" si="180"/>
        <v>0</v>
      </c>
      <c r="BC482" s="1">
        <f t="shared" si="181"/>
        <v>0</v>
      </c>
      <c r="BD482" s="1">
        <f t="shared" si="191"/>
        <v>0.27</v>
      </c>
      <c r="BF482">
        <f t="shared" si="182"/>
        <v>64</v>
      </c>
      <c r="BG482">
        <f t="shared" si="183"/>
        <v>16.666666666666664</v>
      </c>
      <c r="BH482" s="1">
        <f t="shared" si="184"/>
        <v>0.15625</v>
      </c>
      <c r="BI482" s="1">
        <f t="shared" si="185"/>
        <v>0.26041666666666663</v>
      </c>
      <c r="BJ482" s="1">
        <f t="shared" si="192"/>
        <v>0.43937500000000002</v>
      </c>
      <c r="BK482" s="1">
        <f t="shared" si="193"/>
        <v>0.26041666666666663</v>
      </c>
      <c r="BL482" s="22">
        <f t="shared" si="194"/>
        <v>0.26041666666666663</v>
      </c>
      <c r="BM482" s="1">
        <f t="shared" si="186"/>
        <v>9.1840277777778821E-5</v>
      </c>
      <c r="BN482" s="1">
        <f t="shared" si="187"/>
        <v>1.8945024213772359E-2</v>
      </c>
    </row>
    <row r="483" spans="1:66" x14ac:dyDescent="0.25">
      <c r="A483" s="3"/>
      <c r="B483" s="3"/>
      <c r="C483" t="s">
        <v>244</v>
      </c>
      <c r="D483" s="5">
        <v>1</v>
      </c>
      <c r="E483" s="9">
        <f t="shared" si="171"/>
        <v>0</v>
      </c>
      <c r="F483" s="9">
        <f t="shared" si="172"/>
        <v>0.47619047619047616</v>
      </c>
      <c r="G483">
        <v>8</v>
      </c>
      <c r="H483">
        <v>22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50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25</v>
      </c>
      <c r="AK483" t="s">
        <v>1</v>
      </c>
      <c r="AL483" t="s">
        <v>374</v>
      </c>
      <c r="AQ483" s="1">
        <f t="shared" si="188"/>
        <v>100</v>
      </c>
      <c r="AR483" s="1">
        <f t="shared" si="173"/>
        <v>0</v>
      </c>
      <c r="AS483" s="1">
        <f t="shared" si="174"/>
        <v>0.08</v>
      </c>
      <c r="AT483" s="1">
        <f t="shared" si="175"/>
        <v>0.22</v>
      </c>
      <c r="AU483" s="1">
        <f t="shared" si="176"/>
        <v>0.2</v>
      </c>
      <c r="AV483" s="1">
        <f t="shared" si="189"/>
        <v>0.25</v>
      </c>
      <c r="AX483" s="1">
        <f t="shared" si="190"/>
        <v>0.66666666666666674</v>
      </c>
      <c r="AY483" s="1">
        <f t="shared" si="177"/>
        <v>0</v>
      </c>
      <c r="AZ483" s="1">
        <f t="shared" si="178"/>
        <v>0.54166666666666663</v>
      </c>
      <c r="BA483" s="1">
        <f t="shared" si="179"/>
        <v>0.66666666666666674</v>
      </c>
      <c r="BB483" s="1">
        <f t="shared" si="180"/>
        <v>0</v>
      </c>
      <c r="BC483" s="1">
        <f t="shared" si="181"/>
        <v>0</v>
      </c>
      <c r="BD483" s="1">
        <f t="shared" si="191"/>
        <v>0.25</v>
      </c>
      <c r="BF483">
        <f t="shared" si="182"/>
        <v>54</v>
      </c>
      <c r="BG483">
        <f t="shared" si="183"/>
        <v>16.666666666666664</v>
      </c>
      <c r="BH483" s="1">
        <f t="shared" si="184"/>
        <v>0.37037037037037035</v>
      </c>
      <c r="BI483" s="1">
        <f t="shared" si="185"/>
        <v>0.30864197530864196</v>
      </c>
      <c r="BJ483" s="1">
        <f t="shared" si="192"/>
        <v>0.45222222222222219</v>
      </c>
      <c r="BK483" s="1">
        <f t="shared" si="193"/>
        <v>0.30864197530864196</v>
      </c>
      <c r="BL483" s="22">
        <f t="shared" si="194"/>
        <v>0.30864197530864196</v>
      </c>
      <c r="BM483" s="1">
        <f t="shared" si="186"/>
        <v>3.438881268099373E-3</v>
      </c>
      <c r="BN483" s="1">
        <f t="shared" si="187"/>
        <v>2.4850661210708846E-2</v>
      </c>
    </row>
    <row r="484" spans="1:66" x14ac:dyDescent="0.25">
      <c r="A484" s="3"/>
      <c r="B484" s="3"/>
      <c r="C484" t="s">
        <v>340</v>
      </c>
      <c r="D484" s="5">
        <v>1</v>
      </c>
      <c r="E484" s="9">
        <f t="shared" si="171"/>
        <v>2.912621359223301</v>
      </c>
      <c r="F484" s="9">
        <f t="shared" si="172"/>
        <v>0</v>
      </c>
      <c r="G484">
        <v>0</v>
      </c>
      <c r="H484">
        <v>97.087378640776706</v>
      </c>
      <c r="I484">
        <v>0</v>
      </c>
      <c r="J484">
        <v>0</v>
      </c>
      <c r="K484">
        <v>0</v>
      </c>
      <c r="L484">
        <v>0</v>
      </c>
      <c r="M484">
        <v>2.912621359223301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</v>
      </c>
      <c r="AK484" t="s">
        <v>1</v>
      </c>
      <c r="AL484" t="s">
        <v>372</v>
      </c>
      <c r="AN484" t="s">
        <v>373</v>
      </c>
      <c r="AO484" t="s">
        <v>378</v>
      </c>
      <c r="AP484" t="s">
        <v>817</v>
      </c>
      <c r="AQ484" s="1">
        <f t="shared" si="188"/>
        <v>100</v>
      </c>
      <c r="AR484" s="1">
        <f t="shared" si="173"/>
        <v>2.9126213592233011E-2</v>
      </c>
      <c r="AS484" s="1">
        <f t="shared" si="174"/>
        <v>0</v>
      </c>
      <c r="AT484" s="1">
        <f t="shared" si="175"/>
        <v>0.970873786407767</v>
      </c>
      <c r="AU484" s="1">
        <f t="shared" si="176"/>
        <v>0</v>
      </c>
      <c r="AV484" s="1">
        <f t="shared" si="189"/>
        <v>0.03</v>
      </c>
      <c r="AX484" s="1">
        <f t="shared" si="190"/>
        <v>0</v>
      </c>
      <c r="AY484" s="1">
        <f t="shared" si="177"/>
        <v>0.03</v>
      </c>
      <c r="AZ484" s="1">
        <f t="shared" si="178"/>
        <v>0.5</v>
      </c>
      <c r="BA484" s="1">
        <f t="shared" si="179"/>
        <v>0.5</v>
      </c>
      <c r="BB484" s="1">
        <f t="shared" si="180"/>
        <v>0.03</v>
      </c>
      <c r="BC484" s="1">
        <f t="shared" si="181"/>
        <v>0.03</v>
      </c>
      <c r="BD484" s="1">
        <f t="shared" si="191"/>
        <v>0</v>
      </c>
      <c r="BF484">
        <f t="shared" si="182"/>
        <v>97.087378640776706</v>
      </c>
      <c r="BG484">
        <f t="shared" si="183"/>
        <v>2.912621359223301</v>
      </c>
      <c r="BH484" s="1">
        <f t="shared" si="184"/>
        <v>0</v>
      </c>
      <c r="BI484" s="1">
        <f t="shared" si="185"/>
        <v>0.03</v>
      </c>
      <c r="BJ484" s="1">
        <f t="shared" si="192"/>
        <v>0.43</v>
      </c>
      <c r="BK484" s="1">
        <f t="shared" si="193"/>
        <v>0.03</v>
      </c>
      <c r="BL484" s="22">
        <f t="shared" si="194"/>
        <v>0.03</v>
      </c>
      <c r="BM484" s="1">
        <f t="shared" si="186"/>
        <v>0</v>
      </c>
      <c r="BN484" s="1">
        <f t="shared" si="187"/>
        <v>0.14261266817701015</v>
      </c>
    </row>
    <row r="485" spans="1:66" x14ac:dyDescent="0.25">
      <c r="A485" s="3"/>
      <c r="B485" s="3"/>
      <c r="C485" t="s">
        <v>247</v>
      </c>
      <c r="D485" s="5">
        <v>1</v>
      </c>
      <c r="E485" s="9">
        <f t="shared" si="171"/>
        <v>9.0909090909090917</v>
      </c>
      <c r="F485" s="9">
        <f t="shared" si="172"/>
        <v>0</v>
      </c>
      <c r="G485">
        <v>0</v>
      </c>
      <c r="H485">
        <v>90.909090909090907</v>
      </c>
      <c r="I485">
        <v>0</v>
      </c>
      <c r="J485">
        <v>0</v>
      </c>
      <c r="K485">
        <v>0</v>
      </c>
      <c r="L485">
        <v>0</v>
      </c>
      <c r="M485">
        <v>9.0909090909090917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12</v>
      </c>
      <c r="AK485" t="s">
        <v>1</v>
      </c>
      <c r="AL485" t="s">
        <v>372</v>
      </c>
      <c r="AQ485" s="1">
        <f t="shared" si="188"/>
        <v>100</v>
      </c>
      <c r="AR485" s="1">
        <f t="shared" si="173"/>
        <v>9.0909090909090912E-2</v>
      </c>
      <c r="AS485" s="1">
        <f t="shared" si="174"/>
        <v>0</v>
      </c>
      <c r="AT485" s="1">
        <f t="shared" si="175"/>
        <v>0.90909090909090906</v>
      </c>
      <c r="AU485" s="1">
        <f t="shared" si="176"/>
        <v>0</v>
      </c>
      <c r="AV485" s="1">
        <f t="shared" si="189"/>
        <v>0.12</v>
      </c>
      <c r="AX485" s="1">
        <f t="shared" si="190"/>
        <v>0</v>
      </c>
      <c r="AY485" s="1">
        <f t="shared" si="177"/>
        <v>0.1</v>
      </c>
      <c r="AZ485" s="1">
        <f t="shared" si="178"/>
        <v>0.5</v>
      </c>
      <c r="BA485" s="1">
        <f t="shared" si="179"/>
        <v>0.5</v>
      </c>
      <c r="BB485" s="1">
        <f t="shared" si="180"/>
        <v>0.1</v>
      </c>
      <c r="BC485" s="1">
        <f t="shared" si="181"/>
        <v>0.1</v>
      </c>
      <c r="BD485" s="1">
        <f t="shared" si="191"/>
        <v>1.999999999999999E-2</v>
      </c>
      <c r="BF485">
        <f t="shared" si="182"/>
        <v>90.909090909090907</v>
      </c>
      <c r="BG485">
        <f t="shared" si="183"/>
        <v>9.0909090909090917</v>
      </c>
      <c r="BH485" s="1">
        <f t="shared" si="184"/>
        <v>0</v>
      </c>
      <c r="BI485" s="1">
        <f t="shared" si="185"/>
        <v>0.1</v>
      </c>
      <c r="BJ485" s="1">
        <f t="shared" si="192"/>
        <v>0.43</v>
      </c>
      <c r="BK485" s="1">
        <f t="shared" si="193"/>
        <v>0.1</v>
      </c>
      <c r="BL485" s="22">
        <f t="shared" si="194"/>
        <v>0.1</v>
      </c>
      <c r="BM485" s="1">
        <f t="shared" si="186"/>
        <v>3.9999999999999959E-4</v>
      </c>
      <c r="BN485" s="1">
        <f t="shared" si="187"/>
        <v>8.2737301690795989E-2</v>
      </c>
    </row>
    <row r="486" spans="1:66" x14ac:dyDescent="0.25">
      <c r="A486" s="3"/>
      <c r="B486" s="3"/>
      <c r="C486" t="s">
        <v>248</v>
      </c>
      <c r="D486" s="5">
        <v>1</v>
      </c>
      <c r="E486" s="9">
        <f t="shared" si="171"/>
        <v>16.666666666666671</v>
      </c>
      <c r="F486" s="9">
        <f t="shared" si="172"/>
        <v>0</v>
      </c>
      <c r="G486">
        <v>0</v>
      </c>
      <c r="H486">
        <v>83.333333333333343</v>
      </c>
      <c r="I486">
        <v>0</v>
      </c>
      <c r="J486">
        <v>0</v>
      </c>
      <c r="K486">
        <v>0</v>
      </c>
      <c r="L486">
        <v>0</v>
      </c>
      <c r="M486">
        <v>16.666666666666671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21</v>
      </c>
      <c r="AK486" t="s">
        <v>1</v>
      </c>
      <c r="AL486" t="s">
        <v>372</v>
      </c>
      <c r="AQ486" s="1">
        <f t="shared" si="188"/>
        <v>100.00000000000001</v>
      </c>
      <c r="AR486" s="1">
        <f t="shared" si="173"/>
        <v>0.16666666666666671</v>
      </c>
      <c r="AS486" s="1">
        <f t="shared" si="174"/>
        <v>0</v>
      </c>
      <c r="AT486" s="1">
        <f t="shared" si="175"/>
        <v>0.83333333333333348</v>
      </c>
      <c r="AU486" s="1">
        <f t="shared" si="176"/>
        <v>0</v>
      </c>
      <c r="AV486" s="1">
        <f t="shared" si="189"/>
        <v>0.21</v>
      </c>
      <c r="AX486" s="1">
        <f t="shared" si="190"/>
        <v>0</v>
      </c>
      <c r="AY486" s="1">
        <f t="shared" si="177"/>
        <v>0.2</v>
      </c>
      <c r="AZ486" s="1">
        <f t="shared" si="178"/>
        <v>0.5</v>
      </c>
      <c r="BA486" s="1">
        <f t="shared" si="179"/>
        <v>0.5</v>
      </c>
      <c r="BB486" s="1">
        <f t="shared" si="180"/>
        <v>0.2</v>
      </c>
      <c r="BC486" s="1">
        <f t="shared" si="181"/>
        <v>0.2</v>
      </c>
      <c r="BD486" s="1">
        <f t="shared" si="191"/>
        <v>9.9999999999999811E-3</v>
      </c>
      <c r="BF486">
        <f t="shared" si="182"/>
        <v>83.333333333333343</v>
      </c>
      <c r="BG486">
        <f t="shared" si="183"/>
        <v>16.666666666666671</v>
      </c>
      <c r="BH486" s="1">
        <f t="shared" si="184"/>
        <v>0</v>
      </c>
      <c r="BI486" s="1">
        <f t="shared" si="185"/>
        <v>0.20000000000000004</v>
      </c>
      <c r="BJ486" s="1">
        <f t="shared" si="192"/>
        <v>0.43</v>
      </c>
      <c r="BK486" s="1">
        <f t="shared" si="193"/>
        <v>0.20000000000000004</v>
      </c>
      <c r="BL486" s="22">
        <f t="shared" si="194"/>
        <v>0.20000000000000004</v>
      </c>
      <c r="BM486" s="1">
        <f t="shared" si="186"/>
        <v>9.999999999999907E-5</v>
      </c>
      <c r="BN486" s="1">
        <f t="shared" si="187"/>
        <v>3.9061935204581816E-2</v>
      </c>
    </row>
    <row r="487" spans="1:66" x14ac:dyDescent="0.25">
      <c r="A487" s="3"/>
      <c r="B487" s="3"/>
      <c r="C487" t="s">
        <v>249</v>
      </c>
      <c r="D487" s="5">
        <v>1</v>
      </c>
      <c r="E487" s="9">
        <f t="shared" si="171"/>
        <v>23.07692307692308</v>
      </c>
      <c r="F487" s="9">
        <f t="shared" si="172"/>
        <v>0</v>
      </c>
      <c r="G487">
        <v>0</v>
      </c>
      <c r="H487">
        <v>76.92307692307692</v>
      </c>
      <c r="I487">
        <v>0</v>
      </c>
      <c r="J487">
        <v>0</v>
      </c>
      <c r="K487">
        <v>0</v>
      </c>
      <c r="L487">
        <v>0</v>
      </c>
      <c r="M487">
        <v>23.07692307692308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32</v>
      </c>
      <c r="AK487" t="s">
        <v>1</v>
      </c>
      <c r="AL487" t="s">
        <v>372</v>
      </c>
      <c r="AQ487" s="1">
        <f t="shared" si="188"/>
        <v>100</v>
      </c>
      <c r="AR487" s="1">
        <f t="shared" si="173"/>
        <v>0.23076923076923081</v>
      </c>
      <c r="AS487" s="1">
        <f t="shared" si="174"/>
        <v>0</v>
      </c>
      <c r="AT487" s="1">
        <f t="shared" si="175"/>
        <v>0.76923076923076916</v>
      </c>
      <c r="AU487" s="1">
        <f t="shared" si="176"/>
        <v>0</v>
      </c>
      <c r="AV487" s="1">
        <f t="shared" si="189"/>
        <v>0.32</v>
      </c>
      <c r="AX487" s="1">
        <f t="shared" si="190"/>
        <v>0</v>
      </c>
      <c r="AY487" s="1">
        <f t="shared" si="177"/>
        <v>0.3000000000000001</v>
      </c>
      <c r="AZ487" s="1">
        <f t="shared" si="178"/>
        <v>0.5</v>
      </c>
      <c r="BA487" s="1">
        <f t="shared" si="179"/>
        <v>0.5</v>
      </c>
      <c r="BB487" s="1">
        <f t="shared" si="180"/>
        <v>0.3000000000000001</v>
      </c>
      <c r="BC487" s="1">
        <f t="shared" si="181"/>
        <v>0.3000000000000001</v>
      </c>
      <c r="BD487" s="1">
        <f t="shared" si="191"/>
        <v>1.9999999999999907E-2</v>
      </c>
      <c r="BF487">
        <f t="shared" si="182"/>
        <v>76.92307692307692</v>
      </c>
      <c r="BG487">
        <f t="shared" si="183"/>
        <v>23.07692307692308</v>
      </c>
      <c r="BH487" s="1">
        <f t="shared" si="184"/>
        <v>0</v>
      </c>
      <c r="BI487" s="1">
        <f t="shared" si="185"/>
        <v>0.30000000000000004</v>
      </c>
      <c r="BJ487" s="1">
        <f t="shared" si="192"/>
        <v>0.43</v>
      </c>
      <c r="BK487" s="1">
        <f t="shared" si="193"/>
        <v>0.30000000000000004</v>
      </c>
      <c r="BL487" s="22">
        <f t="shared" si="194"/>
        <v>0.30000000000000004</v>
      </c>
      <c r="BM487" s="1">
        <f t="shared" si="186"/>
        <v>3.999999999999985E-4</v>
      </c>
      <c r="BN487" s="1">
        <f t="shared" si="187"/>
        <v>7.680931721431152E-3</v>
      </c>
    </row>
    <row r="488" spans="1:66" x14ac:dyDescent="0.25">
      <c r="A488" s="3"/>
      <c r="B488" s="3"/>
      <c r="C488" t="s">
        <v>250</v>
      </c>
      <c r="D488" s="5">
        <v>1</v>
      </c>
      <c r="E488" s="9">
        <f t="shared" si="171"/>
        <v>28.57142857142858</v>
      </c>
      <c r="F488" s="9">
        <f t="shared" si="172"/>
        <v>0</v>
      </c>
      <c r="G488">
        <v>0</v>
      </c>
      <c r="H488">
        <v>71.428571428571431</v>
      </c>
      <c r="I488">
        <v>0</v>
      </c>
      <c r="J488">
        <v>0</v>
      </c>
      <c r="K488">
        <v>0</v>
      </c>
      <c r="L488">
        <v>0</v>
      </c>
      <c r="M488">
        <v>28.57142857142858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38</v>
      </c>
      <c r="AK488" t="s">
        <v>1</v>
      </c>
      <c r="AL488" t="s">
        <v>372</v>
      </c>
      <c r="AQ488" s="1">
        <f t="shared" si="188"/>
        <v>100.00000000000001</v>
      </c>
      <c r="AR488" s="1">
        <f t="shared" si="173"/>
        <v>0.28571428571428581</v>
      </c>
      <c r="AS488" s="1">
        <f t="shared" si="174"/>
        <v>0</v>
      </c>
      <c r="AT488" s="1">
        <f t="shared" si="175"/>
        <v>0.7142857142857143</v>
      </c>
      <c r="AU488" s="1">
        <f t="shared" si="176"/>
        <v>0</v>
      </c>
      <c r="AV488" s="1">
        <f t="shared" si="189"/>
        <v>0.38</v>
      </c>
      <c r="AX488" s="1">
        <f t="shared" si="190"/>
        <v>0</v>
      </c>
      <c r="AY488" s="1">
        <f t="shared" si="177"/>
        <v>0.40000000000000013</v>
      </c>
      <c r="AZ488" s="1">
        <f t="shared" si="178"/>
        <v>0.5</v>
      </c>
      <c r="BA488" s="1">
        <f t="shared" si="179"/>
        <v>0.5</v>
      </c>
      <c r="BB488" s="1">
        <f t="shared" si="180"/>
        <v>0.40000000000000013</v>
      </c>
      <c r="BC488" s="1">
        <f t="shared" si="181"/>
        <v>0.40000000000000013</v>
      </c>
      <c r="BD488" s="1">
        <f t="shared" si="191"/>
        <v>2.0000000000000129E-2</v>
      </c>
      <c r="BF488">
        <f t="shared" si="182"/>
        <v>71.428571428571431</v>
      </c>
      <c r="BG488">
        <f t="shared" si="183"/>
        <v>28.57142857142858</v>
      </c>
      <c r="BH488" s="1">
        <f t="shared" si="184"/>
        <v>0</v>
      </c>
      <c r="BI488" s="1">
        <f t="shared" si="185"/>
        <v>0.40000000000000013</v>
      </c>
      <c r="BJ488" s="1">
        <f t="shared" si="192"/>
        <v>0.43</v>
      </c>
      <c r="BK488" s="1">
        <f t="shared" si="193"/>
        <v>0.40000000000000013</v>
      </c>
      <c r="BL488" s="22">
        <f t="shared" si="194"/>
        <v>0.40000000000000013</v>
      </c>
      <c r="BM488" s="1">
        <f t="shared" si="186"/>
        <v>4.0000000000000517E-4</v>
      </c>
      <c r="BN488" s="1">
        <f t="shared" si="187"/>
        <v>7.6402073062170313E-4</v>
      </c>
    </row>
    <row r="489" spans="1:66" x14ac:dyDescent="0.25">
      <c r="A489" s="3"/>
      <c r="B489" s="3"/>
      <c r="C489" t="s">
        <v>251</v>
      </c>
      <c r="D489" s="5">
        <v>1</v>
      </c>
      <c r="E489" s="9">
        <f t="shared" si="171"/>
        <v>33.333333333333329</v>
      </c>
      <c r="F489" s="9">
        <f t="shared" si="172"/>
        <v>0</v>
      </c>
      <c r="G489">
        <v>0</v>
      </c>
      <c r="H489">
        <v>66.666666666666657</v>
      </c>
      <c r="I489">
        <v>0</v>
      </c>
      <c r="J489">
        <v>0</v>
      </c>
      <c r="K489">
        <v>0</v>
      </c>
      <c r="L489">
        <v>0</v>
      </c>
      <c r="M489">
        <v>33.333333333333329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43</v>
      </c>
      <c r="AK489" t="s">
        <v>1</v>
      </c>
      <c r="AL489" t="s">
        <v>372</v>
      </c>
      <c r="AQ489" s="1">
        <f t="shared" si="188"/>
        <v>99.999999999999986</v>
      </c>
      <c r="AR489" s="1">
        <f t="shared" si="173"/>
        <v>0.33333333333333326</v>
      </c>
      <c r="AS489" s="1">
        <f t="shared" si="174"/>
        <v>0</v>
      </c>
      <c r="AT489" s="1">
        <f t="shared" si="175"/>
        <v>0.66666666666666652</v>
      </c>
      <c r="AU489" s="1">
        <f t="shared" si="176"/>
        <v>0</v>
      </c>
      <c r="AV489" s="1">
        <f t="shared" si="189"/>
        <v>0.43</v>
      </c>
      <c r="AX489" s="1">
        <f t="shared" si="190"/>
        <v>0</v>
      </c>
      <c r="AY489" s="1">
        <f t="shared" si="177"/>
        <v>0.5</v>
      </c>
      <c r="AZ489" s="1">
        <f t="shared" si="178"/>
        <v>0.5</v>
      </c>
      <c r="BA489" s="1">
        <f t="shared" si="179"/>
        <v>0.5</v>
      </c>
      <c r="BB489" s="1">
        <f t="shared" si="180"/>
        <v>0.5</v>
      </c>
      <c r="BC489" s="1">
        <f t="shared" si="181"/>
        <v>0.5</v>
      </c>
      <c r="BD489" s="1">
        <f t="shared" si="191"/>
        <v>7.0000000000000007E-2</v>
      </c>
      <c r="BF489">
        <f t="shared" si="182"/>
        <v>66.666666666666657</v>
      </c>
      <c r="BG489">
        <f t="shared" si="183"/>
        <v>33.333333333333329</v>
      </c>
      <c r="BH489" s="1">
        <f t="shared" si="184"/>
        <v>0</v>
      </c>
      <c r="BI489" s="1">
        <f t="shared" si="185"/>
        <v>0.5</v>
      </c>
      <c r="BJ489" s="1">
        <f t="shared" si="192"/>
        <v>0.43</v>
      </c>
      <c r="BK489" s="1">
        <f t="shared" si="193"/>
        <v>0.40701138914924623</v>
      </c>
      <c r="BL489" s="22">
        <f t="shared" si="194"/>
        <v>0.40701138914924623</v>
      </c>
      <c r="BM489" s="1">
        <f t="shared" si="186"/>
        <v>5.2847622884739378E-4</v>
      </c>
      <c r="BN489" s="1">
        <f t="shared" si="187"/>
        <v>4.9992823828049458E-4</v>
      </c>
    </row>
    <row r="490" spans="1:66" x14ac:dyDescent="0.25">
      <c r="A490" s="3"/>
      <c r="B490" s="3"/>
      <c r="C490" t="s">
        <v>252</v>
      </c>
      <c r="D490" s="5">
        <v>1</v>
      </c>
      <c r="E490" s="9">
        <f t="shared" si="171"/>
        <v>41.17647058823529</v>
      </c>
      <c r="F490" s="9">
        <f t="shared" si="172"/>
        <v>0</v>
      </c>
      <c r="G490">
        <v>0</v>
      </c>
      <c r="H490">
        <v>58.82352941176471</v>
      </c>
      <c r="I490">
        <v>0</v>
      </c>
      <c r="J490">
        <v>0</v>
      </c>
      <c r="K490">
        <v>0</v>
      </c>
      <c r="L490">
        <v>0</v>
      </c>
      <c r="M490">
        <v>41.17647058823529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44</v>
      </c>
      <c r="AK490" t="s">
        <v>1</v>
      </c>
      <c r="AL490" t="s">
        <v>372</v>
      </c>
      <c r="AQ490" s="1">
        <f t="shared" si="188"/>
        <v>100</v>
      </c>
      <c r="AR490" s="1">
        <f t="shared" si="173"/>
        <v>0.41176470588235292</v>
      </c>
      <c r="AS490" s="1">
        <f t="shared" si="174"/>
        <v>0</v>
      </c>
      <c r="AT490" s="1">
        <f t="shared" si="175"/>
        <v>0.58823529411764708</v>
      </c>
      <c r="AU490" s="1">
        <f t="shared" si="176"/>
        <v>0</v>
      </c>
      <c r="AV490" s="1">
        <f t="shared" si="189"/>
        <v>0.44</v>
      </c>
      <c r="AX490" s="1">
        <f t="shared" si="190"/>
        <v>0</v>
      </c>
      <c r="AY490" s="1">
        <f t="shared" si="177"/>
        <v>0.7</v>
      </c>
      <c r="AZ490" s="1">
        <f t="shared" si="178"/>
        <v>0.5</v>
      </c>
      <c r="BA490" s="1">
        <f t="shared" si="179"/>
        <v>0.5</v>
      </c>
      <c r="BB490" s="1">
        <f t="shared" si="180"/>
        <v>0.43333333333333335</v>
      </c>
      <c r="BC490" s="1">
        <f t="shared" si="181"/>
        <v>0.43333333333333335</v>
      </c>
      <c r="BD490" s="1">
        <f t="shared" si="191"/>
        <v>6.6666666666666541E-3</v>
      </c>
      <c r="BF490">
        <f t="shared" si="182"/>
        <v>58.82352941176471</v>
      </c>
      <c r="BG490">
        <f t="shared" si="183"/>
        <v>41.17647058823529</v>
      </c>
      <c r="BH490" s="1">
        <f t="shared" si="184"/>
        <v>0</v>
      </c>
      <c r="BI490" s="1">
        <f t="shared" si="185"/>
        <v>0.69999999999999984</v>
      </c>
      <c r="BJ490" s="1">
        <f t="shared" si="192"/>
        <v>0.43</v>
      </c>
      <c r="BK490" s="1">
        <f t="shared" si="193"/>
        <v>0.40564961277588563</v>
      </c>
      <c r="BL490" s="22">
        <f t="shared" si="194"/>
        <v>0.40564961277588563</v>
      </c>
      <c r="BM490" s="1">
        <f t="shared" si="186"/>
        <v>1.1799491024466E-3</v>
      </c>
      <c r="BN490" s="1">
        <f t="shared" si="187"/>
        <v>1.0471097398122534E-3</v>
      </c>
    </row>
    <row r="491" spans="1:66" x14ac:dyDescent="0.25">
      <c r="A491" s="3"/>
      <c r="B491" s="3"/>
      <c r="C491" t="s">
        <v>253</v>
      </c>
      <c r="D491" s="5">
        <v>1</v>
      </c>
      <c r="E491" s="9">
        <f t="shared" si="171"/>
        <v>47.368421052631582</v>
      </c>
      <c r="F491" s="9">
        <f t="shared" si="172"/>
        <v>0</v>
      </c>
      <c r="G491">
        <v>0</v>
      </c>
      <c r="H491">
        <v>52.631578947368418</v>
      </c>
      <c r="I491">
        <v>0</v>
      </c>
      <c r="J491">
        <v>0</v>
      </c>
      <c r="K491">
        <v>0</v>
      </c>
      <c r="L491">
        <v>0</v>
      </c>
      <c r="M491">
        <v>47.368421052631582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40</v>
      </c>
      <c r="AK491" t="s">
        <v>1</v>
      </c>
      <c r="AL491" t="s">
        <v>372</v>
      </c>
      <c r="AQ491" s="1">
        <f t="shared" si="188"/>
        <v>100</v>
      </c>
      <c r="AR491" s="1">
        <f t="shared" si="173"/>
        <v>0.47368421052631582</v>
      </c>
      <c r="AS491" s="1">
        <f t="shared" si="174"/>
        <v>0</v>
      </c>
      <c r="AT491" s="1">
        <f t="shared" si="175"/>
        <v>0.52631578947368418</v>
      </c>
      <c r="AU491" s="1">
        <f t="shared" si="176"/>
        <v>0</v>
      </c>
      <c r="AV491" s="1">
        <f t="shared" si="189"/>
        <v>0.4</v>
      </c>
      <c r="AX491" s="1">
        <f t="shared" si="190"/>
        <v>0</v>
      </c>
      <c r="AY491" s="1">
        <f t="shared" si="177"/>
        <v>0.90000000000000013</v>
      </c>
      <c r="AZ491" s="1">
        <f t="shared" si="178"/>
        <v>0.5</v>
      </c>
      <c r="BA491" s="1">
        <f t="shared" si="179"/>
        <v>0.5</v>
      </c>
      <c r="BB491" s="1">
        <f t="shared" si="180"/>
        <v>0.36666666666666659</v>
      </c>
      <c r="BC491" s="1">
        <f t="shared" si="181"/>
        <v>0.36666666666666659</v>
      </c>
      <c r="BD491" s="1">
        <f t="shared" si="191"/>
        <v>3.3333333333333437E-2</v>
      </c>
      <c r="BF491">
        <f t="shared" si="182"/>
        <v>52.631578947368418</v>
      </c>
      <c r="BG491">
        <f t="shared" si="183"/>
        <v>47.368421052631582</v>
      </c>
      <c r="BH491" s="1">
        <f t="shared" si="184"/>
        <v>0</v>
      </c>
      <c r="BI491" s="1">
        <f t="shared" si="185"/>
        <v>0.90000000000000013</v>
      </c>
      <c r="BJ491" s="1">
        <f t="shared" si="192"/>
        <v>0.43</v>
      </c>
      <c r="BK491" s="1">
        <f t="shared" si="193"/>
        <v>0.3822113548781052</v>
      </c>
      <c r="BL491" s="22">
        <f t="shared" si="194"/>
        <v>0.3822113548781052</v>
      </c>
      <c r="BM491" s="1">
        <f t="shared" si="186"/>
        <v>3.1643589527271236E-4</v>
      </c>
      <c r="BN491" s="1">
        <f t="shared" si="187"/>
        <v>5.8383733685219634E-5</v>
      </c>
    </row>
    <row r="492" spans="1:66" x14ac:dyDescent="0.25">
      <c r="A492" s="3"/>
      <c r="B492" s="3"/>
      <c r="C492" t="s">
        <v>254</v>
      </c>
      <c r="D492" s="5">
        <v>1</v>
      </c>
      <c r="E492" s="9">
        <f t="shared" si="171"/>
        <v>2.912621359223301</v>
      </c>
      <c r="F492" s="9">
        <f t="shared" si="172"/>
        <v>0</v>
      </c>
      <c r="G492">
        <v>0</v>
      </c>
      <c r="H492">
        <v>97.087378640776706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2.912621359223301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3</v>
      </c>
      <c r="AK492" t="s">
        <v>1</v>
      </c>
      <c r="AL492" t="s">
        <v>372</v>
      </c>
      <c r="AQ492" s="1">
        <f t="shared" si="188"/>
        <v>100</v>
      </c>
      <c r="AR492" s="1">
        <f t="shared" si="173"/>
        <v>2.9126213592233011E-2</v>
      </c>
      <c r="AS492" s="1">
        <f t="shared" si="174"/>
        <v>0</v>
      </c>
      <c r="AT492" s="1">
        <f t="shared" si="175"/>
        <v>0.970873786407767</v>
      </c>
      <c r="AU492" s="1">
        <f t="shared" si="176"/>
        <v>0</v>
      </c>
      <c r="AV492" s="1">
        <f t="shared" si="189"/>
        <v>0.03</v>
      </c>
      <c r="AX492" s="1">
        <f t="shared" si="190"/>
        <v>0</v>
      </c>
      <c r="AY492" s="1">
        <f t="shared" si="177"/>
        <v>0.03</v>
      </c>
      <c r="AZ492" s="1">
        <f t="shared" si="178"/>
        <v>0.5</v>
      </c>
      <c r="BA492" s="1">
        <f t="shared" si="179"/>
        <v>0.5</v>
      </c>
      <c r="BB492" s="1">
        <f t="shared" si="180"/>
        <v>0.03</v>
      </c>
      <c r="BC492" s="1">
        <f t="shared" si="181"/>
        <v>0.03</v>
      </c>
      <c r="BD492" s="1">
        <f t="shared" si="191"/>
        <v>0</v>
      </c>
      <c r="BF492">
        <f t="shared" si="182"/>
        <v>97.087378640776706</v>
      </c>
      <c r="BG492">
        <f t="shared" si="183"/>
        <v>2.912621359223301</v>
      </c>
      <c r="BH492" s="1">
        <f t="shared" si="184"/>
        <v>0</v>
      </c>
      <c r="BI492" s="1">
        <f t="shared" si="185"/>
        <v>0.03</v>
      </c>
      <c r="BJ492" s="1">
        <f t="shared" si="192"/>
        <v>0.43</v>
      </c>
      <c r="BK492" s="1">
        <f t="shared" si="193"/>
        <v>0.03</v>
      </c>
      <c r="BL492" s="22">
        <f t="shared" si="194"/>
        <v>0.03</v>
      </c>
      <c r="BM492" s="1">
        <f t="shared" si="186"/>
        <v>0</v>
      </c>
      <c r="BN492" s="1">
        <f t="shared" si="187"/>
        <v>0.14261266817701015</v>
      </c>
    </row>
    <row r="493" spans="1:66" x14ac:dyDescent="0.25">
      <c r="A493" s="3"/>
      <c r="B493" s="3"/>
      <c r="C493" t="s">
        <v>348</v>
      </c>
      <c r="D493" s="5">
        <v>1</v>
      </c>
      <c r="E493" s="9">
        <f t="shared" si="171"/>
        <v>9.0909090909090917</v>
      </c>
      <c r="F493" s="9">
        <f t="shared" si="172"/>
        <v>0</v>
      </c>
      <c r="G493">
        <v>0</v>
      </c>
      <c r="H493">
        <v>90.909090909090907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9.0909090909090917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10</v>
      </c>
      <c r="AK493" t="s">
        <v>1</v>
      </c>
      <c r="AL493" t="s">
        <v>372</v>
      </c>
      <c r="AQ493" s="1">
        <f t="shared" si="188"/>
        <v>100</v>
      </c>
      <c r="AR493" s="1">
        <f t="shared" si="173"/>
        <v>9.0909090909090912E-2</v>
      </c>
      <c r="AS493" s="1">
        <f t="shared" si="174"/>
        <v>0</v>
      </c>
      <c r="AT493" s="1">
        <f t="shared" si="175"/>
        <v>0.90909090909090906</v>
      </c>
      <c r="AU493" s="1">
        <f t="shared" si="176"/>
        <v>0</v>
      </c>
      <c r="AV493" s="1">
        <f t="shared" si="189"/>
        <v>0.1</v>
      </c>
      <c r="AX493" s="1">
        <f t="shared" si="190"/>
        <v>0</v>
      </c>
      <c r="AY493" s="1">
        <f t="shared" si="177"/>
        <v>0.1</v>
      </c>
      <c r="AZ493" s="1">
        <f t="shared" si="178"/>
        <v>0.5</v>
      </c>
      <c r="BA493" s="1">
        <f t="shared" si="179"/>
        <v>0.5</v>
      </c>
      <c r="BB493" s="1">
        <f t="shared" si="180"/>
        <v>0.1</v>
      </c>
      <c r="BC493" s="1">
        <f t="shared" si="181"/>
        <v>0.1</v>
      </c>
      <c r="BD493" s="1">
        <f t="shared" si="191"/>
        <v>0</v>
      </c>
      <c r="BF493">
        <f t="shared" si="182"/>
        <v>90.909090909090907</v>
      </c>
      <c r="BG493">
        <f t="shared" si="183"/>
        <v>9.0909090909090917</v>
      </c>
      <c r="BH493" s="1">
        <f t="shared" si="184"/>
        <v>0</v>
      </c>
      <c r="BI493" s="1">
        <f t="shared" si="185"/>
        <v>0.1</v>
      </c>
      <c r="BJ493" s="1">
        <f t="shared" si="192"/>
        <v>0.43</v>
      </c>
      <c r="BK493" s="1">
        <f t="shared" si="193"/>
        <v>0.1</v>
      </c>
      <c r="BL493" s="22">
        <f t="shared" si="194"/>
        <v>0.1</v>
      </c>
      <c r="BM493" s="1">
        <f t="shared" si="186"/>
        <v>0</v>
      </c>
      <c r="BN493" s="1">
        <f t="shared" si="187"/>
        <v>9.4642938687732478E-2</v>
      </c>
    </row>
    <row r="494" spans="1:66" x14ac:dyDescent="0.25">
      <c r="A494" s="3"/>
      <c r="B494" s="3"/>
      <c r="C494" t="s">
        <v>255</v>
      </c>
      <c r="D494" s="5">
        <v>1</v>
      </c>
      <c r="E494" s="9">
        <f t="shared" si="171"/>
        <v>16.666666666666671</v>
      </c>
      <c r="F494" s="9">
        <f t="shared" si="172"/>
        <v>0</v>
      </c>
      <c r="G494">
        <v>0</v>
      </c>
      <c r="H494">
        <v>83.333333333333343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16.666666666666671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22</v>
      </c>
      <c r="AK494" t="s">
        <v>1</v>
      </c>
      <c r="AL494" t="s">
        <v>372</v>
      </c>
      <c r="AQ494" s="1">
        <f t="shared" si="188"/>
        <v>100.00000000000001</v>
      </c>
      <c r="AR494" s="1">
        <f t="shared" si="173"/>
        <v>0.16666666666666671</v>
      </c>
      <c r="AS494" s="1">
        <f t="shared" si="174"/>
        <v>0</v>
      </c>
      <c r="AT494" s="1">
        <f t="shared" si="175"/>
        <v>0.83333333333333348</v>
      </c>
      <c r="AU494" s="1">
        <f t="shared" si="176"/>
        <v>0</v>
      </c>
      <c r="AV494" s="1">
        <f t="shared" si="189"/>
        <v>0.22</v>
      </c>
      <c r="AX494" s="1">
        <f t="shared" si="190"/>
        <v>0</v>
      </c>
      <c r="AY494" s="1">
        <f t="shared" si="177"/>
        <v>0.2</v>
      </c>
      <c r="AZ494" s="1">
        <f t="shared" si="178"/>
        <v>0.5</v>
      </c>
      <c r="BA494" s="1">
        <f t="shared" si="179"/>
        <v>0.5</v>
      </c>
      <c r="BB494" s="1">
        <f t="shared" si="180"/>
        <v>0.2</v>
      </c>
      <c r="BC494" s="1">
        <f t="shared" si="181"/>
        <v>0.2</v>
      </c>
      <c r="BD494" s="1">
        <f t="shared" si="191"/>
        <v>1.999999999999999E-2</v>
      </c>
      <c r="BF494">
        <f t="shared" si="182"/>
        <v>83.333333333333343</v>
      </c>
      <c r="BG494">
        <f t="shared" si="183"/>
        <v>16.666666666666671</v>
      </c>
      <c r="BH494" s="1">
        <f t="shared" si="184"/>
        <v>0</v>
      </c>
      <c r="BI494" s="1">
        <f t="shared" si="185"/>
        <v>0.20000000000000004</v>
      </c>
      <c r="BJ494" s="1">
        <f t="shared" si="192"/>
        <v>0.43</v>
      </c>
      <c r="BK494" s="1">
        <f t="shared" si="193"/>
        <v>0.20000000000000004</v>
      </c>
      <c r="BL494" s="22">
        <f t="shared" si="194"/>
        <v>0.20000000000000004</v>
      </c>
      <c r="BM494" s="1">
        <f t="shared" si="186"/>
        <v>3.999999999999985E-4</v>
      </c>
      <c r="BN494" s="1">
        <f t="shared" si="187"/>
        <v>3.5209116706113569E-2</v>
      </c>
    </row>
    <row r="495" spans="1:66" x14ac:dyDescent="0.25">
      <c r="A495" s="3"/>
      <c r="B495" s="3"/>
      <c r="C495" t="s">
        <v>256</v>
      </c>
      <c r="D495" s="5">
        <v>1</v>
      </c>
      <c r="E495" s="9">
        <f t="shared" si="171"/>
        <v>28.57142857142858</v>
      </c>
      <c r="F495" s="9">
        <f t="shared" si="172"/>
        <v>0</v>
      </c>
      <c r="G495">
        <v>0</v>
      </c>
      <c r="H495">
        <v>71.428571428571431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28.57142857142858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38</v>
      </c>
      <c r="AK495" t="s">
        <v>1</v>
      </c>
      <c r="AL495" t="s">
        <v>372</v>
      </c>
      <c r="AQ495" s="1">
        <f t="shared" si="188"/>
        <v>100.00000000000001</v>
      </c>
      <c r="AR495" s="1">
        <f t="shared" si="173"/>
        <v>0.28571428571428581</v>
      </c>
      <c r="AS495" s="1">
        <f t="shared" si="174"/>
        <v>0</v>
      </c>
      <c r="AT495" s="1">
        <f t="shared" si="175"/>
        <v>0.7142857142857143</v>
      </c>
      <c r="AU495" s="1">
        <f t="shared" si="176"/>
        <v>0</v>
      </c>
      <c r="AV495" s="1">
        <f t="shared" si="189"/>
        <v>0.38</v>
      </c>
      <c r="AX495" s="1">
        <f t="shared" si="190"/>
        <v>0</v>
      </c>
      <c r="AY495" s="1">
        <f t="shared" si="177"/>
        <v>0.40000000000000013</v>
      </c>
      <c r="AZ495" s="1">
        <f t="shared" si="178"/>
        <v>0.5</v>
      </c>
      <c r="BA495" s="1">
        <f t="shared" si="179"/>
        <v>0.5</v>
      </c>
      <c r="BB495" s="1">
        <f t="shared" si="180"/>
        <v>0.40000000000000013</v>
      </c>
      <c r="BC495" s="1">
        <f t="shared" si="181"/>
        <v>0.40000000000000013</v>
      </c>
      <c r="BD495" s="1">
        <f t="shared" si="191"/>
        <v>2.0000000000000129E-2</v>
      </c>
      <c r="BF495">
        <f t="shared" si="182"/>
        <v>71.428571428571431</v>
      </c>
      <c r="BG495">
        <f t="shared" si="183"/>
        <v>28.57142857142858</v>
      </c>
      <c r="BH495" s="1">
        <f t="shared" si="184"/>
        <v>0</v>
      </c>
      <c r="BI495" s="1">
        <f t="shared" si="185"/>
        <v>0.40000000000000013</v>
      </c>
      <c r="BJ495" s="1">
        <f t="shared" si="192"/>
        <v>0.43</v>
      </c>
      <c r="BK495" s="1">
        <f t="shared" si="193"/>
        <v>0.40000000000000013</v>
      </c>
      <c r="BL495" s="22">
        <f t="shared" si="194"/>
        <v>0.40000000000000013</v>
      </c>
      <c r="BM495" s="1">
        <f t="shared" si="186"/>
        <v>4.0000000000000517E-4</v>
      </c>
      <c r="BN495" s="1">
        <f t="shared" si="187"/>
        <v>7.6402073062170313E-4</v>
      </c>
    </row>
    <row r="496" spans="1:66" x14ac:dyDescent="0.25">
      <c r="A496" s="3"/>
      <c r="B496" s="3"/>
      <c r="C496" t="s">
        <v>257</v>
      </c>
      <c r="D496" s="5">
        <v>1</v>
      </c>
      <c r="E496" s="9">
        <f t="shared" si="171"/>
        <v>41.17647058823529</v>
      </c>
      <c r="F496" s="9">
        <f t="shared" si="172"/>
        <v>0</v>
      </c>
      <c r="G496">
        <v>0</v>
      </c>
      <c r="H496">
        <v>58.82352941176471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41.17647058823529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39</v>
      </c>
      <c r="AK496" t="s">
        <v>1</v>
      </c>
      <c r="AL496" t="s">
        <v>372</v>
      </c>
      <c r="AQ496" s="1">
        <f t="shared" si="188"/>
        <v>100</v>
      </c>
      <c r="AR496" s="1">
        <f t="shared" si="173"/>
        <v>0.41176470588235292</v>
      </c>
      <c r="AS496" s="1">
        <f t="shared" si="174"/>
        <v>0</v>
      </c>
      <c r="AT496" s="1">
        <f t="shared" si="175"/>
        <v>0.58823529411764708</v>
      </c>
      <c r="AU496" s="1">
        <f t="shared" si="176"/>
        <v>0</v>
      </c>
      <c r="AV496" s="1">
        <f t="shared" si="189"/>
        <v>0.39</v>
      </c>
      <c r="AX496" s="1">
        <f t="shared" si="190"/>
        <v>0</v>
      </c>
      <c r="AY496" s="1">
        <f t="shared" si="177"/>
        <v>0.7</v>
      </c>
      <c r="AZ496" s="1">
        <f t="shared" si="178"/>
        <v>0.5</v>
      </c>
      <c r="BA496" s="1">
        <f t="shared" si="179"/>
        <v>0.5</v>
      </c>
      <c r="BB496" s="1">
        <f t="shared" si="180"/>
        <v>0.43333333333333335</v>
      </c>
      <c r="BC496" s="1">
        <f t="shared" si="181"/>
        <v>0.43333333333333335</v>
      </c>
      <c r="BD496" s="1">
        <f t="shared" si="191"/>
        <v>4.3333333333333335E-2</v>
      </c>
      <c r="BF496">
        <f t="shared" si="182"/>
        <v>58.82352941176471</v>
      </c>
      <c r="BG496">
        <f t="shared" si="183"/>
        <v>41.17647058823529</v>
      </c>
      <c r="BH496" s="1">
        <f t="shared" si="184"/>
        <v>0</v>
      </c>
      <c r="BI496" s="1">
        <f t="shared" si="185"/>
        <v>0.69999999999999984</v>
      </c>
      <c r="BJ496" s="1">
        <f t="shared" si="192"/>
        <v>0.43</v>
      </c>
      <c r="BK496" s="1">
        <f t="shared" si="193"/>
        <v>0.40564961277588563</v>
      </c>
      <c r="BL496" s="22">
        <f t="shared" si="194"/>
        <v>0.40564961277588563</v>
      </c>
      <c r="BM496" s="1">
        <f t="shared" si="186"/>
        <v>2.4491038003516218E-4</v>
      </c>
      <c r="BN496" s="1">
        <f t="shared" si="187"/>
        <v>3.1120223215346117E-4</v>
      </c>
    </row>
    <row r="497" spans="1:66" x14ac:dyDescent="0.25">
      <c r="A497" s="3"/>
      <c r="B497" s="3"/>
      <c r="C497" t="s">
        <v>258</v>
      </c>
      <c r="D497" s="5">
        <v>1</v>
      </c>
      <c r="E497" s="9">
        <f t="shared" si="171"/>
        <v>44.44444444444445</v>
      </c>
      <c r="F497" s="9">
        <f t="shared" si="172"/>
        <v>0</v>
      </c>
      <c r="G497">
        <v>0</v>
      </c>
      <c r="H497">
        <v>55.555555555555557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44.44444444444445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33</v>
      </c>
      <c r="AK497" t="s">
        <v>1</v>
      </c>
      <c r="AL497" t="s">
        <v>372</v>
      </c>
      <c r="AQ497" s="1">
        <f t="shared" si="188"/>
        <v>100</v>
      </c>
      <c r="AR497" s="1">
        <f t="shared" si="173"/>
        <v>0.44444444444444448</v>
      </c>
      <c r="AS497" s="1">
        <f t="shared" si="174"/>
        <v>0</v>
      </c>
      <c r="AT497" s="1">
        <f t="shared" si="175"/>
        <v>0.55555555555555558</v>
      </c>
      <c r="AU497" s="1">
        <f t="shared" si="176"/>
        <v>0</v>
      </c>
      <c r="AV497" s="1">
        <f t="shared" si="189"/>
        <v>0.33</v>
      </c>
      <c r="AX497" s="1">
        <f t="shared" si="190"/>
        <v>0</v>
      </c>
      <c r="AY497" s="1">
        <f t="shared" si="177"/>
        <v>0.8</v>
      </c>
      <c r="AZ497" s="1">
        <f t="shared" si="178"/>
        <v>0.5</v>
      </c>
      <c r="BA497" s="1">
        <f t="shared" si="179"/>
        <v>0.5</v>
      </c>
      <c r="BB497" s="1">
        <f t="shared" si="180"/>
        <v>0.39999999999999997</v>
      </c>
      <c r="BC497" s="1">
        <f t="shared" si="181"/>
        <v>0.39999999999999997</v>
      </c>
      <c r="BD497" s="1">
        <f t="shared" si="191"/>
        <v>6.9999999999999951E-2</v>
      </c>
      <c r="BF497">
        <f t="shared" si="182"/>
        <v>55.555555555555557</v>
      </c>
      <c r="BG497">
        <f t="shared" si="183"/>
        <v>44.44444444444445</v>
      </c>
      <c r="BH497" s="1">
        <f t="shared" si="184"/>
        <v>0</v>
      </c>
      <c r="BI497" s="1">
        <f t="shared" si="185"/>
        <v>0.8</v>
      </c>
      <c r="BJ497" s="1">
        <f t="shared" si="192"/>
        <v>0.43</v>
      </c>
      <c r="BK497" s="1">
        <f t="shared" si="193"/>
        <v>0.39613240427395546</v>
      </c>
      <c r="BL497" s="22">
        <f t="shared" si="194"/>
        <v>0.39613240427395546</v>
      </c>
      <c r="BM497" s="1">
        <f t="shared" si="186"/>
        <v>4.3734948950538803E-3</v>
      </c>
      <c r="BN497" s="1">
        <f t="shared" si="187"/>
        <v>6.0281132229629093E-3</v>
      </c>
    </row>
    <row r="498" spans="1:66" x14ac:dyDescent="0.25">
      <c r="A498" s="3"/>
      <c r="B498" s="3"/>
      <c r="C498" t="s">
        <v>259</v>
      </c>
      <c r="D498" s="5">
        <v>1</v>
      </c>
      <c r="E498" s="9">
        <f t="shared" si="171"/>
        <v>16.666666666666671</v>
      </c>
      <c r="F498" s="9">
        <f t="shared" si="172"/>
        <v>0</v>
      </c>
      <c r="G498">
        <v>0</v>
      </c>
      <c r="H498">
        <v>83.333333333333343</v>
      </c>
      <c r="I498">
        <v>0</v>
      </c>
      <c r="J498">
        <v>0</v>
      </c>
      <c r="K498">
        <v>0</v>
      </c>
      <c r="L498">
        <v>16.666666666666671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25</v>
      </c>
      <c r="AK498" t="s">
        <v>1</v>
      </c>
      <c r="AL498" t="s">
        <v>372</v>
      </c>
      <c r="AQ498" s="1">
        <f t="shared" si="188"/>
        <v>100.00000000000001</v>
      </c>
      <c r="AR498" s="1">
        <f t="shared" si="173"/>
        <v>0.16666666666666671</v>
      </c>
      <c r="AS498" s="1">
        <f t="shared" si="174"/>
        <v>0</v>
      </c>
      <c r="AT498" s="1">
        <f t="shared" si="175"/>
        <v>0.83333333333333348</v>
      </c>
      <c r="AU498" s="1">
        <f t="shared" si="176"/>
        <v>0</v>
      </c>
      <c r="AV498" s="1">
        <f t="shared" si="189"/>
        <v>0.25</v>
      </c>
      <c r="AX498" s="1">
        <f t="shared" si="190"/>
        <v>0</v>
      </c>
      <c r="AY498" s="1">
        <f t="shared" si="177"/>
        <v>0.2</v>
      </c>
      <c r="AZ498" s="1">
        <f t="shared" si="178"/>
        <v>0.5</v>
      </c>
      <c r="BA498" s="1">
        <f t="shared" si="179"/>
        <v>0.5</v>
      </c>
      <c r="BB498" s="1">
        <f t="shared" si="180"/>
        <v>0.2</v>
      </c>
      <c r="BC498" s="1">
        <f t="shared" si="181"/>
        <v>0.2</v>
      </c>
      <c r="BD498" s="1">
        <f t="shared" si="191"/>
        <v>4.9999999999999989E-2</v>
      </c>
      <c r="BF498">
        <f t="shared" si="182"/>
        <v>83.333333333333343</v>
      </c>
      <c r="BG498">
        <f t="shared" si="183"/>
        <v>16.666666666666671</v>
      </c>
      <c r="BH498" s="1">
        <f t="shared" si="184"/>
        <v>0</v>
      </c>
      <c r="BI498" s="1">
        <f t="shared" si="185"/>
        <v>0.20000000000000004</v>
      </c>
      <c r="BJ498" s="1">
        <f t="shared" si="192"/>
        <v>0.43</v>
      </c>
      <c r="BK498" s="1">
        <f t="shared" si="193"/>
        <v>0.20000000000000004</v>
      </c>
      <c r="BL498" s="22">
        <f t="shared" si="194"/>
        <v>0.20000000000000004</v>
      </c>
      <c r="BM498" s="1">
        <f t="shared" si="186"/>
        <v>2.4999999999999961E-3</v>
      </c>
      <c r="BN498" s="1">
        <f t="shared" si="187"/>
        <v>2.4850661210708846E-2</v>
      </c>
    </row>
    <row r="499" spans="1:66" x14ac:dyDescent="0.25">
      <c r="A499" s="3"/>
      <c r="B499" s="3"/>
      <c r="C499" t="s">
        <v>349</v>
      </c>
      <c r="D499" s="5">
        <v>1</v>
      </c>
      <c r="E499" s="9">
        <f t="shared" si="171"/>
        <v>35.064935064935057</v>
      </c>
      <c r="F499" s="9">
        <f t="shared" si="172"/>
        <v>0</v>
      </c>
      <c r="G499">
        <v>0</v>
      </c>
      <c r="H499">
        <v>64.935064935064929</v>
      </c>
      <c r="I499">
        <v>0</v>
      </c>
      <c r="J499">
        <v>0</v>
      </c>
      <c r="K499">
        <v>0</v>
      </c>
      <c r="L499">
        <v>35.064935064935057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40</v>
      </c>
      <c r="AK499" t="s">
        <v>1</v>
      </c>
      <c r="AL499" t="s">
        <v>372</v>
      </c>
      <c r="AQ499" s="1">
        <f t="shared" si="188"/>
        <v>99.999999999999986</v>
      </c>
      <c r="AR499" s="1">
        <f t="shared" si="173"/>
        <v>0.35064935064935054</v>
      </c>
      <c r="AS499" s="1">
        <f t="shared" si="174"/>
        <v>0</v>
      </c>
      <c r="AT499" s="1">
        <f t="shared" si="175"/>
        <v>0.64935064935064934</v>
      </c>
      <c r="AU499" s="1">
        <f t="shared" si="176"/>
        <v>0</v>
      </c>
      <c r="AV499" s="1">
        <f t="shared" si="189"/>
        <v>0.4</v>
      </c>
      <c r="AX499" s="1">
        <f t="shared" si="190"/>
        <v>0</v>
      </c>
      <c r="AY499" s="1">
        <f t="shared" si="177"/>
        <v>0.53999999999999981</v>
      </c>
      <c r="AZ499" s="1">
        <f t="shared" si="178"/>
        <v>0.5</v>
      </c>
      <c r="BA499" s="1">
        <f t="shared" si="179"/>
        <v>0.5</v>
      </c>
      <c r="BB499" s="1">
        <f t="shared" si="180"/>
        <v>0.48666666666666675</v>
      </c>
      <c r="BC499" s="1">
        <f t="shared" si="181"/>
        <v>0.48666666666666675</v>
      </c>
      <c r="BD499" s="1">
        <f t="shared" si="191"/>
        <v>8.6666666666666725E-2</v>
      </c>
      <c r="BF499">
        <f t="shared" si="182"/>
        <v>64.935064935064929</v>
      </c>
      <c r="BG499">
        <f t="shared" si="183"/>
        <v>35.064935064935057</v>
      </c>
      <c r="BH499" s="1">
        <f t="shared" si="184"/>
        <v>0</v>
      </c>
      <c r="BI499" s="1">
        <f t="shared" si="185"/>
        <v>0.53999999999999992</v>
      </c>
      <c r="BJ499" s="1">
        <f t="shared" si="192"/>
        <v>0.43</v>
      </c>
      <c r="BK499" s="1">
        <f t="shared" si="193"/>
        <v>0.40896564346170639</v>
      </c>
      <c r="BL499" s="22">
        <f t="shared" si="194"/>
        <v>0.40896564346170639</v>
      </c>
      <c r="BM499" s="1">
        <f t="shared" si="186"/>
        <v>8.0382762682438055E-5</v>
      </c>
      <c r="BN499" s="1">
        <f t="shared" si="187"/>
        <v>5.8383733685219634E-5</v>
      </c>
    </row>
    <row r="500" spans="1:66" x14ac:dyDescent="0.25">
      <c r="A500" s="3"/>
      <c r="B500" s="3"/>
      <c r="C500" t="s">
        <v>260</v>
      </c>
      <c r="D500" s="5">
        <v>1</v>
      </c>
      <c r="E500" s="9">
        <f t="shared" si="171"/>
        <v>41.17647058823529</v>
      </c>
      <c r="F500" s="9">
        <f t="shared" si="172"/>
        <v>0</v>
      </c>
      <c r="G500">
        <v>0</v>
      </c>
      <c r="H500">
        <v>58.82352941176471</v>
      </c>
      <c r="I500">
        <v>0</v>
      </c>
      <c r="J500">
        <v>0</v>
      </c>
      <c r="K500">
        <v>0</v>
      </c>
      <c r="L500">
        <v>41.17647058823529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34</v>
      </c>
      <c r="AK500" t="s">
        <v>1</v>
      </c>
      <c r="AL500" t="s">
        <v>372</v>
      </c>
      <c r="AQ500" s="1">
        <f t="shared" si="188"/>
        <v>100</v>
      </c>
      <c r="AR500" s="1">
        <f t="shared" si="173"/>
        <v>0.41176470588235292</v>
      </c>
      <c r="AS500" s="1">
        <f t="shared" si="174"/>
        <v>0</v>
      </c>
      <c r="AT500" s="1">
        <f t="shared" si="175"/>
        <v>0.58823529411764708</v>
      </c>
      <c r="AU500" s="1">
        <f t="shared" si="176"/>
        <v>0</v>
      </c>
      <c r="AV500" s="1">
        <f t="shared" si="189"/>
        <v>0.34</v>
      </c>
      <c r="AX500" s="1">
        <f t="shared" si="190"/>
        <v>0</v>
      </c>
      <c r="AY500" s="1">
        <f t="shared" si="177"/>
        <v>0.7</v>
      </c>
      <c r="AZ500" s="1">
        <f t="shared" si="178"/>
        <v>0.5</v>
      </c>
      <c r="BA500" s="1">
        <f t="shared" si="179"/>
        <v>0.5</v>
      </c>
      <c r="BB500" s="1">
        <f t="shared" si="180"/>
        <v>0.43333333333333335</v>
      </c>
      <c r="BC500" s="1">
        <f t="shared" si="181"/>
        <v>0.43333333333333335</v>
      </c>
      <c r="BD500" s="1">
        <f t="shared" si="191"/>
        <v>9.3333333333333324E-2</v>
      </c>
      <c r="BF500">
        <f t="shared" si="182"/>
        <v>58.82352941176471</v>
      </c>
      <c r="BG500">
        <f t="shared" si="183"/>
        <v>41.17647058823529</v>
      </c>
      <c r="BH500" s="1">
        <f t="shared" si="184"/>
        <v>0</v>
      </c>
      <c r="BI500" s="1">
        <f t="shared" si="185"/>
        <v>0.69999999999999984</v>
      </c>
      <c r="BJ500" s="1">
        <f t="shared" si="192"/>
        <v>0.43</v>
      </c>
      <c r="BK500" s="1">
        <f t="shared" si="193"/>
        <v>0.40564961277588563</v>
      </c>
      <c r="BL500" s="22">
        <f t="shared" si="194"/>
        <v>0.40564961277588563</v>
      </c>
      <c r="BM500" s="1">
        <f t="shared" si="186"/>
        <v>4.3098716576237218E-3</v>
      </c>
      <c r="BN500" s="1">
        <f t="shared" si="187"/>
        <v>4.5752947244946671E-3</v>
      </c>
    </row>
    <row r="501" spans="1:66" x14ac:dyDescent="0.25">
      <c r="A501" s="3"/>
      <c r="B501" s="3"/>
      <c r="C501" t="s">
        <v>261</v>
      </c>
      <c r="D501" s="5">
        <v>1</v>
      </c>
      <c r="E501" s="9">
        <f t="shared" si="171"/>
        <v>9.0909090909090917</v>
      </c>
      <c r="F501" s="9">
        <f t="shared" si="172"/>
        <v>0</v>
      </c>
      <c r="G501">
        <v>0</v>
      </c>
      <c r="H501">
        <v>90.909090909090907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9.0909090909090917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12</v>
      </c>
      <c r="AK501" t="s">
        <v>1</v>
      </c>
      <c r="AL501" t="s">
        <v>372</v>
      </c>
      <c r="AQ501" s="1">
        <f t="shared" si="188"/>
        <v>100</v>
      </c>
      <c r="AR501" s="1">
        <f t="shared" si="173"/>
        <v>0</v>
      </c>
      <c r="AS501" s="1">
        <f t="shared" si="174"/>
        <v>0</v>
      </c>
      <c r="AT501" s="1">
        <f t="shared" si="175"/>
        <v>0.90909090909090906</v>
      </c>
      <c r="AU501" s="1">
        <f t="shared" si="176"/>
        <v>0</v>
      </c>
      <c r="AV501" s="1">
        <f t="shared" si="189"/>
        <v>0.12</v>
      </c>
      <c r="AX501" s="1">
        <f t="shared" si="190"/>
        <v>0</v>
      </c>
      <c r="AY501" s="1">
        <f t="shared" si="177"/>
        <v>0</v>
      </c>
      <c r="AZ501" s="1">
        <f t="shared" si="178"/>
        <v>0.5</v>
      </c>
      <c r="BA501" s="1">
        <f t="shared" si="179"/>
        <v>0.5</v>
      </c>
      <c r="BB501" s="1">
        <f t="shared" si="180"/>
        <v>0</v>
      </c>
      <c r="BC501" s="1">
        <f t="shared" si="181"/>
        <v>0</v>
      </c>
      <c r="BD501" s="1">
        <f t="shared" si="191"/>
        <v>0.12</v>
      </c>
      <c r="BF501">
        <f t="shared" si="182"/>
        <v>90.909090909090907</v>
      </c>
      <c r="BG501">
        <f t="shared" si="183"/>
        <v>9.0909090909090917</v>
      </c>
      <c r="BH501" s="1">
        <f t="shared" si="184"/>
        <v>0</v>
      </c>
      <c r="BI501" s="1">
        <f t="shared" si="185"/>
        <v>0.1</v>
      </c>
      <c r="BJ501" s="1">
        <f t="shared" si="192"/>
        <v>0.43</v>
      </c>
      <c r="BK501" s="1">
        <f t="shared" si="193"/>
        <v>0.1</v>
      </c>
      <c r="BL501" s="22">
        <f t="shared" si="194"/>
        <v>0.1</v>
      </c>
      <c r="BM501" s="1">
        <f t="shared" si="186"/>
        <v>3.9999999999999959E-4</v>
      </c>
      <c r="BN501" s="1">
        <f t="shared" si="187"/>
        <v>8.2737301690795989E-2</v>
      </c>
    </row>
    <row r="502" spans="1:66" x14ac:dyDescent="0.25">
      <c r="A502" s="3"/>
      <c r="B502" s="3"/>
      <c r="C502" t="s">
        <v>262</v>
      </c>
      <c r="D502" s="5">
        <v>1</v>
      </c>
      <c r="E502" s="9">
        <f t="shared" si="171"/>
        <v>16.666666666666671</v>
      </c>
      <c r="F502" s="9">
        <f t="shared" si="172"/>
        <v>0</v>
      </c>
      <c r="G502">
        <v>0</v>
      </c>
      <c r="H502">
        <v>83.333333333333343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16.666666666666671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22</v>
      </c>
      <c r="AK502" t="s">
        <v>1</v>
      </c>
      <c r="AL502" t="s">
        <v>372</v>
      </c>
      <c r="AQ502" s="1">
        <f t="shared" si="188"/>
        <v>100.00000000000001</v>
      </c>
      <c r="AR502" s="1">
        <f t="shared" si="173"/>
        <v>0</v>
      </c>
      <c r="AS502" s="1">
        <f t="shared" si="174"/>
        <v>0</v>
      </c>
      <c r="AT502" s="1">
        <f t="shared" si="175"/>
        <v>0.83333333333333348</v>
      </c>
      <c r="AU502" s="1">
        <f t="shared" si="176"/>
        <v>0</v>
      </c>
      <c r="AV502" s="1">
        <f t="shared" si="189"/>
        <v>0.22</v>
      </c>
      <c r="AX502" s="1">
        <f t="shared" si="190"/>
        <v>0</v>
      </c>
      <c r="AY502" s="1">
        <f t="shared" si="177"/>
        <v>0</v>
      </c>
      <c r="AZ502" s="1">
        <f t="shared" si="178"/>
        <v>0.5</v>
      </c>
      <c r="BA502" s="1">
        <f t="shared" si="179"/>
        <v>0.5</v>
      </c>
      <c r="BB502" s="1">
        <f t="shared" si="180"/>
        <v>0</v>
      </c>
      <c r="BC502" s="1">
        <f t="shared" si="181"/>
        <v>0</v>
      </c>
      <c r="BD502" s="1">
        <f t="shared" si="191"/>
        <v>0.22</v>
      </c>
      <c r="BF502">
        <f t="shared" si="182"/>
        <v>83.333333333333343</v>
      </c>
      <c r="BG502">
        <f t="shared" si="183"/>
        <v>16.666666666666671</v>
      </c>
      <c r="BH502" s="1">
        <f t="shared" si="184"/>
        <v>0</v>
      </c>
      <c r="BI502" s="1">
        <f t="shared" si="185"/>
        <v>0.20000000000000004</v>
      </c>
      <c r="BJ502" s="1">
        <f t="shared" si="192"/>
        <v>0.43</v>
      </c>
      <c r="BK502" s="1">
        <f t="shared" si="193"/>
        <v>0.20000000000000004</v>
      </c>
      <c r="BL502" s="22">
        <f t="shared" si="194"/>
        <v>0.20000000000000004</v>
      </c>
      <c r="BM502" s="1">
        <f t="shared" si="186"/>
        <v>3.999999999999985E-4</v>
      </c>
      <c r="BN502" s="1">
        <f t="shared" si="187"/>
        <v>3.5209116706113569E-2</v>
      </c>
    </row>
    <row r="503" spans="1:66" x14ac:dyDescent="0.25">
      <c r="A503" s="3"/>
      <c r="B503" s="3"/>
      <c r="C503" t="s">
        <v>263</v>
      </c>
      <c r="D503" s="5">
        <v>1</v>
      </c>
      <c r="E503" s="9">
        <f t="shared" si="171"/>
        <v>32.432432432432442</v>
      </c>
      <c r="F503" s="9">
        <f t="shared" si="172"/>
        <v>0</v>
      </c>
      <c r="G503">
        <v>0</v>
      </c>
      <c r="H503">
        <v>67.567567567567565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32.432432432432442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41</v>
      </c>
      <c r="AK503" t="s">
        <v>1</v>
      </c>
      <c r="AL503" t="s">
        <v>372</v>
      </c>
      <c r="AQ503" s="1">
        <f t="shared" si="188"/>
        <v>100</v>
      </c>
      <c r="AR503" s="1">
        <f t="shared" si="173"/>
        <v>0</v>
      </c>
      <c r="AS503" s="1">
        <f t="shared" si="174"/>
        <v>0</v>
      </c>
      <c r="AT503" s="1">
        <f t="shared" si="175"/>
        <v>0.67567567567567566</v>
      </c>
      <c r="AU503" s="1">
        <f t="shared" si="176"/>
        <v>0</v>
      </c>
      <c r="AV503" s="1">
        <f t="shared" si="189"/>
        <v>0.41</v>
      </c>
      <c r="AX503" s="1">
        <f t="shared" si="190"/>
        <v>0</v>
      </c>
      <c r="AY503" s="1">
        <f t="shared" si="177"/>
        <v>0</v>
      </c>
      <c r="AZ503" s="1">
        <f t="shared" si="178"/>
        <v>0.5</v>
      </c>
      <c r="BA503" s="1">
        <f t="shared" si="179"/>
        <v>0.5</v>
      </c>
      <c r="BB503" s="1">
        <f t="shared" si="180"/>
        <v>0</v>
      </c>
      <c r="BC503" s="1">
        <f t="shared" si="181"/>
        <v>0</v>
      </c>
      <c r="BD503" s="1">
        <f t="shared" si="191"/>
        <v>0.41</v>
      </c>
      <c r="BF503">
        <f t="shared" si="182"/>
        <v>67.567567567567565</v>
      </c>
      <c r="BG503">
        <f t="shared" si="183"/>
        <v>32.432432432432442</v>
      </c>
      <c r="BH503" s="1">
        <f t="shared" si="184"/>
        <v>0</v>
      </c>
      <c r="BI503" s="1">
        <f t="shared" si="185"/>
        <v>0.48000000000000015</v>
      </c>
      <c r="BJ503" s="1">
        <f t="shared" si="192"/>
        <v>0.43</v>
      </c>
      <c r="BK503" s="1">
        <f t="shared" si="193"/>
        <v>0.40555779221123972</v>
      </c>
      <c r="BL503" s="22">
        <f t="shared" si="194"/>
        <v>0.40555779221123972</v>
      </c>
      <c r="BM503" s="1">
        <f t="shared" si="186"/>
        <v>1.9733210038522276E-5</v>
      </c>
      <c r="BN503" s="1">
        <f t="shared" si="187"/>
        <v>5.5652352169781633E-6</v>
      </c>
    </row>
    <row r="504" spans="1:66" x14ac:dyDescent="0.25">
      <c r="A504" s="3"/>
      <c r="B504" s="3"/>
      <c r="C504" t="s">
        <v>264</v>
      </c>
      <c r="D504" s="5">
        <v>1</v>
      </c>
      <c r="E504" s="9">
        <f t="shared" si="171"/>
        <v>35.064935064935057</v>
      </c>
      <c r="F504" s="9">
        <f t="shared" si="172"/>
        <v>0</v>
      </c>
      <c r="G504">
        <v>0</v>
      </c>
      <c r="H504">
        <v>64.935064935064929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35.064935064935057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39</v>
      </c>
      <c r="AK504" t="s">
        <v>1</v>
      </c>
      <c r="AL504" t="s">
        <v>372</v>
      </c>
      <c r="AQ504" s="1">
        <f t="shared" si="188"/>
        <v>99.999999999999986</v>
      </c>
      <c r="AR504" s="1">
        <f t="shared" si="173"/>
        <v>0</v>
      </c>
      <c r="AS504" s="1">
        <f t="shared" si="174"/>
        <v>0</v>
      </c>
      <c r="AT504" s="1">
        <f t="shared" si="175"/>
        <v>0.64935064935064934</v>
      </c>
      <c r="AU504" s="1">
        <f t="shared" si="176"/>
        <v>0</v>
      </c>
      <c r="AV504" s="1">
        <f t="shared" si="189"/>
        <v>0.39</v>
      </c>
      <c r="AX504" s="1">
        <f t="shared" si="190"/>
        <v>0</v>
      </c>
      <c r="AY504" s="1">
        <f t="shared" si="177"/>
        <v>0</v>
      </c>
      <c r="AZ504" s="1">
        <f t="shared" si="178"/>
        <v>0.5</v>
      </c>
      <c r="BA504" s="1">
        <f t="shared" si="179"/>
        <v>0.5</v>
      </c>
      <c r="BB504" s="1">
        <f t="shared" si="180"/>
        <v>0</v>
      </c>
      <c r="BC504" s="1">
        <f t="shared" si="181"/>
        <v>0</v>
      </c>
      <c r="BD504" s="1">
        <f t="shared" si="191"/>
        <v>0.39</v>
      </c>
      <c r="BF504">
        <f t="shared" si="182"/>
        <v>64.935064935064929</v>
      </c>
      <c r="BG504">
        <f t="shared" si="183"/>
        <v>35.064935064935057</v>
      </c>
      <c r="BH504" s="1">
        <f t="shared" si="184"/>
        <v>0</v>
      </c>
      <c r="BI504" s="1">
        <f t="shared" si="185"/>
        <v>0.53999999999999992</v>
      </c>
      <c r="BJ504" s="1">
        <f t="shared" si="192"/>
        <v>0.43</v>
      </c>
      <c r="BK504" s="1">
        <f t="shared" si="193"/>
        <v>0.40896564346170639</v>
      </c>
      <c r="BL504" s="22">
        <f t="shared" si="194"/>
        <v>0.40896564346170639</v>
      </c>
      <c r="BM504" s="1">
        <f t="shared" si="186"/>
        <v>3.5969563191656567E-4</v>
      </c>
      <c r="BN504" s="1">
        <f t="shared" si="187"/>
        <v>3.1120223215346117E-4</v>
      </c>
    </row>
    <row r="505" spans="1:66" x14ac:dyDescent="0.25">
      <c r="A505" s="3"/>
      <c r="B505" s="3"/>
      <c r="C505" t="s">
        <v>265</v>
      </c>
      <c r="D505" s="5">
        <v>1</v>
      </c>
      <c r="E505" s="9">
        <f t="shared" si="171"/>
        <v>41.17647058823529</v>
      </c>
      <c r="F505" s="9">
        <f t="shared" si="172"/>
        <v>0</v>
      </c>
      <c r="G505">
        <v>0</v>
      </c>
      <c r="H505">
        <v>58.82352941176471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41.17647058823529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34</v>
      </c>
      <c r="AK505" t="s">
        <v>1</v>
      </c>
      <c r="AL505" t="s">
        <v>372</v>
      </c>
      <c r="AQ505" s="1">
        <f t="shared" si="188"/>
        <v>100</v>
      </c>
      <c r="AR505" s="1">
        <f t="shared" si="173"/>
        <v>0</v>
      </c>
      <c r="AS505" s="1">
        <f t="shared" si="174"/>
        <v>0</v>
      </c>
      <c r="AT505" s="1">
        <f t="shared" si="175"/>
        <v>0.58823529411764708</v>
      </c>
      <c r="AU505" s="1">
        <f t="shared" si="176"/>
        <v>0</v>
      </c>
      <c r="AV505" s="1">
        <f t="shared" si="189"/>
        <v>0.34</v>
      </c>
      <c r="AX505" s="1">
        <f t="shared" si="190"/>
        <v>0</v>
      </c>
      <c r="AY505" s="1">
        <f t="shared" si="177"/>
        <v>0</v>
      </c>
      <c r="AZ505" s="1">
        <f t="shared" si="178"/>
        <v>0.5</v>
      </c>
      <c r="BA505" s="1">
        <f t="shared" si="179"/>
        <v>0.5</v>
      </c>
      <c r="BB505" s="1">
        <f t="shared" si="180"/>
        <v>0</v>
      </c>
      <c r="BC505" s="1">
        <f t="shared" si="181"/>
        <v>0</v>
      </c>
      <c r="BD505" s="1">
        <f t="shared" si="191"/>
        <v>0.34</v>
      </c>
      <c r="BF505">
        <f t="shared" si="182"/>
        <v>58.82352941176471</v>
      </c>
      <c r="BG505">
        <f t="shared" si="183"/>
        <v>41.17647058823529</v>
      </c>
      <c r="BH505" s="1">
        <f t="shared" si="184"/>
        <v>0</v>
      </c>
      <c r="BI505" s="1">
        <f t="shared" si="185"/>
        <v>0.69999999999999984</v>
      </c>
      <c r="BJ505" s="1">
        <f t="shared" si="192"/>
        <v>0.43</v>
      </c>
      <c r="BK505" s="1">
        <f t="shared" si="193"/>
        <v>0.40564961277588563</v>
      </c>
      <c r="BL505" s="22">
        <f t="shared" si="194"/>
        <v>0.40564961277588563</v>
      </c>
      <c r="BM505" s="1">
        <f t="shared" si="186"/>
        <v>4.3098716576237218E-3</v>
      </c>
      <c r="BN505" s="1">
        <f t="shared" si="187"/>
        <v>4.5752947244946671E-3</v>
      </c>
    </row>
    <row r="506" spans="1:66" x14ac:dyDescent="0.25">
      <c r="A506" s="3"/>
      <c r="B506" s="3"/>
      <c r="C506" t="s">
        <v>266</v>
      </c>
      <c r="D506" s="5">
        <v>1</v>
      </c>
      <c r="E506" s="9">
        <f t="shared" si="171"/>
        <v>44.44444444444445</v>
      </c>
      <c r="F506" s="9">
        <f t="shared" si="172"/>
        <v>0</v>
      </c>
      <c r="G506">
        <v>0</v>
      </c>
      <c r="H506">
        <v>55.555555555555557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44.44444444444445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30</v>
      </c>
      <c r="AK506" t="s">
        <v>1</v>
      </c>
      <c r="AL506" t="s">
        <v>372</v>
      </c>
      <c r="AQ506" s="1">
        <f t="shared" si="188"/>
        <v>100</v>
      </c>
      <c r="AR506" s="1">
        <f t="shared" si="173"/>
        <v>0</v>
      </c>
      <c r="AS506" s="1">
        <f t="shared" si="174"/>
        <v>0</v>
      </c>
      <c r="AT506" s="1">
        <f t="shared" si="175"/>
        <v>0.55555555555555558</v>
      </c>
      <c r="AU506" s="1">
        <f t="shared" si="176"/>
        <v>0</v>
      </c>
      <c r="AV506" s="1">
        <f t="shared" si="189"/>
        <v>0.3</v>
      </c>
      <c r="AX506" s="1">
        <f t="shared" si="190"/>
        <v>0</v>
      </c>
      <c r="AY506" s="1">
        <f t="shared" si="177"/>
        <v>0</v>
      </c>
      <c r="AZ506" s="1">
        <f t="shared" si="178"/>
        <v>0.5</v>
      </c>
      <c r="BA506" s="1">
        <f t="shared" si="179"/>
        <v>0.5</v>
      </c>
      <c r="BB506" s="1">
        <f t="shared" si="180"/>
        <v>0</v>
      </c>
      <c r="BC506" s="1">
        <f t="shared" si="181"/>
        <v>0</v>
      </c>
      <c r="BD506" s="1">
        <f t="shared" si="191"/>
        <v>0.3</v>
      </c>
      <c r="BF506">
        <f t="shared" si="182"/>
        <v>55.555555555555557</v>
      </c>
      <c r="BG506">
        <f t="shared" si="183"/>
        <v>44.44444444444445</v>
      </c>
      <c r="BH506" s="1">
        <f t="shared" si="184"/>
        <v>0</v>
      </c>
      <c r="BI506" s="1">
        <f t="shared" si="185"/>
        <v>0.8</v>
      </c>
      <c r="BJ506" s="1">
        <f t="shared" si="192"/>
        <v>0.43</v>
      </c>
      <c r="BK506" s="1">
        <f t="shared" si="193"/>
        <v>0.39613240427395546</v>
      </c>
      <c r="BL506" s="22">
        <f t="shared" si="194"/>
        <v>0.39613240427395546</v>
      </c>
      <c r="BM506" s="1">
        <f t="shared" si="186"/>
        <v>9.2414391514912125E-3</v>
      </c>
      <c r="BN506" s="1">
        <f t="shared" si="187"/>
        <v>1.158656871836764E-2</v>
      </c>
    </row>
    <row r="507" spans="1:66" x14ac:dyDescent="0.25">
      <c r="A507" s="3"/>
      <c r="B507" s="3"/>
      <c r="C507" t="s">
        <v>267</v>
      </c>
      <c r="D507" s="5">
        <v>1</v>
      </c>
      <c r="E507" s="9">
        <f t="shared" ref="E507:E561" si="195">I507+L507+M507+N507+O507+V507+X507+AB507+AD507</f>
        <v>2.912621359223301</v>
      </c>
      <c r="F507" s="9">
        <f t="shared" ref="F507:F561" si="196">Q507/(H507+P507+Q507+AC507)</f>
        <v>0</v>
      </c>
      <c r="G507">
        <v>0</v>
      </c>
      <c r="H507">
        <v>97.087378640776706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2.912621359223301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</v>
      </c>
      <c r="AK507" t="s">
        <v>1</v>
      </c>
      <c r="AL507" t="s">
        <v>372</v>
      </c>
      <c r="AQ507" s="1">
        <f t="shared" si="188"/>
        <v>100</v>
      </c>
      <c r="AR507" s="1">
        <f t="shared" si="173"/>
        <v>2.9126213592233011E-2</v>
      </c>
      <c r="AS507" s="1">
        <f t="shared" si="174"/>
        <v>0</v>
      </c>
      <c r="AT507" s="1">
        <f t="shared" si="175"/>
        <v>0.970873786407767</v>
      </c>
      <c r="AU507" s="1">
        <f t="shared" si="176"/>
        <v>0</v>
      </c>
      <c r="AV507" s="1">
        <f t="shared" si="189"/>
        <v>0.05</v>
      </c>
      <c r="AX507" s="1">
        <f t="shared" si="190"/>
        <v>0</v>
      </c>
      <c r="AY507" s="1">
        <f t="shared" si="177"/>
        <v>0.03</v>
      </c>
      <c r="AZ507" s="1">
        <f t="shared" si="178"/>
        <v>0.5</v>
      </c>
      <c r="BA507" s="1">
        <f t="shared" si="179"/>
        <v>0.5</v>
      </c>
      <c r="BB507" s="1">
        <f t="shared" si="180"/>
        <v>0.03</v>
      </c>
      <c r="BC507" s="1">
        <f t="shared" si="181"/>
        <v>0.03</v>
      </c>
      <c r="BD507" s="1">
        <f t="shared" si="191"/>
        <v>2.0000000000000004E-2</v>
      </c>
      <c r="BF507">
        <f t="shared" si="182"/>
        <v>97.087378640776706</v>
      </c>
      <c r="BG507">
        <f t="shared" si="183"/>
        <v>2.912621359223301</v>
      </c>
      <c r="BH507" s="1">
        <f t="shared" si="184"/>
        <v>0</v>
      </c>
      <c r="BI507" s="1">
        <f t="shared" si="185"/>
        <v>0.03</v>
      </c>
      <c r="BJ507" s="1">
        <f t="shared" si="192"/>
        <v>0.43</v>
      </c>
      <c r="BK507" s="1">
        <f t="shared" si="193"/>
        <v>0.03</v>
      </c>
      <c r="BL507" s="22">
        <f t="shared" si="194"/>
        <v>0.03</v>
      </c>
      <c r="BM507" s="1">
        <f t="shared" si="186"/>
        <v>4.0000000000000018E-4</v>
      </c>
      <c r="BN507" s="1">
        <f t="shared" si="187"/>
        <v>0.12790703118007368</v>
      </c>
    </row>
    <row r="508" spans="1:66" x14ac:dyDescent="0.25">
      <c r="A508" s="3"/>
      <c r="B508" s="3"/>
      <c r="C508" t="s">
        <v>268</v>
      </c>
      <c r="D508" s="5">
        <v>1</v>
      </c>
      <c r="E508" s="9">
        <f t="shared" si="195"/>
        <v>9.0909090909090917</v>
      </c>
      <c r="F508" s="9">
        <f t="shared" si="196"/>
        <v>0</v>
      </c>
      <c r="G508">
        <v>0</v>
      </c>
      <c r="H508">
        <v>90.909090909090907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9.0909090909090917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12</v>
      </c>
      <c r="AK508" t="s">
        <v>1</v>
      </c>
      <c r="AL508" t="s">
        <v>372</v>
      </c>
      <c r="AQ508" s="1">
        <f t="shared" si="188"/>
        <v>100</v>
      </c>
      <c r="AR508" s="1">
        <f t="shared" si="173"/>
        <v>9.0909090909090912E-2</v>
      </c>
      <c r="AS508" s="1">
        <f t="shared" si="174"/>
        <v>0</v>
      </c>
      <c r="AT508" s="1">
        <f t="shared" si="175"/>
        <v>0.90909090909090906</v>
      </c>
      <c r="AU508" s="1">
        <f t="shared" si="176"/>
        <v>0</v>
      </c>
      <c r="AV508" s="1">
        <f t="shared" si="189"/>
        <v>0.12</v>
      </c>
      <c r="AX508" s="1">
        <f t="shared" si="190"/>
        <v>0</v>
      </c>
      <c r="AY508" s="1">
        <f t="shared" si="177"/>
        <v>0.1</v>
      </c>
      <c r="AZ508" s="1">
        <f t="shared" si="178"/>
        <v>0.5</v>
      </c>
      <c r="BA508" s="1">
        <f t="shared" si="179"/>
        <v>0.5</v>
      </c>
      <c r="BB508" s="1">
        <f t="shared" si="180"/>
        <v>0.1</v>
      </c>
      <c r="BC508" s="1">
        <f t="shared" si="181"/>
        <v>0.1</v>
      </c>
      <c r="BD508" s="1">
        <f t="shared" si="191"/>
        <v>1.999999999999999E-2</v>
      </c>
      <c r="BF508">
        <f t="shared" si="182"/>
        <v>90.909090909090907</v>
      </c>
      <c r="BG508">
        <f t="shared" si="183"/>
        <v>9.0909090909090917</v>
      </c>
      <c r="BH508" s="1">
        <f t="shared" si="184"/>
        <v>0</v>
      </c>
      <c r="BI508" s="1">
        <f t="shared" si="185"/>
        <v>0.1</v>
      </c>
      <c r="BJ508" s="1">
        <f t="shared" si="192"/>
        <v>0.43</v>
      </c>
      <c r="BK508" s="1">
        <f t="shared" si="193"/>
        <v>0.1</v>
      </c>
      <c r="BL508" s="22">
        <f t="shared" si="194"/>
        <v>0.1</v>
      </c>
      <c r="BM508" s="1">
        <f t="shared" si="186"/>
        <v>3.9999999999999959E-4</v>
      </c>
      <c r="BN508" s="1">
        <f t="shared" si="187"/>
        <v>8.2737301690795989E-2</v>
      </c>
    </row>
    <row r="509" spans="1:66" x14ac:dyDescent="0.25">
      <c r="A509" s="3"/>
      <c r="B509" s="3"/>
      <c r="C509" t="s">
        <v>269</v>
      </c>
      <c r="D509" s="5">
        <v>1</v>
      </c>
      <c r="E509" s="9">
        <f t="shared" si="195"/>
        <v>16.666666666666671</v>
      </c>
      <c r="F509" s="9">
        <f t="shared" si="196"/>
        <v>0</v>
      </c>
      <c r="G509">
        <v>0</v>
      </c>
      <c r="H509">
        <v>83.333333333333343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16.666666666666671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23</v>
      </c>
      <c r="AK509" t="s">
        <v>1</v>
      </c>
      <c r="AL509" t="s">
        <v>372</v>
      </c>
      <c r="AQ509" s="1">
        <f t="shared" si="188"/>
        <v>100.00000000000001</v>
      </c>
      <c r="AR509" s="1">
        <f t="shared" si="173"/>
        <v>0.16666666666666671</v>
      </c>
      <c r="AS509" s="1">
        <f t="shared" si="174"/>
        <v>0</v>
      </c>
      <c r="AT509" s="1">
        <f t="shared" si="175"/>
        <v>0.83333333333333348</v>
      </c>
      <c r="AU509" s="1">
        <f t="shared" si="176"/>
        <v>0</v>
      </c>
      <c r="AV509" s="1">
        <f t="shared" si="189"/>
        <v>0.23</v>
      </c>
      <c r="AX509" s="1">
        <f t="shared" si="190"/>
        <v>0</v>
      </c>
      <c r="AY509" s="1">
        <f t="shared" si="177"/>
        <v>0.2</v>
      </c>
      <c r="AZ509" s="1">
        <f t="shared" si="178"/>
        <v>0.5</v>
      </c>
      <c r="BA509" s="1">
        <f t="shared" si="179"/>
        <v>0.5</v>
      </c>
      <c r="BB509" s="1">
        <f t="shared" si="180"/>
        <v>0.2</v>
      </c>
      <c r="BC509" s="1">
        <f t="shared" si="181"/>
        <v>0.2</v>
      </c>
      <c r="BD509" s="1">
        <f t="shared" si="191"/>
        <v>0.03</v>
      </c>
      <c r="BF509">
        <f t="shared" si="182"/>
        <v>83.333333333333343</v>
      </c>
      <c r="BG509">
        <f t="shared" si="183"/>
        <v>16.666666666666671</v>
      </c>
      <c r="BH509" s="1">
        <f t="shared" si="184"/>
        <v>0</v>
      </c>
      <c r="BI509" s="1">
        <f t="shared" si="185"/>
        <v>0.20000000000000004</v>
      </c>
      <c r="BJ509" s="1">
        <f t="shared" si="192"/>
        <v>0.43</v>
      </c>
      <c r="BK509" s="1">
        <f t="shared" si="193"/>
        <v>0.20000000000000004</v>
      </c>
      <c r="BL509" s="22">
        <f t="shared" si="194"/>
        <v>0.20000000000000004</v>
      </c>
      <c r="BM509" s="1">
        <f t="shared" si="186"/>
        <v>8.9999999999999824E-4</v>
      </c>
      <c r="BN509" s="1">
        <f t="shared" si="187"/>
        <v>3.1556298207645328E-2</v>
      </c>
    </row>
    <row r="510" spans="1:66" x14ac:dyDescent="0.25">
      <c r="A510" s="3"/>
      <c r="B510" s="3"/>
      <c r="C510" t="s">
        <v>341</v>
      </c>
      <c r="D510" s="5">
        <v>1</v>
      </c>
      <c r="E510" s="9">
        <f t="shared" si="195"/>
        <v>24.242424242424239</v>
      </c>
      <c r="F510" s="9">
        <f t="shared" si="196"/>
        <v>0</v>
      </c>
      <c r="G510">
        <v>0</v>
      </c>
      <c r="H510">
        <v>75.757575757575751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24.242424242424239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32</v>
      </c>
      <c r="AK510" t="s">
        <v>1</v>
      </c>
      <c r="AL510" t="s">
        <v>372</v>
      </c>
      <c r="AQ510" s="1">
        <f t="shared" si="188"/>
        <v>99.999999999999986</v>
      </c>
      <c r="AR510" s="1">
        <f t="shared" si="173"/>
        <v>0.24242424242424238</v>
      </c>
      <c r="AS510" s="1">
        <f t="shared" si="174"/>
        <v>0</v>
      </c>
      <c r="AT510" s="1">
        <f t="shared" si="175"/>
        <v>0.75757575757575746</v>
      </c>
      <c r="AU510" s="1">
        <f t="shared" si="176"/>
        <v>0</v>
      </c>
      <c r="AV510" s="1">
        <f t="shared" si="189"/>
        <v>0.32</v>
      </c>
      <c r="AX510" s="1">
        <f t="shared" si="190"/>
        <v>0</v>
      </c>
      <c r="AY510" s="1">
        <f t="shared" si="177"/>
        <v>0.32</v>
      </c>
      <c r="AZ510" s="1">
        <f t="shared" si="178"/>
        <v>0.5</v>
      </c>
      <c r="BA510" s="1">
        <f t="shared" si="179"/>
        <v>0.5</v>
      </c>
      <c r="BB510" s="1">
        <f t="shared" si="180"/>
        <v>0.32</v>
      </c>
      <c r="BC510" s="1">
        <f t="shared" si="181"/>
        <v>0.32</v>
      </c>
      <c r="BD510" s="1">
        <f t="shared" si="191"/>
        <v>0</v>
      </c>
      <c r="BF510">
        <f t="shared" si="182"/>
        <v>75.757575757575751</v>
      </c>
      <c r="BG510">
        <f t="shared" si="183"/>
        <v>24.242424242424239</v>
      </c>
      <c r="BH510" s="1">
        <f t="shared" si="184"/>
        <v>0</v>
      </c>
      <c r="BI510" s="1">
        <f t="shared" si="185"/>
        <v>0.32</v>
      </c>
      <c r="BJ510" s="1">
        <f t="shared" si="192"/>
        <v>0.43</v>
      </c>
      <c r="BK510" s="1">
        <f t="shared" si="193"/>
        <v>0.32</v>
      </c>
      <c r="BL510" s="22">
        <f t="shared" si="194"/>
        <v>0.32</v>
      </c>
      <c r="BM510" s="1">
        <f t="shared" si="186"/>
        <v>0</v>
      </c>
      <c r="BN510" s="1">
        <f t="shared" si="187"/>
        <v>7.680931721431152E-3</v>
      </c>
    </row>
    <row r="511" spans="1:66" x14ac:dyDescent="0.25">
      <c r="A511" s="3"/>
      <c r="B511" s="3"/>
      <c r="C511" t="s">
        <v>270</v>
      </c>
      <c r="D511" s="5">
        <v>1</v>
      </c>
      <c r="E511" s="9">
        <f t="shared" si="195"/>
        <v>28.57142857142858</v>
      </c>
      <c r="F511" s="9">
        <f t="shared" si="196"/>
        <v>0</v>
      </c>
      <c r="G511">
        <v>0</v>
      </c>
      <c r="H511">
        <v>71.428571428571431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28.57142857142858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39</v>
      </c>
      <c r="AK511" t="s">
        <v>1</v>
      </c>
      <c r="AL511" t="s">
        <v>372</v>
      </c>
      <c r="AQ511" s="1">
        <f t="shared" si="188"/>
        <v>100.00000000000001</v>
      </c>
      <c r="AR511" s="1">
        <f t="shared" si="173"/>
        <v>0.28571428571428581</v>
      </c>
      <c r="AS511" s="1">
        <f t="shared" si="174"/>
        <v>0</v>
      </c>
      <c r="AT511" s="1">
        <f t="shared" si="175"/>
        <v>0.7142857142857143</v>
      </c>
      <c r="AU511" s="1">
        <f t="shared" si="176"/>
        <v>0</v>
      </c>
      <c r="AV511" s="1">
        <f t="shared" si="189"/>
        <v>0.39</v>
      </c>
      <c r="AX511" s="1">
        <f t="shared" si="190"/>
        <v>0</v>
      </c>
      <c r="AY511" s="1">
        <f t="shared" si="177"/>
        <v>0.40000000000000013</v>
      </c>
      <c r="AZ511" s="1">
        <f t="shared" si="178"/>
        <v>0.5</v>
      </c>
      <c r="BA511" s="1">
        <f t="shared" si="179"/>
        <v>0.5</v>
      </c>
      <c r="BB511" s="1">
        <f t="shared" si="180"/>
        <v>0.40000000000000013</v>
      </c>
      <c r="BC511" s="1">
        <f t="shared" si="181"/>
        <v>0.40000000000000013</v>
      </c>
      <c r="BD511" s="1">
        <f t="shared" si="191"/>
        <v>1.000000000000012E-2</v>
      </c>
      <c r="BF511">
        <f t="shared" si="182"/>
        <v>71.428571428571431</v>
      </c>
      <c r="BG511">
        <f t="shared" si="183"/>
        <v>28.57142857142858</v>
      </c>
      <c r="BH511" s="1">
        <f t="shared" si="184"/>
        <v>0</v>
      </c>
      <c r="BI511" s="1">
        <f t="shared" si="185"/>
        <v>0.40000000000000013</v>
      </c>
      <c r="BJ511" s="1">
        <f t="shared" si="192"/>
        <v>0.43</v>
      </c>
      <c r="BK511" s="1">
        <f t="shared" si="193"/>
        <v>0.40000000000000013</v>
      </c>
      <c r="BL511" s="22">
        <f t="shared" si="194"/>
        <v>0.40000000000000013</v>
      </c>
      <c r="BM511" s="1">
        <f t="shared" si="186"/>
        <v>1.000000000000024E-4</v>
      </c>
      <c r="BN511" s="1">
        <f t="shared" si="187"/>
        <v>3.1120223215346117E-4</v>
      </c>
    </row>
    <row r="512" spans="1:66" x14ac:dyDescent="0.25">
      <c r="A512" s="3"/>
      <c r="B512" s="3"/>
      <c r="C512" t="s">
        <v>271</v>
      </c>
      <c r="D512" s="5">
        <v>1</v>
      </c>
      <c r="E512" s="9">
        <f t="shared" si="195"/>
        <v>35.064935064935057</v>
      </c>
      <c r="F512" s="9">
        <f t="shared" si="196"/>
        <v>0</v>
      </c>
      <c r="G512">
        <v>0</v>
      </c>
      <c r="H512">
        <v>64.935064935064929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35.064935064935057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41</v>
      </c>
      <c r="AK512" t="s">
        <v>1</v>
      </c>
      <c r="AL512" t="s">
        <v>372</v>
      </c>
      <c r="AQ512" s="1">
        <f t="shared" si="188"/>
        <v>99.999999999999986</v>
      </c>
      <c r="AR512" s="1">
        <f t="shared" si="173"/>
        <v>0.35064935064935054</v>
      </c>
      <c r="AS512" s="1">
        <f t="shared" si="174"/>
        <v>0</v>
      </c>
      <c r="AT512" s="1">
        <f t="shared" si="175"/>
        <v>0.64935064935064934</v>
      </c>
      <c r="AU512" s="1">
        <f t="shared" si="176"/>
        <v>0</v>
      </c>
      <c r="AV512" s="1">
        <f t="shared" si="189"/>
        <v>0.41</v>
      </c>
      <c r="AX512" s="1">
        <f t="shared" si="190"/>
        <v>0</v>
      </c>
      <c r="AY512" s="1">
        <f t="shared" si="177"/>
        <v>0.53999999999999981</v>
      </c>
      <c r="AZ512" s="1">
        <f t="shared" si="178"/>
        <v>0.5</v>
      </c>
      <c r="BA512" s="1">
        <f t="shared" si="179"/>
        <v>0.5</v>
      </c>
      <c r="BB512" s="1">
        <f t="shared" si="180"/>
        <v>0.48666666666666675</v>
      </c>
      <c r="BC512" s="1">
        <f t="shared" si="181"/>
        <v>0.48666666666666675</v>
      </c>
      <c r="BD512" s="1">
        <f t="shared" si="191"/>
        <v>7.6666666666666772E-2</v>
      </c>
      <c r="BF512">
        <f t="shared" si="182"/>
        <v>64.935064935064929</v>
      </c>
      <c r="BG512">
        <f t="shared" si="183"/>
        <v>35.064935064935057</v>
      </c>
      <c r="BH512" s="1">
        <f t="shared" si="184"/>
        <v>0</v>
      </c>
      <c r="BI512" s="1">
        <f t="shared" si="185"/>
        <v>0.53999999999999992</v>
      </c>
      <c r="BJ512" s="1">
        <f t="shared" si="192"/>
        <v>0.43</v>
      </c>
      <c r="BK512" s="1">
        <f t="shared" si="193"/>
        <v>0.40896564346170639</v>
      </c>
      <c r="BL512" s="22">
        <f t="shared" si="194"/>
        <v>0.40896564346170639</v>
      </c>
      <c r="BM512" s="1">
        <f t="shared" si="186"/>
        <v>1.0698934483106998E-6</v>
      </c>
      <c r="BN512" s="1">
        <f t="shared" si="187"/>
        <v>5.5652352169781633E-6</v>
      </c>
    </row>
    <row r="513" spans="1:66" x14ac:dyDescent="0.25">
      <c r="A513" s="3"/>
      <c r="B513" s="3"/>
      <c r="C513" t="s">
        <v>342</v>
      </c>
      <c r="D513" s="5">
        <v>1</v>
      </c>
      <c r="E513" s="9">
        <f t="shared" si="195"/>
        <v>37.499999999999993</v>
      </c>
      <c r="F513" s="9">
        <f t="shared" si="196"/>
        <v>0</v>
      </c>
      <c r="G513">
        <v>0</v>
      </c>
      <c r="H513">
        <v>62.5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37.499999999999993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40</v>
      </c>
      <c r="AK513" t="s">
        <v>1</v>
      </c>
      <c r="AL513" t="s">
        <v>372</v>
      </c>
      <c r="AQ513" s="1">
        <f t="shared" si="188"/>
        <v>100</v>
      </c>
      <c r="AR513" s="1">
        <f t="shared" si="173"/>
        <v>0.37499999999999994</v>
      </c>
      <c r="AS513" s="1">
        <f t="shared" si="174"/>
        <v>0</v>
      </c>
      <c r="AT513" s="1">
        <f t="shared" si="175"/>
        <v>0.625</v>
      </c>
      <c r="AU513" s="1">
        <f t="shared" si="176"/>
        <v>0</v>
      </c>
      <c r="AV513" s="1">
        <f t="shared" si="189"/>
        <v>0.4</v>
      </c>
      <c r="AX513" s="1">
        <f t="shared" si="190"/>
        <v>0</v>
      </c>
      <c r="AY513" s="1">
        <f t="shared" si="177"/>
        <v>0.59999999999999987</v>
      </c>
      <c r="AZ513" s="1">
        <f t="shared" si="178"/>
        <v>0.5</v>
      </c>
      <c r="BA513" s="1">
        <f t="shared" si="179"/>
        <v>0.5</v>
      </c>
      <c r="BB513" s="1">
        <f t="shared" si="180"/>
        <v>0.46666666666666673</v>
      </c>
      <c r="BC513" s="1">
        <f t="shared" si="181"/>
        <v>0.46666666666666673</v>
      </c>
      <c r="BD513" s="1">
        <f t="shared" si="191"/>
        <v>6.6666666666666707E-2</v>
      </c>
      <c r="BF513">
        <f t="shared" si="182"/>
        <v>62.5</v>
      </c>
      <c r="BG513">
        <f t="shared" si="183"/>
        <v>37.499999999999993</v>
      </c>
      <c r="BH513" s="1">
        <f t="shared" si="184"/>
        <v>0</v>
      </c>
      <c r="BI513" s="1">
        <f t="shared" si="185"/>
        <v>0.59999999999999987</v>
      </c>
      <c r="BJ513" s="1">
        <f t="shared" si="192"/>
        <v>0.43</v>
      </c>
      <c r="BK513" s="1">
        <f t="shared" si="193"/>
        <v>0.4096797227504676</v>
      </c>
      <c r="BL513" s="22">
        <f t="shared" si="194"/>
        <v>0.4096797227504676</v>
      </c>
      <c r="BM513" s="1">
        <f t="shared" si="186"/>
        <v>9.3697032525919628E-5</v>
      </c>
      <c r="BN513" s="1">
        <f t="shared" si="187"/>
        <v>5.8383733685219634E-5</v>
      </c>
    </row>
    <row r="514" spans="1:66" x14ac:dyDescent="0.25">
      <c r="A514" s="3"/>
      <c r="B514" s="3"/>
      <c r="C514" t="s">
        <v>272</v>
      </c>
      <c r="D514" s="5">
        <v>1</v>
      </c>
      <c r="E514" s="9">
        <f t="shared" si="195"/>
        <v>41.17647058823529</v>
      </c>
      <c r="F514" s="9">
        <f t="shared" si="196"/>
        <v>0</v>
      </c>
      <c r="G514">
        <v>0</v>
      </c>
      <c r="H514">
        <v>58.82352941176471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41.17647058823529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36</v>
      </c>
      <c r="AK514" t="s">
        <v>1</v>
      </c>
      <c r="AL514" t="s">
        <v>372</v>
      </c>
      <c r="AQ514" s="1">
        <f t="shared" si="188"/>
        <v>100</v>
      </c>
      <c r="AR514" s="1">
        <f t="shared" ref="AR514:AR568" si="197">(L514+M514+O514+X514)/100</f>
        <v>0.41176470588235292</v>
      </c>
      <c r="AS514" s="1">
        <f t="shared" ref="AS514:AS568" si="198">G514/100</f>
        <v>0</v>
      </c>
      <c r="AT514" s="1">
        <f t="shared" ref="AT514:AT568" si="199">H514/100</f>
        <v>0.58823529411764708</v>
      </c>
      <c r="AU514" s="1">
        <f t="shared" ref="AU514:AU568" si="200">Q514/100</f>
        <v>0</v>
      </c>
      <c r="AV514" s="1">
        <f t="shared" si="189"/>
        <v>0.36</v>
      </c>
      <c r="AX514" s="1">
        <f t="shared" si="190"/>
        <v>0</v>
      </c>
      <c r="AY514" s="1">
        <f t="shared" ref="AY514:AY568" si="201">AR514/(AS514+AT514)</f>
        <v>0.7</v>
      </c>
      <c r="AZ514" s="1">
        <f t="shared" ref="AZ514:AZ568" si="202">0.5+AX514/16</f>
        <v>0.5</v>
      </c>
      <c r="BA514" s="1">
        <f t="shared" ref="BA514:BA568" si="203">0.5+AX514/4</f>
        <v>0.5</v>
      </c>
      <c r="BB514" s="1">
        <f t="shared" ref="BB514:BB568" si="204">IF(AY514&lt;=AZ514,AY514,IF(AY514&lt;=BA514,AZ514,AZ514-(AY514-BA514)*(8+AX514)/(12*(2+AX514))))</f>
        <v>0.43333333333333335</v>
      </c>
      <c r="BC514" s="1">
        <f t="shared" ref="BC514:BC568" si="205">IF(BB514&lt;1,BB514,1)</f>
        <v>0.43333333333333335</v>
      </c>
      <c r="BD514" s="1">
        <f t="shared" si="191"/>
        <v>7.3333333333333361E-2</v>
      </c>
      <c r="BF514">
        <f t="shared" ref="BF514:BF568" si="206">$BQ$3*H514+$BQ$4*G514+$BQ$5*P514+$BQ$6*K514+$BQ$7*S514+$BQ$8*U514+$BQ$9*Y514+$BQ$10*J514+$BQ$11*AC514+$BQ$12*AG514+$BQ$13*AH514+$BQ$14*R514+$BQ$15*AE514</f>
        <v>58.82352941176471</v>
      </c>
      <c r="BG514">
        <f t="shared" ref="BG514:BG568" si="207">O514+$BQ$17*M514+$BQ$18*L514+$BQ$19*X514+$BQ$20*AD514+$BQ$21*I514+$BQ$22*N514+$BQ$23*AB514+$BQ$24*V514+$BQ$25*T514+$BQ$26*AA514+$BQ$28*Z514+$BQ$29*AF514+$BQ$30*W514+$BQ$27*AI514</f>
        <v>41.17647058823529</v>
      </c>
      <c r="BH514" s="1">
        <f t="shared" ref="BH514:BH568" si="208">(Q514)/BF514</f>
        <v>0</v>
      </c>
      <c r="BI514" s="1">
        <f t="shared" ref="BI514:BI568" si="209">BG514/BF514</f>
        <v>0.69999999999999984</v>
      </c>
      <c r="BJ514" s="1">
        <f t="shared" si="192"/>
        <v>0.43</v>
      </c>
      <c r="BK514" s="1">
        <f t="shared" si="193"/>
        <v>0.40564961277588563</v>
      </c>
      <c r="BL514" s="22">
        <f t="shared" si="194"/>
        <v>0.40564961277588563</v>
      </c>
      <c r="BM514" s="1">
        <f t="shared" ref="BM514:BM568" si="210">(BL514-AV514)^2</f>
        <v>2.0838871465883014E-3</v>
      </c>
      <c r="BN514" s="1">
        <f t="shared" ref="BN514:BN577" si="211">(AV514-AVERAGE($AV$2:$AV$638))^2</f>
        <v>2.2696577275581882E-3</v>
      </c>
    </row>
    <row r="515" spans="1:66" x14ac:dyDescent="0.25">
      <c r="A515" s="3"/>
      <c r="B515" s="3"/>
      <c r="C515" t="s">
        <v>273</v>
      </c>
      <c r="D515" s="5">
        <v>1</v>
      </c>
      <c r="E515" s="9">
        <f t="shared" si="195"/>
        <v>44.44444444444445</v>
      </c>
      <c r="F515" s="9">
        <f t="shared" si="196"/>
        <v>0</v>
      </c>
      <c r="G515">
        <v>0</v>
      </c>
      <c r="H515">
        <v>55.555555555555557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44.44444444444445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35</v>
      </c>
      <c r="AK515" t="s">
        <v>1</v>
      </c>
      <c r="AL515" t="s">
        <v>372</v>
      </c>
      <c r="AQ515" s="1">
        <f t="shared" ref="AQ515:AQ569" si="212">SUM(G515:AI515)</f>
        <v>100</v>
      </c>
      <c r="AR515" s="1">
        <f t="shared" si="197"/>
        <v>0.44444444444444448</v>
      </c>
      <c r="AS515" s="1">
        <f t="shared" si="198"/>
        <v>0</v>
      </c>
      <c r="AT515" s="1">
        <f t="shared" si="199"/>
        <v>0.55555555555555558</v>
      </c>
      <c r="AU515" s="1">
        <f t="shared" si="200"/>
        <v>0</v>
      </c>
      <c r="AV515" s="1">
        <f t="shared" ref="AV515:AV569" si="213">AJ515/100</f>
        <v>0.35</v>
      </c>
      <c r="AX515" s="1">
        <f t="shared" ref="AX515:AX569" si="214">AU515/(AT515+AS515)</f>
        <v>0</v>
      </c>
      <c r="AY515" s="1">
        <f t="shared" si="201"/>
        <v>0.8</v>
      </c>
      <c r="AZ515" s="1">
        <f t="shared" si="202"/>
        <v>0.5</v>
      </c>
      <c r="BA515" s="1">
        <f t="shared" si="203"/>
        <v>0.5</v>
      </c>
      <c r="BB515" s="1">
        <f t="shared" si="204"/>
        <v>0.39999999999999997</v>
      </c>
      <c r="BC515" s="1">
        <f t="shared" si="205"/>
        <v>0.39999999999999997</v>
      </c>
      <c r="BD515" s="1">
        <f t="shared" ref="BD515:BD569" si="215">ABS(BC515-AV515)</f>
        <v>4.9999999999999989E-2</v>
      </c>
      <c r="BF515">
        <f t="shared" si="206"/>
        <v>55.555555555555557</v>
      </c>
      <c r="BG515">
        <f t="shared" si="207"/>
        <v>44.44444444444445</v>
      </c>
      <c r="BH515" s="1">
        <f t="shared" si="208"/>
        <v>0</v>
      </c>
      <c r="BI515" s="1">
        <f t="shared" si="209"/>
        <v>0.8</v>
      </c>
      <c r="BJ515" s="1">
        <f t="shared" ref="BJ515:BJ569" si="216">$BQ$32+BH515*$BQ$33</f>
        <v>0.43</v>
      </c>
      <c r="BK515" s="1">
        <f t="shared" ref="BK515:BK569" si="217">IF(BI515&lt;BJ515,BI515,$BQ$35*($BQ$36+BI515)*($BQ$37-BI515/($BQ$38+BH515)*$BQ$39)^5)</f>
        <v>0.39613240427395546</v>
      </c>
      <c r="BL515" s="22">
        <f t="shared" ref="BL515:BL569" si="218">IF(BK515&lt;1,IF(BK515&gt;0,BK515,0),1)</f>
        <v>0.39613240427395546</v>
      </c>
      <c r="BM515" s="1">
        <f t="shared" si="210"/>
        <v>2.1281987240956662E-3</v>
      </c>
      <c r="BN515" s="1">
        <f t="shared" si="211"/>
        <v>3.3224762260264311E-3</v>
      </c>
    </row>
    <row r="516" spans="1:66" x14ac:dyDescent="0.25">
      <c r="A516" s="3"/>
      <c r="B516" s="3"/>
      <c r="C516" t="s">
        <v>274</v>
      </c>
      <c r="D516" s="5">
        <v>1</v>
      </c>
      <c r="E516" s="9">
        <f t="shared" si="195"/>
        <v>47.368421052631582</v>
      </c>
      <c r="F516" s="9">
        <f t="shared" si="196"/>
        <v>0</v>
      </c>
      <c r="G516">
        <v>0</v>
      </c>
      <c r="H516">
        <v>52.631578947368418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47.368421052631582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33</v>
      </c>
      <c r="AK516" t="s">
        <v>1</v>
      </c>
      <c r="AL516" t="s">
        <v>372</v>
      </c>
      <c r="AQ516" s="1">
        <f t="shared" si="212"/>
        <v>100</v>
      </c>
      <c r="AR516" s="1">
        <f t="shared" si="197"/>
        <v>0.47368421052631582</v>
      </c>
      <c r="AS516" s="1">
        <f t="shared" si="198"/>
        <v>0</v>
      </c>
      <c r="AT516" s="1">
        <f t="shared" si="199"/>
        <v>0.52631578947368418</v>
      </c>
      <c r="AU516" s="1">
        <f t="shared" si="200"/>
        <v>0</v>
      </c>
      <c r="AV516" s="1">
        <f t="shared" si="213"/>
        <v>0.33</v>
      </c>
      <c r="AX516" s="1">
        <f t="shared" si="214"/>
        <v>0</v>
      </c>
      <c r="AY516" s="1">
        <f t="shared" si="201"/>
        <v>0.90000000000000013</v>
      </c>
      <c r="AZ516" s="1">
        <f t="shared" si="202"/>
        <v>0.5</v>
      </c>
      <c r="BA516" s="1">
        <f t="shared" si="203"/>
        <v>0.5</v>
      </c>
      <c r="BB516" s="1">
        <f t="shared" si="204"/>
        <v>0.36666666666666659</v>
      </c>
      <c r="BC516" s="1">
        <f t="shared" si="205"/>
        <v>0.36666666666666659</v>
      </c>
      <c r="BD516" s="1">
        <f t="shared" si="215"/>
        <v>3.666666666666657E-2</v>
      </c>
      <c r="BF516">
        <f t="shared" si="206"/>
        <v>52.631578947368418</v>
      </c>
      <c r="BG516">
        <f t="shared" si="207"/>
        <v>47.368421052631582</v>
      </c>
      <c r="BH516" s="1">
        <f t="shared" si="208"/>
        <v>0</v>
      </c>
      <c r="BI516" s="1">
        <f t="shared" si="209"/>
        <v>0.90000000000000013</v>
      </c>
      <c r="BJ516" s="1">
        <f t="shared" si="216"/>
        <v>0.43</v>
      </c>
      <c r="BK516" s="1">
        <f t="shared" si="217"/>
        <v>0.3822113548781052</v>
      </c>
      <c r="BL516" s="22">
        <f t="shared" si="218"/>
        <v>0.3822113548781052</v>
      </c>
      <c r="BM516" s="1">
        <f t="shared" si="210"/>
        <v>2.7260255782074385E-3</v>
      </c>
      <c r="BN516" s="1">
        <f t="shared" si="211"/>
        <v>6.0281132229629093E-3</v>
      </c>
    </row>
    <row r="517" spans="1:66" x14ac:dyDescent="0.25">
      <c r="A517" s="3"/>
      <c r="B517" s="3"/>
      <c r="C517" t="s">
        <v>275</v>
      </c>
      <c r="D517" s="5">
        <v>1</v>
      </c>
      <c r="E517" s="9">
        <f t="shared" si="195"/>
        <v>52.380952380952387</v>
      </c>
      <c r="F517" s="9">
        <f t="shared" si="196"/>
        <v>0</v>
      </c>
      <c r="G517">
        <v>0</v>
      </c>
      <c r="H517">
        <v>47.619047619047613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52.380952380952387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28</v>
      </c>
      <c r="AK517" t="s">
        <v>1</v>
      </c>
      <c r="AL517" t="s">
        <v>372</v>
      </c>
      <c r="AQ517" s="1">
        <f t="shared" si="212"/>
        <v>100</v>
      </c>
      <c r="AR517" s="1">
        <f t="shared" si="197"/>
        <v>0.52380952380952384</v>
      </c>
      <c r="AS517" s="1">
        <f t="shared" si="198"/>
        <v>0</v>
      </c>
      <c r="AT517" s="1">
        <f t="shared" si="199"/>
        <v>0.47619047619047611</v>
      </c>
      <c r="AU517" s="1">
        <f t="shared" si="200"/>
        <v>0</v>
      </c>
      <c r="AV517" s="1">
        <f t="shared" si="213"/>
        <v>0.28000000000000003</v>
      </c>
      <c r="AX517" s="1">
        <f t="shared" si="214"/>
        <v>0</v>
      </c>
      <c r="AY517" s="1">
        <f t="shared" si="201"/>
        <v>1.1000000000000003</v>
      </c>
      <c r="AZ517" s="1">
        <f t="shared" si="202"/>
        <v>0.5</v>
      </c>
      <c r="BA517" s="1">
        <f t="shared" si="203"/>
        <v>0.5</v>
      </c>
      <c r="BB517" s="1">
        <f t="shared" si="204"/>
        <v>0.29999999999999993</v>
      </c>
      <c r="BC517" s="1">
        <f t="shared" si="205"/>
        <v>0.29999999999999993</v>
      </c>
      <c r="BD517" s="1">
        <f t="shared" si="215"/>
        <v>1.9999999999999907E-2</v>
      </c>
      <c r="BF517">
        <f t="shared" si="206"/>
        <v>47.619047619047613</v>
      </c>
      <c r="BG517">
        <f t="shared" si="207"/>
        <v>52.380952380952387</v>
      </c>
      <c r="BH517" s="1">
        <f t="shared" si="208"/>
        <v>0</v>
      </c>
      <c r="BI517" s="1">
        <f t="shared" si="209"/>
        <v>1.1000000000000003</v>
      </c>
      <c r="BJ517" s="1">
        <f t="shared" si="216"/>
        <v>0.43</v>
      </c>
      <c r="BK517" s="1">
        <f t="shared" si="217"/>
        <v>0.34489959884073507</v>
      </c>
      <c r="BL517" s="22">
        <f t="shared" si="218"/>
        <v>0.34489959884073507</v>
      </c>
      <c r="BM517" s="1">
        <f t="shared" si="210"/>
        <v>4.2119579296883373E-3</v>
      </c>
      <c r="BN517" s="1">
        <f t="shared" si="211"/>
        <v>1.6292205715304115E-2</v>
      </c>
    </row>
    <row r="518" spans="1:66" x14ac:dyDescent="0.25">
      <c r="A518" s="3"/>
      <c r="B518" s="3"/>
      <c r="C518" t="s">
        <v>343</v>
      </c>
      <c r="D518" s="5">
        <v>1</v>
      </c>
      <c r="E518" s="9">
        <f t="shared" si="195"/>
        <v>58.333333333333343</v>
      </c>
      <c r="F518" s="9">
        <f t="shared" si="196"/>
        <v>0</v>
      </c>
      <c r="G518">
        <v>0</v>
      </c>
      <c r="H518">
        <v>41.666666666666671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58.333333333333343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30</v>
      </c>
      <c r="AK518" t="s">
        <v>1</v>
      </c>
      <c r="AL518" t="s">
        <v>372</v>
      </c>
      <c r="AQ518" s="1">
        <f t="shared" si="212"/>
        <v>100.00000000000001</v>
      </c>
      <c r="AR518" s="1">
        <f t="shared" si="197"/>
        <v>0.58333333333333348</v>
      </c>
      <c r="AS518" s="1">
        <f t="shared" si="198"/>
        <v>0</v>
      </c>
      <c r="AT518" s="1">
        <f t="shared" si="199"/>
        <v>0.41666666666666674</v>
      </c>
      <c r="AU518" s="1">
        <f t="shared" si="200"/>
        <v>0</v>
      </c>
      <c r="AV518" s="1">
        <f t="shared" si="213"/>
        <v>0.3</v>
      </c>
      <c r="AX518" s="1">
        <f t="shared" si="214"/>
        <v>0</v>
      </c>
      <c r="AY518" s="1">
        <f t="shared" si="201"/>
        <v>1.4000000000000001</v>
      </c>
      <c r="AZ518" s="1">
        <f t="shared" si="202"/>
        <v>0.5</v>
      </c>
      <c r="BA518" s="1">
        <f t="shared" si="203"/>
        <v>0.5</v>
      </c>
      <c r="BB518" s="1">
        <f t="shared" si="204"/>
        <v>0.19999999999999996</v>
      </c>
      <c r="BC518" s="1">
        <f t="shared" si="205"/>
        <v>0.19999999999999996</v>
      </c>
      <c r="BD518" s="1">
        <f t="shared" si="215"/>
        <v>0.10000000000000003</v>
      </c>
      <c r="BF518">
        <f t="shared" si="206"/>
        <v>41.666666666666671</v>
      </c>
      <c r="BG518">
        <f t="shared" si="207"/>
        <v>58.333333333333343</v>
      </c>
      <c r="BH518" s="1">
        <f t="shared" si="208"/>
        <v>0</v>
      </c>
      <c r="BI518" s="1">
        <f t="shared" si="209"/>
        <v>1.4000000000000001</v>
      </c>
      <c r="BJ518" s="1">
        <f t="shared" si="216"/>
        <v>0.43</v>
      </c>
      <c r="BK518" s="1">
        <f t="shared" si="217"/>
        <v>0.2765149737339338</v>
      </c>
      <c r="BL518" s="22">
        <f t="shared" si="218"/>
        <v>0.2765149737339338</v>
      </c>
      <c r="BM518" s="1">
        <f t="shared" si="210"/>
        <v>5.5154645871781881E-4</v>
      </c>
      <c r="BN518" s="1">
        <f t="shared" si="211"/>
        <v>1.158656871836764E-2</v>
      </c>
    </row>
    <row r="519" spans="1:66" x14ac:dyDescent="0.25">
      <c r="A519" s="3"/>
      <c r="B519" s="3"/>
      <c r="C519" t="s">
        <v>277</v>
      </c>
      <c r="D519" s="5">
        <v>1</v>
      </c>
      <c r="E519" s="9">
        <f t="shared" si="195"/>
        <v>20</v>
      </c>
      <c r="F519" s="9">
        <f t="shared" si="196"/>
        <v>0.90277777777777779</v>
      </c>
      <c r="G519">
        <v>8</v>
      </c>
      <c r="H519">
        <v>7</v>
      </c>
      <c r="I519">
        <v>20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17</v>
      </c>
      <c r="AK519" t="s">
        <v>1</v>
      </c>
      <c r="AL519" t="s">
        <v>372</v>
      </c>
      <c r="AM519" t="s">
        <v>396</v>
      </c>
      <c r="AO519" t="s">
        <v>378</v>
      </c>
      <c r="AP519" t="s">
        <v>397</v>
      </c>
      <c r="AQ519" s="1">
        <f t="shared" si="212"/>
        <v>100</v>
      </c>
      <c r="AR519" s="1">
        <f t="shared" si="197"/>
        <v>0</v>
      </c>
      <c r="AS519" s="1">
        <f t="shared" si="198"/>
        <v>0.08</v>
      </c>
      <c r="AT519" s="1">
        <f t="shared" si="199"/>
        <v>7.0000000000000007E-2</v>
      </c>
      <c r="AU519" s="1">
        <f t="shared" si="200"/>
        <v>0.65</v>
      </c>
      <c r="AV519" s="1">
        <f t="shared" si="213"/>
        <v>0.17</v>
      </c>
      <c r="AX519" s="1">
        <f t="shared" si="214"/>
        <v>4.333333333333333</v>
      </c>
      <c r="AY519" s="1">
        <f t="shared" si="201"/>
        <v>0</v>
      </c>
      <c r="AZ519" s="1">
        <f t="shared" si="202"/>
        <v>0.77083333333333326</v>
      </c>
      <c r="BA519" s="1">
        <f t="shared" si="203"/>
        <v>1.5833333333333333</v>
      </c>
      <c r="BB519" s="1">
        <f t="shared" si="204"/>
        <v>0</v>
      </c>
      <c r="BC519" s="1">
        <f t="shared" si="205"/>
        <v>0</v>
      </c>
      <c r="BD519" s="1">
        <f t="shared" si="215"/>
        <v>0.17</v>
      </c>
      <c r="BF519">
        <f t="shared" si="206"/>
        <v>39</v>
      </c>
      <c r="BG519">
        <f t="shared" si="207"/>
        <v>10</v>
      </c>
      <c r="BH519" s="1">
        <f t="shared" si="208"/>
        <v>1.6666666666666667</v>
      </c>
      <c r="BI519" s="1">
        <f t="shared" si="209"/>
        <v>0.25641025641025639</v>
      </c>
      <c r="BJ519" s="1">
        <f t="shared" si="216"/>
        <v>0.53</v>
      </c>
      <c r="BK519" s="1">
        <f t="shared" si="217"/>
        <v>0.25641025641025639</v>
      </c>
      <c r="BL519" s="22">
        <f t="shared" si="218"/>
        <v>0.25641025641025639</v>
      </c>
      <c r="BM519" s="1">
        <f t="shared" si="210"/>
        <v>7.4667324128862532E-3</v>
      </c>
      <c r="BN519" s="1">
        <f t="shared" si="211"/>
        <v>5.647320919845477E-2</v>
      </c>
    </row>
    <row r="520" spans="1:66" x14ac:dyDescent="0.25">
      <c r="A520" s="3"/>
      <c r="B520" s="3"/>
      <c r="C520" t="s">
        <v>278</v>
      </c>
      <c r="D520" s="5">
        <v>1</v>
      </c>
      <c r="E520" s="9">
        <f t="shared" si="195"/>
        <v>43</v>
      </c>
      <c r="F520" s="9">
        <f t="shared" si="196"/>
        <v>0.90476190476190477</v>
      </c>
      <c r="G520">
        <v>14</v>
      </c>
      <c r="H520">
        <v>4</v>
      </c>
      <c r="I520">
        <v>43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38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5.6</v>
      </c>
      <c r="AK520" t="s">
        <v>1</v>
      </c>
      <c r="AL520" t="s">
        <v>372</v>
      </c>
      <c r="AQ520" s="1">
        <f t="shared" si="212"/>
        <v>99</v>
      </c>
      <c r="AR520" s="1">
        <f t="shared" si="197"/>
        <v>0</v>
      </c>
      <c r="AS520" s="1">
        <f t="shared" si="198"/>
        <v>0.14000000000000001</v>
      </c>
      <c r="AT520" s="1">
        <f t="shared" si="199"/>
        <v>0.04</v>
      </c>
      <c r="AU520" s="1">
        <f t="shared" si="200"/>
        <v>0.38</v>
      </c>
      <c r="AV520" s="1">
        <f t="shared" si="213"/>
        <v>5.5999999999999994E-2</v>
      </c>
      <c r="AX520" s="1">
        <f t="shared" si="214"/>
        <v>2.1111111111111107</v>
      </c>
      <c r="AY520" s="1">
        <f t="shared" si="201"/>
        <v>0</v>
      </c>
      <c r="AZ520" s="1">
        <f t="shared" si="202"/>
        <v>0.63194444444444442</v>
      </c>
      <c r="BA520" s="1">
        <f t="shared" si="203"/>
        <v>1.0277777777777777</v>
      </c>
      <c r="BB520" s="1">
        <f t="shared" si="204"/>
        <v>0</v>
      </c>
      <c r="BC520" s="1">
        <f t="shared" si="205"/>
        <v>0</v>
      </c>
      <c r="BD520" s="1">
        <f t="shared" si="215"/>
        <v>5.5999999999999994E-2</v>
      </c>
      <c r="BF520">
        <f t="shared" si="206"/>
        <v>60</v>
      </c>
      <c r="BG520">
        <f t="shared" si="207"/>
        <v>21.5</v>
      </c>
      <c r="BH520" s="1">
        <f t="shared" si="208"/>
        <v>0.6333333333333333</v>
      </c>
      <c r="BI520" s="1">
        <f t="shared" si="209"/>
        <v>0.35833333333333334</v>
      </c>
      <c r="BJ520" s="1">
        <f t="shared" si="216"/>
        <v>0.46799999999999997</v>
      </c>
      <c r="BK520" s="1">
        <f t="shared" si="217"/>
        <v>0.35833333333333334</v>
      </c>
      <c r="BL520" s="22">
        <f t="shared" si="218"/>
        <v>0.35833333333333334</v>
      </c>
      <c r="BM520" s="1">
        <f t="shared" si="210"/>
        <v>9.1405444444444456E-2</v>
      </c>
      <c r="BN520" s="1">
        <f t="shared" si="211"/>
        <v>0.12365134008099274</v>
      </c>
    </row>
    <row r="521" spans="1:66" x14ac:dyDescent="0.25">
      <c r="A521" s="3"/>
      <c r="B521" s="3"/>
      <c r="C521" t="s">
        <v>279</v>
      </c>
      <c r="D521" s="5">
        <v>1</v>
      </c>
      <c r="E521" s="9">
        <f t="shared" si="195"/>
        <v>0</v>
      </c>
      <c r="F521" s="9">
        <f t="shared" si="196"/>
        <v>0.90476190476190477</v>
      </c>
      <c r="G521">
        <v>14</v>
      </c>
      <c r="H521">
        <v>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43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8.1999999999999993</v>
      </c>
      <c r="AK521" t="s">
        <v>1</v>
      </c>
      <c r="AL521" t="s">
        <v>372</v>
      </c>
      <c r="AQ521" s="1">
        <f t="shared" si="212"/>
        <v>99</v>
      </c>
      <c r="AR521" s="1">
        <f t="shared" si="197"/>
        <v>0</v>
      </c>
      <c r="AS521" s="1">
        <f t="shared" si="198"/>
        <v>0.14000000000000001</v>
      </c>
      <c r="AT521" s="1">
        <f t="shared" si="199"/>
        <v>0.04</v>
      </c>
      <c r="AU521" s="1">
        <f t="shared" si="200"/>
        <v>0.38</v>
      </c>
      <c r="AV521" s="1">
        <f t="shared" si="213"/>
        <v>8.199999999999999E-2</v>
      </c>
      <c r="AX521" s="1">
        <f t="shared" si="214"/>
        <v>2.1111111111111107</v>
      </c>
      <c r="AY521" s="1">
        <f t="shared" si="201"/>
        <v>0</v>
      </c>
      <c r="AZ521" s="1">
        <f t="shared" si="202"/>
        <v>0.63194444444444442</v>
      </c>
      <c r="BA521" s="1">
        <f t="shared" si="203"/>
        <v>1.0277777777777777</v>
      </c>
      <c r="BB521" s="1">
        <f t="shared" si="204"/>
        <v>0</v>
      </c>
      <c r="BC521" s="1">
        <f t="shared" si="205"/>
        <v>0</v>
      </c>
      <c r="BD521" s="1">
        <f t="shared" si="215"/>
        <v>8.199999999999999E-2</v>
      </c>
      <c r="BF521">
        <f t="shared" si="206"/>
        <v>60</v>
      </c>
      <c r="BG521">
        <f t="shared" si="207"/>
        <v>14.333333333333332</v>
      </c>
      <c r="BH521" s="1">
        <f t="shared" si="208"/>
        <v>0.6333333333333333</v>
      </c>
      <c r="BI521" s="1">
        <f t="shared" si="209"/>
        <v>0.23888888888888887</v>
      </c>
      <c r="BJ521" s="1">
        <f t="shared" si="216"/>
        <v>0.46799999999999997</v>
      </c>
      <c r="BK521" s="1">
        <f t="shared" si="217"/>
        <v>0.23888888888888887</v>
      </c>
      <c r="BL521" s="22">
        <f t="shared" si="218"/>
        <v>0.23888888888888887</v>
      </c>
      <c r="BM521" s="1">
        <f t="shared" si="210"/>
        <v>2.4614123456790121E-2</v>
      </c>
      <c r="BN521" s="1">
        <f t="shared" si="211"/>
        <v>0.10604201198497533</v>
      </c>
    </row>
    <row r="522" spans="1:66" x14ac:dyDescent="0.25">
      <c r="A522" s="3"/>
      <c r="B522" s="3"/>
      <c r="C522" t="s">
        <v>289</v>
      </c>
      <c r="D522" s="5">
        <v>1</v>
      </c>
      <c r="E522" s="9">
        <f t="shared" si="195"/>
        <v>0</v>
      </c>
      <c r="F522" s="9">
        <f t="shared" si="196"/>
        <v>0.90476190476190477</v>
      </c>
      <c r="G522">
        <v>14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38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43</v>
      </c>
      <c r="AG522">
        <v>0</v>
      </c>
      <c r="AH522">
        <v>0</v>
      </c>
      <c r="AI522">
        <v>0</v>
      </c>
      <c r="AJ522">
        <v>8.5</v>
      </c>
      <c r="AK522" t="s">
        <v>1</v>
      </c>
      <c r="AL522" t="s">
        <v>372</v>
      </c>
      <c r="AQ522" s="1">
        <f t="shared" si="212"/>
        <v>99</v>
      </c>
      <c r="AR522" s="1">
        <f t="shared" si="197"/>
        <v>0</v>
      </c>
      <c r="AS522" s="1">
        <f t="shared" si="198"/>
        <v>0.14000000000000001</v>
      </c>
      <c r="AT522" s="1">
        <f t="shared" si="199"/>
        <v>0.04</v>
      </c>
      <c r="AU522" s="1">
        <f t="shared" si="200"/>
        <v>0.38</v>
      </c>
      <c r="AV522" s="1">
        <f t="shared" si="213"/>
        <v>8.5000000000000006E-2</v>
      </c>
      <c r="AX522" s="1">
        <f t="shared" si="214"/>
        <v>2.1111111111111107</v>
      </c>
      <c r="AY522" s="1">
        <f t="shared" si="201"/>
        <v>0</v>
      </c>
      <c r="AZ522" s="1">
        <f t="shared" si="202"/>
        <v>0.63194444444444442</v>
      </c>
      <c r="BA522" s="1">
        <f t="shared" si="203"/>
        <v>1.0277777777777777</v>
      </c>
      <c r="BB522" s="1">
        <f t="shared" si="204"/>
        <v>0</v>
      </c>
      <c r="BC522" s="1">
        <f t="shared" si="205"/>
        <v>0</v>
      </c>
      <c r="BD522" s="1">
        <f t="shared" si="215"/>
        <v>8.5000000000000006E-2</v>
      </c>
      <c r="BF522">
        <f t="shared" si="206"/>
        <v>60</v>
      </c>
      <c r="BG522">
        <f t="shared" si="207"/>
        <v>14.333333333333332</v>
      </c>
      <c r="BH522" s="1">
        <f t="shared" si="208"/>
        <v>0.6333333333333333</v>
      </c>
      <c r="BI522" s="1">
        <f t="shared" si="209"/>
        <v>0.23888888888888887</v>
      </c>
      <c r="BJ522" s="1">
        <f t="shared" si="216"/>
        <v>0.46799999999999997</v>
      </c>
      <c r="BK522" s="1">
        <f t="shared" si="217"/>
        <v>0.23888888888888887</v>
      </c>
      <c r="BL522" s="22">
        <f t="shared" si="218"/>
        <v>0.23888888888888887</v>
      </c>
      <c r="BM522" s="1">
        <f t="shared" si="210"/>
        <v>2.3681790123456781E-2</v>
      </c>
      <c r="BN522" s="1">
        <f t="shared" si="211"/>
        <v>0.10409716643543482</v>
      </c>
    </row>
    <row r="523" spans="1:66" x14ac:dyDescent="0.25">
      <c r="A523" s="3"/>
      <c r="B523" s="3"/>
      <c r="C523" t="s">
        <v>280</v>
      </c>
      <c r="D523" s="5">
        <v>1</v>
      </c>
      <c r="E523" s="9">
        <f t="shared" si="195"/>
        <v>20</v>
      </c>
      <c r="F523" s="9">
        <f t="shared" si="196"/>
        <v>0.70833333333333337</v>
      </c>
      <c r="G523">
        <v>8</v>
      </c>
      <c r="H523">
        <v>21</v>
      </c>
      <c r="I523">
        <v>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24</v>
      </c>
      <c r="AK523" t="s">
        <v>1</v>
      </c>
      <c r="AL523" t="s">
        <v>372</v>
      </c>
      <c r="AQ523" s="1">
        <f t="shared" si="212"/>
        <v>100</v>
      </c>
      <c r="AR523" s="1">
        <f t="shared" si="197"/>
        <v>0</v>
      </c>
      <c r="AS523" s="1">
        <f t="shared" si="198"/>
        <v>0.08</v>
      </c>
      <c r="AT523" s="1">
        <f t="shared" si="199"/>
        <v>0.21</v>
      </c>
      <c r="AU523" s="1">
        <f t="shared" si="200"/>
        <v>0.51</v>
      </c>
      <c r="AV523" s="1">
        <f t="shared" si="213"/>
        <v>0.24</v>
      </c>
      <c r="AX523" s="1">
        <f t="shared" si="214"/>
        <v>1.7586206896551726</v>
      </c>
      <c r="AY523" s="1">
        <f t="shared" si="201"/>
        <v>0</v>
      </c>
      <c r="AZ523" s="1">
        <f t="shared" si="202"/>
        <v>0.60991379310344829</v>
      </c>
      <c r="BA523" s="1">
        <f t="shared" si="203"/>
        <v>0.93965517241379315</v>
      </c>
      <c r="BB523" s="1">
        <f t="shared" si="204"/>
        <v>0</v>
      </c>
      <c r="BC523" s="1">
        <f t="shared" si="205"/>
        <v>0</v>
      </c>
      <c r="BD523" s="1">
        <f t="shared" si="215"/>
        <v>0.24</v>
      </c>
      <c r="BF523">
        <f t="shared" si="206"/>
        <v>53</v>
      </c>
      <c r="BG523">
        <f t="shared" si="207"/>
        <v>10</v>
      </c>
      <c r="BH523" s="1">
        <f t="shared" si="208"/>
        <v>0.96226415094339623</v>
      </c>
      <c r="BI523" s="1">
        <f t="shared" si="209"/>
        <v>0.18867924528301888</v>
      </c>
      <c r="BJ523" s="1">
        <f t="shared" si="216"/>
        <v>0.48773584905660378</v>
      </c>
      <c r="BK523" s="1">
        <f t="shared" si="217"/>
        <v>0.18867924528301888</v>
      </c>
      <c r="BL523" s="22">
        <f t="shared" si="218"/>
        <v>0.18867924528301888</v>
      </c>
      <c r="BM523" s="1">
        <f t="shared" si="210"/>
        <v>2.633819864720539E-3</v>
      </c>
      <c r="BN523" s="1">
        <f t="shared" si="211"/>
        <v>2.8103479709177089E-2</v>
      </c>
    </row>
    <row r="524" spans="1:66" x14ac:dyDescent="0.25">
      <c r="A524" s="3"/>
      <c r="B524" s="3"/>
      <c r="C524" t="s">
        <v>281</v>
      </c>
      <c r="D524" s="5">
        <v>1</v>
      </c>
      <c r="E524" s="9">
        <f t="shared" si="195"/>
        <v>43</v>
      </c>
      <c r="F524" s="9">
        <f t="shared" si="196"/>
        <v>0.5</v>
      </c>
      <c r="G524">
        <v>14</v>
      </c>
      <c r="H524">
        <v>21</v>
      </c>
      <c r="I524">
        <v>43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15.5</v>
      </c>
      <c r="AK524" t="s">
        <v>1</v>
      </c>
      <c r="AL524" t="s">
        <v>372</v>
      </c>
      <c r="AQ524" s="1">
        <f t="shared" si="212"/>
        <v>99</v>
      </c>
      <c r="AR524" s="1">
        <f t="shared" si="197"/>
        <v>0</v>
      </c>
      <c r="AS524" s="1">
        <f t="shared" si="198"/>
        <v>0.14000000000000001</v>
      </c>
      <c r="AT524" s="1">
        <f t="shared" si="199"/>
        <v>0.21</v>
      </c>
      <c r="AU524" s="1">
        <f t="shared" si="200"/>
        <v>0.21</v>
      </c>
      <c r="AV524" s="1">
        <f t="shared" si="213"/>
        <v>0.155</v>
      </c>
      <c r="AX524" s="1">
        <f t="shared" si="214"/>
        <v>0.6</v>
      </c>
      <c r="AY524" s="1">
        <f t="shared" si="201"/>
        <v>0</v>
      </c>
      <c r="AZ524" s="1">
        <f t="shared" si="202"/>
        <v>0.53749999999999998</v>
      </c>
      <c r="BA524" s="1">
        <f t="shared" si="203"/>
        <v>0.65</v>
      </c>
      <c r="BB524" s="1">
        <f t="shared" si="204"/>
        <v>0</v>
      </c>
      <c r="BC524" s="1">
        <f t="shared" si="205"/>
        <v>0</v>
      </c>
      <c r="BD524" s="1">
        <f t="shared" si="215"/>
        <v>0.155</v>
      </c>
      <c r="BF524">
        <f t="shared" si="206"/>
        <v>77</v>
      </c>
      <c r="BG524">
        <f t="shared" si="207"/>
        <v>21.5</v>
      </c>
      <c r="BH524" s="1">
        <f t="shared" si="208"/>
        <v>0.27272727272727271</v>
      </c>
      <c r="BI524" s="1">
        <f t="shared" si="209"/>
        <v>0.2792207792207792</v>
      </c>
      <c r="BJ524" s="1">
        <f t="shared" si="216"/>
        <v>0.44636363636363635</v>
      </c>
      <c r="BK524" s="1">
        <f t="shared" si="217"/>
        <v>0.2792207792207792</v>
      </c>
      <c r="BL524" s="22">
        <f t="shared" si="218"/>
        <v>0.2792207792207792</v>
      </c>
      <c r="BM524" s="1">
        <f t="shared" si="210"/>
        <v>1.543080199021757E-2</v>
      </c>
      <c r="BN524" s="1">
        <f t="shared" si="211"/>
        <v>6.3827436946157126E-2</v>
      </c>
    </row>
    <row r="525" spans="1:66" x14ac:dyDescent="0.25">
      <c r="A525" s="3"/>
      <c r="B525" s="3"/>
      <c r="C525" t="s">
        <v>282</v>
      </c>
      <c r="D525" s="5">
        <v>1</v>
      </c>
      <c r="E525" s="9">
        <f t="shared" si="195"/>
        <v>0</v>
      </c>
      <c r="F525" s="9">
        <f t="shared" si="196"/>
        <v>0.5</v>
      </c>
      <c r="G525">
        <v>14</v>
      </c>
      <c r="H525">
        <v>21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21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43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12.5</v>
      </c>
      <c r="AK525" t="s">
        <v>1</v>
      </c>
      <c r="AL525" t="s">
        <v>372</v>
      </c>
      <c r="AQ525" s="1">
        <f t="shared" si="212"/>
        <v>99</v>
      </c>
      <c r="AR525" s="1">
        <f t="shared" si="197"/>
        <v>0</v>
      </c>
      <c r="AS525" s="1">
        <f t="shared" si="198"/>
        <v>0.14000000000000001</v>
      </c>
      <c r="AT525" s="1">
        <f t="shared" si="199"/>
        <v>0.21</v>
      </c>
      <c r="AU525" s="1">
        <f t="shared" si="200"/>
        <v>0.21</v>
      </c>
      <c r="AV525" s="1">
        <f t="shared" si="213"/>
        <v>0.125</v>
      </c>
      <c r="AX525" s="1">
        <f t="shared" si="214"/>
        <v>0.6</v>
      </c>
      <c r="AY525" s="1">
        <f t="shared" si="201"/>
        <v>0</v>
      </c>
      <c r="AZ525" s="1">
        <f t="shared" si="202"/>
        <v>0.53749999999999998</v>
      </c>
      <c r="BA525" s="1">
        <f t="shared" si="203"/>
        <v>0.65</v>
      </c>
      <c r="BB525" s="1">
        <f t="shared" si="204"/>
        <v>0</v>
      </c>
      <c r="BC525" s="1">
        <f t="shared" si="205"/>
        <v>0</v>
      </c>
      <c r="BD525" s="1">
        <f t="shared" si="215"/>
        <v>0.125</v>
      </c>
      <c r="BF525">
        <f t="shared" si="206"/>
        <v>77</v>
      </c>
      <c r="BG525">
        <f t="shared" si="207"/>
        <v>14.333333333333332</v>
      </c>
      <c r="BH525" s="1">
        <f t="shared" si="208"/>
        <v>0.27272727272727271</v>
      </c>
      <c r="BI525" s="1">
        <f t="shared" si="209"/>
        <v>0.18614718614718614</v>
      </c>
      <c r="BJ525" s="1">
        <f t="shared" si="216"/>
        <v>0.44636363636363635</v>
      </c>
      <c r="BK525" s="1">
        <f t="shared" si="217"/>
        <v>0.18614718614718614</v>
      </c>
      <c r="BL525" s="22">
        <f t="shared" si="218"/>
        <v>0.18614718614718614</v>
      </c>
      <c r="BM525" s="1">
        <f t="shared" si="210"/>
        <v>3.7389783737186333E-3</v>
      </c>
      <c r="BN525" s="1">
        <f t="shared" si="211"/>
        <v>7.988589244156187E-2</v>
      </c>
    </row>
    <row r="526" spans="1:66" x14ac:dyDescent="0.25">
      <c r="A526" s="3"/>
      <c r="B526" s="3"/>
      <c r="C526" t="s">
        <v>283</v>
      </c>
      <c r="D526" s="5">
        <v>1</v>
      </c>
      <c r="E526" s="9">
        <f t="shared" si="195"/>
        <v>0</v>
      </c>
      <c r="F526" s="9">
        <f t="shared" si="196"/>
        <v>0.5</v>
      </c>
      <c r="G526">
        <v>14</v>
      </c>
      <c r="H526">
        <v>21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21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43</v>
      </c>
      <c r="AG526">
        <v>0</v>
      </c>
      <c r="AH526">
        <v>0</v>
      </c>
      <c r="AI526">
        <v>0</v>
      </c>
      <c r="AJ526">
        <v>11.5</v>
      </c>
      <c r="AK526" t="s">
        <v>1</v>
      </c>
      <c r="AL526" t="s">
        <v>372</v>
      </c>
      <c r="AQ526" s="1">
        <f t="shared" si="212"/>
        <v>99</v>
      </c>
      <c r="AR526" s="1">
        <f t="shared" si="197"/>
        <v>0</v>
      </c>
      <c r="AS526" s="1">
        <f t="shared" si="198"/>
        <v>0.14000000000000001</v>
      </c>
      <c r="AT526" s="1">
        <f t="shared" si="199"/>
        <v>0.21</v>
      </c>
      <c r="AU526" s="1">
        <f t="shared" si="200"/>
        <v>0.21</v>
      </c>
      <c r="AV526" s="1">
        <f t="shared" si="213"/>
        <v>0.115</v>
      </c>
      <c r="AX526" s="1">
        <f t="shared" si="214"/>
        <v>0.6</v>
      </c>
      <c r="AY526" s="1">
        <f t="shared" si="201"/>
        <v>0</v>
      </c>
      <c r="AZ526" s="1">
        <f t="shared" si="202"/>
        <v>0.53749999999999998</v>
      </c>
      <c r="BA526" s="1">
        <f t="shared" si="203"/>
        <v>0.65</v>
      </c>
      <c r="BB526" s="1">
        <f t="shared" si="204"/>
        <v>0</v>
      </c>
      <c r="BC526" s="1">
        <f t="shared" si="205"/>
        <v>0</v>
      </c>
      <c r="BD526" s="1">
        <f t="shared" si="215"/>
        <v>0.115</v>
      </c>
      <c r="BF526">
        <f t="shared" si="206"/>
        <v>77</v>
      </c>
      <c r="BG526">
        <f t="shared" si="207"/>
        <v>14.333333333333332</v>
      </c>
      <c r="BH526" s="1">
        <f t="shared" si="208"/>
        <v>0.27272727272727271</v>
      </c>
      <c r="BI526" s="1">
        <f t="shared" si="209"/>
        <v>0.18614718614718614</v>
      </c>
      <c r="BJ526" s="1">
        <f t="shared" si="216"/>
        <v>0.44636363636363635</v>
      </c>
      <c r="BK526" s="1">
        <f t="shared" si="217"/>
        <v>0.18614718614718614</v>
      </c>
      <c r="BL526" s="22">
        <f t="shared" si="218"/>
        <v>0.18614718614718614</v>
      </c>
      <c r="BM526" s="1">
        <f t="shared" si="210"/>
        <v>5.0619220966623552E-3</v>
      </c>
      <c r="BN526" s="1">
        <f t="shared" si="211"/>
        <v>8.5638710940030116E-2</v>
      </c>
    </row>
    <row r="527" spans="1:66" x14ac:dyDescent="0.25">
      <c r="A527" s="3"/>
      <c r="B527" s="3"/>
      <c r="C527" t="s">
        <v>284</v>
      </c>
      <c r="D527" s="5">
        <v>1</v>
      </c>
      <c r="E527" s="9">
        <f t="shared" si="195"/>
        <v>43</v>
      </c>
      <c r="F527" s="9">
        <f t="shared" si="196"/>
        <v>0.33333333333333331</v>
      </c>
      <c r="G527">
        <v>14</v>
      </c>
      <c r="H527">
        <v>28</v>
      </c>
      <c r="I527">
        <v>43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17.100000000000001</v>
      </c>
      <c r="AK527" t="s">
        <v>1</v>
      </c>
      <c r="AL527" t="s">
        <v>372</v>
      </c>
      <c r="AQ527" s="1">
        <f t="shared" si="212"/>
        <v>99</v>
      </c>
      <c r="AR527" s="1">
        <f t="shared" si="197"/>
        <v>0</v>
      </c>
      <c r="AS527" s="1">
        <f t="shared" si="198"/>
        <v>0.14000000000000001</v>
      </c>
      <c r="AT527" s="1">
        <f t="shared" si="199"/>
        <v>0.28000000000000003</v>
      </c>
      <c r="AU527" s="1">
        <f t="shared" si="200"/>
        <v>0.14000000000000001</v>
      </c>
      <c r="AV527" s="1">
        <f t="shared" si="213"/>
        <v>0.17100000000000001</v>
      </c>
      <c r="AX527" s="1">
        <f t="shared" si="214"/>
        <v>0.33333333333333331</v>
      </c>
      <c r="AY527" s="1">
        <f t="shared" si="201"/>
        <v>0</v>
      </c>
      <c r="AZ527" s="1">
        <f t="shared" si="202"/>
        <v>0.52083333333333337</v>
      </c>
      <c r="BA527" s="1">
        <f t="shared" si="203"/>
        <v>0.58333333333333337</v>
      </c>
      <c r="BB527" s="1">
        <f t="shared" si="204"/>
        <v>0</v>
      </c>
      <c r="BC527" s="1">
        <f t="shared" si="205"/>
        <v>0</v>
      </c>
      <c r="BD527" s="1">
        <f t="shared" si="215"/>
        <v>0.17100000000000001</v>
      </c>
      <c r="BF527">
        <f t="shared" si="206"/>
        <v>84</v>
      </c>
      <c r="BG527">
        <f t="shared" si="207"/>
        <v>21.5</v>
      </c>
      <c r="BH527" s="1">
        <f t="shared" si="208"/>
        <v>0.16666666666666666</v>
      </c>
      <c r="BI527" s="1">
        <f t="shared" si="209"/>
        <v>0.25595238095238093</v>
      </c>
      <c r="BJ527" s="1">
        <f t="shared" si="216"/>
        <v>0.44</v>
      </c>
      <c r="BK527" s="1">
        <f t="shared" si="217"/>
        <v>0.25595238095238093</v>
      </c>
      <c r="BL527" s="22">
        <f t="shared" si="218"/>
        <v>0.25595238095238093</v>
      </c>
      <c r="BM527" s="1">
        <f t="shared" si="210"/>
        <v>7.2169070294784525E-3</v>
      </c>
      <c r="BN527" s="1">
        <f t="shared" si="211"/>
        <v>5.5998927348607952E-2</v>
      </c>
    </row>
    <row r="528" spans="1:66" x14ac:dyDescent="0.25">
      <c r="A528" s="3"/>
      <c r="B528" s="3"/>
      <c r="C528" t="s">
        <v>285</v>
      </c>
      <c r="D528" s="5">
        <v>1</v>
      </c>
      <c r="E528" s="9">
        <f t="shared" si="195"/>
        <v>0</v>
      </c>
      <c r="F528" s="9">
        <f t="shared" si="196"/>
        <v>0.33333333333333331</v>
      </c>
      <c r="G528">
        <v>14</v>
      </c>
      <c r="H528">
        <v>28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43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15.7</v>
      </c>
      <c r="AK528" t="s">
        <v>1</v>
      </c>
      <c r="AL528" t="s">
        <v>372</v>
      </c>
      <c r="AQ528" s="1">
        <f t="shared" si="212"/>
        <v>99</v>
      </c>
      <c r="AR528" s="1">
        <f t="shared" si="197"/>
        <v>0</v>
      </c>
      <c r="AS528" s="1">
        <f t="shared" si="198"/>
        <v>0.14000000000000001</v>
      </c>
      <c r="AT528" s="1">
        <f t="shared" si="199"/>
        <v>0.28000000000000003</v>
      </c>
      <c r="AU528" s="1">
        <f t="shared" si="200"/>
        <v>0.14000000000000001</v>
      </c>
      <c r="AV528" s="1">
        <f t="shared" si="213"/>
        <v>0.157</v>
      </c>
      <c r="AX528" s="1">
        <f t="shared" si="214"/>
        <v>0.33333333333333331</v>
      </c>
      <c r="AY528" s="1">
        <f t="shared" si="201"/>
        <v>0</v>
      </c>
      <c r="AZ528" s="1">
        <f t="shared" si="202"/>
        <v>0.52083333333333337</v>
      </c>
      <c r="BA528" s="1">
        <f t="shared" si="203"/>
        <v>0.58333333333333337</v>
      </c>
      <c r="BB528" s="1">
        <f t="shared" si="204"/>
        <v>0</v>
      </c>
      <c r="BC528" s="1">
        <f t="shared" si="205"/>
        <v>0</v>
      </c>
      <c r="BD528" s="1">
        <f t="shared" si="215"/>
        <v>0.157</v>
      </c>
      <c r="BF528">
        <f t="shared" si="206"/>
        <v>84</v>
      </c>
      <c r="BG528">
        <f t="shared" si="207"/>
        <v>14.333333333333332</v>
      </c>
      <c r="BH528" s="1">
        <f t="shared" si="208"/>
        <v>0.16666666666666666</v>
      </c>
      <c r="BI528" s="1">
        <f t="shared" si="209"/>
        <v>0.17063492063492061</v>
      </c>
      <c r="BJ528" s="1">
        <f t="shared" si="216"/>
        <v>0.44</v>
      </c>
      <c r="BK528" s="1">
        <f t="shared" si="217"/>
        <v>0.17063492063492061</v>
      </c>
      <c r="BL528" s="22">
        <f t="shared" si="218"/>
        <v>0.17063492063492061</v>
      </c>
      <c r="BM528" s="1">
        <f t="shared" si="210"/>
        <v>1.8591106072058386E-4</v>
      </c>
      <c r="BN528" s="1">
        <f t="shared" si="211"/>
        <v>6.2820873246463474E-2</v>
      </c>
    </row>
    <row r="529" spans="1:66" x14ac:dyDescent="0.25">
      <c r="A529" s="3"/>
      <c r="B529" s="3"/>
      <c r="C529" t="s">
        <v>286</v>
      </c>
      <c r="D529" s="5">
        <v>1</v>
      </c>
      <c r="E529" s="9">
        <f t="shared" si="195"/>
        <v>0</v>
      </c>
      <c r="F529" s="9">
        <f t="shared" si="196"/>
        <v>0.33333333333333331</v>
      </c>
      <c r="G529">
        <v>14</v>
      </c>
      <c r="H529">
        <v>28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14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43</v>
      </c>
      <c r="AG529">
        <v>0</v>
      </c>
      <c r="AH529">
        <v>0</v>
      </c>
      <c r="AI529">
        <v>0</v>
      </c>
      <c r="AJ529">
        <v>14.2</v>
      </c>
      <c r="AK529" t="s">
        <v>1</v>
      </c>
      <c r="AL529" t="s">
        <v>372</v>
      </c>
      <c r="AQ529" s="1">
        <f t="shared" si="212"/>
        <v>99</v>
      </c>
      <c r="AR529" s="1">
        <f t="shared" si="197"/>
        <v>0</v>
      </c>
      <c r="AS529" s="1">
        <f t="shared" si="198"/>
        <v>0.14000000000000001</v>
      </c>
      <c r="AT529" s="1">
        <f t="shared" si="199"/>
        <v>0.28000000000000003</v>
      </c>
      <c r="AU529" s="1">
        <f t="shared" si="200"/>
        <v>0.14000000000000001</v>
      </c>
      <c r="AV529" s="1">
        <f t="shared" si="213"/>
        <v>0.14199999999999999</v>
      </c>
      <c r="AX529" s="1">
        <f t="shared" si="214"/>
        <v>0.33333333333333331</v>
      </c>
      <c r="AY529" s="1">
        <f t="shared" si="201"/>
        <v>0</v>
      </c>
      <c r="AZ529" s="1">
        <f t="shared" si="202"/>
        <v>0.52083333333333337</v>
      </c>
      <c r="BA529" s="1">
        <f t="shared" si="203"/>
        <v>0.58333333333333337</v>
      </c>
      <c r="BB529" s="1">
        <f t="shared" si="204"/>
        <v>0</v>
      </c>
      <c r="BC529" s="1">
        <f t="shared" si="205"/>
        <v>0</v>
      </c>
      <c r="BD529" s="1">
        <f t="shared" si="215"/>
        <v>0.14199999999999999</v>
      </c>
      <c r="BF529">
        <f t="shared" si="206"/>
        <v>84</v>
      </c>
      <c r="BG529">
        <f t="shared" si="207"/>
        <v>14.333333333333332</v>
      </c>
      <c r="BH529" s="1">
        <f t="shared" si="208"/>
        <v>0.16666666666666666</v>
      </c>
      <c r="BI529" s="1">
        <f t="shared" si="209"/>
        <v>0.17063492063492061</v>
      </c>
      <c r="BJ529" s="1">
        <f t="shared" si="216"/>
        <v>0.44</v>
      </c>
      <c r="BK529" s="1">
        <f t="shared" si="217"/>
        <v>0.17063492063492061</v>
      </c>
      <c r="BL529" s="22">
        <f t="shared" si="218"/>
        <v>0.17063492063492061</v>
      </c>
      <c r="BM529" s="1">
        <f t="shared" si="210"/>
        <v>8.1995867976820296E-4</v>
      </c>
      <c r="BN529" s="1">
        <f t="shared" si="211"/>
        <v>7.0565100994165852E-2</v>
      </c>
    </row>
    <row r="530" spans="1:66" x14ac:dyDescent="0.25">
      <c r="A530" s="3"/>
      <c r="B530" s="3"/>
      <c r="C530" t="s">
        <v>287</v>
      </c>
      <c r="D530" s="5">
        <v>1</v>
      </c>
      <c r="E530" s="9">
        <f t="shared" si="195"/>
        <v>0</v>
      </c>
      <c r="F530" s="9">
        <f t="shared" si="196"/>
        <v>0</v>
      </c>
      <c r="G530">
        <v>12</v>
      </c>
      <c r="H530">
        <v>56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33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25</v>
      </c>
      <c r="AK530" t="s">
        <v>1</v>
      </c>
      <c r="AL530" t="s">
        <v>372</v>
      </c>
      <c r="AQ530" s="1">
        <f t="shared" si="212"/>
        <v>101</v>
      </c>
      <c r="AR530" s="1">
        <f t="shared" si="197"/>
        <v>0</v>
      </c>
      <c r="AS530" s="1">
        <f t="shared" si="198"/>
        <v>0.12</v>
      </c>
      <c r="AT530" s="1">
        <f t="shared" si="199"/>
        <v>0.56000000000000005</v>
      </c>
      <c r="AU530" s="1">
        <f t="shared" si="200"/>
        <v>0</v>
      </c>
      <c r="AV530" s="1">
        <f t="shared" si="213"/>
        <v>0.25</v>
      </c>
      <c r="AX530" s="1">
        <f t="shared" si="214"/>
        <v>0</v>
      </c>
      <c r="AY530" s="1">
        <f t="shared" si="201"/>
        <v>0</v>
      </c>
      <c r="AZ530" s="1">
        <f t="shared" si="202"/>
        <v>0.5</v>
      </c>
      <c r="BA530" s="1">
        <f t="shared" si="203"/>
        <v>0.5</v>
      </c>
      <c r="BB530" s="1">
        <f t="shared" si="204"/>
        <v>0</v>
      </c>
      <c r="BC530" s="1">
        <f t="shared" si="205"/>
        <v>0</v>
      </c>
      <c r="BD530" s="1">
        <f t="shared" si="215"/>
        <v>0.25</v>
      </c>
      <c r="BF530">
        <f t="shared" si="206"/>
        <v>104</v>
      </c>
      <c r="BG530">
        <f t="shared" si="207"/>
        <v>11</v>
      </c>
      <c r="BH530" s="1">
        <f t="shared" si="208"/>
        <v>0</v>
      </c>
      <c r="BI530" s="1">
        <f t="shared" si="209"/>
        <v>0.10576923076923077</v>
      </c>
      <c r="BJ530" s="1">
        <f t="shared" si="216"/>
        <v>0.43</v>
      </c>
      <c r="BK530" s="1">
        <f t="shared" si="217"/>
        <v>0.10576923076923077</v>
      </c>
      <c r="BL530" s="22">
        <f t="shared" si="218"/>
        <v>0.10576923076923077</v>
      </c>
      <c r="BM530" s="1">
        <f t="shared" si="210"/>
        <v>2.0802514792899404E-2</v>
      </c>
      <c r="BN530" s="1">
        <f t="shared" si="211"/>
        <v>2.4850661210708846E-2</v>
      </c>
    </row>
    <row r="531" spans="1:66" x14ac:dyDescent="0.25">
      <c r="A531" s="3"/>
      <c r="B531" s="3"/>
      <c r="C531" t="s">
        <v>288</v>
      </c>
      <c r="D531" s="5">
        <v>1</v>
      </c>
      <c r="E531" s="9">
        <f t="shared" si="195"/>
        <v>0</v>
      </c>
      <c r="F531" s="9">
        <f t="shared" si="196"/>
        <v>0</v>
      </c>
      <c r="G531">
        <v>16</v>
      </c>
      <c r="H531">
        <v>36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47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16.600000000000001</v>
      </c>
      <c r="AK531" t="s">
        <v>1</v>
      </c>
      <c r="AL531" t="s">
        <v>372</v>
      </c>
      <c r="AQ531" s="1">
        <f t="shared" si="212"/>
        <v>99</v>
      </c>
      <c r="AR531" s="1">
        <f t="shared" si="197"/>
        <v>0</v>
      </c>
      <c r="AS531" s="1">
        <f t="shared" si="198"/>
        <v>0.16</v>
      </c>
      <c r="AT531" s="1">
        <f t="shared" si="199"/>
        <v>0.36</v>
      </c>
      <c r="AU531" s="1">
        <f t="shared" si="200"/>
        <v>0</v>
      </c>
      <c r="AV531" s="1">
        <f t="shared" si="213"/>
        <v>0.16600000000000001</v>
      </c>
      <c r="AX531" s="1">
        <f t="shared" si="214"/>
        <v>0</v>
      </c>
      <c r="AY531" s="1">
        <f t="shared" si="201"/>
        <v>0</v>
      </c>
      <c r="AZ531" s="1">
        <f t="shared" si="202"/>
        <v>0.5</v>
      </c>
      <c r="BA531" s="1">
        <f t="shared" si="203"/>
        <v>0.5</v>
      </c>
      <c r="BB531" s="1">
        <f t="shared" si="204"/>
        <v>0</v>
      </c>
      <c r="BC531" s="1">
        <f t="shared" si="205"/>
        <v>0</v>
      </c>
      <c r="BD531" s="1">
        <f t="shared" si="215"/>
        <v>0.16600000000000001</v>
      </c>
      <c r="BF531">
        <f t="shared" si="206"/>
        <v>100</v>
      </c>
      <c r="BG531">
        <f t="shared" si="207"/>
        <v>15.666666666666666</v>
      </c>
      <c r="BH531" s="1">
        <f t="shared" si="208"/>
        <v>0</v>
      </c>
      <c r="BI531" s="1">
        <f t="shared" si="209"/>
        <v>0.15666666666666665</v>
      </c>
      <c r="BJ531" s="1">
        <f t="shared" si="216"/>
        <v>0.43</v>
      </c>
      <c r="BK531" s="1">
        <f t="shared" si="217"/>
        <v>0.15666666666666665</v>
      </c>
      <c r="BL531" s="22">
        <f t="shared" si="218"/>
        <v>0.15666666666666665</v>
      </c>
      <c r="BM531" s="1">
        <f t="shared" si="210"/>
        <v>8.7111111111111617E-5</v>
      </c>
      <c r="BN531" s="1">
        <f t="shared" si="211"/>
        <v>5.8390336597842069E-2</v>
      </c>
    </row>
    <row r="532" spans="1:66" x14ac:dyDescent="0.25">
      <c r="A532" s="3"/>
      <c r="B532" s="3"/>
      <c r="C532" t="s">
        <v>290</v>
      </c>
      <c r="D532" s="5">
        <v>1</v>
      </c>
      <c r="E532" s="9">
        <f t="shared" si="195"/>
        <v>42.857142857142847</v>
      </c>
      <c r="F532" s="9">
        <f t="shared" si="196"/>
        <v>0.5</v>
      </c>
      <c r="G532">
        <v>14.285714285714279</v>
      </c>
      <c r="H532">
        <v>21.428571428571431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21.428571428571431</v>
      </c>
      <c r="R532">
        <v>0</v>
      </c>
      <c r="S532">
        <v>0</v>
      </c>
      <c r="T532">
        <v>0</v>
      </c>
      <c r="U532">
        <v>0</v>
      </c>
      <c r="V532">
        <v>42.857142857142847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16.5</v>
      </c>
      <c r="AK532" t="s">
        <v>1</v>
      </c>
      <c r="AL532" t="s">
        <v>372</v>
      </c>
      <c r="AM532" t="s">
        <v>396</v>
      </c>
      <c r="AO532" t="s">
        <v>378</v>
      </c>
      <c r="AP532" t="s">
        <v>397</v>
      </c>
      <c r="AQ532" s="1">
        <f t="shared" si="212"/>
        <v>99.999999999999986</v>
      </c>
      <c r="AR532" s="1">
        <f t="shared" si="197"/>
        <v>0</v>
      </c>
      <c r="AS532" s="1">
        <f t="shared" si="198"/>
        <v>0.14285714285714279</v>
      </c>
      <c r="AT532" s="1">
        <f t="shared" si="199"/>
        <v>0.2142857142857143</v>
      </c>
      <c r="AU532" s="1">
        <f t="shared" si="200"/>
        <v>0.2142857142857143</v>
      </c>
      <c r="AV532" s="1">
        <f t="shared" si="213"/>
        <v>0.16500000000000001</v>
      </c>
      <c r="AX532" s="1">
        <f t="shared" si="214"/>
        <v>0.60000000000000009</v>
      </c>
      <c r="AY532" s="1">
        <f t="shared" si="201"/>
        <v>0</v>
      </c>
      <c r="AZ532" s="1">
        <f t="shared" si="202"/>
        <v>0.53749999999999998</v>
      </c>
      <c r="BA532" s="1">
        <f t="shared" si="203"/>
        <v>0.65</v>
      </c>
      <c r="BB532" s="1">
        <f t="shared" si="204"/>
        <v>0</v>
      </c>
      <c r="BC532" s="1">
        <f t="shared" si="205"/>
        <v>0</v>
      </c>
      <c r="BD532" s="1">
        <f t="shared" si="215"/>
        <v>0.16500000000000001</v>
      </c>
      <c r="BF532">
        <f t="shared" si="206"/>
        <v>78.571428571428555</v>
      </c>
      <c r="BG532">
        <f t="shared" si="207"/>
        <v>21.428571428571423</v>
      </c>
      <c r="BH532" s="1">
        <f t="shared" si="208"/>
        <v>0.27272727272727282</v>
      </c>
      <c r="BI532" s="1">
        <f t="shared" si="209"/>
        <v>0.27272727272727271</v>
      </c>
      <c r="BJ532" s="1">
        <f t="shared" si="216"/>
        <v>0.44636363636363635</v>
      </c>
      <c r="BK532" s="1">
        <f t="shared" si="217"/>
        <v>0.27272727272727271</v>
      </c>
      <c r="BL532" s="22">
        <f t="shared" si="218"/>
        <v>0.27272727272727271</v>
      </c>
      <c r="BM532" s="1">
        <f t="shared" si="210"/>
        <v>1.1605165289256193E-2</v>
      </c>
      <c r="BN532" s="1">
        <f t="shared" si="211"/>
        <v>5.8874618447688896E-2</v>
      </c>
    </row>
    <row r="533" spans="1:66" x14ac:dyDescent="0.25">
      <c r="A533" s="3"/>
      <c r="B533" s="3"/>
      <c r="C533" t="s">
        <v>291</v>
      </c>
      <c r="D533" s="5">
        <v>1</v>
      </c>
      <c r="E533" s="9">
        <f t="shared" si="195"/>
        <v>42.857142857142847</v>
      </c>
      <c r="F533" s="9">
        <f t="shared" si="196"/>
        <v>0.5</v>
      </c>
      <c r="G533">
        <v>14.285714285714279</v>
      </c>
      <c r="H533">
        <v>21.428571428571431</v>
      </c>
      <c r="I533">
        <v>42.857142857142847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21.428571428571431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15.5</v>
      </c>
      <c r="AK533" t="s">
        <v>1</v>
      </c>
      <c r="AL533" t="s">
        <v>372</v>
      </c>
      <c r="AQ533" s="1">
        <f t="shared" si="212"/>
        <v>99.999999999999986</v>
      </c>
      <c r="AR533" s="1">
        <f t="shared" si="197"/>
        <v>0</v>
      </c>
      <c r="AS533" s="1">
        <f t="shared" si="198"/>
        <v>0.14285714285714279</v>
      </c>
      <c r="AT533" s="1">
        <f t="shared" si="199"/>
        <v>0.2142857142857143</v>
      </c>
      <c r="AU533" s="1">
        <f t="shared" si="200"/>
        <v>0.2142857142857143</v>
      </c>
      <c r="AV533" s="1">
        <f t="shared" si="213"/>
        <v>0.155</v>
      </c>
      <c r="AX533" s="1">
        <f t="shared" si="214"/>
        <v>0.60000000000000009</v>
      </c>
      <c r="AY533" s="1">
        <f t="shared" si="201"/>
        <v>0</v>
      </c>
      <c r="AZ533" s="1">
        <f t="shared" si="202"/>
        <v>0.53749999999999998</v>
      </c>
      <c r="BA533" s="1">
        <f t="shared" si="203"/>
        <v>0.65</v>
      </c>
      <c r="BB533" s="1">
        <f t="shared" si="204"/>
        <v>0</v>
      </c>
      <c r="BC533" s="1">
        <f t="shared" si="205"/>
        <v>0</v>
      </c>
      <c r="BD533" s="1">
        <f t="shared" si="215"/>
        <v>0.155</v>
      </c>
      <c r="BF533">
        <f t="shared" si="206"/>
        <v>78.571428571428555</v>
      </c>
      <c r="BG533">
        <f t="shared" si="207"/>
        <v>21.428571428571423</v>
      </c>
      <c r="BH533" s="1">
        <f t="shared" si="208"/>
        <v>0.27272727272727282</v>
      </c>
      <c r="BI533" s="1">
        <f t="shared" si="209"/>
        <v>0.27272727272727271</v>
      </c>
      <c r="BJ533" s="1">
        <f t="shared" si="216"/>
        <v>0.44636363636363635</v>
      </c>
      <c r="BK533" s="1">
        <f t="shared" si="217"/>
        <v>0.27272727272727271</v>
      </c>
      <c r="BL533" s="22">
        <f t="shared" si="218"/>
        <v>0.27272727272727271</v>
      </c>
      <c r="BM533" s="1">
        <f t="shared" si="210"/>
        <v>1.3859710743801648E-2</v>
      </c>
      <c r="BN533" s="1">
        <f t="shared" si="211"/>
        <v>6.3827436946157126E-2</v>
      </c>
    </row>
    <row r="534" spans="1:66" x14ac:dyDescent="0.25">
      <c r="A534" s="3"/>
      <c r="B534" s="3"/>
      <c r="C534" t="s">
        <v>293</v>
      </c>
      <c r="D534" s="5">
        <v>1</v>
      </c>
      <c r="E534" s="9">
        <f t="shared" si="195"/>
        <v>0</v>
      </c>
      <c r="F534" s="9">
        <f t="shared" si="196"/>
        <v>0.5</v>
      </c>
      <c r="G534">
        <v>20</v>
      </c>
      <c r="H534">
        <v>30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30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12.5</v>
      </c>
      <c r="AK534" t="s">
        <v>1</v>
      </c>
      <c r="AL534" t="s">
        <v>372</v>
      </c>
      <c r="AQ534" s="1">
        <f t="shared" si="212"/>
        <v>100</v>
      </c>
      <c r="AR534" s="1">
        <f t="shared" si="197"/>
        <v>0</v>
      </c>
      <c r="AS534" s="1">
        <f t="shared" si="198"/>
        <v>0.2</v>
      </c>
      <c r="AT534" s="1">
        <f t="shared" si="199"/>
        <v>0.3</v>
      </c>
      <c r="AU534" s="1">
        <f t="shared" si="200"/>
        <v>0.3</v>
      </c>
      <c r="AV534" s="1">
        <f t="shared" si="213"/>
        <v>0.125</v>
      </c>
      <c r="AX534" s="1">
        <f t="shared" si="214"/>
        <v>0.6</v>
      </c>
      <c r="AY534" s="1">
        <f t="shared" si="201"/>
        <v>0</v>
      </c>
      <c r="AZ534" s="1">
        <f t="shared" si="202"/>
        <v>0.53749999999999998</v>
      </c>
      <c r="BA534" s="1">
        <f t="shared" si="203"/>
        <v>0.65</v>
      </c>
      <c r="BB534" s="1">
        <f t="shared" si="204"/>
        <v>0</v>
      </c>
      <c r="BC534" s="1">
        <f t="shared" si="205"/>
        <v>0</v>
      </c>
      <c r="BD534" s="1">
        <f t="shared" si="215"/>
        <v>0.125</v>
      </c>
      <c r="BF534">
        <f t="shared" si="206"/>
        <v>110</v>
      </c>
      <c r="BG534">
        <f t="shared" si="207"/>
        <v>6.6666666666666661</v>
      </c>
      <c r="BH534" s="1">
        <f t="shared" si="208"/>
        <v>0.27272727272727271</v>
      </c>
      <c r="BI534" s="1">
        <f t="shared" si="209"/>
        <v>6.0606060606060601E-2</v>
      </c>
      <c r="BJ534" s="1">
        <f t="shared" si="216"/>
        <v>0.44636363636363635</v>
      </c>
      <c r="BK534" s="1">
        <f t="shared" si="217"/>
        <v>6.0606060606060601E-2</v>
      </c>
      <c r="BL534" s="22">
        <f t="shared" si="218"/>
        <v>6.0606060606060601E-2</v>
      </c>
      <c r="BM534" s="1">
        <f t="shared" si="210"/>
        <v>4.1465794306703397E-3</v>
      </c>
      <c r="BN534" s="1">
        <f t="shared" si="211"/>
        <v>7.988589244156187E-2</v>
      </c>
    </row>
    <row r="535" spans="1:66" x14ac:dyDescent="0.25">
      <c r="A535" s="3"/>
      <c r="B535" s="3"/>
      <c r="C535" t="s">
        <v>292</v>
      </c>
      <c r="D535" s="5">
        <v>1</v>
      </c>
      <c r="E535" s="9">
        <f t="shared" si="195"/>
        <v>0</v>
      </c>
      <c r="F535" s="9">
        <f t="shared" si="196"/>
        <v>0.5</v>
      </c>
      <c r="G535">
        <v>20</v>
      </c>
      <c r="H535">
        <v>30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20</v>
      </c>
      <c r="AG535">
        <v>0</v>
      </c>
      <c r="AH535">
        <v>0</v>
      </c>
      <c r="AI535">
        <v>0</v>
      </c>
      <c r="AJ535">
        <v>11.5</v>
      </c>
      <c r="AK535" t="s">
        <v>1</v>
      </c>
      <c r="AL535" t="s">
        <v>372</v>
      </c>
      <c r="AQ535" s="1">
        <f t="shared" si="212"/>
        <v>100</v>
      </c>
      <c r="AR535" s="1">
        <f t="shared" si="197"/>
        <v>0</v>
      </c>
      <c r="AS535" s="1">
        <f t="shared" si="198"/>
        <v>0.2</v>
      </c>
      <c r="AT535" s="1">
        <f t="shared" si="199"/>
        <v>0.3</v>
      </c>
      <c r="AU535" s="1">
        <f t="shared" si="200"/>
        <v>0.3</v>
      </c>
      <c r="AV535" s="1">
        <f t="shared" si="213"/>
        <v>0.115</v>
      </c>
      <c r="AX535" s="1">
        <f t="shared" si="214"/>
        <v>0.6</v>
      </c>
      <c r="AY535" s="1">
        <f t="shared" si="201"/>
        <v>0</v>
      </c>
      <c r="AZ535" s="1">
        <f t="shared" si="202"/>
        <v>0.53749999999999998</v>
      </c>
      <c r="BA535" s="1">
        <f t="shared" si="203"/>
        <v>0.65</v>
      </c>
      <c r="BB535" s="1">
        <f t="shared" si="204"/>
        <v>0</v>
      </c>
      <c r="BC535" s="1">
        <f t="shared" si="205"/>
        <v>0</v>
      </c>
      <c r="BD535" s="1">
        <f t="shared" si="215"/>
        <v>0.115</v>
      </c>
      <c r="BF535">
        <f t="shared" si="206"/>
        <v>110</v>
      </c>
      <c r="BG535">
        <f t="shared" si="207"/>
        <v>6.6666666666666661</v>
      </c>
      <c r="BH535" s="1">
        <f t="shared" si="208"/>
        <v>0.27272727272727271</v>
      </c>
      <c r="BI535" s="1">
        <f t="shared" si="209"/>
        <v>6.0606060606060601E-2</v>
      </c>
      <c r="BJ535" s="1">
        <f t="shared" si="216"/>
        <v>0.44636363636363635</v>
      </c>
      <c r="BK535" s="1">
        <f t="shared" si="217"/>
        <v>6.0606060606060601E-2</v>
      </c>
      <c r="BL535" s="22">
        <f t="shared" si="218"/>
        <v>6.0606060606060601E-2</v>
      </c>
      <c r="BM535" s="1">
        <f t="shared" si="210"/>
        <v>2.9587006427915529E-3</v>
      </c>
      <c r="BN535" s="1">
        <f t="shared" si="211"/>
        <v>8.5638710940030116E-2</v>
      </c>
    </row>
    <row r="536" spans="1:66" x14ac:dyDescent="0.25">
      <c r="A536" s="3"/>
      <c r="B536" s="3"/>
      <c r="C536" t="s">
        <v>294</v>
      </c>
      <c r="D536" s="5">
        <v>1</v>
      </c>
      <c r="E536" s="9">
        <f t="shared" si="195"/>
        <v>42.857142857142847</v>
      </c>
      <c r="F536" s="9">
        <f t="shared" si="196"/>
        <v>0.33333333333333326</v>
      </c>
      <c r="G536">
        <v>14.285714285714279</v>
      </c>
      <c r="H536">
        <v>28.571428571428569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14.285714285714279</v>
      </c>
      <c r="R536">
        <v>0</v>
      </c>
      <c r="S536">
        <v>0</v>
      </c>
      <c r="T536">
        <v>0</v>
      </c>
      <c r="U536">
        <v>0</v>
      </c>
      <c r="V536">
        <v>42.857142857142847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16.8</v>
      </c>
      <c r="AK536" t="s">
        <v>1</v>
      </c>
      <c r="AL536" t="s">
        <v>372</v>
      </c>
      <c r="AQ536" s="1">
        <f t="shared" si="212"/>
        <v>99.999999999999972</v>
      </c>
      <c r="AR536" s="1">
        <f t="shared" si="197"/>
        <v>0</v>
      </c>
      <c r="AS536" s="1">
        <f t="shared" si="198"/>
        <v>0.14285714285714279</v>
      </c>
      <c r="AT536" s="1">
        <f t="shared" si="199"/>
        <v>0.2857142857142857</v>
      </c>
      <c r="AU536" s="1">
        <f t="shared" si="200"/>
        <v>0.14285714285714279</v>
      </c>
      <c r="AV536" s="1">
        <f t="shared" si="213"/>
        <v>0.16800000000000001</v>
      </c>
      <c r="AX536" s="1">
        <f t="shared" si="214"/>
        <v>0.33333333333333326</v>
      </c>
      <c r="AY536" s="1">
        <f t="shared" si="201"/>
        <v>0</v>
      </c>
      <c r="AZ536" s="1">
        <f t="shared" si="202"/>
        <v>0.52083333333333337</v>
      </c>
      <c r="BA536" s="1">
        <f t="shared" si="203"/>
        <v>0.58333333333333326</v>
      </c>
      <c r="BB536" s="1">
        <f t="shared" si="204"/>
        <v>0</v>
      </c>
      <c r="BC536" s="1">
        <f t="shared" si="205"/>
        <v>0</v>
      </c>
      <c r="BD536" s="1">
        <f t="shared" si="215"/>
        <v>0.16800000000000001</v>
      </c>
      <c r="BF536">
        <f t="shared" si="206"/>
        <v>85.714285714285694</v>
      </c>
      <c r="BG536">
        <f t="shared" si="207"/>
        <v>21.428571428571423</v>
      </c>
      <c r="BH536" s="1">
        <f t="shared" si="208"/>
        <v>0.16666666666666663</v>
      </c>
      <c r="BI536" s="1">
        <f t="shared" si="209"/>
        <v>0.25</v>
      </c>
      <c r="BJ536" s="1">
        <f t="shared" si="216"/>
        <v>0.44</v>
      </c>
      <c r="BK536" s="1">
        <f t="shared" si="217"/>
        <v>0.25</v>
      </c>
      <c r="BL536" s="22">
        <f t="shared" si="218"/>
        <v>0.25</v>
      </c>
      <c r="BM536" s="1">
        <f t="shared" si="210"/>
        <v>6.7239999999999982E-3</v>
      </c>
      <c r="BN536" s="1">
        <f t="shared" si="211"/>
        <v>5.7427772898148426E-2</v>
      </c>
    </row>
    <row r="537" spans="1:66" x14ac:dyDescent="0.25">
      <c r="A537" s="3"/>
      <c r="B537" s="3"/>
      <c r="C537" t="s">
        <v>295</v>
      </c>
      <c r="D537" s="5">
        <v>1</v>
      </c>
      <c r="E537" s="9">
        <f t="shared" si="195"/>
        <v>42.857142857142847</v>
      </c>
      <c r="F537" s="9">
        <f t="shared" si="196"/>
        <v>0.33333333333333326</v>
      </c>
      <c r="G537">
        <v>14.285714285714279</v>
      </c>
      <c r="H537">
        <v>28.571428571428569</v>
      </c>
      <c r="I537">
        <v>42.857142857142847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14.285714285714279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17.100000000000001</v>
      </c>
      <c r="AK537" t="s">
        <v>1</v>
      </c>
      <c r="AL537" t="s">
        <v>372</v>
      </c>
      <c r="AQ537" s="1">
        <f t="shared" si="212"/>
        <v>99.999999999999972</v>
      </c>
      <c r="AR537" s="1">
        <f t="shared" si="197"/>
        <v>0</v>
      </c>
      <c r="AS537" s="1">
        <f t="shared" si="198"/>
        <v>0.14285714285714279</v>
      </c>
      <c r="AT537" s="1">
        <f t="shared" si="199"/>
        <v>0.2857142857142857</v>
      </c>
      <c r="AU537" s="1">
        <f t="shared" si="200"/>
        <v>0.14285714285714279</v>
      </c>
      <c r="AV537" s="1">
        <f t="shared" si="213"/>
        <v>0.17100000000000001</v>
      </c>
      <c r="AX537" s="1">
        <f t="shared" si="214"/>
        <v>0.33333333333333326</v>
      </c>
      <c r="AY537" s="1">
        <f t="shared" si="201"/>
        <v>0</v>
      </c>
      <c r="AZ537" s="1">
        <f t="shared" si="202"/>
        <v>0.52083333333333337</v>
      </c>
      <c r="BA537" s="1">
        <f t="shared" si="203"/>
        <v>0.58333333333333326</v>
      </c>
      <c r="BB537" s="1">
        <f t="shared" si="204"/>
        <v>0</v>
      </c>
      <c r="BC537" s="1">
        <f t="shared" si="205"/>
        <v>0</v>
      </c>
      <c r="BD537" s="1">
        <f t="shared" si="215"/>
        <v>0.17100000000000001</v>
      </c>
      <c r="BF537">
        <f t="shared" si="206"/>
        <v>85.714285714285694</v>
      </c>
      <c r="BG537">
        <f t="shared" si="207"/>
        <v>21.428571428571423</v>
      </c>
      <c r="BH537" s="1">
        <f t="shared" si="208"/>
        <v>0.16666666666666663</v>
      </c>
      <c r="BI537" s="1">
        <f t="shared" si="209"/>
        <v>0.25</v>
      </c>
      <c r="BJ537" s="1">
        <f t="shared" si="216"/>
        <v>0.44</v>
      </c>
      <c r="BK537" s="1">
        <f t="shared" si="217"/>
        <v>0.25</v>
      </c>
      <c r="BL537" s="22">
        <f t="shared" si="218"/>
        <v>0.25</v>
      </c>
      <c r="BM537" s="1">
        <f t="shared" si="210"/>
        <v>6.2409999999999983E-3</v>
      </c>
      <c r="BN537" s="1">
        <f t="shared" si="211"/>
        <v>5.5998927348607952E-2</v>
      </c>
    </row>
    <row r="538" spans="1:66" x14ac:dyDescent="0.25">
      <c r="A538" s="3"/>
      <c r="B538" s="3"/>
      <c r="C538" t="s">
        <v>296</v>
      </c>
      <c r="D538" s="5">
        <v>1</v>
      </c>
      <c r="E538" s="9">
        <f t="shared" si="195"/>
        <v>0</v>
      </c>
      <c r="F538" s="9">
        <f t="shared" si="196"/>
        <v>0.33333333333333331</v>
      </c>
      <c r="G538">
        <v>20</v>
      </c>
      <c r="H538">
        <v>40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15.7</v>
      </c>
      <c r="AK538" t="s">
        <v>1</v>
      </c>
      <c r="AL538" t="s">
        <v>372</v>
      </c>
      <c r="AQ538" s="1">
        <f t="shared" si="212"/>
        <v>100</v>
      </c>
      <c r="AR538" s="1">
        <f t="shared" si="197"/>
        <v>0</v>
      </c>
      <c r="AS538" s="1">
        <f t="shared" si="198"/>
        <v>0.2</v>
      </c>
      <c r="AT538" s="1">
        <f t="shared" si="199"/>
        <v>0.4</v>
      </c>
      <c r="AU538" s="1">
        <f t="shared" si="200"/>
        <v>0.2</v>
      </c>
      <c r="AV538" s="1">
        <f t="shared" si="213"/>
        <v>0.157</v>
      </c>
      <c r="AX538" s="1">
        <f t="shared" si="214"/>
        <v>0.33333333333333331</v>
      </c>
      <c r="AY538" s="1">
        <f t="shared" si="201"/>
        <v>0</v>
      </c>
      <c r="AZ538" s="1">
        <f t="shared" si="202"/>
        <v>0.52083333333333337</v>
      </c>
      <c r="BA538" s="1">
        <f t="shared" si="203"/>
        <v>0.58333333333333337</v>
      </c>
      <c r="BB538" s="1">
        <f t="shared" si="204"/>
        <v>0</v>
      </c>
      <c r="BC538" s="1">
        <f t="shared" si="205"/>
        <v>0</v>
      </c>
      <c r="BD538" s="1">
        <f t="shared" si="215"/>
        <v>0.157</v>
      </c>
      <c r="BF538">
        <f t="shared" si="206"/>
        <v>120</v>
      </c>
      <c r="BG538">
        <f t="shared" si="207"/>
        <v>6.6666666666666661</v>
      </c>
      <c r="BH538" s="1">
        <f t="shared" si="208"/>
        <v>0.16666666666666666</v>
      </c>
      <c r="BI538" s="1">
        <f t="shared" si="209"/>
        <v>5.5555555555555552E-2</v>
      </c>
      <c r="BJ538" s="1">
        <f t="shared" si="216"/>
        <v>0.44</v>
      </c>
      <c r="BK538" s="1">
        <f t="shared" si="217"/>
        <v>5.5555555555555552E-2</v>
      </c>
      <c r="BL538" s="22">
        <f t="shared" si="218"/>
        <v>5.5555555555555552E-2</v>
      </c>
      <c r="BM538" s="1">
        <f t="shared" si="210"/>
        <v>1.0290975308641976E-2</v>
      </c>
      <c r="BN538" s="1">
        <f t="shared" si="211"/>
        <v>6.2820873246463474E-2</v>
      </c>
    </row>
    <row r="539" spans="1:66" x14ac:dyDescent="0.25">
      <c r="A539" s="3"/>
      <c r="B539" s="3"/>
      <c r="C539" t="s">
        <v>297</v>
      </c>
      <c r="D539" s="5">
        <v>1</v>
      </c>
      <c r="E539" s="9">
        <f t="shared" si="195"/>
        <v>0</v>
      </c>
      <c r="F539" s="9">
        <f t="shared" si="196"/>
        <v>0.33333333333333331</v>
      </c>
      <c r="G539">
        <v>20</v>
      </c>
      <c r="H539">
        <v>40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20</v>
      </c>
      <c r="AG539">
        <v>0</v>
      </c>
      <c r="AH539">
        <v>0</v>
      </c>
      <c r="AI539">
        <v>0</v>
      </c>
      <c r="AJ539">
        <v>14.2</v>
      </c>
      <c r="AK539" t="s">
        <v>1</v>
      </c>
      <c r="AL539" t="s">
        <v>372</v>
      </c>
      <c r="AQ539" s="1">
        <f t="shared" si="212"/>
        <v>100</v>
      </c>
      <c r="AR539" s="1">
        <f t="shared" si="197"/>
        <v>0</v>
      </c>
      <c r="AS539" s="1">
        <f t="shared" si="198"/>
        <v>0.2</v>
      </c>
      <c r="AT539" s="1">
        <f t="shared" si="199"/>
        <v>0.4</v>
      </c>
      <c r="AU539" s="1">
        <f t="shared" si="200"/>
        <v>0.2</v>
      </c>
      <c r="AV539" s="1">
        <f t="shared" si="213"/>
        <v>0.14199999999999999</v>
      </c>
      <c r="AX539" s="1">
        <f t="shared" si="214"/>
        <v>0.33333333333333331</v>
      </c>
      <c r="AY539" s="1">
        <f t="shared" si="201"/>
        <v>0</v>
      </c>
      <c r="AZ539" s="1">
        <f t="shared" si="202"/>
        <v>0.52083333333333337</v>
      </c>
      <c r="BA539" s="1">
        <f t="shared" si="203"/>
        <v>0.58333333333333337</v>
      </c>
      <c r="BB539" s="1">
        <f t="shared" si="204"/>
        <v>0</v>
      </c>
      <c r="BC539" s="1">
        <f t="shared" si="205"/>
        <v>0</v>
      </c>
      <c r="BD539" s="1">
        <f t="shared" si="215"/>
        <v>0.14199999999999999</v>
      </c>
      <c r="BF539">
        <f t="shared" si="206"/>
        <v>120</v>
      </c>
      <c r="BG539">
        <f t="shared" si="207"/>
        <v>6.6666666666666661</v>
      </c>
      <c r="BH539" s="1">
        <f t="shared" si="208"/>
        <v>0.16666666666666666</v>
      </c>
      <c r="BI539" s="1">
        <f t="shared" si="209"/>
        <v>5.5555555555555552E-2</v>
      </c>
      <c r="BJ539" s="1">
        <f t="shared" si="216"/>
        <v>0.44</v>
      </c>
      <c r="BK539" s="1">
        <f t="shared" si="217"/>
        <v>5.5555555555555552E-2</v>
      </c>
      <c r="BL539" s="22">
        <f t="shared" si="218"/>
        <v>5.5555555555555552E-2</v>
      </c>
      <c r="BM539" s="1">
        <f t="shared" si="210"/>
        <v>7.4726419753086406E-3</v>
      </c>
      <c r="BN539" s="1">
        <f t="shared" si="211"/>
        <v>7.0565100994165852E-2</v>
      </c>
    </row>
    <row r="540" spans="1:66" x14ac:dyDescent="0.25">
      <c r="A540" s="3"/>
      <c r="B540" s="3"/>
      <c r="C540" t="s">
        <v>581</v>
      </c>
      <c r="D540" s="5">
        <v>1</v>
      </c>
      <c r="E540" s="9">
        <f t="shared" si="195"/>
        <v>0</v>
      </c>
      <c r="F540" s="9">
        <f t="shared" si="196"/>
        <v>0</v>
      </c>
      <c r="G540">
        <v>0</v>
      </c>
      <c r="H540">
        <v>20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80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12</v>
      </c>
      <c r="AK540" t="s">
        <v>1</v>
      </c>
      <c r="AL540" t="s">
        <v>374</v>
      </c>
      <c r="AO540" t="s">
        <v>378</v>
      </c>
      <c r="AQ540" s="1">
        <f t="shared" si="212"/>
        <v>100</v>
      </c>
      <c r="AR540" s="1">
        <f t="shared" si="197"/>
        <v>0</v>
      </c>
      <c r="AS540" s="1">
        <f t="shared" si="198"/>
        <v>0</v>
      </c>
      <c r="AT540" s="1">
        <f t="shared" si="199"/>
        <v>0.2</v>
      </c>
      <c r="AU540" s="1">
        <f t="shared" si="200"/>
        <v>0</v>
      </c>
      <c r="AV540" s="1">
        <f t="shared" si="213"/>
        <v>0.12</v>
      </c>
      <c r="AX540" s="1">
        <f t="shared" si="214"/>
        <v>0</v>
      </c>
      <c r="AY540" s="1">
        <f t="shared" si="201"/>
        <v>0</v>
      </c>
      <c r="AZ540" s="1">
        <f t="shared" si="202"/>
        <v>0.5</v>
      </c>
      <c r="BA540" s="1">
        <f t="shared" si="203"/>
        <v>0.5</v>
      </c>
      <c r="BB540" s="1">
        <f t="shared" si="204"/>
        <v>0</v>
      </c>
      <c r="BC540" s="1">
        <f t="shared" si="205"/>
        <v>0</v>
      </c>
      <c r="BD540" s="1">
        <f t="shared" si="215"/>
        <v>0.12</v>
      </c>
      <c r="BF540">
        <f t="shared" si="206"/>
        <v>20</v>
      </c>
      <c r="BG540">
        <f t="shared" si="207"/>
        <v>40</v>
      </c>
      <c r="BH540" s="1">
        <f t="shared" si="208"/>
        <v>0</v>
      </c>
      <c r="BI540" s="1">
        <f t="shared" si="209"/>
        <v>2</v>
      </c>
      <c r="BJ540" s="1">
        <f t="shared" si="216"/>
        <v>0.43</v>
      </c>
      <c r="BK540" s="1">
        <f t="shared" si="217"/>
        <v>0.14352979424214807</v>
      </c>
      <c r="BL540" s="22">
        <f t="shared" si="218"/>
        <v>0.14352979424214807</v>
      </c>
      <c r="BM540" s="1">
        <f t="shared" si="210"/>
        <v>5.5365121707782452E-4</v>
      </c>
      <c r="BN540" s="1">
        <f t="shared" si="211"/>
        <v>8.2737301690795989E-2</v>
      </c>
    </row>
    <row r="541" spans="1:66" x14ac:dyDescent="0.25">
      <c r="A541" s="3"/>
      <c r="B541" s="3"/>
      <c r="C541" t="s">
        <v>582</v>
      </c>
      <c r="D541" s="5">
        <v>1</v>
      </c>
      <c r="E541" s="9">
        <f t="shared" si="195"/>
        <v>0</v>
      </c>
      <c r="F541" s="9">
        <f t="shared" si="196"/>
        <v>0</v>
      </c>
      <c r="G541">
        <v>0</v>
      </c>
      <c r="H541">
        <v>30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70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20</v>
      </c>
      <c r="AK541" t="s">
        <v>1</v>
      </c>
      <c r="AL541" t="s">
        <v>374</v>
      </c>
      <c r="AQ541" s="1">
        <f t="shared" si="212"/>
        <v>100</v>
      </c>
      <c r="AR541" s="1">
        <f t="shared" si="197"/>
        <v>0</v>
      </c>
      <c r="AS541" s="1">
        <f t="shared" si="198"/>
        <v>0</v>
      </c>
      <c r="AT541" s="1">
        <f t="shared" si="199"/>
        <v>0.3</v>
      </c>
      <c r="AU541" s="1">
        <f t="shared" si="200"/>
        <v>0</v>
      </c>
      <c r="AV541" s="1">
        <f t="shared" si="213"/>
        <v>0.2</v>
      </c>
      <c r="AX541" s="1">
        <f t="shared" si="214"/>
        <v>0</v>
      </c>
      <c r="AY541" s="1">
        <f t="shared" si="201"/>
        <v>0</v>
      </c>
      <c r="AZ541" s="1">
        <f t="shared" si="202"/>
        <v>0.5</v>
      </c>
      <c r="BA541" s="1">
        <f t="shared" si="203"/>
        <v>0.5</v>
      </c>
      <c r="BB541" s="1">
        <f t="shared" si="204"/>
        <v>0</v>
      </c>
      <c r="BC541" s="1">
        <f t="shared" si="205"/>
        <v>0</v>
      </c>
      <c r="BD541" s="1">
        <f t="shared" si="215"/>
        <v>0.2</v>
      </c>
      <c r="BF541">
        <f t="shared" si="206"/>
        <v>30</v>
      </c>
      <c r="BG541">
        <f t="shared" si="207"/>
        <v>35</v>
      </c>
      <c r="BH541" s="1">
        <f t="shared" si="208"/>
        <v>0</v>
      </c>
      <c r="BI541" s="1">
        <f t="shared" si="209"/>
        <v>1.1666666666666667</v>
      </c>
      <c r="BJ541" s="1">
        <f t="shared" si="216"/>
        <v>0.43</v>
      </c>
      <c r="BK541" s="1">
        <f t="shared" si="217"/>
        <v>0.33053436022900884</v>
      </c>
      <c r="BL541" s="22">
        <f t="shared" si="218"/>
        <v>0.33053436022900884</v>
      </c>
      <c r="BM541" s="1">
        <f t="shared" si="210"/>
        <v>1.7039219200396642E-2</v>
      </c>
      <c r="BN541" s="1">
        <f t="shared" si="211"/>
        <v>4.3114753703050047E-2</v>
      </c>
    </row>
    <row r="542" spans="1:66" x14ac:dyDescent="0.25">
      <c r="A542" s="3"/>
      <c r="B542" s="3"/>
      <c r="C542" t="s">
        <v>583</v>
      </c>
      <c r="D542" s="5">
        <v>1</v>
      </c>
      <c r="E542" s="9">
        <f t="shared" si="195"/>
        <v>0</v>
      </c>
      <c r="F542" s="9">
        <f t="shared" si="196"/>
        <v>0</v>
      </c>
      <c r="G542">
        <v>0</v>
      </c>
      <c r="H542">
        <v>40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60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33</v>
      </c>
      <c r="AK542" t="s">
        <v>1</v>
      </c>
      <c r="AL542" t="s">
        <v>374</v>
      </c>
      <c r="AQ542" s="1">
        <f t="shared" si="212"/>
        <v>100</v>
      </c>
      <c r="AR542" s="1">
        <f t="shared" si="197"/>
        <v>0</v>
      </c>
      <c r="AS542" s="1">
        <f t="shared" si="198"/>
        <v>0</v>
      </c>
      <c r="AT542" s="1">
        <f t="shared" si="199"/>
        <v>0.4</v>
      </c>
      <c r="AU542" s="1">
        <f t="shared" si="200"/>
        <v>0</v>
      </c>
      <c r="AV542" s="1">
        <f t="shared" si="213"/>
        <v>0.33</v>
      </c>
      <c r="AX542" s="1">
        <f t="shared" si="214"/>
        <v>0</v>
      </c>
      <c r="AY542" s="1">
        <f t="shared" si="201"/>
        <v>0</v>
      </c>
      <c r="AZ542" s="1">
        <f t="shared" si="202"/>
        <v>0.5</v>
      </c>
      <c r="BA542" s="1">
        <f t="shared" si="203"/>
        <v>0.5</v>
      </c>
      <c r="BB542" s="1">
        <f t="shared" si="204"/>
        <v>0</v>
      </c>
      <c r="BC542" s="1">
        <f t="shared" si="205"/>
        <v>0</v>
      </c>
      <c r="BD542" s="1">
        <f t="shared" si="215"/>
        <v>0.33</v>
      </c>
      <c r="BF542">
        <f t="shared" si="206"/>
        <v>40</v>
      </c>
      <c r="BG542">
        <f t="shared" si="207"/>
        <v>30</v>
      </c>
      <c r="BH542" s="1">
        <f t="shared" si="208"/>
        <v>0</v>
      </c>
      <c r="BI542" s="1">
        <f t="shared" si="209"/>
        <v>0.75</v>
      </c>
      <c r="BJ542" s="1">
        <f t="shared" si="216"/>
        <v>0.43</v>
      </c>
      <c r="BK542" s="1">
        <f t="shared" si="217"/>
        <v>0.40150628817455186</v>
      </c>
      <c r="BL542" s="22">
        <f t="shared" si="218"/>
        <v>0.40150628817455186</v>
      </c>
      <c r="BM542" s="1">
        <f t="shared" si="210"/>
        <v>5.1131492485020531E-3</v>
      </c>
      <c r="BN542" s="1">
        <f t="shared" si="211"/>
        <v>6.0281132229629093E-3</v>
      </c>
    </row>
    <row r="543" spans="1:66" x14ac:dyDescent="0.25">
      <c r="A543" s="3"/>
      <c r="B543" s="3"/>
      <c r="C543" t="s">
        <v>584</v>
      </c>
      <c r="D543" s="5">
        <v>1</v>
      </c>
      <c r="E543" s="9">
        <f t="shared" si="195"/>
        <v>0</v>
      </c>
      <c r="F543" s="9">
        <f t="shared" si="196"/>
        <v>0</v>
      </c>
      <c r="G543">
        <v>0</v>
      </c>
      <c r="H543">
        <v>50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50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43</v>
      </c>
      <c r="AK543" t="s">
        <v>1</v>
      </c>
      <c r="AL543" t="s">
        <v>374</v>
      </c>
      <c r="AQ543" s="1">
        <f t="shared" si="212"/>
        <v>100</v>
      </c>
      <c r="AR543" s="1">
        <f t="shared" si="197"/>
        <v>0</v>
      </c>
      <c r="AS543" s="1">
        <f t="shared" si="198"/>
        <v>0</v>
      </c>
      <c r="AT543" s="1">
        <f t="shared" si="199"/>
        <v>0.5</v>
      </c>
      <c r="AU543" s="1">
        <f t="shared" si="200"/>
        <v>0</v>
      </c>
      <c r="AV543" s="1">
        <f t="shared" si="213"/>
        <v>0.43</v>
      </c>
      <c r="AX543" s="1">
        <f t="shared" si="214"/>
        <v>0</v>
      </c>
      <c r="AY543" s="1">
        <f t="shared" si="201"/>
        <v>0</v>
      </c>
      <c r="AZ543" s="1">
        <f t="shared" si="202"/>
        <v>0.5</v>
      </c>
      <c r="BA543" s="1">
        <f t="shared" si="203"/>
        <v>0.5</v>
      </c>
      <c r="BB543" s="1">
        <f t="shared" si="204"/>
        <v>0</v>
      </c>
      <c r="BC543" s="1">
        <f t="shared" si="205"/>
        <v>0</v>
      </c>
      <c r="BD543" s="1">
        <f t="shared" si="215"/>
        <v>0.43</v>
      </c>
      <c r="BF543">
        <f t="shared" si="206"/>
        <v>50</v>
      </c>
      <c r="BG543">
        <f t="shared" si="207"/>
        <v>25</v>
      </c>
      <c r="BH543" s="1">
        <f t="shared" si="208"/>
        <v>0</v>
      </c>
      <c r="BI543" s="1">
        <f t="shared" si="209"/>
        <v>0.5</v>
      </c>
      <c r="BJ543" s="1">
        <f t="shared" si="216"/>
        <v>0.43</v>
      </c>
      <c r="BK543" s="1">
        <f t="shared" si="217"/>
        <v>0.40701138914924623</v>
      </c>
      <c r="BL543" s="22">
        <f t="shared" si="218"/>
        <v>0.40701138914924623</v>
      </c>
      <c r="BM543" s="1">
        <f t="shared" si="210"/>
        <v>5.2847622884739378E-4</v>
      </c>
      <c r="BN543" s="1">
        <f t="shared" si="211"/>
        <v>4.9992823828049458E-4</v>
      </c>
    </row>
    <row r="544" spans="1:66" x14ac:dyDescent="0.25">
      <c r="A544" s="3"/>
      <c r="B544" s="3"/>
      <c r="C544" t="s">
        <v>585</v>
      </c>
      <c r="D544" s="5">
        <v>1</v>
      </c>
      <c r="E544" s="9">
        <f t="shared" si="195"/>
        <v>0</v>
      </c>
      <c r="F544" s="9">
        <f t="shared" si="196"/>
        <v>0</v>
      </c>
      <c r="G544">
        <v>0</v>
      </c>
      <c r="H544">
        <v>60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40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40</v>
      </c>
      <c r="AK544" t="s">
        <v>1</v>
      </c>
      <c r="AL544" t="s">
        <v>374</v>
      </c>
      <c r="AQ544" s="1">
        <f t="shared" si="212"/>
        <v>100</v>
      </c>
      <c r="AR544" s="1">
        <f t="shared" si="197"/>
        <v>0</v>
      </c>
      <c r="AS544" s="1">
        <f t="shared" si="198"/>
        <v>0</v>
      </c>
      <c r="AT544" s="1">
        <f t="shared" si="199"/>
        <v>0.6</v>
      </c>
      <c r="AU544" s="1">
        <f t="shared" si="200"/>
        <v>0</v>
      </c>
      <c r="AV544" s="1">
        <f t="shared" si="213"/>
        <v>0.4</v>
      </c>
      <c r="AX544" s="1">
        <f t="shared" si="214"/>
        <v>0</v>
      </c>
      <c r="AY544" s="1">
        <f t="shared" si="201"/>
        <v>0</v>
      </c>
      <c r="AZ544" s="1">
        <f t="shared" si="202"/>
        <v>0.5</v>
      </c>
      <c r="BA544" s="1">
        <f t="shared" si="203"/>
        <v>0.5</v>
      </c>
      <c r="BB544" s="1">
        <f t="shared" si="204"/>
        <v>0</v>
      </c>
      <c r="BC544" s="1">
        <f t="shared" si="205"/>
        <v>0</v>
      </c>
      <c r="BD544" s="1">
        <f t="shared" si="215"/>
        <v>0.4</v>
      </c>
      <c r="BF544">
        <f t="shared" si="206"/>
        <v>60</v>
      </c>
      <c r="BG544">
        <f t="shared" si="207"/>
        <v>20</v>
      </c>
      <c r="BH544" s="1">
        <f t="shared" si="208"/>
        <v>0</v>
      </c>
      <c r="BI544" s="1">
        <f t="shared" si="209"/>
        <v>0.33333333333333331</v>
      </c>
      <c r="BJ544" s="1">
        <f t="shared" si="216"/>
        <v>0.43</v>
      </c>
      <c r="BK544" s="1">
        <f t="shared" si="217"/>
        <v>0.33333333333333331</v>
      </c>
      <c r="BL544" s="22">
        <f t="shared" si="218"/>
        <v>0.33333333333333331</v>
      </c>
      <c r="BM544" s="1">
        <f t="shared" si="210"/>
        <v>4.4444444444444496E-3</v>
      </c>
      <c r="BN544" s="1">
        <f t="shared" si="211"/>
        <v>5.8383733685219634E-5</v>
      </c>
    </row>
    <row r="545" spans="1:66" x14ac:dyDescent="0.25">
      <c r="A545" s="3"/>
      <c r="B545" s="3"/>
      <c r="C545" t="s">
        <v>586</v>
      </c>
      <c r="D545" s="5">
        <v>1</v>
      </c>
      <c r="E545" s="9">
        <f t="shared" si="195"/>
        <v>0</v>
      </c>
      <c r="F545" s="9">
        <f t="shared" si="196"/>
        <v>0</v>
      </c>
      <c r="G545">
        <v>0</v>
      </c>
      <c r="H545">
        <v>70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32</v>
      </c>
      <c r="AK545" t="s">
        <v>1</v>
      </c>
      <c r="AL545" t="s">
        <v>374</v>
      </c>
      <c r="AQ545" s="1">
        <f t="shared" si="212"/>
        <v>100</v>
      </c>
      <c r="AR545" s="1">
        <f t="shared" si="197"/>
        <v>0</v>
      </c>
      <c r="AS545" s="1">
        <f t="shared" si="198"/>
        <v>0</v>
      </c>
      <c r="AT545" s="1">
        <f t="shared" si="199"/>
        <v>0.7</v>
      </c>
      <c r="AU545" s="1">
        <f t="shared" si="200"/>
        <v>0</v>
      </c>
      <c r="AV545" s="1">
        <f t="shared" si="213"/>
        <v>0.32</v>
      </c>
      <c r="AX545" s="1">
        <f t="shared" si="214"/>
        <v>0</v>
      </c>
      <c r="AY545" s="1">
        <f t="shared" si="201"/>
        <v>0</v>
      </c>
      <c r="AZ545" s="1">
        <f t="shared" si="202"/>
        <v>0.5</v>
      </c>
      <c r="BA545" s="1">
        <f t="shared" si="203"/>
        <v>0.5</v>
      </c>
      <c r="BB545" s="1">
        <f t="shared" si="204"/>
        <v>0</v>
      </c>
      <c r="BC545" s="1">
        <f t="shared" si="205"/>
        <v>0</v>
      </c>
      <c r="BD545" s="1">
        <f t="shared" si="215"/>
        <v>0.32</v>
      </c>
      <c r="BF545">
        <f t="shared" si="206"/>
        <v>70</v>
      </c>
      <c r="BG545">
        <f t="shared" si="207"/>
        <v>15</v>
      </c>
      <c r="BH545" s="1">
        <f t="shared" si="208"/>
        <v>0</v>
      </c>
      <c r="BI545" s="1">
        <f t="shared" si="209"/>
        <v>0.21428571428571427</v>
      </c>
      <c r="BJ545" s="1">
        <f t="shared" si="216"/>
        <v>0.43</v>
      </c>
      <c r="BK545" s="1">
        <f t="shared" si="217"/>
        <v>0.21428571428571427</v>
      </c>
      <c r="BL545" s="22">
        <f t="shared" si="218"/>
        <v>0.21428571428571427</v>
      </c>
      <c r="BM545" s="1">
        <f t="shared" si="210"/>
        <v>1.1175510204081637E-2</v>
      </c>
      <c r="BN545" s="1">
        <f t="shared" si="211"/>
        <v>7.680931721431152E-3</v>
      </c>
    </row>
    <row r="546" spans="1:66" x14ac:dyDescent="0.25">
      <c r="A546" s="3"/>
      <c r="B546" s="3"/>
      <c r="C546" t="s">
        <v>587</v>
      </c>
      <c r="D546" s="5">
        <v>1</v>
      </c>
      <c r="E546" s="9">
        <f t="shared" si="195"/>
        <v>0</v>
      </c>
      <c r="F546" s="9">
        <f t="shared" si="196"/>
        <v>0</v>
      </c>
      <c r="G546">
        <v>0</v>
      </c>
      <c r="H546">
        <v>75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25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26</v>
      </c>
      <c r="AK546" t="s">
        <v>1</v>
      </c>
      <c r="AL546" t="s">
        <v>374</v>
      </c>
      <c r="AQ546" s="1">
        <f t="shared" si="212"/>
        <v>100</v>
      </c>
      <c r="AR546" s="1">
        <f t="shared" si="197"/>
        <v>0</v>
      </c>
      <c r="AS546" s="1">
        <f t="shared" si="198"/>
        <v>0</v>
      </c>
      <c r="AT546" s="1">
        <f t="shared" si="199"/>
        <v>0.75</v>
      </c>
      <c r="AU546" s="1">
        <f t="shared" si="200"/>
        <v>0</v>
      </c>
      <c r="AV546" s="1">
        <f t="shared" si="213"/>
        <v>0.26</v>
      </c>
      <c r="AX546" s="1">
        <f t="shared" si="214"/>
        <v>0</v>
      </c>
      <c r="AY546" s="1">
        <f t="shared" si="201"/>
        <v>0</v>
      </c>
      <c r="AZ546" s="1">
        <f t="shared" si="202"/>
        <v>0.5</v>
      </c>
      <c r="BA546" s="1">
        <f t="shared" si="203"/>
        <v>0.5</v>
      </c>
      <c r="BB546" s="1">
        <f t="shared" si="204"/>
        <v>0</v>
      </c>
      <c r="BC546" s="1">
        <f t="shared" si="205"/>
        <v>0</v>
      </c>
      <c r="BD546" s="1">
        <f t="shared" si="215"/>
        <v>0.26</v>
      </c>
      <c r="BF546">
        <f t="shared" si="206"/>
        <v>75</v>
      </c>
      <c r="BG546">
        <f t="shared" si="207"/>
        <v>12.5</v>
      </c>
      <c r="BH546" s="1">
        <f t="shared" si="208"/>
        <v>0</v>
      </c>
      <c r="BI546" s="1">
        <f t="shared" si="209"/>
        <v>0.16666666666666666</v>
      </c>
      <c r="BJ546" s="1">
        <f t="shared" si="216"/>
        <v>0.43</v>
      </c>
      <c r="BK546" s="1">
        <f t="shared" si="217"/>
        <v>0.16666666666666666</v>
      </c>
      <c r="BL546" s="22">
        <f t="shared" si="218"/>
        <v>0.16666666666666666</v>
      </c>
      <c r="BM546" s="1">
        <f t="shared" si="210"/>
        <v>8.7111111111111139E-3</v>
      </c>
      <c r="BN546" s="1">
        <f t="shared" si="211"/>
        <v>2.1797842712240601E-2</v>
      </c>
    </row>
    <row r="547" spans="1:66" x14ac:dyDescent="0.25">
      <c r="A547" s="3"/>
      <c r="B547" s="3"/>
      <c r="C547" t="s">
        <v>303</v>
      </c>
      <c r="D547" s="5">
        <v>1</v>
      </c>
      <c r="E547" s="9">
        <f t="shared" si="195"/>
        <v>20</v>
      </c>
      <c r="F547" s="9">
        <f t="shared" si="196"/>
        <v>0.90277777777777779</v>
      </c>
      <c r="G547">
        <v>8</v>
      </c>
      <c r="H547">
        <v>7</v>
      </c>
      <c r="I547">
        <v>20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65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13</v>
      </c>
      <c r="AK547" t="s">
        <v>1</v>
      </c>
      <c r="AL547" t="s">
        <v>372</v>
      </c>
      <c r="AO547" t="s">
        <v>378</v>
      </c>
      <c r="AP547">
        <v>11</v>
      </c>
      <c r="AQ547" s="1">
        <f t="shared" si="212"/>
        <v>100</v>
      </c>
      <c r="AR547" s="1">
        <f t="shared" si="197"/>
        <v>0</v>
      </c>
      <c r="AS547" s="1">
        <f t="shared" si="198"/>
        <v>0.08</v>
      </c>
      <c r="AT547" s="1">
        <f t="shared" si="199"/>
        <v>7.0000000000000007E-2</v>
      </c>
      <c r="AU547" s="1">
        <f t="shared" si="200"/>
        <v>0.65</v>
      </c>
      <c r="AV547" s="1">
        <f t="shared" si="213"/>
        <v>0.13</v>
      </c>
      <c r="AX547" s="1">
        <f t="shared" si="214"/>
        <v>4.333333333333333</v>
      </c>
      <c r="AY547" s="1">
        <f t="shared" si="201"/>
        <v>0</v>
      </c>
      <c r="AZ547" s="1">
        <f t="shared" si="202"/>
        <v>0.77083333333333326</v>
      </c>
      <c r="BA547" s="1">
        <f t="shared" si="203"/>
        <v>1.5833333333333333</v>
      </c>
      <c r="BB547" s="1">
        <f t="shared" si="204"/>
        <v>0</v>
      </c>
      <c r="BC547" s="1">
        <f t="shared" si="205"/>
        <v>0</v>
      </c>
      <c r="BD547" s="1">
        <f t="shared" si="215"/>
        <v>0.13</v>
      </c>
      <c r="BF547">
        <f t="shared" si="206"/>
        <v>39</v>
      </c>
      <c r="BG547">
        <f t="shared" si="207"/>
        <v>10</v>
      </c>
      <c r="BH547" s="1">
        <f t="shared" si="208"/>
        <v>1.6666666666666667</v>
      </c>
      <c r="BI547" s="1">
        <f t="shared" si="209"/>
        <v>0.25641025641025639</v>
      </c>
      <c r="BJ547" s="1">
        <f t="shared" si="216"/>
        <v>0.53</v>
      </c>
      <c r="BK547" s="1">
        <f t="shared" si="217"/>
        <v>0.25641025641025639</v>
      </c>
      <c r="BL547" s="22">
        <f t="shared" si="218"/>
        <v>0.25641025641025639</v>
      </c>
      <c r="BM547" s="1">
        <f t="shared" si="210"/>
        <v>1.5979552925706766E-2</v>
      </c>
      <c r="BN547" s="1">
        <f t="shared" si="211"/>
        <v>7.7084483192327746E-2</v>
      </c>
    </row>
    <row r="548" spans="1:66" x14ac:dyDescent="0.25">
      <c r="A548" s="3"/>
      <c r="B548" s="3"/>
      <c r="C548" t="s">
        <v>304</v>
      </c>
      <c r="D548" s="5">
        <v>1</v>
      </c>
      <c r="E548" s="9">
        <f t="shared" si="195"/>
        <v>20</v>
      </c>
      <c r="F548" s="9">
        <f t="shared" si="196"/>
        <v>0.90277777777777779</v>
      </c>
      <c r="G548">
        <v>8</v>
      </c>
      <c r="H548">
        <v>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20</v>
      </c>
      <c r="P548">
        <v>0</v>
      </c>
      <c r="Q548">
        <v>65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64</v>
      </c>
      <c r="AK548" t="s">
        <v>1</v>
      </c>
      <c r="AL548" t="s">
        <v>372</v>
      </c>
      <c r="AP548">
        <v>57</v>
      </c>
      <c r="AQ548" s="1">
        <f t="shared" si="212"/>
        <v>100</v>
      </c>
      <c r="AR548" s="1">
        <f t="shared" si="197"/>
        <v>0.2</v>
      </c>
      <c r="AS548" s="1">
        <f t="shared" si="198"/>
        <v>0.08</v>
      </c>
      <c r="AT548" s="1">
        <f t="shared" si="199"/>
        <v>7.0000000000000007E-2</v>
      </c>
      <c r="AU548" s="1">
        <f t="shared" si="200"/>
        <v>0.65</v>
      </c>
      <c r="AV548" s="1">
        <f t="shared" si="213"/>
        <v>0.64</v>
      </c>
      <c r="AX548" s="1">
        <f t="shared" si="214"/>
        <v>4.333333333333333</v>
      </c>
      <c r="AY548" s="1">
        <f t="shared" si="201"/>
        <v>1.3333333333333333</v>
      </c>
      <c r="AZ548" s="1">
        <f t="shared" si="202"/>
        <v>0.77083333333333326</v>
      </c>
      <c r="BA548" s="1">
        <f t="shared" si="203"/>
        <v>1.5833333333333333</v>
      </c>
      <c r="BB548" s="1">
        <f t="shared" si="204"/>
        <v>0.77083333333333326</v>
      </c>
      <c r="BC548" s="1">
        <f t="shared" si="205"/>
        <v>0.77083333333333326</v>
      </c>
      <c r="BD548" s="1">
        <f t="shared" si="215"/>
        <v>0.13083333333333325</v>
      </c>
      <c r="BF548">
        <f t="shared" si="206"/>
        <v>39</v>
      </c>
      <c r="BG548">
        <f t="shared" si="207"/>
        <v>20</v>
      </c>
      <c r="BH548" s="1">
        <f t="shared" si="208"/>
        <v>1.6666666666666667</v>
      </c>
      <c r="BI548" s="1">
        <f t="shared" si="209"/>
        <v>0.51282051282051277</v>
      </c>
      <c r="BJ548" s="1">
        <f t="shared" si="216"/>
        <v>0.53</v>
      </c>
      <c r="BK548" s="1">
        <f t="shared" si="217"/>
        <v>0.51282051282051277</v>
      </c>
      <c r="BL548" s="22">
        <f t="shared" si="218"/>
        <v>0.51282051282051277</v>
      </c>
      <c r="BM548" s="1">
        <f t="shared" si="210"/>
        <v>1.617462195923736E-2</v>
      </c>
      <c r="BN548" s="1">
        <f t="shared" si="211"/>
        <v>5.3990739770447424E-2</v>
      </c>
    </row>
    <row r="549" spans="1:66" x14ac:dyDescent="0.25">
      <c r="A549" s="3"/>
      <c r="B549" s="3"/>
      <c r="C549" t="s">
        <v>305</v>
      </c>
      <c r="D549" s="5">
        <v>1</v>
      </c>
      <c r="E549" s="9">
        <f t="shared" si="195"/>
        <v>20</v>
      </c>
      <c r="F549" s="9">
        <f t="shared" si="196"/>
        <v>0.70833333333333337</v>
      </c>
      <c r="G549">
        <v>8</v>
      </c>
      <c r="H549">
        <v>21</v>
      </c>
      <c r="I549">
        <v>20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51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21</v>
      </c>
      <c r="AK549" t="s">
        <v>1</v>
      </c>
      <c r="AL549" t="s">
        <v>372</v>
      </c>
      <c r="AP549">
        <v>17</v>
      </c>
      <c r="AQ549" s="1">
        <f t="shared" si="212"/>
        <v>100</v>
      </c>
      <c r="AR549" s="1">
        <f t="shared" si="197"/>
        <v>0</v>
      </c>
      <c r="AS549" s="1">
        <f t="shared" si="198"/>
        <v>0.08</v>
      </c>
      <c r="AT549" s="1">
        <f t="shared" si="199"/>
        <v>0.21</v>
      </c>
      <c r="AU549" s="1">
        <f t="shared" si="200"/>
        <v>0.51</v>
      </c>
      <c r="AV549" s="1">
        <f t="shared" si="213"/>
        <v>0.21</v>
      </c>
      <c r="AX549" s="1">
        <f t="shared" si="214"/>
        <v>1.7586206896551726</v>
      </c>
      <c r="AY549" s="1">
        <f t="shared" si="201"/>
        <v>0</v>
      </c>
      <c r="AZ549" s="1">
        <f t="shared" si="202"/>
        <v>0.60991379310344829</v>
      </c>
      <c r="BA549" s="1">
        <f t="shared" si="203"/>
        <v>0.93965517241379315</v>
      </c>
      <c r="BB549" s="1">
        <f t="shared" si="204"/>
        <v>0</v>
      </c>
      <c r="BC549" s="1">
        <f t="shared" si="205"/>
        <v>0</v>
      </c>
      <c r="BD549" s="1">
        <f t="shared" si="215"/>
        <v>0.21</v>
      </c>
      <c r="BF549">
        <f t="shared" si="206"/>
        <v>53</v>
      </c>
      <c r="BG549">
        <f t="shared" si="207"/>
        <v>10</v>
      </c>
      <c r="BH549" s="1">
        <f t="shared" si="208"/>
        <v>0.96226415094339623</v>
      </c>
      <c r="BI549" s="1">
        <f t="shared" si="209"/>
        <v>0.18867924528301888</v>
      </c>
      <c r="BJ549" s="1">
        <f t="shared" si="216"/>
        <v>0.48773584905660378</v>
      </c>
      <c r="BK549" s="1">
        <f t="shared" si="217"/>
        <v>0.18867924528301888</v>
      </c>
      <c r="BL549" s="22">
        <f t="shared" si="218"/>
        <v>0.18867924528301888</v>
      </c>
      <c r="BM549" s="1">
        <f t="shared" si="210"/>
        <v>4.5457458170167231E-4</v>
      </c>
      <c r="BN549" s="1">
        <f t="shared" si="211"/>
        <v>3.9061935204581816E-2</v>
      </c>
    </row>
    <row r="550" spans="1:66" x14ac:dyDescent="0.25">
      <c r="A550" s="3"/>
      <c r="B550" s="3"/>
      <c r="C550" t="s">
        <v>150</v>
      </c>
      <c r="D550" s="5">
        <v>1</v>
      </c>
      <c r="E550" s="9">
        <f t="shared" si="195"/>
        <v>20</v>
      </c>
      <c r="F550" s="9">
        <f t="shared" si="196"/>
        <v>0.70833333333333337</v>
      </c>
      <c r="G550">
        <v>8</v>
      </c>
      <c r="H550">
        <v>21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20</v>
      </c>
      <c r="P550">
        <v>0</v>
      </c>
      <c r="Q550">
        <v>51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45</v>
      </c>
      <c r="AK550" t="s">
        <v>1</v>
      </c>
      <c r="AL550" t="s">
        <v>372</v>
      </c>
      <c r="AP550">
        <v>40</v>
      </c>
      <c r="AQ550" s="1">
        <f t="shared" si="212"/>
        <v>100</v>
      </c>
      <c r="AR550" s="1">
        <f t="shared" si="197"/>
        <v>0.2</v>
      </c>
      <c r="AS550" s="1">
        <f t="shared" si="198"/>
        <v>0.08</v>
      </c>
      <c r="AT550" s="1">
        <f t="shared" si="199"/>
        <v>0.21</v>
      </c>
      <c r="AU550" s="1">
        <f t="shared" si="200"/>
        <v>0.51</v>
      </c>
      <c r="AV550" s="1">
        <f t="shared" si="213"/>
        <v>0.45</v>
      </c>
      <c r="AX550" s="1">
        <f t="shared" si="214"/>
        <v>1.7586206896551726</v>
      </c>
      <c r="AY550" s="1">
        <f t="shared" si="201"/>
        <v>0.68965517241379315</v>
      </c>
      <c r="AZ550" s="1">
        <f t="shared" si="202"/>
        <v>0.60991379310344829</v>
      </c>
      <c r="BA550" s="1">
        <f t="shared" si="203"/>
        <v>0.93965517241379315</v>
      </c>
      <c r="BB550" s="1">
        <f t="shared" si="204"/>
        <v>0.60991379310344829</v>
      </c>
      <c r="BC550" s="1">
        <f t="shared" si="205"/>
        <v>0.60991379310344829</v>
      </c>
      <c r="BD550" s="1">
        <f t="shared" si="215"/>
        <v>0.15991379310344828</v>
      </c>
      <c r="BF550">
        <f t="shared" si="206"/>
        <v>53</v>
      </c>
      <c r="BG550">
        <f t="shared" si="207"/>
        <v>20</v>
      </c>
      <c r="BH550" s="1">
        <f t="shared" si="208"/>
        <v>0.96226415094339623</v>
      </c>
      <c r="BI550" s="1">
        <f t="shared" si="209"/>
        <v>0.37735849056603776</v>
      </c>
      <c r="BJ550" s="1">
        <f t="shared" si="216"/>
        <v>0.48773584905660378</v>
      </c>
      <c r="BK550" s="1">
        <f t="shared" si="217"/>
        <v>0.37735849056603776</v>
      </c>
      <c r="BL550" s="22">
        <f t="shared" si="218"/>
        <v>0.37735849056603776</v>
      </c>
      <c r="BM550" s="1">
        <f t="shared" si="210"/>
        <v>5.2767888928444261E-3</v>
      </c>
      <c r="BN550" s="1">
        <f t="shared" si="211"/>
        <v>1.7942912413440124E-3</v>
      </c>
    </row>
    <row r="551" spans="1:66" x14ac:dyDescent="0.25">
      <c r="A551" s="3"/>
      <c r="B551" s="3"/>
      <c r="C551" t="s">
        <v>306</v>
      </c>
      <c r="D551" s="5">
        <v>1</v>
      </c>
      <c r="E551" s="9">
        <f t="shared" si="195"/>
        <v>40</v>
      </c>
      <c r="F551" s="9">
        <f t="shared" si="196"/>
        <v>0.5</v>
      </c>
      <c r="G551">
        <v>0</v>
      </c>
      <c r="H551">
        <v>30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30</v>
      </c>
      <c r="R551">
        <v>0</v>
      </c>
      <c r="S551">
        <v>0</v>
      </c>
      <c r="T551">
        <v>0</v>
      </c>
      <c r="U551">
        <v>0</v>
      </c>
      <c r="V551">
        <v>40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55</v>
      </c>
      <c r="AK551" t="s">
        <v>1</v>
      </c>
      <c r="AL551" t="s">
        <v>372</v>
      </c>
      <c r="AN551" t="s">
        <v>373</v>
      </c>
      <c r="AO551" t="s">
        <v>378</v>
      </c>
      <c r="AQ551" s="1">
        <f t="shared" si="212"/>
        <v>100</v>
      </c>
      <c r="AR551" s="1">
        <f t="shared" si="197"/>
        <v>0</v>
      </c>
      <c r="AS551" s="1">
        <f t="shared" si="198"/>
        <v>0</v>
      </c>
      <c r="AT551" s="1">
        <f t="shared" si="199"/>
        <v>0.3</v>
      </c>
      <c r="AU551" s="1">
        <f t="shared" si="200"/>
        <v>0.3</v>
      </c>
      <c r="AV551" s="1">
        <f t="shared" si="213"/>
        <v>0.55000000000000004</v>
      </c>
      <c r="AX551" s="1">
        <f t="shared" si="214"/>
        <v>1</v>
      </c>
      <c r="AY551" s="1">
        <f t="shared" si="201"/>
        <v>0</v>
      </c>
      <c r="AZ551" s="1">
        <f t="shared" si="202"/>
        <v>0.5625</v>
      </c>
      <c r="BA551" s="1">
        <f t="shared" si="203"/>
        <v>0.75</v>
      </c>
      <c r="BB551" s="1">
        <f t="shared" si="204"/>
        <v>0</v>
      </c>
      <c r="BC551" s="1">
        <f t="shared" si="205"/>
        <v>0</v>
      </c>
      <c r="BD551" s="1">
        <f t="shared" si="215"/>
        <v>0.55000000000000004</v>
      </c>
      <c r="BF551">
        <f t="shared" si="206"/>
        <v>30</v>
      </c>
      <c r="BG551">
        <f t="shared" si="207"/>
        <v>20</v>
      </c>
      <c r="BH551" s="1">
        <f t="shared" si="208"/>
        <v>1</v>
      </c>
      <c r="BI551" s="1">
        <f t="shared" si="209"/>
        <v>0.66666666666666663</v>
      </c>
      <c r="BJ551" s="1">
        <f t="shared" si="216"/>
        <v>0.49</v>
      </c>
      <c r="BK551" s="1">
        <f t="shared" si="217"/>
        <v>0.48251626657491664</v>
      </c>
      <c r="BL551" s="22">
        <f t="shared" si="218"/>
        <v>0.48251626657491664</v>
      </c>
      <c r="BM551" s="1">
        <f t="shared" si="210"/>
        <v>4.5540542769877193E-3</v>
      </c>
      <c r="BN551" s="1">
        <f t="shared" si="211"/>
        <v>2.0266106256661608E-2</v>
      </c>
    </row>
    <row r="552" spans="1:66" x14ac:dyDescent="0.25">
      <c r="A552" s="3"/>
      <c r="B552" s="3"/>
      <c r="C552" t="s">
        <v>307</v>
      </c>
      <c r="D552" s="5">
        <v>1</v>
      </c>
      <c r="E552" s="9">
        <f t="shared" si="195"/>
        <v>28</v>
      </c>
      <c r="F552" s="9">
        <f t="shared" si="196"/>
        <v>0.33333333333333331</v>
      </c>
      <c r="G552">
        <v>0</v>
      </c>
      <c r="H552">
        <v>48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24</v>
      </c>
      <c r="R552">
        <v>0</v>
      </c>
      <c r="S552">
        <v>0</v>
      </c>
      <c r="T552">
        <v>0</v>
      </c>
      <c r="U552">
        <v>0</v>
      </c>
      <c r="V552">
        <v>28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52</v>
      </c>
      <c r="AK552" t="s">
        <v>1</v>
      </c>
      <c r="AL552" t="s">
        <v>372</v>
      </c>
      <c r="AQ552" s="1">
        <f t="shared" si="212"/>
        <v>100</v>
      </c>
      <c r="AR552" s="1">
        <f t="shared" si="197"/>
        <v>0</v>
      </c>
      <c r="AS552" s="1">
        <f t="shared" si="198"/>
        <v>0</v>
      </c>
      <c r="AT552" s="1">
        <f t="shared" si="199"/>
        <v>0.48</v>
      </c>
      <c r="AU552" s="1">
        <f t="shared" si="200"/>
        <v>0.24</v>
      </c>
      <c r="AV552" s="1">
        <f t="shared" si="213"/>
        <v>0.52</v>
      </c>
      <c r="AX552" s="1">
        <f t="shared" si="214"/>
        <v>0.5</v>
      </c>
      <c r="AY552" s="1">
        <f t="shared" si="201"/>
        <v>0</v>
      </c>
      <c r="AZ552" s="1">
        <f t="shared" si="202"/>
        <v>0.53125</v>
      </c>
      <c r="BA552" s="1">
        <f t="shared" si="203"/>
        <v>0.625</v>
      </c>
      <c r="BB552" s="1">
        <f t="shared" si="204"/>
        <v>0</v>
      </c>
      <c r="BC552" s="1">
        <f t="shared" si="205"/>
        <v>0</v>
      </c>
      <c r="BD552" s="1">
        <f t="shared" si="215"/>
        <v>0.52</v>
      </c>
      <c r="BF552">
        <f t="shared" si="206"/>
        <v>48</v>
      </c>
      <c r="BG552">
        <f t="shared" si="207"/>
        <v>14</v>
      </c>
      <c r="BH552" s="1">
        <f t="shared" si="208"/>
        <v>0.5</v>
      </c>
      <c r="BI552" s="1">
        <f t="shared" si="209"/>
        <v>0.29166666666666669</v>
      </c>
      <c r="BJ552" s="1">
        <f t="shared" si="216"/>
        <v>0.45999999999999996</v>
      </c>
      <c r="BK552" s="1">
        <f t="shared" si="217"/>
        <v>0.29166666666666669</v>
      </c>
      <c r="BL552" s="22">
        <f t="shared" si="218"/>
        <v>0.29166666666666669</v>
      </c>
      <c r="BM552" s="1">
        <f t="shared" si="210"/>
        <v>5.2136111111111112E-2</v>
      </c>
      <c r="BN552" s="1">
        <f t="shared" si="211"/>
        <v>1.2624561752066324E-2</v>
      </c>
    </row>
    <row r="553" spans="1:66" x14ac:dyDescent="0.25">
      <c r="A553" s="3"/>
      <c r="B553" s="3"/>
      <c r="C553" t="s">
        <v>308</v>
      </c>
      <c r="D553" s="5">
        <v>1</v>
      </c>
      <c r="E553" s="9">
        <f t="shared" si="195"/>
        <v>24</v>
      </c>
      <c r="F553" s="9">
        <f t="shared" si="196"/>
        <v>0.31578947368421051</v>
      </c>
      <c r="G553">
        <v>0</v>
      </c>
      <c r="H553">
        <v>52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24</v>
      </c>
      <c r="R553">
        <v>0</v>
      </c>
      <c r="S553">
        <v>0</v>
      </c>
      <c r="T553">
        <v>0</v>
      </c>
      <c r="U553">
        <v>0</v>
      </c>
      <c r="V553">
        <v>24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48</v>
      </c>
      <c r="AK553" t="s">
        <v>1</v>
      </c>
      <c r="AL553" t="s">
        <v>372</v>
      </c>
      <c r="AQ553" s="1">
        <f t="shared" si="212"/>
        <v>100</v>
      </c>
      <c r="AR553" s="1">
        <f t="shared" si="197"/>
        <v>0</v>
      </c>
      <c r="AS553" s="1">
        <f t="shared" si="198"/>
        <v>0</v>
      </c>
      <c r="AT553" s="1">
        <f t="shared" si="199"/>
        <v>0.52</v>
      </c>
      <c r="AU553" s="1">
        <f t="shared" si="200"/>
        <v>0.24</v>
      </c>
      <c r="AV553" s="1">
        <f t="shared" si="213"/>
        <v>0.48</v>
      </c>
      <c r="AX553" s="1">
        <f t="shared" si="214"/>
        <v>0.46153846153846151</v>
      </c>
      <c r="AY553" s="1">
        <f t="shared" si="201"/>
        <v>0</v>
      </c>
      <c r="AZ553" s="1">
        <f t="shared" si="202"/>
        <v>0.52884615384615385</v>
      </c>
      <c r="BA553" s="1">
        <f t="shared" si="203"/>
        <v>0.61538461538461542</v>
      </c>
      <c r="BB553" s="1">
        <f t="shared" si="204"/>
        <v>0</v>
      </c>
      <c r="BC553" s="1">
        <f t="shared" si="205"/>
        <v>0</v>
      </c>
      <c r="BD553" s="1">
        <f t="shared" si="215"/>
        <v>0.48</v>
      </c>
      <c r="BF553">
        <f t="shared" si="206"/>
        <v>52</v>
      </c>
      <c r="BG553">
        <f t="shared" si="207"/>
        <v>12</v>
      </c>
      <c r="BH553" s="1">
        <f t="shared" si="208"/>
        <v>0.46153846153846156</v>
      </c>
      <c r="BI553" s="1">
        <f t="shared" si="209"/>
        <v>0.23076923076923078</v>
      </c>
      <c r="BJ553" s="1">
        <f t="shared" si="216"/>
        <v>0.45769230769230768</v>
      </c>
      <c r="BK553" s="1">
        <f t="shared" si="217"/>
        <v>0.23076923076923078</v>
      </c>
      <c r="BL553" s="22">
        <f t="shared" si="218"/>
        <v>0.23076923076923078</v>
      </c>
      <c r="BM553" s="1">
        <f t="shared" si="210"/>
        <v>6.2115976331360928E-2</v>
      </c>
      <c r="BN553" s="1">
        <f t="shared" si="211"/>
        <v>5.2358357459392837E-3</v>
      </c>
    </row>
    <row r="554" spans="1:66" x14ac:dyDescent="0.25">
      <c r="A554" s="3"/>
      <c r="B554" s="3"/>
      <c r="D554" s="5">
        <v>1</v>
      </c>
      <c r="E554" s="9">
        <f t="shared" si="195"/>
        <v>16</v>
      </c>
      <c r="F554" s="9">
        <f t="shared" si="196"/>
        <v>0.88095238095238093</v>
      </c>
      <c r="G554">
        <v>0</v>
      </c>
      <c r="H554">
        <v>10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16</v>
      </c>
      <c r="P554">
        <v>0</v>
      </c>
      <c r="Q554">
        <v>74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88.8</v>
      </c>
      <c r="AK554" t="s">
        <v>1</v>
      </c>
      <c r="AL554" t="s">
        <v>374</v>
      </c>
      <c r="AO554" t="s">
        <v>399</v>
      </c>
      <c r="AP554" t="s">
        <v>818</v>
      </c>
      <c r="AQ554" s="1">
        <f t="shared" si="212"/>
        <v>100</v>
      </c>
      <c r="AR554" s="1">
        <f t="shared" si="197"/>
        <v>0.16</v>
      </c>
      <c r="AS554" s="1">
        <f t="shared" si="198"/>
        <v>0</v>
      </c>
      <c r="AT554" s="1">
        <f t="shared" si="199"/>
        <v>0.1</v>
      </c>
      <c r="AU554" s="1">
        <f t="shared" si="200"/>
        <v>0.74</v>
      </c>
      <c r="AV554" s="1">
        <f t="shared" si="213"/>
        <v>0.88800000000000001</v>
      </c>
      <c r="AX554" s="1">
        <f t="shared" si="214"/>
        <v>7.3999999999999995</v>
      </c>
      <c r="AY554" s="1">
        <f t="shared" si="201"/>
        <v>1.5999999999999999</v>
      </c>
      <c r="AZ554" s="1">
        <f t="shared" si="202"/>
        <v>0.96249999999999991</v>
      </c>
      <c r="BA554" s="1">
        <f t="shared" si="203"/>
        <v>2.3499999999999996</v>
      </c>
      <c r="BB554" s="1">
        <f t="shared" si="204"/>
        <v>0.96249999999999991</v>
      </c>
      <c r="BC554" s="1">
        <f t="shared" si="205"/>
        <v>0.96249999999999991</v>
      </c>
      <c r="BD554" s="1">
        <f t="shared" si="215"/>
        <v>7.44999999999999E-2</v>
      </c>
      <c r="BF554">
        <f t="shared" si="206"/>
        <v>10</v>
      </c>
      <c r="BG554">
        <f t="shared" si="207"/>
        <v>16</v>
      </c>
      <c r="BH554" s="1">
        <f t="shared" si="208"/>
        <v>7.4</v>
      </c>
      <c r="BI554" s="1">
        <f t="shared" si="209"/>
        <v>1.6</v>
      </c>
      <c r="BJ554" s="1">
        <f t="shared" si="216"/>
        <v>0.874</v>
      </c>
      <c r="BK554" s="1">
        <f t="shared" si="217"/>
        <v>0.96042578028452652</v>
      </c>
      <c r="BL554" s="22">
        <f t="shared" si="218"/>
        <v>0.96042578028452652</v>
      </c>
      <c r="BM554" s="1">
        <f t="shared" si="210"/>
        <v>5.2454936498225087E-3</v>
      </c>
      <c r="BN554" s="1">
        <f t="shared" si="211"/>
        <v>0.23074484100843504</v>
      </c>
    </row>
    <row r="555" spans="1:66" x14ac:dyDescent="0.25">
      <c r="A555" s="3"/>
      <c r="B555" s="3"/>
      <c r="C555" t="s">
        <v>309</v>
      </c>
      <c r="D555" s="5">
        <v>1</v>
      </c>
      <c r="E555" s="9">
        <f t="shared" si="195"/>
        <v>15</v>
      </c>
      <c r="F555" s="9">
        <f t="shared" si="196"/>
        <v>0.94117647058823528</v>
      </c>
      <c r="G555">
        <v>0</v>
      </c>
      <c r="H555">
        <v>5</v>
      </c>
      <c r="I555">
        <v>0</v>
      </c>
      <c r="J555">
        <v>0</v>
      </c>
      <c r="K555">
        <v>0</v>
      </c>
      <c r="L555">
        <v>15</v>
      </c>
      <c r="M555">
        <v>0</v>
      </c>
      <c r="N555">
        <v>0</v>
      </c>
      <c r="O555">
        <v>0</v>
      </c>
      <c r="P555">
        <v>0</v>
      </c>
      <c r="Q555">
        <v>80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100</v>
      </c>
      <c r="AK555" t="s">
        <v>1</v>
      </c>
      <c r="AL555" t="s">
        <v>374</v>
      </c>
      <c r="AO555" t="s">
        <v>378</v>
      </c>
      <c r="AQ555" s="1">
        <f t="shared" si="212"/>
        <v>100</v>
      </c>
      <c r="AR555" s="1">
        <f t="shared" si="197"/>
        <v>0.15</v>
      </c>
      <c r="AS555" s="1">
        <f t="shared" si="198"/>
        <v>0</v>
      </c>
      <c r="AT555" s="1">
        <f t="shared" si="199"/>
        <v>0.05</v>
      </c>
      <c r="AU555" s="1">
        <f t="shared" si="200"/>
        <v>0.8</v>
      </c>
      <c r="AV555" s="1">
        <f t="shared" si="213"/>
        <v>1</v>
      </c>
      <c r="AX555" s="1">
        <f t="shared" si="214"/>
        <v>16</v>
      </c>
      <c r="AY555" s="1">
        <f t="shared" si="201"/>
        <v>2.9999999999999996</v>
      </c>
      <c r="AZ555" s="1">
        <f t="shared" si="202"/>
        <v>1.5</v>
      </c>
      <c r="BA555" s="1">
        <f t="shared" si="203"/>
        <v>4.5</v>
      </c>
      <c r="BB555" s="1">
        <f t="shared" si="204"/>
        <v>1.5</v>
      </c>
      <c r="BC555" s="1">
        <f t="shared" si="205"/>
        <v>1</v>
      </c>
      <c r="BD555" s="1">
        <f t="shared" si="215"/>
        <v>0</v>
      </c>
      <c r="BF555">
        <f t="shared" si="206"/>
        <v>5</v>
      </c>
      <c r="BG555">
        <f t="shared" si="207"/>
        <v>15</v>
      </c>
      <c r="BH555" s="1">
        <f t="shared" si="208"/>
        <v>16</v>
      </c>
      <c r="BI555" s="1">
        <f t="shared" si="209"/>
        <v>3</v>
      </c>
      <c r="BJ555" s="1">
        <f t="shared" si="216"/>
        <v>1.39</v>
      </c>
      <c r="BK555" s="1">
        <f t="shared" si="217"/>
        <v>1.6261036610145718</v>
      </c>
      <c r="BL555" s="22">
        <f t="shared" si="218"/>
        <v>1</v>
      </c>
      <c r="BM555" s="1">
        <f t="shared" si="210"/>
        <v>0</v>
      </c>
      <c r="BN555" s="1">
        <f t="shared" si="211"/>
        <v>0.35088927382559071</v>
      </c>
    </row>
    <row r="556" spans="1:66" x14ac:dyDescent="0.25">
      <c r="A556" s="3"/>
      <c r="B556" s="3"/>
      <c r="C556" t="s">
        <v>310</v>
      </c>
      <c r="D556" s="5">
        <v>1</v>
      </c>
      <c r="E556" s="9">
        <f t="shared" si="195"/>
        <v>14.87</v>
      </c>
      <c r="F556" s="9">
        <f t="shared" si="196"/>
        <v>0.9317193559760254</v>
      </c>
      <c r="G556">
        <v>0</v>
      </c>
      <c r="H556">
        <v>4.96</v>
      </c>
      <c r="I556">
        <v>0</v>
      </c>
      <c r="J556">
        <v>0</v>
      </c>
      <c r="K556">
        <v>0</v>
      </c>
      <c r="L556">
        <v>14.87</v>
      </c>
      <c r="M556">
        <v>0</v>
      </c>
      <c r="N556">
        <v>0</v>
      </c>
      <c r="O556">
        <v>0</v>
      </c>
      <c r="P556">
        <v>0.85</v>
      </c>
      <c r="Q556">
        <v>79.28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100</v>
      </c>
      <c r="AK556" t="s">
        <v>1</v>
      </c>
      <c r="AL556" t="s">
        <v>372</v>
      </c>
      <c r="AQ556" s="1">
        <f t="shared" si="212"/>
        <v>99.960000000000008</v>
      </c>
      <c r="AR556" s="1">
        <f t="shared" si="197"/>
        <v>0.1487</v>
      </c>
      <c r="AS556" s="1">
        <f t="shared" si="198"/>
        <v>0</v>
      </c>
      <c r="AT556" s="1">
        <f t="shared" si="199"/>
        <v>4.9599999999999998E-2</v>
      </c>
      <c r="AU556" s="1">
        <f t="shared" si="200"/>
        <v>0.79280000000000006</v>
      </c>
      <c r="AV556" s="1">
        <f t="shared" si="213"/>
        <v>1</v>
      </c>
      <c r="AX556" s="1">
        <f t="shared" si="214"/>
        <v>15.983870967741938</v>
      </c>
      <c r="AY556" s="1">
        <f t="shared" si="201"/>
        <v>2.997983870967742</v>
      </c>
      <c r="AZ556" s="1">
        <f t="shared" si="202"/>
        <v>1.498991935483871</v>
      </c>
      <c r="BA556" s="1">
        <f t="shared" si="203"/>
        <v>4.495967741935484</v>
      </c>
      <c r="BB556" s="1">
        <f t="shared" si="204"/>
        <v>1.498991935483871</v>
      </c>
      <c r="BC556" s="1">
        <f t="shared" si="205"/>
        <v>1</v>
      </c>
      <c r="BD556" s="1">
        <f t="shared" si="215"/>
        <v>0</v>
      </c>
      <c r="BF556">
        <f t="shared" si="206"/>
        <v>5.81</v>
      </c>
      <c r="BG556">
        <f t="shared" si="207"/>
        <v>14.87</v>
      </c>
      <c r="BH556" s="1">
        <f t="shared" si="208"/>
        <v>13.645438898450948</v>
      </c>
      <c r="BI556" s="1">
        <f t="shared" si="209"/>
        <v>2.5593803786574871</v>
      </c>
      <c r="BJ556" s="1">
        <f t="shared" si="216"/>
        <v>1.2487263339070569</v>
      </c>
      <c r="BK556" s="1">
        <f t="shared" si="217"/>
        <v>1.4351971472183944</v>
      </c>
      <c r="BL556" s="22">
        <f t="shared" si="218"/>
        <v>1</v>
      </c>
      <c r="BM556" s="1">
        <f t="shared" si="210"/>
        <v>0</v>
      </c>
      <c r="BN556" s="1">
        <f t="shared" si="211"/>
        <v>0.35088927382559071</v>
      </c>
    </row>
    <row r="557" spans="1:66" x14ac:dyDescent="0.25">
      <c r="A557" s="3"/>
      <c r="B557" s="3"/>
      <c r="C557" t="s">
        <v>311</v>
      </c>
      <c r="D557" s="5">
        <v>1</v>
      </c>
      <c r="E557" s="9">
        <f t="shared" si="195"/>
        <v>14.75</v>
      </c>
      <c r="F557" s="9">
        <f t="shared" si="196"/>
        <v>0.92235514895613413</v>
      </c>
      <c r="G557">
        <v>0</v>
      </c>
      <c r="H557">
        <v>4.92</v>
      </c>
      <c r="I557">
        <v>0</v>
      </c>
      <c r="J557">
        <v>0</v>
      </c>
      <c r="K557">
        <v>0</v>
      </c>
      <c r="L557">
        <v>14.75</v>
      </c>
      <c r="M557">
        <v>0</v>
      </c>
      <c r="N557">
        <v>0</v>
      </c>
      <c r="O557">
        <v>0</v>
      </c>
      <c r="P557">
        <v>1.7</v>
      </c>
      <c r="Q557">
        <v>78.64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100</v>
      </c>
      <c r="AK557" t="s">
        <v>1</v>
      </c>
      <c r="AL557" t="s">
        <v>374</v>
      </c>
      <c r="AQ557" s="1">
        <f t="shared" si="212"/>
        <v>100.01</v>
      </c>
      <c r="AR557" s="1">
        <f t="shared" si="197"/>
        <v>0.14749999999999999</v>
      </c>
      <c r="AS557" s="1">
        <f t="shared" si="198"/>
        <v>0</v>
      </c>
      <c r="AT557" s="1">
        <f t="shared" si="199"/>
        <v>4.9200000000000001E-2</v>
      </c>
      <c r="AU557" s="1">
        <f t="shared" si="200"/>
        <v>0.78639999999999999</v>
      </c>
      <c r="AV557" s="1">
        <f t="shared" si="213"/>
        <v>1</v>
      </c>
      <c r="AX557" s="1">
        <f t="shared" si="214"/>
        <v>15.983739837398373</v>
      </c>
      <c r="AY557" s="1">
        <f t="shared" si="201"/>
        <v>2.9979674796747964</v>
      </c>
      <c r="AZ557" s="1">
        <f t="shared" si="202"/>
        <v>1.4989837398373984</v>
      </c>
      <c r="BA557" s="1">
        <f t="shared" si="203"/>
        <v>4.4959349593495936</v>
      </c>
      <c r="BB557" s="1">
        <f t="shared" si="204"/>
        <v>1.4989837398373984</v>
      </c>
      <c r="BC557" s="1">
        <f t="shared" si="205"/>
        <v>1</v>
      </c>
      <c r="BD557" s="1">
        <f t="shared" si="215"/>
        <v>0</v>
      </c>
      <c r="BF557">
        <f t="shared" si="206"/>
        <v>6.62</v>
      </c>
      <c r="BG557">
        <f t="shared" si="207"/>
        <v>14.75</v>
      </c>
      <c r="BH557" s="1">
        <f t="shared" si="208"/>
        <v>11.879154078549849</v>
      </c>
      <c r="BI557" s="1">
        <f t="shared" si="209"/>
        <v>2.2280966767371599</v>
      </c>
      <c r="BJ557" s="1">
        <f t="shared" si="216"/>
        <v>1.142749244712991</v>
      </c>
      <c r="BK557" s="1">
        <f t="shared" si="217"/>
        <v>1.2913902633085441</v>
      </c>
      <c r="BL557" s="22">
        <f t="shared" si="218"/>
        <v>1</v>
      </c>
      <c r="BM557" s="1">
        <f t="shared" si="210"/>
        <v>0</v>
      </c>
      <c r="BN557" s="1">
        <f t="shared" si="211"/>
        <v>0.35088927382559071</v>
      </c>
    </row>
    <row r="558" spans="1:66" x14ac:dyDescent="0.25">
      <c r="A558" s="3"/>
      <c r="B558" s="3"/>
      <c r="C558" t="s">
        <v>312</v>
      </c>
      <c r="D558" s="5">
        <v>1</v>
      </c>
      <c r="E558" s="9">
        <f t="shared" si="195"/>
        <v>10</v>
      </c>
      <c r="F558" s="9">
        <f t="shared" si="196"/>
        <v>0.88888888888888884</v>
      </c>
      <c r="G558">
        <v>0</v>
      </c>
      <c r="H558">
        <v>10</v>
      </c>
      <c r="I558">
        <v>0</v>
      </c>
      <c r="J558">
        <v>0</v>
      </c>
      <c r="K558">
        <v>0</v>
      </c>
      <c r="L558">
        <v>10</v>
      </c>
      <c r="M558">
        <v>0</v>
      </c>
      <c r="N558">
        <v>0</v>
      </c>
      <c r="O558">
        <v>0</v>
      </c>
      <c r="P558">
        <v>0</v>
      </c>
      <c r="Q558">
        <v>80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91</v>
      </c>
      <c r="AK558" t="s">
        <v>1</v>
      </c>
      <c r="AL558" t="s">
        <v>374</v>
      </c>
      <c r="AQ558" s="1">
        <f t="shared" si="212"/>
        <v>100</v>
      </c>
      <c r="AR558" s="1">
        <f t="shared" si="197"/>
        <v>0.1</v>
      </c>
      <c r="AS558" s="1">
        <f t="shared" si="198"/>
        <v>0</v>
      </c>
      <c r="AT558" s="1">
        <f t="shared" si="199"/>
        <v>0.1</v>
      </c>
      <c r="AU558" s="1">
        <f t="shared" si="200"/>
        <v>0.8</v>
      </c>
      <c r="AV558" s="1">
        <f t="shared" si="213"/>
        <v>0.91</v>
      </c>
      <c r="AX558" s="1">
        <f t="shared" si="214"/>
        <v>8</v>
      </c>
      <c r="AY558" s="1">
        <f t="shared" si="201"/>
        <v>1</v>
      </c>
      <c r="AZ558" s="1">
        <f t="shared" si="202"/>
        <v>1</v>
      </c>
      <c r="BA558" s="1">
        <f t="shared" si="203"/>
        <v>2.5</v>
      </c>
      <c r="BB558" s="1">
        <f t="shared" si="204"/>
        <v>1</v>
      </c>
      <c r="BC558" s="1">
        <f t="shared" si="205"/>
        <v>1</v>
      </c>
      <c r="BD558" s="1">
        <f t="shared" si="215"/>
        <v>8.9999999999999969E-2</v>
      </c>
      <c r="BF558">
        <f t="shared" si="206"/>
        <v>10</v>
      </c>
      <c r="BG558">
        <f t="shared" si="207"/>
        <v>10</v>
      </c>
      <c r="BH558" s="1">
        <f t="shared" si="208"/>
        <v>8</v>
      </c>
      <c r="BI558" s="1">
        <f t="shared" si="209"/>
        <v>1</v>
      </c>
      <c r="BJ558" s="1">
        <f t="shared" si="216"/>
        <v>0.90999999999999992</v>
      </c>
      <c r="BK558" s="1">
        <f t="shared" si="217"/>
        <v>0.83208795975285499</v>
      </c>
      <c r="BL558" s="22">
        <f t="shared" si="218"/>
        <v>0.83208795975285499</v>
      </c>
      <c r="BM558" s="1">
        <f t="shared" si="210"/>
        <v>6.0702860154727492E-3</v>
      </c>
      <c r="BN558" s="1">
        <f t="shared" si="211"/>
        <v>0.25236464031180494</v>
      </c>
    </row>
    <row r="559" spans="1:66" x14ac:dyDescent="0.25">
      <c r="A559" s="3"/>
      <c r="B559" s="3"/>
      <c r="C559" t="s">
        <v>313</v>
      </c>
      <c r="D559" s="5">
        <v>1</v>
      </c>
      <c r="E559" s="9">
        <f t="shared" si="195"/>
        <v>9.83</v>
      </c>
      <c r="F559" s="9">
        <f t="shared" si="196"/>
        <v>0.87213042031717869</v>
      </c>
      <c r="G559">
        <v>0</v>
      </c>
      <c r="H559">
        <v>9.83</v>
      </c>
      <c r="I559">
        <v>0</v>
      </c>
      <c r="J559">
        <v>0</v>
      </c>
      <c r="K559">
        <v>0</v>
      </c>
      <c r="L559">
        <v>9.83</v>
      </c>
      <c r="M559">
        <v>0</v>
      </c>
      <c r="N559">
        <v>0</v>
      </c>
      <c r="O559">
        <v>0</v>
      </c>
      <c r="P559">
        <v>1.7</v>
      </c>
      <c r="Q559">
        <v>78.64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83</v>
      </c>
      <c r="AK559" t="s">
        <v>1</v>
      </c>
      <c r="AL559" t="s">
        <v>374</v>
      </c>
      <c r="AQ559" s="1">
        <f t="shared" si="212"/>
        <v>100</v>
      </c>
      <c r="AR559" s="1">
        <f t="shared" si="197"/>
        <v>9.8299999999999998E-2</v>
      </c>
      <c r="AS559" s="1">
        <f t="shared" si="198"/>
        <v>0</v>
      </c>
      <c r="AT559" s="1">
        <f t="shared" si="199"/>
        <v>9.8299999999999998E-2</v>
      </c>
      <c r="AU559" s="1">
        <f t="shared" si="200"/>
        <v>0.78639999999999999</v>
      </c>
      <c r="AV559" s="1">
        <f t="shared" si="213"/>
        <v>0.83</v>
      </c>
      <c r="AX559" s="1">
        <f t="shared" si="214"/>
        <v>8</v>
      </c>
      <c r="AY559" s="1">
        <f t="shared" si="201"/>
        <v>1</v>
      </c>
      <c r="AZ559" s="1">
        <f t="shared" si="202"/>
        <v>1</v>
      </c>
      <c r="BA559" s="1">
        <f t="shared" si="203"/>
        <v>2.5</v>
      </c>
      <c r="BB559" s="1">
        <f t="shared" si="204"/>
        <v>1</v>
      </c>
      <c r="BC559" s="1">
        <f t="shared" si="205"/>
        <v>1</v>
      </c>
      <c r="BD559" s="1">
        <f t="shared" si="215"/>
        <v>0.17000000000000004</v>
      </c>
      <c r="BF559">
        <f t="shared" si="206"/>
        <v>11.53</v>
      </c>
      <c r="BG559">
        <f t="shared" si="207"/>
        <v>9.83</v>
      </c>
      <c r="BH559" s="1">
        <f t="shared" si="208"/>
        <v>6.8204683434518651</v>
      </c>
      <c r="BI559" s="1">
        <f t="shared" si="209"/>
        <v>0.85255854293148314</v>
      </c>
      <c r="BJ559" s="1">
        <f t="shared" si="216"/>
        <v>0.83922810060711184</v>
      </c>
      <c r="BK559" s="1">
        <f t="shared" si="217"/>
        <v>0.74808940667742274</v>
      </c>
      <c r="BL559" s="22">
        <f t="shared" si="218"/>
        <v>0.74808940667742274</v>
      </c>
      <c r="BM559" s="1">
        <f t="shared" si="210"/>
        <v>6.709345298456632E-3</v>
      </c>
      <c r="BN559" s="1">
        <f t="shared" si="211"/>
        <v>0.1783871882995508</v>
      </c>
    </row>
    <row r="560" spans="1:66" x14ac:dyDescent="0.25">
      <c r="A560" s="3"/>
      <c r="B560" s="3"/>
      <c r="C560" t="s">
        <v>314</v>
      </c>
      <c r="D560" s="5">
        <v>1</v>
      </c>
      <c r="E560" s="9">
        <f t="shared" si="195"/>
        <v>9.6999999999999993</v>
      </c>
      <c r="F560" s="9">
        <f t="shared" si="196"/>
        <v>0.8593576965669989</v>
      </c>
      <c r="G560">
        <v>0</v>
      </c>
      <c r="H560">
        <v>9.6999999999999993</v>
      </c>
      <c r="I560">
        <v>0</v>
      </c>
      <c r="J560">
        <v>0</v>
      </c>
      <c r="K560">
        <v>0</v>
      </c>
      <c r="L560">
        <v>9.6999999999999993</v>
      </c>
      <c r="M560">
        <v>0</v>
      </c>
      <c r="N560">
        <v>0</v>
      </c>
      <c r="O560">
        <v>0</v>
      </c>
      <c r="P560">
        <v>3</v>
      </c>
      <c r="Q560">
        <v>77.599999999999994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76</v>
      </c>
      <c r="AK560" t="s">
        <v>1</v>
      </c>
      <c r="AL560" t="s">
        <v>372</v>
      </c>
      <c r="AQ560" s="1">
        <f t="shared" si="212"/>
        <v>100</v>
      </c>
      <c r="AR560" s="1">
        <f t="shared" si="197"/>
        <v>9.6999999999999989E-2</v>
      </c>
      <c r="AS560" s="1">
        <f t="shared" si="198"/>
        <v>0</v>
      </c>
      <c r="AT560" s="1">
        <f t="shared" si="199"/>
        <v>9.6999999999999989E-2</v>
      </c>
      <c r="AU560" s="1">
        <f t="shared" si="200"/>
        <v>0.77599999999999991</v>
      </c>
      <c r="AV560" s="1">
        <f t="shared" si="213"/>
        <v>0.76</v>
      </c>
      <c r="AX560" s="1">
        <f t="shared" si="214"/>
        <v>8</v>
      </c>
      <c r="AY560" s="1">
        <f t="shared" si="201"/>
        <v>1</v>
      </c>
      <c r="AZ560" s="1">
        <f t="shared" si="202"/>
        <v>1</v>
      </c>
      <c r="BA560" s="1">
        <f t="shared" si="203"/>
        <v>2.5</v>
      </c>
      <c r="BB560" s="1">
        <f t="shared" si="204"/>
        <v>1</v>
      </c>
      <c r="BC560" s="1">
        <f t="shared" si="205"/>
        <v>1</v>
      </c>
      <c r="BD560" s="1">
        <f t="shared" si="215"/>
        <v>0.24</v>
      </c>
      <c r="BF560">
        <f t="shared" si="206"/>
        <v>12.7</v>
      </c>
      <c r="BG560">
        <f t="shared" si="207"/>
        <v>9.6999999999999993</v>
      </c>
      <c r="BH560" s="1">
        <f t="shared" si="208"/>
        <v>6.1102362204724407</v>
      </c>
      <c r="BI560" s="1">
        <f t="shared" si="209"/>
        <v>0.76377952755905509</v>
      </c>
      <c r="BJ560" s="1">
        <f t="shared" si="216"/>
        <v>0.79661417322834649</v>
      </c>
      <c r="BK560" s="1">
        <f t="shared" si="217"/>
        <v>0.76377952755905509</v>
      </c>
      <c r="BL560" s="22">
        <f t="shared" si="218"/>
        <v>0.76377952755905509</v>
      </c>
      <c r="BM560" s="1">
        <f t="shared" si="210"/>
        <v>1.4284828569656887E-5</v>
      </c>
      <c r="BN560" s="1">
        <f t="shared" si="211"/>
        <v>0.12415691778882852</v>
      </c>
    </row>
    <row r="561" spans="1:66" x14ac:dyDescent="0.25">
      <c r="A561" s="3"/>
      <c r="B561" s="3"/>
      <c r="C561" t="s">
        <v>315</v>
      </c>
      <c r="D561" s="5">
        <v>1</v>
      </c>
      <c r="E561" s="9">
        <f t="shared" si="195"/>
        <v>7</v>
      </c>
      <c r="F561" s="9">
        <f t="shared" si="196"/>
        <v>0.86021505376344087</v>
      </c>
      <c r="G561">
        <v>0</v>
      </c>
      <c r="H561">
        <v>13</v>
      </c>
      <c r="I561">
        <v>0</v>
      </c>
      <c r="J561">
        <v>0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0</v>
      </c>
      <c r="Q561">
        <v>80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57</v>
      </c>
      <c r="AK561" t="s">
        <v>1</v>
      </c>
      <c r="AL561" t="s">
        <v>374</v>
      </c>
      <c r="AQ561" s="1">
        <f t="shared" si="212"/>
        <v>100</v>
      </c>
      <c r="AR561" s="1">
        <f t="shared" si="197"/>
        <v>7.0000000000000007E-2</v>
      </c>
      <c r="AS561" s="1">
        <f t="shared" si="198"/>
        <v>0</v>
      </c>
      <c r="AT561" s="1">
        <f t="shared" si="199"/>
        <v>0.13</v>
      </c>
      <c r="AU561" s="1">
        <f t="shared" si="200"/>
        <v>0.8</v>
      </c>
      <c r="AV561" s="1">
        <f t="shared" si="213"/>
        <v>0.56999999999999995</v>
      </c>
      <c r="AX561" s="1">
        <f t="shared" si="214"/>
        <v>6.1538461538461542</v>
      </c>
      <c r="AY561" s="1">
        <f t="shared" si="201"/>
        <v>0.53846153846153855</v>
      </c>
      <c r="AZ561" s="1">
        <f t="shared" si="202"/>
        <v>0.88461538461538458</v>
      </c>
      <c r="BA561" s="1">
        <f t="shared" si="203"/>
        <v>2.0384615384615383</v>
      </c>
      <c r="BB561" s="1">
        <f t="shared" si="204"/>
        <v>0.53846153846153855</v>
      </c>
      <c r="BC561" s="1">
        <f t="shared" si="205"/>
        <v>0.53846153846153855</v>
      </c>
      <c r="BD561" s="1">
        <f t="shared" si="215"/>
        <v>3.1538461538461404E-2</v>
      </c>
      <c r="BF561">
        <f t="shared" si="206"/>
        <v>13</v>
      </c>
      <c r="BG561">
        <f t="shared" si="207"/>
        <v>7</v>
      </c>
      <c r="BH561" s="1">
        <f t="shared" si="208"/>
        <v>6.1538461538461542</v>
      </c>
      <c r="BI561" s="1">
        <f t="shared" si="209"/>
        <v>0.53846153846153844</v>
      </c>
      <c r="BJ561" s="1">
        <f t="shared" si="216"/>
        <v>0.79923076923076919</v>
      </c>
      <c r="BK561" s="1">
        <f t="shared" si="217"/>
        <v>0.53846153846153844</v>
      </c>
      <c r="BL561" s="22">
        <f t="shared" si="218"/>
        <v>0.53846153846153844</v>
      </c>
      <c r="BM561" s="1">
        <f t="shared" si="210"/>
        <v>9.9467455621301626E-4</v>
      </c>
      <c r="BN561" s="1">
        <f t="shared" si="211"/>
        <v>2.6360469259725097E-2</v>
      </c>
    </row>
    <row r="562" spans="1:66" x14ac:dyDescent="0.25">
      <c r="A562" s="3"/>
      <c r="B562" s="3"/>
      <c r="C562" t="s">
        <v>316</v>
      </c>
      <c r="D562" s="5">
        <v>1</v>
      </c>
      <c r="E562" s="9">
        <f t="shared" ref="E562:E570" si="219">I562+L562+M562+N562+O562+V562+X562+AB562+AD562</f>
        <v>6.88</v>
      </c>
      <c r="F562" s="9">
        <f t="shared" ref="F562:F570" si="220">Q562/(H562+P562+Q562+AC562)</f>
        <v>0.84450171821305842</v>
      </c>
      <c r="G562">
        <v>0</v>
      </c>
      <c r="H562">
        <v>12.78</v>
      </c>
      <c r="I562">
        <v>0</v>
      </c>
      <c r="J562">
        <v>0</v>
      </c>
      <c r="K562">
        <v>0</v>
      </c>
      <c r="L562">
        <v>6.88</v>
      </c>
      <c r="M562">
        <v>0</v>
      </c>
      <c r="N562">
        <v>0</v>
      </c>
      <c r="O562">
        <v>0</v>
      </c>
      <c r="P562">
        <v>1.7</v>
      </c>
      <c r="Q562">
        <v>78.64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52</v>
      </c>
      <c r="AK562" t="s">
        <v>1</v>
      </c>
      <c r="AL562" t="s">
        <v>374</v>
      </c>
      <c r="AQ562" s="1">
        <f t="shared" si="212"/>
        <v>100</v>
      </c>
      <c r="AR562" s="1">
        <f t="shared" si="197"/>
        <v>6.88E-2</v>
      </c>
      <c r="AS562" s="1">
        <f t="shared" si="198"/>
        <v>0</v>
      </c>
      <c r="AT562" s="1">
        <f t="shared" si="199"/>
        <v>0.1278</v>
      </c>
      <c r="AU562" s="1">
        <f t="shared" si="200"/>
        <v>0.78639999999999999</v>
      </c>
      <c r="AV562" s="1">
        <f t="shared" si="213"/>
        <v>0.52</v>
      </c>
      <c r="AX562" s="1">
        <f t="shared" si="214"/>
        <v>6.1533646322378717</v>
      </c>
      <c r="AY562" s="1">
        <f t="shared" si="201"/>
        <v>0.53834115805946792</v>
      </c>
      <c r="AZ562" s="1">
        <f t="shared" si="202"/>
        <v>0.88458528951486692</v>
      </c>
      <c r="BA562" s="1">
        <f t="shared" si="203"/>
        <v>2.0383411580594677</v>
      </c>
      <c r="BB562" s="1">
        <f t="shared" si="204"/>
        <v>0.53834115805946792</v>
      </c>
      <c r="BC562" s="1">
        <f t="shared" si="205"/>
        <v>0.53834115805946792</v>
      </c>
      <c r="BD562" s="1">
        <f t="shared" si="215"/>
        <v>1.8341158059467899E-2</v>
      </c>
      <c r="BF562">
        <f t="shared" si="206"/>
        <v>14.479999999999999</v>
      </c>
      <c r="BG562">
        <f t="shared" si="207"/>
        <v>6.88</v>
      </c>
      <c r="BH562" s="1">
        <f t="shared" si="208"/>
        <v>5.4309392265193379</v>
      </c>
      <c r="BI562" s="1">
        <f t="shared" si="209"/>
        <v>0.47513812154696139</v>
      </c>
      <c r="BJ562" s="1">
        <f t="shared" si="216"/>
        <v>0.75585635359116021</v>
      </c>
      <c r="BK562" s="1">
        <f t="shared" si="217"/>
        <v>0.47513812154696139</v>
      </c>
      <c r="BL562" s="22">
        <f t="shared" si="218"/>
        <v>0.47513812154696139</v>
      </c>
      <c r="BM562" s="1">
        <f t="shared" si="210"/>
        <v>2.0125881383352114E-3</v>
      </c>
      <c r="BN562" s="1">
        <f t="shared" si="211"/>
        <v>1.2624561752066324E-2</v>
      </c>
    </row>
    <row r="563" spans="1:66" x14ac:dyDescent="0.25">
      <c r="A563" s="3"/>
      <c r="B563" s="3"/>
      <c r="C563" t="s">
        <v>317</v>
      </c>
      <c r="D563" s="5">
        <v>1</v>
      </c>
      <c r="E563" s="9">
        <f t="shared" si="219"/>
        <v>6.79</v>
      </c>
      <c r="F563" s="9">
        <f t="shared" si="220"/>
        <v>0.83252869863748524</v>
      </c>
      <c r="G563">
        <v>0</v>
      </c>
      <c r="H563">
        <v>12.61</v>
      </c>
      <c r="I563">
        <v>0</v>
      </c>
      <c r="J563">
        <v>0</v>
      </c>
      <c r="K563">
        <v>0</v>
      </c>
      <c r="L563">
        <v>6.79</v>
      </c>
      <c r="M563">
        <v>0</v>
      </c>
      <c r="N563">
        <v>0</v>
      </c>
      <c r="O563">
        <v>0</v>
      </c>
      <c r="P563">
        <v>3</v>
      </c>
      <c r="Q563">
        <v>77.599999999999994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28</v>
      </c>
      <c r="AK563" t="s">
        <v>1</v>
      </c>
      <c r="AL563" t="s">
        <v>372</v>
      </c>
      <c r="AQ563" s="1">
        <f t="shared" si="212"/>
        <v>100</v>
      </c>
      <c r="AR563" s="1">
        <f t="shared" si="197"/>
        <v>6.7900000000000002E-2</v>
      </c>
      <c r="AS563" s="1">
        <f t="shared" si="198"/>
        <v>0</v>
      </c>
      <c r="AT563" s="1">
        <f t="shared" si="199"/>
        <v>0.12609999999999999</v>
      </c>
      <c r="AU563" s="1">
        <f t="shared" si="200"/>
        <v>0.77599999999999991</v>
      </c>
      <c r="AV563" s="1">
        <f t="shared" si="213"/>
        <v>0.28000000000000003</v>
      </c>
      <c r="AX563" s="1">
        <f t="shared" si="214"/>
        <v>6.1538461538461533</v>
      </c>
      <c r="AY563" s="1">
        <f t="shared" si="201"/>
        <v>0.53846153846153855</v>
      </c>
      <c r="AZ563" s="1">
        <f t="shared" si="202"/>
        <v>0.88461538461538458</v>
      </c>
      <c r="BA563" s="1">
        <f t="shared" si="203"/>
        <v>2.0384615384615383</v>
      </c>
      <c r="BB563" s="1">
        <f t="shared" si="204"/>
        <v>0.53846153846153855</v>
      </c>
      <c r="BC563" s="1">
        <f t="shared" si="205"/>
        <v>0.53846153846153855</v>
      </c>
      <c r="BD563" s="1">
        <f t="shared" si="215"/>
        <v>0.25846153846153852</v>
      </c>
      <c r="BF563">
        <f t="shared" si="206"/>
        <v>15.61</v>
      </c>
      <c r="BG563">
        <f t="shared" si="207"/>
        <v>6.79</v>
      </c>
      <c r="BH563" s="1">
        <f t="shared" si="208"/>
        <v>4.9711723254324145</v>
      </c>
      <c r="BI563" s="1">
        <f t="shared" si="209"/>
        <v>0.43497757847533636</v>
      </c>
      <c r="BJ563" s="1">
        <f t="shared" si="216"/>
        <v>0.72827033952594489</v>
      </c>
      <c r="BK563" s="1">
        <f t="shared" si="217"/>
        <v>0.43497757847533636</v>
      </c>
      <c r="BL563" s="22">
        <f t="shared" si="218"/>
        <v>0.43497757847533636</v>
      </c>
      <c r="BM563" s="1">
        <f t="shared" si="210"/>
        <v>2.4018049830079029E-2</v>
      </c>
      <c r="BN563" s="1">
        <f t="shared" si="211"/>
        <v>1.6292205715304115E-2</v>
      </c>
    </row>
    <row r="564" spans="1:66" x14ac:dyDescent="0.25">
      <c r="A564" s="3"/>
      <c r="B564" s="3"/>
      <c r="C564" t="s">
        <v>597</v>
      </c>
      <c r="D564" s="5">
        <v>1</v>
      </c>
      <c r="E564" s="9">
        <f t="shared" si="219"/>
        <v>0</v>
      </c>
      <c r="F564" s="9">
        <f t="shared" si="220"/>
        <v>0</v>
      </c>
      <c r="G564">
        <v>0</v>
      </c>
      <c r="H564">
        <v>100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 t="s">
        <v>1</v>
      </c>
      <c r="AL564" t="s">
        <v>372</v>
      </c>
      <c r="AN564" t="s">
        <v>373</v>
      </c>
      <c r="AO564" t="s">
        <v>378</v>
      </c>
      <c r="AP564" t="s">
        <v>817</v>
      </c>
      <c r="AQ564" s="1">
        <f t="shared" si="212"/>
        <v>100</v>
      </c>
      <c r="AR564" s="1">
        <f t="shared" si="197"/>
        <v>0</v>
      </c>
      <c r="AS564" s="1">
        <f t="shared" si="198"/>
        <v>0</v>
      </c>
      <c r="AT564" s="1">
        <f t="shared" si="199"/>
        <v>1</v>
      </c>
      <c r="AU564" s="1">
        <f t="shared" si="200"/>
        <v>0</v>
      </c>
      <c r="AV564" s="1">
        <f t="shared" si="213"/>
        <v>0</v>
      </c>
      <c r="AX564" s="1">
        <f t="shared" si="214"/>
        <v>0</v>
      </c>
      <c r="AY564" s="1">
        <f t="shared" si="201"/>
        <v>0</v>
      </c>
      <c r="AZ564" s="1">
        <f t="shared" si="202"/>
        <v>0.5</v>
      </c>
      <c r="BA564" s="1">
        <f t="shared" si="203"/>
        <v>0.5</v>
      </c>
      <c r="BB564" s="1">
        <f t="shared" si="204"/>
        <v>0</v>
      </c>
      <c r="BC564" s="1">
        <f t="shared" si="205"/>
        <v>0</v>
      </c>
      <c r="BD564" s="1">
        <f t="shared" si="215"/>
        <v>0</v>
      </c>
      <c r="BF564">
        <f t="shared" si="206"/>
        <v>100</v>
      </c>
      <c r="BG564">
        <f t="shared" si="207"/>
        <v>0</v>
      </c>
      <c r="BH564" s="1">
        <f t="shared" si="208"/>
        <v>0</v>
      </c>
      <c r="BI564" s="1">
        <f t="shared" si="209"/>
        <v>0</v>
      </c>
      <c r="BJ564" s="1">
        <f t="shared" si="216"/>
        <v>0.43</v>
      </c>
      <c r="BK564" s="1">
        <f t="shared" si="217"/>
        <v>0</v>
      </c>
      <c r="BL564" s="22">
        <f t="shared" si="218"/>
        <v>0</v>
      </c>
      <c r="BM564" s="1">
        <f t="shared" si="210"/>
        <v>0</v>
      </c>
      <c r="BN564" s="1">
        <f t="shared" si="211"/>
        <v>0.16617112367241488</v>
      </c>
    </row>
    <row r="565" spans="1:66" x14ac:dyDescent="0.25">
      <c r="A565" s="3"/>
      <c r="B565" s="3"/>
      <c r="C565" t="s">
        <v>598</v>
      </c>
      <c r="D565" s="5">
        <v>1</v>
      </c>
      <c r="E565" s="9">
        <f t="shared" si="219"/>
        <v>8</v>
      </c>
      <c r="F565" s="9">
        <f t="shared" si="220"/>
        <v>0</v>
      </c>
      <c r="G565">
        <v>0</v>
      </c>
      <c r="H565">
        <v>92</v>
      </c>
      <c r="I565">
        <v>0</v>
      </c>
      <c r="J565">
        <v>0</v>
      </c>
      <c r="K565">
        <v>0</v>
      </c>
      <c r="L565">
        <v>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4</v>
      </c>
      <c r="AK565" t="s">
        <v>1</v>
      </c>
      <c r="AL565" t="s">
        <v>372</v>
      </c>
      <c r="AQ565" s="1">
        <f t="shared" si="212"/>
        <v>100</v>
      </c>
      <c r="AR565" s="1">
        <f t="shared" si="197"/>
        <v>0.08</v>
      </c>
      <c r="AS565" s="1">
        <f t="shared" si="198"/>
        <v>0</v>
      </c>
      <c r="AT565" s="1">
        <f t="shared" si="199"/>
        <v>0.92</v>
      </c>
      <c r="AU565" s="1">
        <f t="shared" si="200"/>
        <v>0</v>
      </c>
      <c r="AV565" s="1">
        <f t="shared" si="213"/>
        <v>0.04</v>
      </c>
      <c r="AX565" s="1">
        <f t="shared" si="214"/>
        <v>0</v>
      </c>
      <c r="AY565" s="1">
        <f t="shared" si="201"/>
        <v>8.6956521739130432E-2</v>
      </c>
      <c r="AZ565" s="1">
        <f t="shared" si="202"/>
        <v>0.5</v>
      </c>
      <c r="BA565" s="1">
        <f t="shared" si="203"/>
        <v>0.5</v>
      </c>
      <c r="BB565" s="1">
        <f t="shared" si="204"/>
        <v>8.6956521739130432E-2</v>
      </c>
      <c r="BC565" s="1">
        <f t="shared" si="205"/>
        <v>8.6956521739130432E-2</v>
      </c>
      <c r="BD565" s="1">
        <f t="shared" si="215"/>
        <v>4.6956521739130432E-2</v>
      </c>
      <c r="BF565">
        <f t="shared" si="206"/>
        <v>92</v>
      </c>
      <c r="BG565">
        <f t="shared" si="207"/>
        <v>8</v>
      </c>
      <c r="BH565" s="1">
        <f t="shared" si="208"/>
        <v>0</v>
      </c>
      <c r="BI565" s="1">
        <f t="shared" si="209"/>
        <v>8.6956521739130432E-2</v>
      </c>
      <c r="BJ565" s="1">
        <f t="shared" si="216"/>
        <v>0.43</v>
      </c>
      <c r="BK565" s="1">
        <f t="shared" si="217"/>
        <v>8.6956521739130432E-2</v>
      </c>
      <c r="BL565" s="22">
        <f t="shared" si="218"/>
        <v>8.6956521739130432E-2</v>
      </c>
      <c r="BM565" s="1">
        <f t="shared" si="210"/>
        <v>2.2049149338374289E-3</v>
      </c>
      <c r="BN565" s="1">
        <f t="shared" si="211"/>
        <v>0.13515984967854194</v>
      </c>
    </row>
    <row r="566" spans="1:66" x14ac:dyDescent="0.25">
      <c r="A566" s="3"/>
      <c r="B566" s="3"/>
      <c r="C566" t="s">
        <v>599</v>
      </c>
      <c r="D566" s="5">
        <v>1</v>
      </c>
      <c r="E566" s="9">
        <f t="shared" si="219"/>
        <v>13</v>
      </c>
      <c r="F566" s="9">
        <f t="shared" si="220"/>
        <v>0</v>
      </c>
      <c r="G566">
        <v>0</v>
      </c>
      <c r="H566">
        <v>87</v>
      </c>
      <c r="I566">
        <v>0</v>
      </c>
      <c r="J566">
        <v>0</v>
      </c>
      <c r="K566">
        <v>0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11</v>
      </c>
      <c r="AK566" t="s">
        <v>1</v>
      </c>
      <c r="AL566" t="s">
        <v>372</v>
      </c>
      <c r="AQ566" s="1">
        <f t="shared" si="212"/>
        <v>100</v>
      </c>
      <c r="AR566" s="1">
        <f t="shared" si="197"/>
        <v>0.13</v>
      </c>
      <c r="AS566" s="1">
        <f t="shared" si="198"/>
        <v>0</v>
      </c>
      <c r="AT566" s="1">
        <f t="shared" si="199"/>
        <v>0.87</v>
      </c>
      <c r="AU566" s="1">
        <f t="shared" si="200"/>
        <v>0</v>
      </c>
      <c r="AV566" s="1">
        <f t="shared" si="213"/>
        <v>0.11</v>
      </c>
      <c r="AX566" s="1">
        <f t="shared" si="214"/>
        <v>0</v>
      </c>
      <c r="AY566" s="1">
        <f t="shared" si="201"/>
        <v>0.14942528735632185</v>
      </c>
      <c r="AZ566" s="1">
        <f t="shared" si="202"/>
        <v>0.5</v>
      </c>
      <c r="BA566" s="1">
        <f t="shared" si="203"/>
        <v>0.5</v>
      </c>
      <c r="BB566" s="1">
        <f t="shared" si="204"/>
        <v>0.14942528735632185</v>
      </c>
      <c r="BC566" s="1">
        <f t="shared" si="205"/>
        <v>0.14942528735632185</v>
      </c>
      <c r="BD566" s="1">
        <f t="shared" si="215"/>
        <v>3.942528735632185E-2</v>
      </c>
      <c r="BF566">
        <f t="shared" si="206"/>
        <v>87</v>
      </c>
      <c r="BG566">
        <f t="shared" si="207"/>
        <v>13</v>
      </c>
      <c r="BH566" s="1">
        <f t="shared" si="208"/>
        <v>0</v>
      </c>
      <c r="BI566" s="1">
        <f t="shared" si="209"/>
        <v>0.14942528735632185</v>
      </c>
      <c r="BJ566" s="1">
        <f t="shared" si="216"/>
        <v>0.43</v>
      </c>
      <c r="BK566" s="1">
        <f t="shared" si="217"/>
        <v>0.14942528735632185</v>
      </c>
      <c r="BL566" s="22">
        <f t="shared" si="218"/>
        <v>0.14942528735632185</v>
      </c>
      <c r="BM566" s="1">
        <f t="shared" si="210"/>
        <v>1.5543532831285515E-3</v>
      </c>
      <c r="BN566" s="1">
        <f t="shared" si="211"/>
        <v>8.8590120189264238E-2</v>
      </c>
    </row>
    <row r="567" spans="1:66" x14ac:dyDescent="0.25">
      <c r="A567" s="3"/>
      <c r="B567" s="3"/>
      <c r="C567" t="s">
        <v>600</v>
      </c>
      <c r="D567" s="5">
        <v>1</v>
      </c>
      <c r="E567" s="9">
        <f t="shared" si="219"/>
        <v>18</v>
      </c>
      <c r="F567" s="9">
        <f t="shared" si="220"/>
        <v>0</v>
      </c>
      <c r="G567">
        <v>0</v>
      </c>
      <c r="H567">
        <v>82</v>
      </c>
      <c r="I567">
        <v>0</v>
      </c>
      <c r="J567">
        <v>0</v>
      </c>
      <c r="K567">
        <v>0</v>
      </c>
      <c r="L567">
        <v>18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15</v>
      </c>
      <c r="AK567" t="s">
        <v>1</v>
      </c>
      <c r="AL567" t="s">
        <v>372</v>
      </c>
      <c r="AQ567" s="1">
        <f t="shared" si="212"/>
        <v>100</v>
      </c>
      <c r="AR567" s="1">
        <f t="shared" si="197"/>
        <v>0.18</v>
      </c>
      <c r="AS567" s="1">
        <f t="shared" si="198"/>
        <v>0</v>
      </c>
      <c r="AT567" s="1">
        <f t="shared" si="199"/>
        <v>0.82</v>
      </c>
      <c r="AU567" s="1">
        <f t="shared" si="200"/>
        <v>0</v>
      </c>
      <c r="AV567" s="1">
        <f t="shared" si="213"/>
        <v>0.15</v>
      </c>
      <c r="AX567" s="1">
        <f t="shared" si="214"/>
        <v>0</v>
      </c>
      <c r="AY567" s="1">
        <f t="shared" si="201"/>
        <v>0.21951219512195122</v>
      </c>
      <c r="AZ567" s="1">
        <f t="shared" si="202"/>
        <v>0.5</v>
      </c>
      <c r="BA567" s="1">
        <f t="shared" si="203"/>
        <v>0.5</v>
      </c>
      <c r="BB567" s="1">
        <f t="shared" si="204"/>
        <v>0.21951219512195122</v>
      </c>
      <c r="BC567" s="1">
        <f t="shared" si="205"/>
        <v>0.21951219512195122</v>
      </c>
      <c r="BD567" s="1">
        <f t="shared" si="215"/>
        <v>6.9512195121951226E-2</v>
      </c>
      <c r="BF567">
        <f t="shared" si="206"/>
        <v>82</v>
      </c>
      <c r="BG567">
        <f t="shared" si="207"/>
        <v>18</v>
      </c>
      <c r="BH567" s="1">
        <f t="shared" si="208"/>
        <v>0</v>
      </c>
      <c r="BI567" s="1">
        <f t="shared" si="209"/>
        <v>0.21951219512195122</v>
      </c>
      <c r="BJ567" s="1">
        <f t="shared" si="216"/>
        <v>0.43</v>
      </c>
      <c r="BK567" s="1">
        <f t="shared" si="217"/>
        <v>0.21951219512195122</v>
      </c>
      <c r="BL567" s="22">
        <f t="shared" si="218"/>
        <v>0.21951219512195122</v>
      </c>
      <c r="BM567" s="1">
        <f t="shared" si="210"/>
        <v>4.8319452706722197E-3</v>
      </c>
      <c r="BN567" s="1">
        <f t="shared" si="211"/>
        <v>6.637884619539125E-2</v>
      </c>
    </row>
    <row r="568" spans="1:66" x14ac:dyDescent="0.25">
      <c r="A568" s="3"/>
      <c r="B568" s="3"/>
      <c r="C568" t="s">
        <v>601</v>
      </c>
      <c r="D568" s="5">
        <v>1</v>
      </c>
      <c r="E568" s="9">
        <f t="shared" si="219"/>
        <v>23</v>
      </c>
      <c r="F568" s="9">
        <f t="shared" si="220"/>
        <v>0</v>
      </c>
      <c r="G568">
        <v>0</v>
      </c>
      <c r="H568">
        <v>77</v>
      </c>
      <c r="I568">
        <v>0</v>
      </c>
      <c r="J568">
        <v>0</v>
      </c>
      <c r="K568">
        <v>0</v>
      </c>
      <c r="L568">
        <v>23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22</v>
      </c>
      <c r="AK568" t="s">
        <v>1</v>
      </c>
      <c r="AL568" t="s">
        <v>372</v>
      </c>
      <c r="AQ568" s="1">
        <f t="shared" si="212"/>
        <v>100</v>
      </c>
      <c r="AR568" s="1">
        <f t="shared" si="197"/>
        <v>0.23</v>
      </c>
      <c r="AS568" s="1">
        <f t="shared" si="198"/>
        <v>0</v>
      </c>
      <c r="AT568" s="1">
        <f t="shared" si="199"/>
        <v>0.77</v>
      </c>
      <c r="AU568" s="1">
        <f t="shared" si="200"/>
        <v>0</v>
      </c>
      <c r="AV568" s="1">
        <f t="shared" si="213"/>
        <v>0.22</v>
      </c>
      <c r="AX568" s="1">
        <f t="shared" si="214"/>
        <v>0</v>
      </c>
      <c r="AY568" s="1">
        <f t="shared" si="201"/>
        <v>0.29870129870129869</v>
      </c>
      <c r="AZ568" s="1">
        <f t="shared" si="202"/>
        <v>0.5</v>
      </c>
      <c r="BA568" s="1">
        <f t="shared" si="203"/>
        <v>0.5</v>
      </c>
      <c r="BB568" s="1">
        <f t="shared" si="204"/>
        <v>0.29870129870129869</v>
      </c>
      <c r="BC568" s="1">
        <f t="shared" si="205"/>
        <v>0.29870129870129869</v>
      </c>
      <c r="BD568" s="1">
        <f t="shared" si="215"/>
        <v>7.8701298701298689E-2</v>
      </c>
      <c r="BF568">
        <f t="shared" si="206"/>
        <v>77</v>
      </c>
      <c r="BG568">
        <f t="shared" si="207"/>
        <v>23</v>
      </c>
      <c r="BH568" s="1">
        <f t="shared" si="208"/>
        <v>0</v>
      </c>
      <c r="BI568" s="1">
        <f t="shared" si="209"/>
        <v>0.29870129870129869</v>
      </c>
      <c r="BJ568" s="1">
        <f t="shared" si="216"/>
        <v>0.43</v>
      </c>
      <c r="BK568" s="1">
        <f t="shared" si="217"/>
        <v>0.29870129870129869</v>
      </c>
      <c r="BL568" s="22">
        <f t="shared" si="218"/>
        <v>0.29870129870129869</v>
      </c>
      <c r="BM568" s="1">
        <f t="shared" si="210"/>
        <v>6.193894417271039E-3</v>
      </c>
      <c r="BN568" s="1">
        <f t="shared" si="211"/>
        <v>3.5209116706113569E-2</v>
      </c>
    </row>
    <row r="569" spans="1:66" x14ac:dyDescent="0.25">
      <c r="A569" s="3"/>
      <c r="B569" s="3"/>
      <c r="C569" t="s">
        <v>602</v>
      </c>
      <c r="D569" s="5">
        <v>1</v>
      </c>
      <c r="E569" s="9">
        <f t="shared" si="219"/>
        <v>28</v>
      </c>
      <c r="F569" s="9">
        <f t="shared" si="220"/>
        <v>0</v>
      </c>
      <c r="G569">
        <v>0</v>
      </c>
      <c r="H569">
        <v>72</v>
      </c>
      <c r="I569">
        <v>0</v>
      </c>
      <c r="J569">
        <v>0</v>
      </c>
      <c r="K569">
        <v>0</v>
      </c>
      <c r="L569">
        <v>28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35</v>
      </c>
      <c r="AK569" t="s">
        <v>1</v>
      </c>
      <c r="AL569" t="s">
        <v>372</v>
      </c>
      <c r="AQ569" s="1">
        <f t="shared" si="212"/>
        <v>100</v>
      </c>
      <c r="AR569" s="1">
        <f t="shared" ref="AR569:AR632" si="221">(L569+M569+O569+X569)/100</f>
        <v>0.28000000000000003</v>
      </c>
      <c r="AS569" s="1">
        <f t="shared" ref="AS569:AS632" si="222">G569/100</f>
        <v>0</v>
      </c>
      <c r="AT569" s="1">
        <f t="shared" ref="AT569:AT632" si="223">H569/100</f>
        <v>0.72</v>
      </c>
      <c r="AU569" s="1">
        <f t="shared" ref="AU569:AU632" si="224">Q569/100</f>
        <v>0</v>
      </c>
      <c r="AV569" s="1">
        <f t="shared" si="213"/>
        <v>0.35</v>
      </c>
      <c r="AX569" s="1">
        <f t="shared" si="214"/>
        <v>0</v>
      </c>
      <c r="AY569" s="1">
        <f t="shared" ref="AY569:AY632" si="225">AR569/(AS569+AT569)</f>
        <v>0.38888888888888895</v>
      </c>
      <c r="AZ569" s="1">
        <f t="shared" ref="AZ569:AZ632" si="226">0.5+AX569/16</f>
        <v>0.5</v>
      </c>
      <c r="BA569" s="1">
        <f t="shared" ref="BA569:BA632" si="227">0.5+AX569/4</f>
        <v>0.5</v>
      </c>
      <c r="BB569" s="1">
        <f t="shared" ref="BB569:BB632" si="228">IF(AY569&lt;=AZ569,AY569,IF(AY569&lt;=BA569,AZ569,AZ569-(AY569-BA569)*(8+AX569)/(12*(2+AX569))))</f>
        <v>0.38888888888888895</v>
      </c>
      <c r="BC569" s="1">
        <f t="shared" ref="BC569:BC632" si="229">IF(BB569&lt;1,BB569,1)</f>
        <v>0.38888888888888895</v>
      </c>
      <c r="BD569" s="1">
        <f t="shared" si="215"/>
        <v>3.8888888888888973E-2</v>
      </c>
      <c r="BF569">
        <f t="shared" ref="BF569:BF632" si="230">$BQ$3*H569+$BQ$4*G569+$BQ$5*P569+$BQ$6*K569+$BQ$7*S569+$BQ$8*U569+$BQ$9*Y569+$BQ$10*J569+$BQ$11*AC569+$BQ$12*AG569+$BQ$13*AH569+$BQ$14*R569+$BQ$15*AE569</f>
        <v>72</v>
      </c>
      <c r="BG569">
        <f t="shared" ref="BG569:BG632" si="231">O569+$BQ$17*M569+$BQ$18*L569+$BQ$19*X569+$BQ$20*AD569+$BQ$21*I569+$BQ$22*N569+$BQ$23*AB569+$BQ$24*V569+$BQ$25*T569+$BQ$26*AA569+$BQ$28*Z569+$BQ$29*AF569+$BQ$30*W569+$BQ$27*AI569</f>
        <v>28</v>
      </c>
      <c r="BH569" s="1">
        <f t="shared" ref="BH569:BH632" si="232">(Q569)/BF569</f>
        <v>0</v>
      </c>
      <c r="BI569" s="1">
        <f t="shared" ref="BI569:BI632" si="233">BG569/BF569</f>
        <v>0.3888888888888889</v>
      </c>
      <c r="BJ569" s="1">
        <f t="shared" si="216"/>
        <v>0.43</v>
      </c>
      <c r="BK569" s="1">
        <f t="shared" si="217"/>
        <v>0.3888888888888889</v>
      </c>
      <c r="BL569" s="22">
        <f t="shared" si="218"/>
        <v>0.3888888888888889</v>
      </c>
      <c r="BM569" s="1">
        <f t="shared" ref="BM569:BM632" si="234">(BL569-AV569)^2</f>
        <v>1.5123456790123479E-3</v>
      </c>
      <c r="BN569" s="1">
        <f t="shared" si="211"/>
        <v>3.3224762260264311E-3</v>
      </c>
    </row>
    <row r="570" spans="1:66" x14ac:dyDescent="0.25">
      <c r="A570" s="3"/>
      <c r="B570" s="3"/>
      <c r="C570" t="s">
        <v>603</v>
      </c>
      <c r="D570" s="5">
        <v>1</v>
      </c>
      <c r="E570" s="9">
        <f t="shared" si="219"/>
        <v>33</v>
      </c>
      <c r="F570" s="9">
        <f t="shared" si="220"/>
        <v>0</v>
      </c>
      <c r="G570">
        <v>0</v>
      </c>
      <c r="H570">
        <v>67</v>
      </c>
      <c r="I570">
        <v>0</v>
      </c>
      <c r="J570">
        <v>0</v>
      </c>
      <c r="K570">
        <v>0</v>
      </c>
      <c r="L570">
        <v>33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40</v>
      </c>
      <c r="AK570" t="s">
        <v>1</v>
      </c>
      <c r="AL570" t="s">
        <v>372</v>
      </c>
      <c r="AQ570" s="1">
        <f t="shared" ref="AQ570:AQ633" si="235">SUM(G570:AI570)</f>
        <v>100</v>
      </c>
      <c r="AR570" s="1">
        <f t="shared" si="221"/>
        <v>0.33</v>
      </c>
      <c r="AS570" s="1">
        <f t="shared" si="222"/>
        <v>0</v>
      </c>
      <c r="AT570" s="1">
        <f t="shared" si="223"/>
        <v>0.67</v>
      </c>
      <c r="AU570" s="1">
        <f t="shared" si="224"/>
        <v>0</v>
      </c>
      <c r="AV570" s="1">
        <f t="shared" ref="AV570:AV633" si="236">AJ570/100</f>
        <v>0.4</v>
      </c>
      <c r="AX570" s="1">
        <f t="shared" ref="AX570:AX633" si="237">AU570/(AT570+AS570)</f>
        <v>0</v>
      </c>
      <c r="AY570" s="1">
        <f t="shared" si="225"/>
        <v>0.4925373134328358</v>
      </c>
      <c r="AZ570" s="1">
        <f t="shared" si="226"/>
        <v>0.5</v>
      </c>
      <c r="BA570" s="1">
        <f t="shared" si="227"/>
        <v>0.5</v>
      </c>
      <c r="BB570" s="1">
        <f t="shared" si="228"/>
        <v>0.4925373134328358</v>
      </c>
      <c r="BC570" s="1">
        <f t="shared" si="229"/>
        <v>0.4925373134328358</v>
      </c>
      <c r="BD570" s="1">
        <f t="shared" ref="BD570:BD633" si="238">ABS(BC570-AV570)</f>
        <v>9.2537313432835777E-2</v>
      </c>
      <c r="BF570">
        <f t="shared" si="230"/>
        <v>67</v>
      </c>
      <c r="BG570">
        <f t="shared" si="231"/>
        <v>33</v>
      </c>
      <c r="BH570" s="1">
        <f t="shared" si="232"/>
        <v>0</v>
      </c>
      <c r="BI570" s="1">
        <f t="shared" si="233"/>
        <v>0.4925373134328358</v>
      </c>
      <c r="BJ570" s="1">
        <f t="shared" ref="BJ570:BJ633" si="239">$BQ$32+BH570*$BQ$33</f>
        <v>0.43</v>
      </c>
      <c r="BK570" s="1">
        <f t="shared" ref="BK570:BK633" si="240">IF(BI570&lt;BJ570,BI570,$BQ$35*($BQ$36+BI570)*($BQ$37-BI570/($BQ$38+BH570)*$BQ$39)^5)</f>
        <v>0.40650719825244142</v>
      </c>
      <c r="BL570" s="22">
        <f t="shared" ref="BL570:BL633" si="241">IF(BK570&lt;1,IF(BK570&gt;0,BK570,0),1)</f>
        <v>0.40650719825244142</v>
      </c>
      <c r="BM570" s="1">
        <f t="shared" si="234"/>
        <v>4.2343629096576316E-5</v>
      </c>
      <c r="BN570" s="1">
        <f t="shared" si="211"/>
        <v>5.8383733685219634E-5</v>
      </c>
    </row>
    <row r="571" spans="1:66" x14ac:dyDescent="0.25">
      <c r="A571" s="3"/>
      <c r="B571" s="3"/>
      <c r="C571" t="s">
        <v>604</v>
      </c>
      <c r="D571" s="6">
        <v>1</v>
      </c>
      <c r="E571" s="1"/>
      <c r="F571" s="1"/>
      <c r="G571">
        <v>0</v>
      </c>
      <c r="H571">
        <v>62</v>
      </c>
      <c r="I571">
        <v>0</v>
      </c>
      <c r="J571">
        <v>0</v>
      </c>
      <c r="K571">
        <v>0</v>
      </c>
      <c r="L571">
        <v>38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40</v>
      </c>
      <c r="AK571" t="s">
        <v>1</v>
      </c>
      <c r="AL571" t="s">
        <v>372</v>
      </c>
      <c r="AQ571" s="1">
        <f t="shared" si="235"/>
        <v>100</v>
      </c>
      <c r="AR571" s="1">
        <f t="shared" si="221"/>
        <v>0.38</v>
      </c>
      <c r="AS571" s="1">
        <f t="shared" si="222"/>
        <v>0</v>
      </c>
      <c r="AT571" s="1">
        <f t="shared" si="223"/>
        <v>0.62</v>
      </c>
      <c r="AU571" s="1">
        <f t="shared" si="224"/>
        <v>0</v>
      </c>
      <c r="AV571" s="1">
        <f t="shared" si="236"/>
        <v>0.4</v>
      </c>
      <c r="AX571" s="1">
        <f t="shared" si="237"/>
        <v>0</v>
      </c>
      <c r="AY571" s="1">
        <f t="shared" si="225"/>
        <v>0.61290322580645162</v>
      </c>
      <c r="AZ571" s="1">
        <f t="shared" si="226"/>
        <v>0.5</v>
      </c>
      <c r="BA571" s="1">
        <f t="shared" si="227"/>
        <v>0.5</v>
      </c>
      <c r="BB571" s="1">
        <f t="shared" si="228"/>
        <v>0.46236559139784944</v>
      </c>
      <c r="BC571" s="1">
        <f t="shared" si="229"/>
        <v>0.46236559139784944</v>
      </c>
      <c r="BD571" s="1">
        <f t="shared" si="238"/>
        <v>6.2365591397849418E-2</v>
      </c>
      <c r="BF571">
        <f t="shared" si="230"/>
        <v>62</v>
      </c>
      <c r="BG571">
        <f t="shared" si="231"/>
        <v>38</v>
      </c>
      <c r="BH571" s="1">
        <f t="shared" si="232"/>
        <v>0</v>
      </c>
      <c r="BI571" s="1">
        <f t="shared" si="233"/>
        <v>0.61290322580645162</v>
      </c>
      <c r="BJ571" s="1">
        <f t="shared" si="239"/>
        <v>0.43</v>
      </c>
      <c r="BK571" s="1">
        <f t="shared" si="240"/>
        <v>0.40950917242650742</v>
      </c>
      <c r="BL571" s="22">
        <f t="shared" si="241"/>
        <v>0.40950917242650742</v>
      </c>
      <c r="BM571" s="1">
        <f t="shared" si="234"/>
        <v>9.0424360237048538E-5</v>
      </c>
      <c r="BN571" s="1">
        <f t="shared" si="211"/>
        <v>5.8383733685219634E-5</v>
      </c>
    </row>
    <row r="572" spans="1:66" x14ac:dyDescent="0.25">
      <c r="A572" s="3"/>
      <c r="B572" s="3"/>
      <c r="C572" t="s">
        <v>318</v>
      </c>
      <c r="D572" s="5">
        <v>1</v>
      </c>
      <c r="E572" s="9">
        <f t="shared" ref="E572:E594" si="242">I572+L572+M572+N572+O572+V572+X572+AB572+AD572</f>
        <v>44.43</v>
      </c>
      <c r="F572" s="9">
        <f t="shared" ref="F572:F594" si="243">Q572/(H572+P572+Q572+AC572)</f>
        <v>0.84793953572071257</v>
      </c>
      <c r="G572">
        <v>0</v>
      </c>
      <c r="H572">
        <v>6.73</v>
      </c>
      <c r="I572">
        <v>21.77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22.66</v>
      </c>
      <c r="P572">
        <v>1.72</v>
      </c>
      <c r="Q572">
        <v>47.12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48.5</v>
      </c>
      <c r="AK572" t="s">
        <v>1</v>
      </c>
      <c r="AL572" t="s">
        <v>374</v>
      </c>
      <c r="AM572" t="s">
        <v>400</v>
      </c>
      <c r="AO572" t="s">
        <v>378</v>
      </c>
      <c r="AQ572" s="1">
        <f t="shared" si="235"/>
        <v>100</v>
      </c>
      <c r="AR572" s="1">
        <f t="shared" si="221"/>
        <v>0.2266</v>
      </c>
      <c r="AS572" s="1">
        <f t="shared" si="222"/>
        <v>0</v>
      </c>
      <c r="AT572" s="1">
        <f t="shared" si="223"/>
        <v>6.7299999999999999E-2</v>
      </c>
      <c r="AU572" s="1">
        <f t="shared" si="224"/>
        <v>0.47119999999999995</v>
      </c>
      <c r="AV572" s="1">
        <f t="shared" si="236"/>
        <v>0.48499999999999999</v>
      </c>
      <c r="AX572" s="1">
        <f t="shared" si="237"/>
        <v>7.0014858841010392</v>
      </c>
      <c r="AY572" s="1">
        <f t="shared" si="225"/>
        <v>3.3670133729569094</v>
      </c>
      <c r="AZ572" s="1">
        <f t="shared" si="226"/>
        <v>0.93759286775631501</v>
      </c>
      <c r="BA572" s="1">
        <f t="shared" si="227"/>
        <v>2.25037147102526</v>
      </c>
      <c r="BB572" s="1">
        <f t="shared" si="228"/>
        <v>0.78251395499767717</v>
      </c>
      <c r="BC572" s="1">
        <f t="shared" si="229"/>
        <v>0.78251395499767717</v>
      </c>
      <c r="BD572" s="1">
        <f t="shared" si="238"/>
        <v>0.29751395499767719</v>
      </c>
      <c r="BF572">
        <f t="shared" si="230"/>
        <v>8.4500000000000011</v>
      </c>
      <c r="BG572">
        <f t="shared" si="231"/>
        <v>33.545000000000002</v>
      </c>
      <c r="BH572" s="1">
        <f t="shared" si="232"/>
        <v>5.5763313609467442</v>
      </c>
      <c r="BI572" s="1">
        <f t="shared" si="233"/>
        <v>3.9698224852071005</v>
      </c>
      <c r="BJ572" s="1">
        <f t="shared" si="239"/>
        <v>0.76457988165680457</v>
      </c>
      <c r="BK572" s="1">
        <f t="shared" si="240"/>
        <v>0.53915972200399775</v>
      </c>
      <c r="BL572" s="22">
        <f t="shared" si="241"/>
        <v>0.53915972200399775</v>
      </c>
      <c r="BM572" s="1">
        <f t="shared" si="234"/>
        <v>2.9332754875503199E-3</v>
      </c>
      <c r="BN572" s="1">
        <f t="shared" si="211"/>
        <v>5.9844264967051633E-3</v>
      </c>
    </row>
    <row r="573" spans="1:66" x14ac:dyDescent="0.25">
      <c r="A573" s="3"/>
      <c r="B573" s="3"/>
      <c r="C573" t="s">
        <v>319</v>
      </c>
      <c r="D573" s="5">
        <v>1</v>
      </c>
      <c r="E573" s="9">
        <f t="shared" si="242"/>
        <v>44.43</v>
      </c>
      <c r="F573" s="9">
        <f t="shared" si="243"/>
        <v>0.84793953572071257</v>
      </c>
      <c r="G573">
        <v>0</v>
      </c>
      <c r="H573">
        <v>6.73</v>
      </c>
      <c r="I573">
        <v>16.77</v>
      </c>
      <c r="J573">
        <v>0</v>
      </c>
      <c r="K573">
        <v>0</v>
      </c>
      <c r="L573">
        <v>0</v>
      </c>
      <c r="M573">
        <v>0</v>
      </c>
      <c r="N573">
        <v>5</v>
      </c>
      <c r="O573">
        <v>22.66</v>
      </c>
      <c r="P573">
        <v>1.72</v>
      </c>
      <c r="Q573">
        <v>47.12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38</v>
      </c>
      <c r="AK573" t="s">
        <v>1</v>
      </c>
      <c r="AL573" t="s">
        <v>374</v>
      </c>
      <c r="AQ573" s="1">
        <f t="shared" si="235"/>
        <v>100</v>
      </c>
      <c r="AR573" s="1">
        <f t="shared" si="221"/>
        <v>0.2266</v>
      </c>
      <c r="AS573" s="1">
        <f t="shared" si="222"/>
        <v>0</v>
      </c>
      <c r="AT573" s="1">
        <f t="shared" si="223"/>
        <v>6.7299999999999999E-2</v>
      </c>
      <c r="AU573" s="1">
        <f t="shared" si="224"/>
        <v>0.47119999999999995</v>
      </c>
      <c r="AV573" s="1">
        <f t="shared" si="236"/>
        <v>0.38</v>
      </c>
      <c r="AX573" s="1">
        <f t="shared" si="237"/>
        <v>7.0014858841010392</v>
      </c>
      <c r="AY573" s="1">
        <f t="shared" si="225"/>
        <v>3.3670133729569094</v>
      </c>
      <c r="AZ573" s="1">
        <f t="shared" si="226"/>
        <v>0.93759286775631501</v>
      </c>
      <c r="BA573" s="1">
        <f t="shared" si="227"/>
        <v>2.25037147102526</v>
      </c>
      <c r="BB573" s="1">
        <f t="shared" si="228"/>
        <v>0.78251395499767717</v>
      </c>
      <c r="BC573" s="1">
        <f t="shared" si="229"/>
        <v>0.78251395499767717</v>
      </c>
      <c r="BD573" s="1">
        <f t="shared" si="238"/>
        <v>0.40251395499767717</v>
      </c>
      <c r="BF573">
        <f t="shared" si="230"/>
        <v>8.4500000000000011</v>
      </c>
      <c r="BG573">
        <f t="shared" si="231"/>
        <v>33.545000000000002</v>
      </c>
      <c r="BH573" s="1">
        <f t="shared" si="232"/>
        <v>5.5763313609467442</v>
      </c>
      <c r="BI573" s="1">
        <f t="shared" si="233"/>
        <v>3.9698224852071005</v>
      </c>
      <c r="BJ573" s="1">
        <f t="shared" si="239"/>
        <v>0.76457988165680457</v>
      </c>
      <c r="BK573" s="1">
        <f t="shared" si="240"/>
        <v>0.53915972200399775</v>
      </c>
      <c r="BL573" s="22">
        <f t="shared" si="241"/>
        <v>0.53915972200399775</v>
      </c>
      <c r="BM573" s="1">
        <f t="shared" si="234"/>
        <v>2.5331817108389845E-2</v>
      </c>
      <c r="BN573" s="1">
        <f t="shared" si="211"/>
        <v>7.6402073062170313E-4</v>
      </c>
    </row>
    <row r="574" spans="1:66" x14ac:dyDescent="0.25">
      <c r="A574" s="3"/>
      <c r="B574" s="3"/>
      <c r="C574" t="s">
        <v>320</v>
      </c>
      <c r="D574" s="5">
        <v>1</v>
      </c>
      <c r="E574" s="9">
        <f t="shared" si="242"/>
        <v>44.43</v>
      </c>
      <c r="F574" s="9">
        <f t="shared" si="243"/>
        <v>0.84793953572071257</v>
      </c>
      <c r="G574">
        <v>0</v>
      </c>
      <c r="H574">
        <v>6.73</v>
      </c>
      <c r="I574">
        <v>11.77</v>
      </c>
      <c r="J574">
        <v>0</v>
      </c>
      <c r="K574">
        <v>0</v>
      </c>
      <c r="L574">
        <v>0</v>
      </c>
      <c r="M574">
        <v>0</v>
      </c>
      <c r="N574">
        <v>10</v>
      </c>
      <c r="O574">
        <v>22.66</v>
      </c>
      <c r="P574">
        <v>1.72</v>
      </c>
      <c r="Q574">
        <v>47.12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38</v>
      </c>
      <c r="AK574" t="s">
        <v>1</v>
      </c>
      <c r="AL574" t="s">
        <v>374</v>
      </c>
      <c r="AQ574" s="1">
        <f t="shared" si="235"/>
        <v>100</v>
      </c>
      <c r="AR574" s="1">
        <f t="shared" si="221"/>
        <v>0.2266</v>
      </c>
      <c r="AS574" s="1">
        <f t="shared" si="222"/>
        <v>0</v>
      </c>
      <c r="AT574" s="1">
        <f t="shared" si="223"/>
        <v>6.7299999999999999E-2</v>
      </c>
      <c r="AU574" s="1">
        <f t="shared" si="224"/>
        <v>0.47119999999999995</v>
      </c>
      <c r="AV574" s="1">
        <f t="shared" si="236"/>
        <v>0.38</v>
      </c>
      <c r="AX574" s="1">
        <f t="shared" si="237"/>
        <v>7.0014858841010392</v>
      </c>
      <c r="AY574" s="1">
        <f t="shared" si="225"/>
        <v>3.3670133729569094</v>
      </c>
      <c r="AZ574" s="1">
        <f t="shared" si="226"/>
        <v>0.93759286775631501</v>
      </c>
      <c r="BA574" s="1">
        <f t="shared" si="227"/>
        <v>2.25037147102526</v>
      </c>
      <c r="BB574" s="1">
        <f t="shared" si="228"/>
        <v>0.78251395499767717</v>
      </c>
      <c r="BC574" s="1">
        <f t="shared" si="229"/>
        <v>0.78251395499767717</v>
      </c>
      <c r="BD574" s="1">
        <f t="shared" si="238"/>
        <v>0.40251395499767717</v>
      </c>
      <c r="BF574">
        <f t="shared" si="230"/>
        <v>8.4500000000000011</v>
      </c>
      <c r="BG574">
        <f t="shared" si="231"/>
        <v>33.545000000000002</v>
      </c>
      <c r="BH574" s="1">
        <f t="shared" si="232"/>
        <v>5.5763313609467442</v>
      </c>
      <c r="BI574" s="1">
        <f t="shared" si="233"/>
        <v>3.9698224852071005</v>
      </c>
      <c r="BJ574" s="1">
        <f t="shared" si="239"/>
        <v>0.76457988165680457</v>
      </c>
      <c r="BK574" s="1">
        <f t="shared" si="240"/>
        <v>0.53915972200399775</v>
      </c>
      <c r="BL574" s="22">
        <f t="shared" si="241"/>
        <v>0.53915972200399775</v>
      </c>
      <c r="BM574" s="1">
        <f t="shared" si="234"/>
        <v>2.5331817108389845E-2</v>
      </c>
      <c r="BN574" s="1">
        <f t="shared" si="211"/>
        <v>7.6402073062170313E-4</v>
      </c>
    </row>
    <row r="575" spans="1:66" x14ac:dyDescent="0.25">
      <c r="A575" s="3"/>
      <c r="B575" s="3"/>
      <c r="C575" t="s">
        <v>321</v>
      </c>
      <c r="D575" s="5">
        <v>1</v>
      </c>
      <c r="E575" s="9">
        <f t="shared" si="242"/>
        <v>44.43</v>
      </c>
      <c r="F575" s="9">
        <f t="shared" si="243"/>
        <v>0.84793953572071257</v>
      </c>
      <c r="G575">
        <v>0</v>
      </c>
      <c r="H575">
        <v>6.73</v>
      </c>
      <c r="I575">
        <v>16.77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22.66</v>
      </c>
      <c r="P575">
        <v>1.72</v>
      </c>
      <c r="Q575">
        <v>47.12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5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37</v>
      </c>
      <c r="AK575" t="s">
        <v>1</v>
      </c>
      <c r="AL575" t="s">
        <v>374</v>
      </c>
      <c r="AQ575" s="1">
        <f t="shared" si="235"/>
        <v>100</v>
      </c>
      <c r="AR575" s="1">
        <f t="shared" si="221"/>
        <v>0.2266</v>
      </c>
      <c r="AS575" s="1">
        <f t="shared" si="222"/>
        <v>0</v>
      </c>
      <c r="AT575" s="1">
        <f t="shared" si="223"/>
        <v>6.7299999999999999E-2</v>
      </c>
      <c r="AU575" s="1">
        <f t="shared" si="224"/>
        <v>0.47119999999999995</v>
      </c>
      <c r="AV575" s="1">
        <f t="shared" si="236"/>
        <v>0.37</v>
      </c>
      <c r="AX575" s="1">
        <f t="shared" si="237"/>
        <v>7.0014858841010392</v>
      </c>
      <c r="AY575" s="1">
        <f t="shared" si="225"/>
        <v>3.3670133729569094</v>
      </c>
      <c r="AZ575" s="1">
        <f t="shared" si="226"/>
        <v>0.93759286775631501</v>
      </c>
      <c r="BA575" s="1">
        <f t="shared" si="227"/>
        <v>2.25037147102526</v>
      </c>
      <c r="BB575" s="1">
        <f t="shared" si="228"/>
        <v>0.78251395499767717</v>
      </c>
      <c r="BC575" s="1">
        <f t="shared" si="229"/>
        <v>0.78251395499767717</v>
      </c>
      <c r="BD575" s="1">
        <f t="shared" si="238"/>
        <v>0.41251395499767718</v>
      </c>
      <c r="BF575">
        <f t="shared" si="230"/>
        <v>8.4500000000000011</v>
      </c>
      <c r="BG575">
        <f t="shared" si="231"/>
        <v>33.545000000000002</v>
      </c>
      <c r="BH575" s="1">
        <f t="shared" si="232"/>
        <v>5.5763313609467442</v>
      </c>
      <c r="BI575" s="1">
        <f t="shared" si="233"/>
        <v>3.9698224852071005</v>
      </c>
      <c r="BJ575" s="1">
        <f t="shared" si="239"/>
        <v>0.76457988165680457</v>
      </c>
      <c r="BK575" s="1">
        <f t="shared" si="240"/>
        <v>0.53915972200399775</v>
      </c>
      <c r="BL575" s="22">
        <f t="shared" si="241"/>
        <v>0.53915972200399775</v>
      </c>
      <c r="BM575" s="1">
        <f t="shared" si="234"/>
        <v>2.8615011548469804E-2</v>
      </c>
      <c r="BN575" s="1">
        <f t="shared" si="211"/>
        <v>1.4168392290899454E-3</v>
      </c>
    </row>
    <row r="576" spans="1:66" x14ac:dyDescent="0.25">
      <c r="A576" s="3"/>
      <c r="B576" s="3"/>
      <c r="C576" t="s">
        <v>322</v>
      </c>
      <c r="D576" s="5">
        <v>1</v>
      </c>
      <c r="E576" s="9">
        <f t="shared" si="242"/>
        <v>44.43</v>
      </c>
      <c r="F576" s="9">
        <f t="shared" si="243"/>
        <v>0.84793953572071257</v>
      </c>
      <c r="G576">
        <v>0</v>
      </c>
      <c r="H576">
        <v>6.73</v>
      </c>
      <c r="I576">
        <v>11.77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22.66</v>
      </c>
      <c r="P576">
        <v>1.72</v>
      </c>
      <c r="Q576">
        <v>47.12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39</v>
      </c>
      <c r="AK576" t="s">
        <v>1</v>
      </c>
      <c r="AL576" t="s">
        <v>374</v>
      </c>
      <c r="AQ576" s="1">
        <f t="shared" si="235"/>
        <v>100</v>
      </c>
      <c r="AR576" s="1">
        <f t="shared" si="221"/>
        <v>0.2266</v>
      </c>
      <c r="AS576" s="1">
        <f t="shared" si="222"/>
        <v>0</v>
      </c>
      <c r="AT576" s="1">
        <f t="shared" si="223"/>
        <v>6.7299999999999999E-2</v>
      </c>
      <c r="AU576" s="1">
        <f t="shared" si="224"/>
        <v>0.47119999999999995</v>
      </c>
      <c r="AV576" s="1">
        <f t="shared" si="236"/>
        <v>0.39</v>
      </c>
      <c r="AX576" s="1">
        <f t="shared" si="237"/>
        <v>7.0014858841010392</v>
      </c>
      <c r="AY576" s="1">
        <f t="shared" si="225"/>
        <v>3.3670133729569094</v>
      </c>
      <c r="AZ576" s="1">
        <f t="shared" si="226"/>
        <v>0.93759286775631501</v>
      </c>
      <c r="BA576" s="1">
        <f t="shared" si="227"/>
        <v>2.25037147102526</v>
      </c>
      <c r="BB576" s="1">
        <f t="shared" si="228"/>
        <v>0.78251395499767717</v>
      </c>
      <c r="BC576" s="1">
        <f t="shared" si="229"/>
        <v>0.78251395499767717</v>
      </c>
      <c r="BD576" s="1">
        <f t="shared" si="238"/>
        <v>0.39251395499767716</v>
      </c>
      <c r="BF576">
        <f t="shared" si="230"/>
        <v>8.4500000000000011</v>
      </c>
      <c r="BG576">
        <f t="shared" si="231"/>
        <v>33.545000000000002</v>
      </c>
      <c r="BH576" s="1">
        <f t="shared" si="232"/>
        <v>5.5763313609467442</v>
      </c>
      <c r="BI576" s="1">
        <f t="shared" si="233"/>
        <v>3.9698224852071005</v>
      </c>
      <c r="BJ576" s="1">
        <f t="shared" si="239"/>
        <v>0.76457988165680457</v>
      </c>
      <c r="BK576" s="1">
        <f t="shared" si="240"/>
        <v>0.53915972200399775</v>
      </c>
      <c r="BL576" s="22">
        <f t="shared" si="241"/>
        <v>0.53915972200399775</v>
      </c>
      <c r="BM576" s="1">
        <f t="shared" si="234"/>
        <v>2.2248622668309889E-2</v>
      </c>
      <c r="BN576" s="1">
        <f t="shared" si="211"/>
        <v>3.1120223215346117E-4</v>
      </c>
    </row>
    <row r="577" spans="1:66" x14ac:dyDescent="0.25">
      <c r="A577" s="3"/>
      <c r="B577" s="3"/>
      <c r="C577" t="s">
        <v>323</v>
      </c>
      <c r="D577" s="5">
        <v>1</v>
      </c>
      <c r="E577" s="9">
        <f t="shared" si="242"/>
        <v>44.43</v>
      </c>
      <c r="F577" s="9">
        <f t="shared" si="243"/>
        <v>0.84793953572071257</v>
      </c>
      <c r="G577">
        <v>0</v>
      </c>
      <c r="H577">
        <v>6.73</v>
      </c>
      <c r="I577">
        <v>6.77</v>
      </c>
      <c r="J577">
        <v>0</v>
      </c>
      <c r="K577">
        <v>0</v>
      </c>
      <c r="L577">
        <v>0</v>
      </c>
      <c r="M577">
        <v>0</v>
      </c>
      <c r="N577">
        <v>5</v>
      </c>
      <c r="O577">
        <v>22.66</v>
      </c>
      <c r="P577">
        <v>1.72</v>
      </c>
      <c r="Q577">
        <v>47.12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37</v>
      </c>
      <c r="AK577" t="s">
        <v>1</v>
      </c>
      <c r="AL577" t="s">
        <v>374</v>
      </c>
      <c r="AQ577" s="1">
        <f t="shared" si="235"/>
        <v>100</v>
      </c>
      <c r="AR577" s="1">
        <f t="shared" si="221"/>
        <v>0.2266</v>
      </c>
      <c r="AS577" s="1">
        <f t="shared" si="222"/>
        <v>0</v>
      </c>
      <c r="AT577" s="1">
        <f t="shared" si="223"/>
        <v>6.7299999999999999E-2</v>
      </c>
      <c r="AU577" s="1">
        <f t="shared" si="224"/>
        <v>0.47119999999999995</v>
      </c>
      <c r="AV577" s="1">
        <f t="shared" si="236"/>
        <v>0.37</v>
      </c>
      <c r="AX577" s="1">
        <f t="shared" si="237"/>
        <v>7.0014858841010392</v>
      </c>
      <c r="AY577" s="1">
        <f t="shared" si="225"/>
        <v>3.3670133729569094</v>
      </c>
      <c r="AZ577" s="1">
        <f t="shared" si="226"/>
        <v>0.93759286775631501</v>
      </c>
      <c r="BA577" s="1">
        <f t="shared" si="227"/>
        <v>2.25037147102526</v>
      </c>
      <c r="BB577" s="1">
        <f t="shared" si="228"/>
        <v>0.78251395499767717</v>
      </c>
      <c r="BC577" s="1">
        <f t="shared" si="229"/>
        <v>0.78251395499767717</v>
      </c>
      <c r="BD577" s="1">
        <f t="shared" si="238"/>
        <v>0.41251395499767718</v>
      </c>
      <c r="BF577">
        <f t="shared" si="230"/>
        <v>8.4500000000000011</v>
      </c>
      <c r="BG577">
        <f t="shared" si="231"/>
        <v>33.545000000000002</v>
      </c>
      <c r="BH577" s="1">
        <f t="shared" si="232"/>
        <v>5.5763313609467442</v>
      </c>
      <c r="BI577" s="1">
        <f t="shared" si="233"/>
        <v>3.9698224852071005</v>
      </c>
      <c r="BJ577" s="1">
        <f t="shared" si="239"/>
        <v>0.76457988165680457</v>
      </c>
      <c r="BK577" s="1">
        <f t="shared" si="240"/>
        <v>0.53915972200399775</v>
      </c>
      <c r="BL577" s="22">
        <f t="shared" si="241"/>
        <v>0.53915972200399775</v>
      </c>
      <c r="BM577" s="1">
        <f t="shared" si="234"/>
        <v>2.8615011548469804E-2</v>
      </c>
      <c r="BN577" s="1">
        <f t="shared" si="211"/>
        <v>1.4168392290899454E-3</v>
      </c>
    </row>
    <row r="578" spans="1:66" x14ac:dyDescent="0.25">
      <c r="A578" s="3"/>
      <c r="B578" s="3"/>
      <c r="C578" t="s">
        <v>327</v>
      </c>
      <c r="D578" s="5">
        <v>1</v>
      </c>
      <c r="E578" s="9">
        <f t="shared" si="242"/>
        <v>41.17647058823529</v>
      </c>
      <c r="F578" s="9">
        <f t="shared" si="243"/>
        <v>0</v>
      </c>
      <c r="G578">
        <v>0</v>
      </c>
      <c r="H578">
        <v>58.82352941176471</v>
      </c>
      <c r="I578">
        <v>0</v>
      </c>
      <c r="J578">
        <v>0</v>
      </c>
      <c r="K578">
        <v>0</v>
      </c>
      <c r="L578">
        <v>0</v>
      </c>
      <c r="M578">
        <v>41.17647058823529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46</v>
      </c>
      <c r="AK578" t="s">
        <v>1</v>
      </c>
      <c r="AL578" t="s">
        <v>374</v>
      </c>
      <c r="AO578" t="s">
        <v>378</v>
      </c>
      <c r="AQ578" s="1">
        <f t="shared" si="235"/>
        <v>100</v>
      </c>
      <c r="AR578" s="1">
        <f t="shared" si="221"/>
        <v>0.41176470588235292</v>
      </c>
      <c r="AS578" s="1">
        <f t="shared" si="222"/>
        <v>0</v>
      </c>
      <c r="AT578" s="1">
        <f t="shared" si="223"/>
        <v>0.58823529411764708</v>
      </c>
      <c r="AU578" s="1">
        <f t="shared" si="224"/>
        <v>0</v>
      </c>
      <c r="AV578" s="1">
        <f t="shared" si="236"/>
        <v>0.46</v>
      </c>
      <c r="AX578" s="1">
        <f t="shared" si="237"/>
        <v>0</v>
      </c>
      <c r="AY578" s="1">
        <f t="shared" si="225"/>
        <v>0.7</v>
      </c>
      <c r="AZ578" s="1">
        <f t="shared" si="226"/>
        <v>0.5</v>
      </c>
      <c r="BA578" s="1">
        <f t="shared" si="227"/>
        <v>0.5</v>
      </c>
      <c r="BB578" s="1">
        <f t="shared" si="228"/>
        <v>0.43333333333333335</v>
      </c>
      <c r="BC578" s="1">
        <f t="shared" si="229"/>
        <v>0.43333333333333335</v>
      </c>
      <c r="BD578" s="1">
        <f t="shared" si="238"/>
        <v>2.6666666666666672E-2</v>
      </c>
      <c r="BF578">
        <f t="shared" si="230"/>
        <v>58.82352941176471</v>
      </c>
      <c r="BG578">
        <f t="shared" si="231"/>
        <v>41.17647058823529</v>
      </c>
      <c r="BH578" s="1">
        <f t="shared" si="232"/>
        <v>0</v>
      </c>
      <c r="BI578" s="1">
        <f t="shared" si="233"/>
        <v>0.69999999999999984</v>
      </c>
      <c r="BJ578" s="1">
        <f t="shared" si="239"/>
        <v>0.43</v>
      </c>
      <c r="BK578" s="1">
        <f t="shared" si="240"/>
        <v>0.40564961277588563</v>
      </c>
      <c r="BL578" s="22">
        <f t="shared" si="241"/>
        <v>0.40564961277588563</v>
      </c>
      <c r="BM578" s="1">
        <f t="shared" si="234"/>
        <v>2.9539645914111773E-3</v>
      </c>
      <c r="BN578" s="1">
        <f t="shared" ref="BN578:BN641" si="244">(AV578-AVERAGE($AV$2:$AV$638))^2</f>
        <v>2.7414727428757718E-3</v>
      </c>
    </row>
    <row r="579" spans="1:66" x14ac:dyDescent="0.25">
      <c r="A579" s="3"/>
      <c r="B579" s="3"/>
      <c r="C579" t="s">
        <v>324</v>
      </c>
      <c r="D579" s="5">
        <v>1</v>
      </c>
      <c r="E579" s="9">
        <f t="shared" si="242"/>
        <v>47.368421052631582</v>
      </c>
      <c r="F579" s="9">
        <f t="shared" si="243"/>
        <v>0</v>
      </c>
      <c r="G579">
        <v>0</v>
      </c>
      <c r="H579">
        <v>52.631578947368418</v>
      </c>
      <c r="I579">
        <v>0</v>
      </c>
      <c r="J579">
        <v>0</v>
      </c>
      <c r="K579">
        <v>0</v>
      </c>
      <c r="L579">
        <v>0</v>
      </c>
      <c r="M579">
        <v>47.368421052631582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41</v>
      </c>
      <c r="AK579" t="s">
        <v>1</v>
      </c>
      <c r="AL579" t="s">
        <v>374</v>
      </c>
      <c r="AQ579" s="1">
        <f t="shared" si="235"/>
        <v>100</v>
      </c>
      <c r="AR579" s="1">
        <f t="shared" si="221"/>
        <v>0.47368421052631582</v>
      </c>
      <c r="AS579" s="1">
        <f t="shared" si="222"/>
        <v>0</v>
      </c>
      <c r="AT579" s="1">
        <f t="shared" si="223"/>
        <v>0.52631578947368418</v>
      </c>
      <c r="AU579" s="1">
        <f t="shared" si="224"/>
        <v>0</v>
      </c>
      <c r="AV579" s="1">
        <f t="shared" si="236"/>
        <v>0.41</v>
      </c>
      <c r="AX579" s="1">
        <f t="shared" si="237"/>
        <v>0</v>
      </c>
      <c r="AY579" s="1">
        <f t="shared" si="225"/>
        <v>0.90000000000000013</v>
      </c>
      <c r="AZ579" s="1">
        <f t="shared" si="226"/>
        <v>0.5</v>
      </c>
      <c r="BA579" s="1">
        <f t="shared" si="227"/>
        <v>0.5</v>
      </c>
      <c r="BB579" s="1">
        <f t="shared" si="228"/>
        <v>0.36666666666666659</v>
      </c>
      <c r="BC579" s="1">
        <f t="shared" si="229"/>
        <v>0.36666666666666659</v>
      </c>
      <c r="BD579" s="1">
        <f t="shared" si="238"/>
        <v>4.333333333333339E-2</v>
      </c>
      <c r="BF579">
        <f t="shared" si="230"/>
        <v>52.631578947368418</v>
      </c>
      <c r="BG579">
        <f t="shared" si="231"/>
        <v>47.368421052631582</v>
      </c>
      <c r="BH579" s="1">
        <f t="shared" si="232"/>
        <v>0</v>
      </c>
      <c r="BI579" s="1">
        <f t="shared" si="233"/>
        <v>0.90000000000000013</v>
      </c>
      <c r="BJ579" s="1">
        <f t="shared" si="239"/>
        <v>0.43</v>
      </c>
      <c r="BK579" s="1">
        <f t="shared" si="240"/>
        <v>0.3822113548781052</v>
      </c>
      <c r="BL579" s="22">
        <f t="shared" si="241"/>
        <v>0.3822113548781052</v>
      </c>
      <c r="BM579" s="1">
        <f t="shared" si="234"/>
        <v>7.7220879771060615E-4</v>
      </c>
      <c r="BN579" s="1">
        <f t="shared" si="244"/>
        <v>5.5652352169781633E-6</v>
      </c>
    </row>
    <row r="580" spans="1:66" x14ac:dyDescent="0.25">
      <c r="A580" s="3"/>
      <c r="B580" s="3"/>
      <c r="C580" t="s">
        <v>325</v>
      </c>
      <c r="D580" s="5">
        <v>1</v>
      </c>
      <c r="E580" s="9">
        <f t="shared" si="242"/>
        <v>41.17647058823529</v>
      </c>
      <c r="F580" s="9">
        <f t="shared" si="243"/>
        <v>0</v>
      </c>
      <c r="G580">
        <v>0</v>
      </c>
      <c r="H580">
        <v>58.82352941176471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41.17647058823529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34</v>
      </c>
      <c r="AK580" t="s">
        <v>1</v>
      </c>
      <c r="AL580" t="s">
        <v>374</v>
      </c>
      <c r="AQ580" s="1">
        <f t="shared" si="235"/>
        <v>100</v>
      </c>
      <c r="AR580" s="1">
        <f t="shared" si="221"/>
        <v>0.41176470588235292</v>
      </c>
      <c r="AS580" s="1">
        <f t="shared" si="222"/>
        <v>0</v>
      </c>
      <c r="AT580" s="1">
        <f t="shared" si="223"/>
        <v>0.58823529411764708</v>
      </c>
      <c r="AU580" s="1">
        <f t="shared" si="224"/>
        <v>0</v>
      </c>
      <c r="AV580" s="1">
        <f t="shared" si="236"/>
        <v>0.34</v>
      </c>
      <c r="AX580" s="1">
        <f t="shared" si="237"/>
        <v>0</v>
      </c>
      <c r="AY580" s="1">
        <f t="shared" si="225"/>
        <v>0.7</v>
      </c>
      <c r="AZ580" s="1">
        <f t="shared" si="226"/>
        <v>0.5</v>
      </c>
      <c r="BA580" s="1">
        <f t="shared" si="227"/>
        <v>0.5</v>
      </c>
      <c r="BB580" s="1">
        <f t="shared" si="228"/>
        <v>0.43333333333333335</v>
      </c>
      <c r="BC580" s="1">
        <f t="shared" si="229"/>
        <v>0.43333333333333335</v>
      </c>
      <c r="BD580" s="1">
        <f t="shared" si="238"/>
        <v>9.3333333333333324E-2</v>
      </c>
      <c r="BF580">
        <f t="shared" si="230"/>
        <v>58.82352941176471</v>
      </c>
      <c r="BG580">
        <f t="shared" si="231"/>
        <v>41.17647058823529</v>
      </c>
      <c r="BH580" s="1">
        <f t="shared" si="232"/>
        <v>0</v>
      </c>
      <c r="BI580" s="1">
        <f t="shared" si="233"/>
        <v>0.69999999999999984</v>
      </c>
      <c r="BJ580" s="1">
        <f t="shared" si="239"/>
        <v>0.43</v>
      </c>
      <c r="BK580" s="1">
        <f t="shared" si="240"/>
        <v>0.40564961277588563</v>
      </c>
      <c r="BL580" s="22">
        <f t="shared" si="241"/>
        <v>0.40564961277588563</v>
      </c>
      <c r="BM580" s="1">
        <f t="shared" si="234"/>
        <v>4.3098716576237218E-3</v>
      </c>
      <c r="BN580" s="1">
        <f t="shared" si="244"/>
        <v>4.5752947244946671E-3</v>
      </c>
    </row>
    <row r="581" spans="1:66" x14ac:dyDescent="0.25">
      <c r="A581" s="3"/>
      <c r="B581" s="3"/>
      <c r="C581" t="s">
        <v>326</v>
      </c>
      <c r="D581" s="5">
        <v>1</v>
      </c>
      <c r="E581" s="9">
        <f t="shared" si="242"/>
        <v>47.368421052631582</v>
      </c>
      <c r="F581" s="9">
        <f t="shared" si="243"/>
        <v>0</v>
      </c>
      <c r="G581">
        <v>0</v>
      </c>
      <c r="H581">
        <v>52.631578947368418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47.368421052631582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25</v>
      </c>
      <c r="AK581" t="s">
        <v>1</v>
      </c>
      <c r="AL581" t="s">
        <v>374</v>
      </c>
      <c r="AQ581" s="1">
        <f t="shared" si="235"/>
        <v>100</v>
      </c>
      <c r="AR581" s="1">
        <f t="shared" si="221"/>
        <v>0.47368421052631582</v>
      </c>
      <c r="AS581" s="1">
        <f t="shared" si="222"/>
        <v>0</v>
      </c>
      <c r="AT581" s="1">
        <f t="shared" si="223"/>
        <v>0.52631578947368418</v>
      </c>
      <c r="AU581" s="1">
        <f t="shared" si="224"/>
        <v>0</v>
      </c>
      <c r="AV581" s="1">
        <f t="shared" si="236"/>
        <v>0.25</v>
      </c>
      <c r="AX581" s="1">
        <f t="shared" si="237"/>
        <v>0</v>
      </c>
      <c r="AY581" s="1">
        <f t="shared" si="225"/>
        <v>0.90000000000000013</v>
      </c>
      <c r="AZ581" s="1">
        <f t="shared" si="226"/>
        <v>0.5</v>
      </c>
      <c r="BA581" s="1">
        <f t="shared" si="227"/>
        <v>0.5</v>
      </c>
      <c r="BB581" s="1">
        <f t="shared" si="228"/>
        <v>0.36666666666666659</v>
      </c>
      <c r="BC581" s="1">
        <f t="shared" si="229"/>
        <v>0.36666666666666659</v>
      </c>
      <c r="BD581" s="1">
        <f t="shared" si="238"/>
        <v>0.11666666666666659</v>
      </c>
      <c r="BF581">
        <f t="shared" si="230"/>
        <v>52.631578947368418</v>
      </c>
      <c r="BG581">
        <f t="shared" si="231"/>
        <v>47.368421052631582</v>
      </c>
      <c r="BH581" s="1">
        <f t="shared" si="232"/>
        <v>0</v>
      </c>
      <c r="BI581" s="1">
        <f t="shared" si="233"/>
        <v>0.90000000000000013</v>
      </c>
      <c r="BJ581" s="1">
        <f t="shared" si="239"/>
        <v>0.43</v>
      </c>
      <c r="BK581" s="1">
        <f t="shared" si="240"/>
        <v>0.3822113548781052</v>
      </c>
      <c r="BL581" s="22">
        <f t="shared" si="241"/>
        <v>0.3822113548781052</v>
      </c>
      <c r="BM581" s="1">
        <f t="shared" si="234"/>
        <v>1.7479842358704274E-2</v>
      </c>
      <c r="BN581" s="1">
        <f t="shared" si="244"/>
        <v>2.4850661210708846E-2</v>
      </c>
    </row>
    <row r="582" spans="1:66" x14ac:dyDescent="0.25">
      <c r="A582" s="3"/>
      <c r="B582" s="3"/>
      <c r="C582" t="s">
        <v>329</v>
      </c>
      <c r="D582" s="5">
        <v>1</v>
      </c>
      <c r="E582" s="9">
        <f t="shared" si="242"/>
        <v>13.34</v>
      </c>
      <c r="F582" s="9">
        <f t="shared" si="243"/>
        <v>0.79070636601470046</v>
      </c>
      <c r="G582">
        <v>4.04</v>
      </c>
      <c r="H582">
        <v>16.8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13.34</v>
      </c>
      <c r="P582">
        <v>0</v>
      </c>
      <c r="Q582">
        <v>63.47</v>
      </c>
      <c r="R582">
        <v>0</v>
      </c>
      <c r="S582">
        <v>0</v>
      </c>
      <c r="T582">
        <v>0</v>
      </c>
      <c r="U582">
        <v>2.35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39.690729833140168</v>
      </c>
      <c r="AK582" t="s">
        <v>1</v>
      </c>
      <c r="AL582" t="s">
        <v>374</v>
      </c>
      <c r="AM582" t="s">
        <v>414</v>
      </c>
      <c r="AO582" t="s">
        <v>378</v>
      </c>
      <c r="AQ582" s="1">
        <f t="shared" si="235"/>
        <v>100</v>
      </c>
      <c r="AR582" s="1">
        <f t="shared" si="221"/>
        <v>0.13339999999999999</v>
      </c>
      <c r="AS582" s="1">
        <f t="shared" si="222"/>
        <v>4.0399999999999998E-2</v>
      </c>
      <c r="AT582" s="1">
        <f t="shared" si="223"/>
        <v>0.16800000000000001</v>
      </c>
      <c r="AU582" s="1">
        <f t="shared" si="224"/>
        <v>0.63470000000000004</v>
      </c>
      <c r="AV582" s="1">
        <f t="shared" si="236"/>
        <v>0.3969072983314017</v>
      </c>
      <c r="AX582" s="1">
        <f t="shared" si="237"/>
        <v>3.0455854126679465</v>
      </c>
      <c r="AY582" s="1">
        <f t="shared" si="225"/>
        <v>0.64011516314779271</v>
      </c>
      <c r="AZ582" s="1">
        <f t="shared" si="226"/>
        <v>0.69034908829174668</v>
      </c>
      <c r="BA582" s="1">
        <f t="shared" si="227"/>
        <v>1.2613963531669867</v>
      </c>
      <c r="BB582" s="1">
        <f t="shared" si="228"/>
        <v>0.64011516314779271</v>
      </c>
      <c r="BC582" s="1">
        <f t="shared" si="229"/>
        <v>0.64011516314779271</v>
      </c>
      <c r="BD582" s="1">
        <f t="shared" si="238"/>
        <v>0.24320786481639101</v>
      </c>
      <c r="BF582">
        <f t="shared" si="230"/>
        <v>37.660000000000004</v>
      </c>
      <c r="BG582">
        <f t="shared" si="231"/>
        <v>13.34</v>
      </c>
      <c r="BH582" s="1">
        <f t="shared" si="232"/>
        <v>1.6853425385023897</v>
      </c>
      <c r="BI582" s="1">
        <f t="shared" si="233"/>
        <v>0.35422198619224637</v>
      </c>
      <c r="BJ582" s="1">
        <f t="shared" si="239"/>
        <v>0.53112055231014332</v>
      </c>
      <c r="BK582" s="1">
        <f t="shared" si="240"/>
        <v>0.35422198619224637</v>
      </c>
      <c r="BL582" s="22">
        <f t="shared" si="241"/>
        <v>0.35422198619224637</v>
      </c>
      <c r="BM582" s="1">
        <f t="shared" si="234"/>
        <v>1.8220358724171212E-3</v>
      </c>
      <c r="BN582" s="1">
        <f t="shared" si="244"/>
        <v>1.152107398167124E-4</v>
      </c>
    </row>
    <row r="583" spans="1:66" x14ac:dyDescent="0.25">
      <c r="A583" s="3"/>
      <c r="B583" s="3"/>
      <c r="C583" t="s">
        <v>330</v>
      </c>
      <c r="D583" s="6">
        <v>1</v>
      </c>
      <c r="E583" s="9">
        <f t="shared" si="242"/>
        <v>13.35</v>
      </c>
      <c r="F583" s="9">
        <f t="shared" si="243"/>
        <v>0.79070636601470046</v>
      </c>
      <c r="G583">
        <v>4.04</v>
      </c>
      <c r="H583">
        <v>16.8</v>
      </c>
      <c r="I583">
        <v>0</v>
      </c>
      <c r="J583">
        <v>0</v>
      </c>
      <c r="K583">
        <v>0</v>
      </c>
      <c r="L583">
        <v>3.34</v>
      </c>
      <c r="M583">
        <v>0</v>
      </c>
      <c r="N583">
        <v>0</v>
      </c>
      <c r="O583">
        <v>10.01</v>
      </c>
      <c r="P583">
        <v>0</v>
      </c>
      <c r="Q583">
        <v>63.47</v>
      </c>
      <c r="R583">
        <v>0</v>
      </c>
      <c r="S583">
        <v>0</v>
      </c>
      <c r="T583">
        <v>0</v>
      </c>
      <c r="U583">
        <v>2.35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36.368000523699209</v>
      </c>
      <c r="AK583" t="s">
        <v>1</v>
      </c>
      <c r="AL583" t="s">
        <v>374</v>
      </c>
      <c r="AQ583" s="1">
        <f t="shared" si="235"/>
        <v>100.00999999999999</v>
      </c>
      <c r="AR583" s="1">
        <f t="shared" si="221"/>
        <v>0.13350000000000001</v>
      </c>
      <c r="AS583" s="1">
        <f t="shared" si="222"/>
        <v>4.0399999999999998E-2</v>
      </c>
      <c r="AT583" s="1">
        <f t="shared" si="223"/>
        <v>0.16800000000000001</v>
      </c>
      <c r="AU583" s="1">
        <f t="shared" si="224"/>
        <v>0.63470000000000004</v>
      </c>
      <c r="AV583" s="1">
        <f t="shared" si="236"/>
        <v>0.36368000523699207</v>
      </c>
      <c r="AX583" s="1">
        <f t="shared" si="237"/>
        <v>3.0455854126679465</v>
      </c>
      <c r="AY583" s="1">
        <f t="shared" si="225"/>
        <v>0.64059500959692905</v>
      </c>
      <c r="AZ583" s="1">
        <f t="shared" si="226"/>
        <v>0.69034908829174668</v>
      </c>
      <c r="BA583" s="1">
        <f t="shared" si="227"/>
        <v>1.2613963531669867</v>
      </c>
      <c r="BB583" s="1">
        <f t="shared" si="228"/>
        <v>0.64059500959692905</v>
      </c>
      <c r="BC583" s="1">
        <f t="shared" si="229"/>
        <v>0.64059500959692905</v>
      </c>
      <c r="BD583" s="1">
        <f t="shared" si="238"/>
        <v>0.27691500435993699</v>
      </c>
      <c r="BF583">
        <f t="shared" si="230"/>
        <v>37.660000000000004</v>
      </c>
      <c r="BG583">
        <f t="shared" si="231"/>
        <v>13.35</v>
      </c>
      <c r="BH583" s="1">
        <f t="shared" si="232"/>
        <v>1.6853425385023897</v>
      </c>
      <c r="BI583" s="1">
        <f t="shared" si="233"/>
        <v>0.35448751991502919</v>
      </c>
      <c r="BJ583" s="1">
        <f t="shared" si="239"/>
        <v>0.53112055231014332</v>
      </c>
      <c r="BK583" s="1">
        <f t="shared" si="240"/>
        <v>0.35448751991502919</v>
      </c>
      <c r="BL583" s="22">
        <f t="shared" si="241"/>
        <v>0.35448751991502919</v>
      </c>
      <c r="BM583" s="1">
        <f t="shared" si="234"/>
        <v>8.4501786394502871E-5</v>
      </c>
      <c r="BN583" s="1">
        <f t="shared" si="244"/>
        <v>1.9325624596758712E-3</v>
      </c>
    </row>
    <row r="584" spans="1:66" x14ac:dyDescent="0.25">
      <c r="A584" s="3"/>
      <c r="B584" s="3"/>
      <c r="C584" t="s">
        <v>331</v>
      </c>
      <c r="D584" s="5">
        <v>1</v>
      </c>
      <c r="E584" s="9">
        <f t="shared" si="242"/>
        <v>13.34</v>
      </c>
      <c r="F584" s="9">
        <f t="shared" si="243"/>
        <v>0.79070636601470046</v>
      </c>
      <c r="G584">
        <v>4.04</v>
      </c>
      <c r="H584">
        <v>16.8</v>
      </c>
      <c r="I584">
        <v>0</v>
      </c>
      <c r="J584">
        <v>0</v>
      </c>
      <c r="K584">
        <v>0</v>
      </c>
      <c r="L584">
        <v>5.34</v>
      </c>
      <c r="M584">
        <v>0</v>
      </c>
      <c r="N584">
        <v>0</v>
      </c>
      <c r="O584">
        <v>8</v>
      </c>
      <c r="P584">
        <v>0</v>
      </c>
      <c r="Q584">
        <v>63.47</v>
      </c>
      <c r="R584">
        <v>0</v>
      </c>
      <c r="S584">
        <v>0</v>
      </c>
      <c r="T584">
        <v>0</v>
      </c>
      <c r="U584">
        <v>2.35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35.725130843291723</v>
      </c>
      <c r="AK584" t="s">
        <v>1</v>
      </c>
      <c r="AL584" t="s">
        <v>374</v>
      </c>
      <c r="AQ584" s="1">
        <f t="shared" si="235"/>
        <v>100</v>
      </c>
      <c r="AR584" s="1">
        <f t="shared" si="221"/>
        <v>0.13339999999999999</v>
      </c>
      <c r="AS584" s="1">
        <f t="shared" si="222"/>
        <v>4.0399999999999998E-2</v>
      </c>
      <c r="AT584" s="1">
        <f t="shared" si="223"/>
        <v>0.16800000000000001</v>
      </c>
      <c r="AU584" s="1">
        <f t="shared" si="224"/>
        <v>0.63470000000000004</v>
      </c>
      <c r="AV584" s="1">
        <f t="shared" si="236"/>
        <v>0.35725130843291725</v>
      </c>
      <c r="AX584" s="1">
        <f t="shared" si="237"/>
        <v>3.0455854126679465</v>
      </c>
      <c r="AY584" s="1">
        <f t="shared" si="225"/>
        <v>0.64011516314779271</v>
      </c>
      <c r="AZ584" s="1">
        <f t="shared" si="226"/>
        <v>0.69034908829174668</v>
      </c>
      <c r="BA584" s="1">
        <f t="shared" si="227"/>
        <v>1.2613963531669867</v>
      </c>
      <c r="BB584" s="1">
        <f t="shared" si="228"/>
        <v>0.64011516314779271</v>
      </c>
      <c r="BC584" s="1">
        <f t="shared" si="229"/>
        <v>0.64011516314779271</v>
      </c>
      <c r="BD584" s="1">
        <f t="shared" si="238"/>
        <v>0.28286385471487546</v>
      </c>
      <c r="BF584">
        <f t="shared" si="230"/>
        <v>37.660000000000004</v>
      </c>
      <c r="BG584">
        <f t="shared" si="231"/>
        <v>13.34</v>
      </c>
      <c r="BH584" s="1">
        <f t="shared" si="232"/>
        <v>1.6853425385023897</v>
      </c>
      <c r="BI584" s="1">
        <f t="shared" si="233"/>
        <v>0.35422198619224637</v>
      </c>
      <c r="BJ584" s="1">
        <f t="shared" si="239"/>
        <v>0.53112055231014332</v>
      </c>
      <c r="BK584" s="1">
        <f t="shared" si="240"/>
        <v>0.35422198619224637</v>
      </c>
      <c r="BL584" s="22">
        <f t="shared" si="241"/>
        <v>0.35422198619224637</v>
      </c>
      <c r="BM584" s="1">
        <f t="shared" si="234"/>
        <v>9.1767932378231999E-6</v>
      </c>
      <c r="BN584" s="1">
        <f t="shared" si="244"/>
        <v>2.5391134500591492E-3</v>
      </c>
    </row>
    <row r="585" spans="1:66" x14ac:dyDescent="0.25">
      <c r="A585" s="3"/>
      <c r="B585" s="3"/>
      <c r="C585" t="s">
        <v>332</v>
      </c>
      <c r="D585" s="5">
        <v>1</v>
      </c>
      <c r="E585" s="9">
        <f t="shared" si="242"/>
        <v>13.34</v>
      </c>
      <c r="F585" s="9">
        <f t="shared" si="243"/>
        <v>0.79070636601470046</v>
      </c>
      <c r="G585">
        <v>4.04</v>
      </c>
      <c r="H585">
        <v>16.8</v>
      </c>
      <c r="I585">
        <v>0</v>
      </c>
      <c r="J585">
        <v>0</v>
      </c>
      <c r="K585">
        <v>0</v>
      </c>
      <c r="L585">
        <v>6.67</v>
      </c>
      <c r="M585">
        <v>0</v>
      </c>
      <c r="N585">
        <v>0</v>
      </c>
      <c r="O585">
        <v>6.67</v>
      </c>
      <c r="P585">
        <v>0</v>
      </c>
      <c r="Q585">
        <v>63.47</v>
      </c>
      <c r="R585">
        <v>0</v>
      </c>
      <c r="S585">
        <v>0</v>
      </c>
      <c r="T585">
        <v>0</v>
      </c>
      <c r="U585">
        <v>2.35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36.771194916750012</v>
      </c>
      <c r="AK585" t="s">
        <v>1</v>
      </c>
      <c r="AL585" t="s">
        <v>374</v>
      </c>
      <c r="AQ585" s="1">
        <f t="shared" si="235"/>
        <v>100</v>
      </c>
      <c r="AR585" s="1">
        <f t="shared" si="221"/>
        <v>0.13339999999999999</v>
      </c>
      <c r="AS585" s="1">
        <f t="shared" si="222"/>
        <v>4.0399999999999998E-2</v>
      </c>
      <c r="AT585" s="1">
        <f t="shared" si="223"/>
        <v>0.16800000000000001</v>
      </c>
      <c r="AU585" s="1">
        <f t="shared" si="224"/>
        <v>0.63470000000000004</v>
      </c>
      <c r="AV585" s="1">
        <f t="shared" si="236"/>
        <v>0.36771194916750011</v>
      </c>
      <c r="AX585" s="1">
        <f t="shared" si="237"/>
        <v>3.0455854126679465</v>
      </c>
      <c r="AY585" s="1">
        <f t="shared" si="225"/>
        <v>0.64011516314779271</v>
      </c>
      <c r="AZ585" s="1">
        <f t="shared" si="226"/>
        <v>0.69034908829174668</v>
      </c>
      <c r="BA585" s="1">
        <f t="shared" si="227"/>
        <v>1.2613963531669867</v>
      </c>
      <c r="BB585" s="1">
        <f t="shared" si="228"/>
        <v>0.64011516314779271</v>
      </c>
      <c r="BC585" s="1">
        <f t="shared" si="229"/>
        <v>0.64011516314779271</v>
      </c>
      <c r="BD585" s="1">
        <f t="shared" si="238"/>
        <v>0.2724032139802926</v>
      </c>
      <c r="BF585">
        <f t="shared" si="230"/>
        <v>37.660000000000004</v>
      </c>
      <c r="BG585">
        <f t="shared" si="231"/>
        <v>13.34</v>
      </c>
      <c r="BH585" s="1">
        <f t="shared" si="232"/>
        <v>1.6853425385023897</v>
      </c>
      <c r="BI585" s="1">
        <f t="shared" si="233"/>
        <v>0.35422198619224637</v>
      </c>
      <c r="BJ585" s="1">
        <f t="shared" si="239"/>
        <v>0.53112055231014332</v>
      </c>
      <c r="BK585" s="1">
        <f t="shared" si="240"/>
        <v>0.35422198619224637</v>
      </c>
      <c r="BL585" s="22">
        <f t="shared" si="241"/>
        <v>0.35422198619224637</v>
      </c>
      <c r="BM585" s="1">
        <f t="shared" si="234"/>
        <v>1.8197910107371656E-4</v>
      </c>
      <c r="BN585" s="1">
        <f t="shared" si="244"/>
        <v>1.5943231049162065E-3</v>
      </c>
    </row>
    <row r="586" spans="1:66" x14ac:dyDescent="0.25">
      <c r="A586" s="3"/>
      <c r="B586" s="3"/>
      <c r="C586" t="s">
        <v>333</v>
      </c>
      <c r="D586" s="5">
        <v>1</v>
      </c>
      <c r="E586" s="9">
        <f t="shared" si="242"/>
        <v>13.34</v>
      </c>
      <c r="F586" s="9">
        <f t="shared" si="243"/>
        <v>0.79070636601470046</v>
      </c>
      <c r="G586">
        <v>4.04</v>
      </c>
      <c r="H586">
        <v>16.8</v>
      </c>
      <c r="I586">
        <v>0</v>
      </c>
      <c r="J586">
        <v>0</v>
      </c>
      <c r="K586">
        <v>0</v>
      </c>
      <c r="L586">
        <v>8</v>
      </c>
      <c r="M586">
        <v>0</v>
      </c>
      <c r="N586">
        <v>0</v>
      </c>
      <c r="O586">
        <v>5.34</v>
      </c>
      <c r="P586">
        <v>0</v>
      </c>
      <c r="Q586">
        <v>63.47</v>
      </c>
      <c r="R586">
        <v>0</v>
      </c>
      <c r="S586">
        <v>0</v>
      </c>
      <c r="T586">
        <v>0</v>
      </c>
      <c r="U586">
        <v>2.35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37.74083369501632</v>
      </c>
      <c r="AK586" t="s">
        <v>1</v>
      </c>
      <c r="AL586" t="s">
        <v>374</v>
      </c>
      <c r="AQ586" s="1">
        <f t="shared" si="235"/>
        <v>100</v>
      </c>
      <c r="AR586" s="1">
        <f t="shared" si="221"/>
        <v>0.13339999999999999</v>
      </c>
      <c r="AS586" s="1">
        <f t="shared" si="222"/>
        <v>4.0399999999999998E-2</v>
      </c>
      <c r="AT586" s="1">
        <f t="shared" si="223"/>
        <v>0.16800000000000001</v>
      </c>
      <c r="AU586" s="1">
        <f t="shared" si="224"/>
        <v>0.63470000000000004</v>
      </c>
      <c r="AV586" s="1">
        <f t="shared" si="236"/>
        <v>0.37740833695016318</v>
      </c>
      <c r="AX586" s="1">
        <f t="shared" si="237"/>
        <v>3.0455854126679465</v>
      </c>
      <c r="AY586" s="1">
        <f t="shared" si="225"/>
        <v>0.64011516314779271</v>
      </c>
      <c r="AZ586" s="1">
        <f t="shared" si="226"/>
        <v>0.69034908829174668</v>
      </c>
      <c r="BA586" s="1">
        <f t="shared" si="227"/>
        <v>1.2613963531669867</v>
      </c>
      <c r="BB586" s="1">
        <f t="shared" si="228"/>
        <v>0.64011516314779271</v>
      </c>
      <c r="BC586" s="1">
        <f t="shared" si="229"/>
        <v>0.64011516314779271</v>
      </c>
      <c r="BD586" s="1">
        <f t="shared" si="238"/>
        <v>0.26270682619762953</v>
      </c>
      <c r="BF586">
        <f t="shared" si="230"/>
        <v>37.660000000000004</v>
      </c>
      <c r="BG586">
        <f t="shared" si="231"/>
        <v>13.34</v>
      </c>
      <c r="BH586" s="1">
        <f t="shared" si="232"/>
        <v>1.6853425385023897</v>
      </c>
      <c r="BI586" s="1">
        <f t="shared" si="233"/>
        <v>0.35422198619224637</v>
      </c>
      <c r="BJ586" s="1">
        <f t="shared" si="239"/>
        <v>0.53112055231014332</v>
      </c>
      <c r="BK586" s="1">
        <f t="shared" si="240"/>
        <v>0.35422198619224637</v>
      </c>
      <c r="BL586" s="22">
        <f t="shared" si="241"/>
        <v>0.35422198619224637</v>
      </c>
      <c r="BM586" s="1">
        <f t="shared" si="234"/>
        <v>5.3760686146914931E-4</v>
      </c>
      <c r="BN586" s="1">
        <f t="shared" si="244"/>
        <v>9.1400937556023419E-4</v>
      </c>
    </row>
    <row r="587" spans="1:66" x14ac:dyDescent="0.25">
      <c r="A587" s="3"/>
      <c r="B587" s="3"/>
      <c r="C587" t="s">
        <v>334</v>
      </c>
      <c r="D587" s="5">
        <v>1</v>
      </c>
      <c r="E587" s="9">
        <f t="shared" si="242"/>
        <v>13.35</v>
      </c>
      <c r="F587" s="9">
        <f t="shared" si="243"/>
        <v>0.79070636601470046</v>
      </c>
      <c r="G587">
        <v>4.04</v>
      </c>
      <c r="H587">
        <v>16.8</v>
      </c>
      <c r="I587">
        <v>0</v>
      </c>
      <c r="J587">
        <v>0</v>
      </c>
      <c r="K587">
        <v>0</v>
      </c>
      <c r="L587">
        <v>10.01</v>
      </c>
      <c r="M587">
        <v>0</v>
      </c>
      <c r="N587">
        <v>0</v>
      </c>
      <c r="O587">
        <v>3.34</v>
      </c>
      <c r="P587">
        <v>0</v>
      </c>
      <c r="Q587">
        <v>63.47</v>
      </c>
      <c r="R587">
        <v>0</v>
      </c>
      <c r="S587">
        <v>0</v>
      </c>
      <c r="T587">
        <v>0</v>
      </c>
      <c r="U587">
        <v>2.35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39.518350345983158</v>
      </c>
      <c r="AK587" t="s">
        <v>1</v>
      </c>
      <c r="AL587" t="s">
        <v>374</v>
      </c>
      <c r="AQ587" s="1">
        <f t="shared" si="235"/>
        <v>100.00999999999999</v>
      </c>
      <c r="AR587" s="1">
        <f t="shared" si="221"/>
        <v>0.13350000000000001</v>
      </c>
      <c r="AS587" s="1">
        <f t="shared" si="222"/>
        <v>4.0399999999999998E-2</v>
      </c>
      <c r="AT587" s="1">
        <f t="shared" si="223"/>
        <v>0.16800000000000001</v>
      </c>
      <c r="AU587" s="1">
        <f t="shared" si="224"/>
        <v>0.63470000000000004</v>
      </c>
      <c r="AV587" s="1">
        <f t="shared" si="236"/>
        <v>0.39518350345983161</v>
      </c>
      <c r="AX587" s="1">
        <f t="shared" si="237"/>
        <v>3.0455854126679465</v>
      </c>
      <c r="AY587" s="1">
        <f t="shared" si="225"/>
        <v>0.64059500959692905</v>
      </c>
      <c r="AZ587" s="1">
        <f t="shared" si="226"/>
        <v>0.69034908829174668</v>
      </c>
      <c r="BA587" s="1">
        <f t="shared" si="227"/>
        <v>1.2613963531669867</v>
      </c>
      <c r="BB587" s="1">
        <f t="shared" si="228"/>
        <v>0.64059500959692905</v>
      </c>
      <c r="BC587" s="1">
        <f t="shared" si="229"/>
        <v>0.64059500959692905</v>
      </c>
      <c r="BD587" s="1">
        <f t="shared" si="238"/>
        <v>0.24541150613709745</v>
      </c>
      <c r="BF587">
        <f t="shared" si="230"/>
        <v>37.660000000000004</v>
      </c>
      <c r="BG587">
        <f t="shared" si="231"/>
        <v>13.35</v>
      </c>
      <c r="BH587" s="1">
        <f t="shared" si="232"/>
        <v>1.6853425385023897</v>
      </c>
      <c r="BI587" s="1">
        <f t="shared" si="233"/>
        <v>0.35448751991502919</v>
      </c>
      <c r="BJ587" s="1">
        <f t="shared" si="239"/>
        <v>0.53112055231014332</v>
      </c>
      <c r="BK587" s="1">
        <f t="shared" si="240"/>
        <v>0.35448751991502919</v>
      </c>
      <c r="BL587" s="22">
        <f t="shared" si="241"/>
        <v>0.35448751991502919</v>
      </c>
      <c r="BM587" s="1">
        <f t="shared" si="234"/>
        <v>1.6561630766788291E-3</v>
      </c>
      <c r="BN587" s="1">
        <f t="shared" si="244"/>
        <v>1.5518734952127552E-4</v>
      </c>
    </row>
    <row r="588" spans="1:66" x14ac:dyDescent="0.25">
      <c r="A588" s="3"/>
      <c r="B588" s="3"/>
      <c r="C588" t="s">
        <v>335</v>
      </c>
      <c r="D588" s="5">
        <v>1</v>
      </c>
      <c r="E588" s="9">
        <f t="shared" si="242"/>
        <v>13.34</v>
      </c>
      <c r="F588" s="9">
        <f t="shared" si="243"/>
        <v>0.79070636601470046</v>
      </c>
      <c r="G588">
        <v>4.04</v>
      </c>
      <c r="H588">
        <v>16.8</v>
      </c>
      <c r="I588">
        <v>0</v>
      </c>
      <c r="J588">
        <v>0</v>
      </c>
      <c r="K588">
        <v>0</v>
      </c>
      <c r="L588">
        <v>13.34</v>
      </c>
      <c r="M588">
        <v>0</v>
      </c>
      <c r="N588">
        <v>0</v>
      </c>
      <c r="O588">
        <v>0</v>
      </c>
      <c r="P588">
        <v>0</v>
      </c>
      <c r="Q588">
        <v>63.47</v>
      </c>
      <c r="R588">
        <v>0</v>
      </c>
      <c r="S588">
        <v>0</v>
      </c>
      <c r="T588">
        <v>0</v>
      </c>
      <c r="U588">
        <v>2.35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38.59856336147169</v>
      </c>
      <c r="AK588" t="s">
        <v>1</v>
      </c>
      <c r="AL588" t="s">
        <v>374</v>
      </c>
      <c r="AQ588" s="1">
        <f t="shared" si="235"/>
        <v>100</v>
      </c>
      <c r="AR588" s="1">
        <f t="shared" si="221"/>
        <v>0.13339999999999999</v>
      </c>
      <c r="AS588" s="1">
        <f t="shared" si="222"/>
        <v>4.0399999999999998E-2</v>
      </c>
      <c r="AT588" s="1">
        <f t="shared" si="223"/>
        <v>0.16800000000000001</v>
      </c>
      <c r="AU588" s="1">
        <f t="shared" si="224"/>
        <v>0.63470000000000004</v>
      </c>
      <c r="AV588" s="1">
        <f t="shared" si="236"/>
        <v>0.38598563361471688</v>
      </c>
      <c r="AX588" s="1">
        <f t="shared" si="237"/>
        <v>3.0455854126679465</v>
      </c>
      <c r="AY588" s="1">
        <f t="shared" si="225"/>
        <v>0.64011516314779271</v>
      </c>
      <c r="AZ588" s="1">
        <f t="shared" si="226"/>
        <v>0.69034908829174668</v>
      </c>
      <c r="BA588" s="1">
        <f t="shared" si="227"/>
        <v>1.2613963531669867</v>
      </c>
      <c r="BB588" s="1">
        <f t="shared" si="228"/>
        <v>0.64011516314779271</v>
      </c>
      <c r="BC588" s="1">
        <f t="shared" si="229"/>
        <v>0.64011516314779271</v>
      </c>
      <c r="BD588" s="1">
        <f t="shared" si="238"/>
        <v>0.25412952953307583</v>
      </c>
      <c r="BF588">
        <f t="shared" si="230"/>
        <v>37.660000000000004</v>
      </c>
      <c r="BG588">
        <f t="shared" si="231"/>
        <v>13.34</v>
      </c>
      <c r="BH588" s="1">
        <f t="shared" si="232"/>
        <v>1.6853425385023897</v>
      </c>
      <c r="BI588" s="1">
        <f t="shared" si="233"/>
        <v>0.35422198619224637</v>
      </c>
      <c r="BJ588" s="1">
        <f t="shared" si="239"/>
        <v>0.53112055231014332</v>
      </c>
      <c r="BK588" s="1">
        <f t="shared" si="240"/>
        <v>0.35422198619224637</v>
      </c>
      <c r="BL588" s="22">
        <f t="shared" si="241"/>
        <v>0.35422198619224637</v>
      </c>
      <c r="BM588" s="1">
        <f t="shared" si="234"/>
        <v>1.0089292975790174E-3</v>
      </c>
      <c r="BN588" s="1">
        <f t="shared" si="244"/>
        <v>4.6895164166444993E-4</v>
      </c>
    </row>
    <row r="589" spans="1:66" x14ac:dyDescent="0.25">
      <c r="A589" s="3"/>
      <c r="B589" s="3"/>
      <c r="C589" t="s">
        <v>336</v>
      </c>
      <c r="D589" s="5">
        <v>1</v>
      </c>
      <c r="E589" s="9">
        <f t="shared" si="242"/>
        <v>13.44</v>
      </c>
      <c r="F589" s="9">
        <f t="shared" si="243"/>
        <v>0.79070636601470046</v>
      </c>
      <c r="G589">
        <v>4.04</v>
      </c>
      <c r="H589">
        <v>16.8</v>
      </c>
      <c r="I589">
        <v>0</v>
      </c>
      <c r="J589">
        <v>0</v>
      </c>
      <c r="K589">
        <v>0</v>
      </c>
      <c r="L589">
        <v>0</v>
      </c>
      <c r="M589">
        <v>3.34</v>
      </c>
      <c r="N589">
        <v>0</v>
      </c>
      <c r="O589">
        <v>10.1</v>
      </c>
      <c r="P589">
        <v>0</v>
      </c>
      <c r="Q589">
        <v>63.47</v>
      </c>
      <c r="R589">
        <v>0</v>
      </c>
      <c r="S589">
        <v>0</v>
      </c>
      <c r="T589">
        <v>0</v>
      </c>
      <c r="U589">
        <v>2.35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40.799340682654567</v>
      </c>
      <c r="AK589" t="s">
        <v>1</v>
      </c>
      <c r="AL589" t="s">
        <v>374</v>
      </c>
      <c r="AQ589" s="1">
        <f t="shared" si="235"/>
        <v>100.1</v>
      </c>
      <c r="AR589" s="1">
        <f t="shared" si="221"/>
        <v>0.13439999999999999</v>
      </c>
      <c r="AS589" s="1">
        <f t="shared" si="222"/>
        <v>4.0399999999999998E-2</v>
      </c>
      <c r="AT589" s="1">
        <f t="shared" si="223"/>
        <v>0.16800000000000001</v>
      </c>
      <c r="AU589" s="1">
        <f t="shared" si="224"/>
        <v>0.63470000000000004</v>
      </c>
      <c r="AV589" s="1">
        <f t="shared" si="236"/>
        <v>0.40799340682654567</v>
      </c>
      <c r="AX589" s="1">
        <f t="shared" si="237"/>
        <v>3.0455854126679465</v>
      </c>
      <c r="AY589" s="1">
        <f t="shared" si="225"/>
        <v>0.64491362763915538</v>
      </c>
      <c r="AZ589" s="1">
        <f t="shared" si="226"/>
        <v>0.69034908829174668</v>
      </c>
      <c r="BA589" s="1">
        <f t="shared" si="227"/>
        <v>1.2613963531669867</v>
      </c>
      <c r="BB589" s="1">
        <f t="shared" si="228"/>
        <v>0.64491362763915538</v>
      </c>
      <c r="BC589" s="1">
        <f t="shared" si="229"/>
        <v>0.64491362763915538</v>
      </c>
      <c r="BD589" s="1">
        <f t="shared" si="238"/>
        <v>0.23692022081260972</v>
      </c>
      <c r="BF589">
        <f t="shared" si="230"/>
        <v>37.660000000000004</v>
      </c>
      <c r="BG589">
        <f t="shared" si="231"/>
        <v>13.44</v>
      </c>
      <c r="BH589" s="1">
        <f t="shared" si="232"/>
        <v>1.6853425385023897</v>
      </c>
      <c r="BI589" s="1">
        <f t="shared" si="233"/>
        <v>0.35687732342007428</v>
      </c>
      <c r="BJ589" s="1">
        <f t="shared" si="239"/>
        <v>0.53112055231014332</v>
      </c>
      <c r="BK589" s="1">
        <f t="shared" si="240"/>
        <v>0.35687732342007428</v>
      </c>
      <c r="BL589" s="22">
        <f t="shared" si="241"/>
        <v>0.35687732342007428</v>
      </c>
      <c r="BM589" s="1">
        <f t="shared" si="234"/>
        <v>2.6128539828173397E-3</v>
      </c>
      <c r="BN589" s="1">
        <f t="shared" si="244"/>
        <v>1.2424349203667295E-7</v>
      </c>
    </row>
    <row r="590" spans="1:66" x14ac:dyDescent="0.25">
      <c r="A590" s="3"/>
      <c r="B590" s="3"/>
      <c r="C590" t="s">
        <v>337</v>
      </c>
      <c r="D590" s="5">
        <v>1</v>
      </c>
      <c r="E590" s="9">
        <f t="shared" si="242"/>
        <v>13.34</v>
      </c>
      <c r="F590" s="9">
        <f t="shared" si="243"/>
        <v>0.79070636601470046</v>
      </c>
      <c r="G590">
        <v>4.04</v>
      </c>
      <c r="H590">
        <v>16.8</v>
      </c>
      <c r="I590">
        <v>0</v>
      </c>
      <c r="J590">
        <v>0</v>
      </c>
      <c r="K590">
        <v>0</v>
      </c>
      <c r="L590">
        <v>0</v>
      </c>
      <c r="M590">
        <v>6.67</v>
      </c>
      <c r="N590">
        <v>0</v>
      </c>
      <c r="O590">
        <v>6.67</v>
      </c>
      <c r="P590">
        <v>0</v>
      </c>
      <c r="Q590">
        <v>63.47</v>
      </c>
      <c r="R590">
        <v>0</v>
      </c>
      <c r="S590">
        <v>0</v>
      </c>
      <c r="T590">
        <v>0</v>
      </c>
      <c r="U590">
        <v>2.35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43.140266261723369</v>
      </c>
      <c r="AK590" t="s">
        <v>1</v>
      </c>
      <c r="AL590" t="s">
        <v>374</v>
      </c>
      <c r="AQ590" s="1">
        <f t="shared" si="235"/>
        <v>100</v>
      </c>
      <c r="AR590" s="1">
        <f t="shared" si="221"/>
        <v>0.13339999999999999</v>
      </c>
      <c r="AS590" s="1">
        <f t="shared" si="222"/>
        <v>4.0399999999999998E-2</v>
      </c>
      <c r="AT590" s="1">
        <f t="shared" si="223"/>
        <v>0.16800000000000001</v>
      </c>
      <c r="AU590" s="1">
        <f t="shared" si="224"/>
        <v>0.63470000000000004</v>
      </c>
      <c r="AV590" s="1">
        <f t="shared" si="236"/>
        <v>0.4314026626172337</v>
      </c>
      <c r="AX590" s="1">
        <f t="shared" si="237"/>
        <v>3.0455854126679465</v>
      </c>
      <c r="AY590" s="1">
        <f t="shared" si="225"/>
        <v>0.64011516314779271</v>
      </c>
      <c r="AZ590" s="1">
        <f t="shared" si="226"/>
        <v>0.69034908829174668</v>
      </c>
      <c r="BA590" s="1">
        <f t="shared" si="227"/>
        <v>1.2613963531669867</v>
      </c>
      <c r="BB590" s="1">
        <f t="shared" si="228"/>
        <v>0.64011516314779271</v>
      </c>
      <c r="BC590" s="1">
        <f t="shared" si="229"/>
        <v>0.64011516314779271</v>
      </c>
      <c r="BD590" s="1">
        <f t="shared" si="238"/>
        <v>0.20871250053055901</v>
      </c>
      <c r="BF590">
        <f t="shared" si="230"/>
        <v>37.660000000000004</v>
      </c>
      <c r="BG590">
        <f t="shared" si="231"/>
        <v>13.34</v>
      </c>
      <c r="BH590" s="1">
        <f t="shared" si="232"/>
        <v>1.6853425385023897</v>
      </c>
      <c r="BI590" s="1">
        <f t="shared" si="233"/>
        <v>0.35422198619224637</v>
      </c>
      <c r="BJ590" s="1">
        <f t="shared" si="239"/>
        <v>0.53112055231014332</v>
      </c>
      <c r="BK590" s="1">
        <f t="shared" si="240"/>
        <v>0.35422198619224637</v>
      </c>
      <c r="BL590" s="22">
        <f t="shared" si="241"/>
        <v>0.35422198619224637</v>
      </c>
      <c r="BM590" s="1">
        <f t="shared" si="234"/>
        <v>5.9568568134185946E-3</v>
      </c>
      <c r="BN590" s="1">
        <f t="shared" si="244"/>
        <v>5.6462017822998302E-4</v>
      </c>
    </row>
    <row r="591" spans="1:66" x14ac:dyDescent="0.25">
      <c r="A591" s="3"/>
      <c r="B591" s="3"/>
      <c r="C591" t="s">
        <v>338</v>
      </c>
      <c r="D591" s="5">
        <v>1</v>
      </c>
      <c r="E591" s="9">
        <f t="shared" si="242"/>
        <v>13.35</v>
      </c>
      <c r="F591" s="9">
        <f t="shared" si="243"/>
        <v>0.79070636601470046</v>
      </c>
      <c r="G591">
        <v>4.04</v>
      </c>
      <c r="H591">
        <v>16.8</v>
      </c>
      <c r="I591">
        <v>0</v>
      </c>
      <c r="J591">
        <v>0</v>
      </c>
      <c r="K591">
        <v>0</v>
      </c>
      <c r="L591">
        <v>0</v>
      </c>
      <c r="M591">
        <v>10.01</v>
      </c>
      <c r="N591">
        <v>0</v>
      </c>
      <c r="O591">
        <v>3.34</v>
      </c>
      <c r="P591">
        <v>0</v>
      </c>
      <c r="Q591">
        <v>63.47</v>
      </c>
      <c r="R591">
        <v>0</v>
      </c>
      <c r="S591">
        <v>0</v>
      </c>
      <c r="T591">
        <v>0</v>
      </c>
      <c r="U591">
        <v>2.35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38.15454115348809</v>
      </c>
      <c r="AK591" t="s">
        <v>1</v>
      </c>
      <c r="AL591" t="s">
        <v>374</v>
      </c>
      <c r="AQ591" s="1">
        <f t="shared" si="235"/>
        <v>100.00999999999999</v>
      </c>
      <c r="AR591" s="1">
        <f t="shared" si="221"/>
        <v>0.13350000000000001</v>
      </c>
      <c r="AS591" s="1">
        <f t="shared" si="222"/>
        <v>4.0399999999999998E-2</v>
      </c>
      <c r="AT591" s="1">
        <f t="shared" si="223"/>
        <v>0.16800000000000001</v>
      </c>
      <c r="AU591" s="1">
        <f t="shared" si="224"/>
        <v>0.63470000000000004</v>
      </c>
      <c r="AV591" s="1">
        <f t="shared" si="236"/>
        <v>0.38154541153488092</v>
      </c>
      <c r="AX591" s="1">
        <f t="shared" si="237"/>
        <v>3.0455854126679465</v>
      </c>
      <c r="AY591" s="1">
        <f t="shared" si="225"/>
        <v>0.64059500959692905</v>
      </c>
      <c r="AZ591" s="1">
        <f t="shared" si="226"/>
        <v>0.69034908829174668</v>
      </c>
      <c r="BA591" s="1">
        <f t="shared" si="227"/>
        <v>1.2613963531669867</v>
      </c>
      <c r="BB591" s="1">
        <f t="shared" si="228"/>
        <v>0.64059500959692905</v>
      </c>
      <c r="BC591" s="1">
        <f t="shared" si="229"/>
        <v>0.64059500959692905</v>
      </c>
      <c r="BD591" s="1">
        <f t="shared" si="238"/>
        <v>0.25904959806204814</v>
      </c>
      <c r="BF591">
        <f t="shared" si="230"/>
        <v>37.660000000000004</v>
      </c>
      <c r="BG591">
        <f t="shared" si="231"/>
        <v>13.35</v>
      </c>
      <c r="BH591" s="1">
        <f t="shared" si="232"/>
        <v>1.6853425385023897</v>
      </c>
      <c r="BI591" s="1">
        <f t="shared" si="233"/>
        <v>0.35448751991502919</v>
      </c>
      <c r="BJ591" s="1">
        <f t="shared" si="239"/>
        <v>0.53112055231014332</v>
      </c>
      <c r="BK591" s="1">
        <f t="shared" si="240"/>
        <v>0.35448751991502919</v>
      </c>
      <c r="BL591" s="22">
        <f t="shared" si="241"/>
        <v>0.35448751991502919</v>
      </c>
      <c r="BM591" s="1">
        <f t="shared" si="234"/>
        <v>7.3212949891164223E-4</v>
      </c>
      <c r="BN591" s="1">
        <f t="shared" si="244"/>
        <v>6.8097581901100941E-4</v>
      </c>
    </row>
    <row r="592" spans="1:66" x14ac:dyDescent="0.25">
      <c r="A592" s="3"/>
      <c r="B592" s="3"/>
      <c r="C592" t="s">
        <v>339</v>
      </c>
      <c r="D592" s="5">
        <v>1</v>
      </c>
      <c r="E592" s="9">
        <f t="shared" si="242"/>
        <v>13.34</v>
      </c>
      <c r="F592" s="9">
        <f t="shared" si="243"/>
        <v>0.79070636601470046</v>
      </c>
      <c r="G592">
        <v>4.04</v>
      </c>
      <c r="H592">
        <v>16.8</v>
      </c>
      <c r="I592">
        <v>0</v>
      </c>
      <c r="J592">
        <v>0</v>
      </c>
      <c r="K592">
        <v>0</v>
      </c>
      <c r="L592">
        <v>0</v>
      </c>
      <c r="M592">
        <v>13.34</v>
      </c>
      <c r="N592">
        <v>0</v>
      </c>
      <c r="O592">
        <v>0</v>
      </c>
      <c r="P592">
        <v>0</v>
      </c>
      <c r="Q592">
        <v>63.47</v>
      </c>
      <c r="R592">
        <v>0</v>
      </c>
      <c r="S592">
        <v>0</v>
      </c>
      <c r="T592">
        <v>0</v>
      </c>
      <c r="U592">
        <v>2.35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36.901186004118173</v>
      </c>
      <c r="AK592" t="s">
        <v>1</v>
      </c>
      <c r="AL592" t="s">
        <v>374</v>
      </c>
      <c r="AQ592" s="1">
        <f t="shared" si="235"/>
        <v>100</v>
      </c>
      <c r="AR592" s="1">
        <f t="shared" si="221"/>
        <v>0.13339999999999999</v>
      </c>
      <c r="AS592" s="1">
        <f t="shared" si="222"/>
        <v>4.0399999999999998E-2</v>
      </c>
      <c r="AT592" s="1">
        <f t="shared" si="223"/>
        <v>0.16800000000000001</v>
      </c>
      <c r="AU592" s="1">
        <f t="shared" si="224"/>
        <v>0.63470000000000004</v>
      </c>
      <c r="AV592" s="1">
        <f t="shared" si="236"/>
        <v>0.36901186004118175</v>
      </c>
      <c r="AX592" s="1">
        <f t="shared" si="237"/>
        <v>3.0455854126679465</v>
      </c>
      <c r="AY592" s="1">
        <f t="shared" si="225"/>
        <v>0.64011516314779271</v>
      </c>
      <c r="AZ592" s="1">
        <f t="shared" si="226"/>
        <v>0.69034908829174668</v>
      </c>
      <c r="BA592" s="1">
        <f t="shared" si="227"/>
        <v>1.2613963531669867</v>
      </c>
      <c r="BB592" s="1">
        <f t="shared" si="228"/>
        <v>0.64011516314779271</v>
      </c>
      <c r="BC592" s="1">
        <f t="shared" si="229"/>
        <v>0.64011516314779271</v>
      </c>
      <c r="BD592" s="1">
        <f t="shared" si="238"/>
        <v>0.27110330310661096</v>
      </c>
      <c r="BF592">
        <f t="shared" si="230"/>
        <v>37.660000000000004</v>
      </c>
      <c r="BG592">
        <f t="shared" si="231"/>
        <v>13.34</v>
      </c>
      <c r="BH592" s="1">
        <f t="shared" si="232"/>
        <v>1.6853425385023897</v>
      </c>
      <c r="BI592" s="1">
        <f t="shared" si="233"/>
        <v>0.35422198619224637</v>
      </c>
      <c r="BJ592" s="1">
        <f t="shared" si="239"/>
        <v>0.53112055231014332</v>
      </c>
      <c r="BK592" s="1">
        <f t="shared" si="240"/>
        <v>0.35422198619224637</v>
      </c>
      <c r="BL592" s="22">
        <f t="shared" si="241"/>
        <v>0.35422198619224637</v>
      </c>
      <c r="BM592" s="1">
        <f t="shared" si="234"/>
        <v>2.1874036846742249E-4</v>
      </c>
      <c r="BN592" s="1">
        <f t="shared" si="244"/>
        <v>1.492204653675561E-3</v>
      </c>
    </row>
    <row r="593" spans="1:66" x14ac:dyDescent="0.25">
      <c r="A593" s="3"/>
      <c r="B593" s="3"/>
      <c r="C593" t="s">
        <v>605</v>
      </c>
      <c r="D593" s="5">
        <v>1</v>
      </c>
      <c r="E593" s="9">
        <f t="shared" si="242"/>
        <v>14.310197086546699</v>
      </c>
      <c r="F593" s="9">
        <f t="shared" si="243"/>
        <v>0</v>
      </c>
      <c r="G593">
        <v>0</v>
      </c>
      <c r="H593">
        <v>85.689802913453292</v>
      </c>
      <c r="I593">
        <v>0</v>
      </c>
      <c r="J593">
        <v>0</v>
      </c>
      <c r="K593">
        <v>0</v>
      </c>
      <c r="L593">
        <v>0</v>
      </c>
      <c r="M593">
        <v>14.310197086546699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16.164999999999999</v>
      </c>
      <c r="AK593" t="s">
        <v>1</v>
      </c>
      <c r="AL593" t="s">
        <v>374</v>
      </c>
      <c r="AO593" t="s">
        <v>378</v>
      </c>
      <c r="AQ593" s="1">
        <f t="shared" si="235"/>
        <v>99.999999999999986</v>
      </c>
      <c r="AR593" s="1">
        <f t="shared" si="221"/>
        <v>0.143101970865467</v>
      </c>
      <c r="AS593" s="1">
        <f t="shared" si="222"/>
        <v>0</v>
      </c>
      <c r="AT593" s="1">
        <f t="shared" si="223"/>
        <v>0.85689802913453295</v>
      </c>
      <c r="AU593" s="1">
        <f t="shared" si="224"/>
        <v>0</v>
      </c>
      <c r="AV593" s="1">
        <f t="shared" si="236"/>
        <v>0.16164999999999999</v>
      </c>
      <c r="AX593" s="1">
        <f t="shared" si="237"/>
        <v>0</v>
      </c>
      <c r="AY593" s="1">
        <f t="shared" si="225"/>
        <v>0.16700000000000001</v>
      </c>
      <c r="AZ593" s="1">
        <f t="shared" si="226"/>
        <v>0.5</v>
      </c>
      <c r="BA593" s="1">
        <f t="shared" si="227"/>
        <v>0.5</v>
      </c>
      <c r="BB593" s="1">
        <f t="shared" si="228"/>
        <v>0.16700000000000001</v>
      </c>
      <c r="BC593" s="1">
        <f t="shared" si="229"/>
        <v>0.16700000000000001</v>
      </c>
      <c r="BD593" s="1">
        <f t="shared" si="238"/>
        <v>5.3500000000000214E-3</v>
      </c>
      <c r="BF593">
        <f t="shared" si="230"/>
        <v>85.689802913453292</v>
      </c>
      <c r="BG593">
        <f t="shared" si="231"/>
        <v>14.310197086546699</v>
      </c>
      <c r="BH593" s="1">
        <f t="shared" si="232"/>
        <v>0</v>
      </c>
      <c r="BI593" s="1">
        <f t="shared" si="233"/>
        <v>0.16699999999999998</v>
      </c>
      <c r="BJ593" s="1">
        <f t="shared" si="239"/>
        <v>0.43</v>
      </c>
      <c r="BK593" s="1">
        <f t="shared" si="240"/>
        <v>0.16699999999999998</v>
      </c>
      <c r="BL593" s="22">
        <f t="shared" si="241"/>
        <v>0.16699999999999998</v>
      </c>
      <c r="BM593" s="1">
        <f t="shared" si="234"/>
        <v>2.8622499999999931E-5</v>
      </c>
      <c r="BN593" s="1">
        <f t="shared" si="244"/>
        <v>6.051153514467577E-2</v>
      </c>
    </row>
    <row r="594" spans="1:66" x14ac:dyDescent="0.25">
      <c r="A594" s="3"/>
      <c r="B594" s="3"/>
      <c r="C594" t="s">
        <v>606</v>
      </c>
      <c r="D594" s="5">
        <v>1</v>
      </c>
      <c r="E594" s="9">
        <f t="shared" si="242"/>
        <v>25.03748125937031</v>
      </c>
      <c r="F594" s="9">
        <f t="shared" si="243"/>
        <v>0</v>
      </c>
      <c r="G594">
        <v>0</v>
      </c>
      <c r="H594">
        <v>74.962518740629676</v>
      </c>
      <c r="I594">
        <v>0</v>
      </c>
      <c r="J594">
        <v>0</v>
      </c>
      <c r="K594">
        <v>0</v>
      </c>
      <c r="L594">
        <v>0</v>
      </c>
      <c r="M594">
        <v>25.03748125937031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31.692</v>
      </c>
      <c r="AK594" t="s">
        <v>1</v>
      </c>
      <c r="AL594" t="s">
        <v>374</v>
      </c>
      <c r="AQ594" s="1">
        <f t="shared" si="235"/>
        <v>99.999999999999986</v>
      </c>
      <c r="AR594" s="1">
        <f t="shared" si="221"/>
        <v>0.25037481259370309</v>
      </c>
      <c r="AS594" s="1">
        <f t="shared" si="222"/>
        <v>0</v>
      </c>
      <c r="AT594" s="1">
        <f t="shared" si="223"/>
        <v>0.7496251874062968</v>
      </c>
      <c r="AU594" s="1">
        <f t="shared" si="224"/>
        <v>0</v>
      </c>
      <c r="AV594" s="1">
        <f t="shared" si="236"/>
        <v>0.31691999999999998</v>
      </c>
      <c r="AX594" s="1">
        <f t="shared" si="237"/>
        <v>0</v>
      </c>
      <c r="AY594" s="1">
        <f t="shared" si="225"/>
        <v>0.33399999999999996</v>
      </c>
      <c r="AZ594" s="1">
        <f t="shared" si="226"/>
        <v>0.5</v>
      </c>
      <c r="BA594" s="1">
        <f t="shared" si="227"/>
        <v>0.5</v>
      </c>
      <c r="BB594" s="1">
        <f t="shared" si="228"/>
        <v>0.33399999999999996</v>
      </c>
      <c r="BC594" s="1">
        <f t="shared" si="229"/>
        <v>0.33399999999999996</v>
      </c>
      <c r="BD594" s="1">
        <f t="shared" si="238"/>
        <v>1.7079999999999984E-2</v>
      </c>
      <c r="BF594">
        <f t="shared" si="230"/>
        <v>74.962518740629676</v>
      </c>
      <c r="BG594">
        <f t="shared" si="231"/>
        <v>25.03748125937031</v>
      </c>
      <c r="BH594" s="1">
        <f t="shared" si="232"/>
        <v>0</v>
      </c>
      <c r="BI594" s="1">
        <f t="shared" si="233"/>
        <v>0.33399999999999996</v>
      </c>
      <c r="BJ594" s="1">
        <f t="shared" si="239"/>
        <v>0.43</v>
      </c>
      <c r="BK594" s="1">
        <f t="shared" si="240"/>
        <v>0.33399999999999996</v>
      </c>
      <c r="BL594" s="22">
        <f t="shared" si="241"/>
        <v>0.33399999999999996</v>
      </c>
      <c r="BM594" s="1">
        <f t="shared" si="234"/>
        <v>2.9172639999999945E-4</v>
      </c>
      <c r="BN594" s="1">
        <f t="shared" si="244"/>
        <v>8.2302862189593765E-3</v>
      </c>
    </row>
    <row r="595" spans="1:66" x14ac:dyDescent="0.25">
      <c r="A595" s="3"/>
      <c r="B595" s="3"/>
      <c r="C595" t="s">
        <v>607</v>
      </c>
      <c r="D595" s="6">
        <v>1</v>
      </c>
      <c r="E595" s="1"/>
      <c r="F595" s="1"/>
      <c r="G595">
        <v>0</v>
      </c>
      <c r="H595">
        <v>66.666666666666657</v>
      </c>
      <c r="I595">
        <v>0</v>
      </c>
      <c r="J595">
        <v>0</v>
      </c>
      <c r="K595">
        <v>0</v>
      </c>
      <c r="L595">
        <v>0</v>
      </c>
      <c r="M595">
        <v>33.333333333333329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38.933999999999997</v>
      </c>
      <c r="AK595" t="s">
        <v>1</v>
      </c>
      <c r="AL595" t="s">
        <v>374</v>
      </c>
      <c r="AQ595" s="1">
        <f t="shared" si="235"/>
        <v>99.999999999999986</v>
      </c>
      <c r="AR595" s="1">
        <f t="shared" si="221"/>
        <v>0.33333333333333326</v>
      </c>
      <c r="AS595" s="1">
        <f t="shared" si="222"/>
        <v>0</v>
      </c>
      <c r="AT595" s="1">
        <f t="shared" si="223"/>
        <v>0.66666666666666652</v>
      </c>
      <c r="AU595" s="1">
        <f t="shared" si="224"/>
        <v>0</v>
      </c>
      <c r="AV595" s="1">
        <f t="shared" si="236"/>
        <v>0.38933999999999996</v>
      </c>
      <c r="AX595" s="1">
        <f t="shared" si="237"/>
        <v>0</v>
      </c>
      <c r="AY595" s="1">
        <f t="shared" si="225"/>
        <v>0.5</v>
      </c>
      <c r="AZ595" s="1">
        <f t="shared" si="226"/>
        <v>0.5</v>
      </c>
      <c r="BA595" s="1">
        <f t="shared" si="227"/>
        <v>0.5</v>
      </c>
      <c r="BB595" s="1">
        <f t="shared" si="228"/>
        <v>0.5</v>
      </c>
      <c r="BC595" s="1">
        <f t="shared" si="229"/>
        <v>0.5</v>
      </c>
      <c r="BD595" s="1">
        <f t="shared" si="238"/>
        <v>0.11066000000000004</v>
      </c>
      <c r="BF595">
        <f t="shared" si="230"/>
        <v>66.666666666666657</v>
      </c>
      <c r="BG595">
        <f t="shared" si="231"/>
        <v>33.333333333333329</v>
      </c>
      <c r="BH595" s="1">
        <f t="shared" si="232"/>
        <v>0</v>
      </c>
      <c r="BI595" s="1">
        <f t="shared" si="233"/>
        <v>0.5</v>
      </c>
      <c r="BJ595" s="1">
        <f t="shared" si="239"/>
        <v>0.43</v>
      </c>
      <c r="BK595" s="1">
        <f t="shared" si="240"/>
        <v>0.40701138914924623</v>
      </c>
      <c r="BL595" s="22">
        <f t="shared" si="241"/>
        <v>0.40701138914924623</v>
      </c>
      <c r="BM595" s="1">
        <f t="shared" si="234"/>
        <v>3.122779944640986E-4</v>
      </c>
      <c r="BN595" s="1">
        <f t="shared" si="244"/>
        <v>3.3492385305236696E-4</v>
      </c>
    </row>
    <row r="596" spans="1:66" x14ac:dyDescent="0.25">
      <c r="A596" s="3"/>
      <c r="B596" s="3"/>
      <c r="C596" t="s">
        <v>608</v>
      </c>
      <c r="D596" s="5">
        <v>1</v>
      </c>
      <c r="E596" s="9">
        <f t="shared" ref="E596:E609" si="245">I596+L596+M596+N596+O596+V596+X596+AB596+AD596</f>
        <v>40.011997600479901</v>
      </c>
      <c r="F596" s="9">
        <f t="shared" ref="F596:F609" si="246">Q596/(H596+P596+Q596+AC596)</f>
        <v>0</v>
      </c>
      <c r="G596">
        <v>0</v>
      </c>
      <c r="H596">
        <v>59.988002399520092</v>
      </c>
      <c r="I596">
        <v>0</v>
      </c>
      <c r="J596">
        <v>0</v>
      </c>
      <c r="K596">
        <v>0</v>
      </c>
      <c r="L596">
        <v>0</v>
      </c>
      <c r="M596">
        <v>40.011997600479901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44.831000000000003</v>
      </c>
      <c r="AK596" t="s">
        <v>1</v>
      </c>
      <c r="AL596" t="s">
        <v>374</v>
      </c>
      <c r="AQ596" s="1">
        <f t="shared" si="235"/>
        <v>100</v>
      </c>
      <c r="AR596" s="1">
        <f t="shared" si="221"/>
        <v>0.40011997600479904</v>
      </c>
      <c r="AS596" s="1">
        <f t="shared" si="222"/>
        <v>0</v>
      </c>
      <c r="AT596" s="1">
        <f t="shared" si="223"/>
        <v>0.59988002399520091</v>
      </c>
      <c r="AU596" s="1">
        <f t="shared" si="224"/>
        <v>0</v>
      </c>
      <c r="AV596" s="1">
        <f t="shared" si="236"/>
        <v>0.44831000000000004</v>
      </c>
      <c r="AX596" s="1">
        <f t="shared" si="237"/>
        <v>0</v>
      </c>
      <c r="AY596" s="1">
        <f t="shared" si="225"/>
        <v>0.66700000000000004</v>
      </c>
      <c r="AZ596" s="1">
        <f t="shared" si="226"/>
        <v>0.5</v>
      </c>
      <c r="BA596" s="1">
        <f t="shared" si="227"/>
        <v>0.5</v>
      </c>
      <c r="BB596" s="1">
        <f t="shared" si="228"/>
        <v>0.4443333333333333</v>
      </c>
      <c r="BC596" s="1">
        <f t="shared" si="229"/>
        <v>0.4443333333333333</v>
      </c>
      <c r="BD596" s="1">
        <f t="shared" si="238"/>
        <v>3.9766666666667394E-3</v>
      </c>
      <c r="BF596">
        <f t="shared" si="230"/>
        <v>59.988002399520092</v>
      </c>
      <c r="BG596">
        <f t="shared" si="231"/>
        <v>40.011997600479901</v>
      </c>
      <c r="BH596" s="1">
        <f t="shared" si="232"/>
        <v>0</v>
      </c>
      <c r="BI596" s="1">
        <f t="shared" si="233"/>
        <v>0.66700000000000004</v>
      </c>
      <c r="BJ596" s="1">
        <f t="shared" si="239"/>
        <v>0.43</v>
      </c>
      <c r="BK596" s="1">
        <f t="shared" si="240"/>
        <v>0.40764281546119419</v>
      </c>
      <c r="BL596" s="22">
        <f t="shared" si="241"/>
        <v>0.40764281546119419</v>
      </c>
      <c r="BM596" s="1">
        <f t="shared" si="234"/>
        <v>1.65381989831329E-3</v>
      </c>
      <c r="BN596" s="1">
        <f t="shared" si="244"/>
        <v>1.6539736675851477E-3</v>
      </c>
    </row>
    <row r="597" spans="1:66" x14ac:dyDescent="0.25">
      <c r="A597" s="3"/>
      <c r="B597" s="3"/>
      <c r="C597" t="s">
        <v>609</v>
      </c>
      <c r="D597" s="5">
        <v>1</v>
      </c>
      <c r="E597" s="9">
        <f t="shared" si="245"/>
        <v>44.994499449944989</v>
      </c>
      <c r="F597" s="9">
        <f t="shared" si="246"/>
        <v>0</v>
      </c>
      <c r="G597">
        <v>0</v>
      </c>
      <c r="H597">
        <v>55.005500550055011</v>
      </c>
      <c r="I597">
        <v>0</v>
      </c>
      <c r="J597">
        <v>0</v>
      </c>
      <c r="K597">
        <v>0</v>
      </c>
      <c r="L597">
        <v>0</v>
      </c>
      <c r="M597">
        <v>44.994499449944989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39.976999999999997</v>
      </c>
      <c r="AK597" t="s">
        <v>1</v>
      </c>
      <c r="AL597" t="s">
        <v>374</v>
      </c>
      <c r="AQ597" s="1">
        <f t="shared" si="235"/>
        <v>100</v>
      </c>
      <c r="AR597" s="1">
        <f t="shared" si="221"/>
        <v>0.44994499449944991</v>
      </c>
      <c r="AS597" s="1">
        <f t="shared" si="222"/>
        <v>0</v>
      </c>
      <c r="AT597" s="1">
        <f t="shared" si="223"/>
        <v>0.55005500550055009</v>
      </c>
      <c r="AU597" s="1">
        <f t="shared" si="224"/>
        <v>0</v>
      </c>
      <c r="AV597" s="1">
        <f t="shared" si="236"/>
        <v>0.39976999999999996</v>
      </c>
      <c r="AX597" s="1">
        <f t="shared" si="237"/>
        <v>0</v>
      </c>
      <c r="AY597" s="1">
        <f t="shared" si="225"/>
        <v>0.81799999999999984</v>
      </c>
      <c r="AZ597" s="1">
        <f t="shared" si="226"/>
        <v>0.5</v>
      </c>
      <c r="BA597" s="1">
        <f t="shared" si="227"/>
        <v>0.5</v>
      </c>
      <c r="BB597" s="1">
        <f t="shared" si="228"/>
        <v>0.39400000000000007</v>
      </c>
      <c r="BC597" s="1">
        <f t="shared" si="229"/>
        <v>0.39400000000000007</v>
      </c>
      <c r="BD597" s="1">
        <f t="shared" si="238"/>
        <v>5.7699999999998863E-3</v>
      </c>
      <c r="BF597">
        <f t="shared" si="230"/>
        <v>55.005500550055011</v>
      </c>
      <c r="BG597">
        <f t="shared" si="231"/>
        <v>44.994499449944989</v>
      </c>
      <c r="BH597" s="1">
        <f t="shared" si="232"/>
        <v>0</v>
      </c>
      <c r="BI597" s="1">
        <f t="shared" si="233"/>
        <v>0.81799999999999984</v>
      </c>
      <c r="BJ597" s="1">
        <f t="shared" si="239"/>
        <v>0.43</v>
      </c>
      <c r="BK597" s="1">
        <f t="shared" si="240"/>
        <v>0.39392211657697429</v>
      </c>
      <c r="BL597" s="22">
        <f t="shared" si="241"/>
        <v>0.39392211657697429</v>
      </c>
      <c r="BM597" s="1">
        <f t="shared" si="234"/>
        <v>3.4197740529298409E-5</v>
      </c>
      <c r="BN597" s="1">
        <f t="shared" si="244"/>
        <v>6.1951459149990181E-5</v>
      </c>
    </row>
    <row r="598" spans="1:66" x14ac:dyDescent="0.25">
      <c r="A598" s="3"/>
      <c r="B598" s="3"/>
      <c r="C598" t="s">
        <v>610</v>
      </c>
      <c r="D598" s="5">
        <v>1</v>
      </c>
      <c r="E598" s="9">
        <f t="shared" si="245"/>
        <v>14.310197086546699</v>
      </c>
      <c r="F598" s="9">
        <f t="shared" si="246"/>
        <v>0</v>
      </c>
      <c r="G598">
        <v>0</v>
      </c>
      <c r="H598">
        <v>85.689802913453292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14.310197086546699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15.436999999999999</v>
      </c>
      <c r="AK598" t="s">
        <v>1</v>
      </c>
      <c r="AL598" t="s">
        <v>374</v>
      </c>
      <c r="AQ598" s="1">
        <f t="shared" si="235"/>
        <v>99.999999999999986</v>
      </c>
      <c r="AR598" s="1">
        <f t="shared" si="221"/>
        <v>0.143101970865467</v>
      </c>
      <c r="AS598" s="1">
        <f t="shared" si="222"/>
        <v>0</v>
      </c>
      <c r="AT598" s="1">
        <f t="shared" si="223"/>
        <v>0.85689802913453295</v>
      </c>
      <c r="AU598" s="1">
        <f t="shared" si="224"/>
        <v>0</v>
      </c>
      <c r="AV598" s="1">
        <f t="shared" si="236"/>
        <v>0.15437000000000001</v>
      </c>
      <c r="AX598" s="1">
        <f t="shared" si="237"/>
        <v>0</v>
      </c>
      <c r="AY598" s="1">
        <f t="shared" si="225"/>
        <v>0.16700000000000001</v>
      </c>
      <c r="AZ598" s="1">
        <f t="shared" si="226"/>
        <v>0.5</v>
      </c>
      <c r="BA598" s="1">
        <f t="shared" si="227"/>
        <v>0.5</v>
      </c>
      <c r="BB598" s="1">
        <f t="shared" si="228"/>
        <v>0.16700000000000001</v>
      </c>
      <c r="BC598" s="1">
        <f t="shared" si="229"/>
        <v>0.16700000000000001</v>
      </c>
      <c r="BD598" s="1">
        <f t="shared" si="238"/>
        <v>1.2630000000000002E-2</v>
      </c>
      <c r="BF598">
        <f t="shared" si="230"/>
        <v>85.689802913453292</v>
      </c>
      <c r="BG598">
        <f t="shared" si="231"/>
        <v>14.310197086546699</v>
      </c>
      <c r="BH598" s="1">
        <f t="shared" si="232"/>
        <v>0</v>
      </c>
      <c r="BI598" s="1">
        <f t="shared" si="233"/>
        <v>0.16699999999999998</v>
      </c>
      <c r="BJ598" s="1">
        <f t="shared" si="239"/>
        <v>0.43</v>
      </c>
      <c r="BK598" s="1">
        <f t="shared" si="240"/>
        <v>0.16699999999999998</v>
      </c>
      <c r="BL598" s="22">
        <f t="shared" si="241"/>
        <v>0.16699999999999998</v>
      </c>
      <c r="BM598" s="1">
        <f t="shared" si="234"/>
        <v>1.5951689999999937E-4</v>
      </c>
      <c r="BN598" s="1">
        <f t="shared" si="244"/>
        <v>6.414616141156064E-2</v>
      </c>
    </row>
    <row r="599" spans="1:66" x14ac:dyDescent="0.25">
      <c r="A599" s="3"/>
      <c r="B599" s="3"/>
      <c r="C599" t="s">
        <v>611</v>
      </c>
      <c r="D599" s="5">
        <v>1</v>
      </c>
      <c r="E599" s="9">
        <f t="shared" si="245"/>
        <v>25.03748125937031</v>
      </c>
      <c r="F599" s="9">
        <f t="shared" si="246"/>
        <v>0</v>
      </c>
      <c r="G599">
        <v>0</v>
      </c>
      <c r="H599">
        <v>74.962518740629676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25.03748125937031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29.209</v>
      </c>
      <c r="AK599" t="s">
        <v>1</v>
      </c>
      <c r="AL599" t="s">
        <v>374</v>
      </c>
      <c r="AQ599" s="1">
        <f t="shared" si="235"/>
        <v>99.999999999999986</v>
      </c>
      <c r="AR599" s="1">
        <f t="shared" si="221"/>
        <v>0.25037481259370309</v>
      </c>
      <c r="AS599" s="1">
        <f t="shared" si="222"/>
        <v>0</v>
      </c>
      <c r="AT599" s="1">
        <f t="shared" si="223"/>
        <v>0.7496251874062968</v>
      </c>
      <c r="AU599" s="1">
        <f t="shared" si="224"/>
        <v>0</v>
      </c>
      <c r="AV599" s="1">
        <f t="shared" si="236"/>
        <v>0.29209000000000002</v>
      </c>
      <c r="AX599" s="1">
        <f t="shared" si="237"/>
        <v>0</v>
      </c>
      <c r="AY599" s="1">
        <f t="shared" si="225"/>
        <v>0.33399999999999996</v>
      </c>
      <c r="AZ599" s="1">
        <f t="shared" si="226"/>
        <v>0.5</v>
      </c>
      <c r="BA599" s="1">
        <f t="shared" si="227"/>
        <v>0.5</v>
      </c>
      <c r="BB599" s="1">
        <f t="shared" si="228"/>
        <v>0.33399999999999996</v>
      </c>
      <c r="BC599" s="1">
        <f t="shared" si="229"/>
        <v>0.33399999999999996</v>
      </c>
      <c r="BD599" s="1">
        <f t="shared" si="238"/>
        <v>4.1909999999999947E-2</v>
      </c>
      <c r="BF599">
        <f t="shared" si="230"/>
        <v>74.962518740629676</v>
      </c>
      <c r="BG599">
        <f t="shared" si="231"/>
        <v>25.03748125937031</v>
      </c>
      <c r="BH599" s="1">
        <f t="shared" si="232"/>
        <v>0</v>
      </c>
      <c r="BI599" s="1">
        <f t="shared" si="233"/>
        <v>0.33399999999999996</v>
      </c>
      <c r="BJ599" s="1">
        <f t="shared" si="239"/>
        <v>0.43</v>
      </c>
      <c r="BK599" s="1">
        <f t="shared" si="240"/>
        <v>0.33399999999999996</v>
      </c>
      <c r="BL599" s="22">
        <f t="shared" si="241"/>
        <v>0.33399999999999996</v>
      </c>
      <c r="BM599" s="1">
        <f t="shared" si="234"/>
        <v>1.7564480999999956E-3</v>
      </c>
      <c r="BN599" s="1">
        <f t="shared" si="244"/>
        <v>1.3352016250656013E-2</v>
      </c>
    </row>
    <row r="600" spans="1:66" x14ac:dyDescent="0.25">
      <c r="A600" s="3"/>
      <c r="B600" s="3"/>
      <c r="C600" t="s">
        <v>612</v>
      </c>
      <c r="D600" s="5">
        <v>1</v>
      </c>
      <c r="E600" s="9">
        <f t="shared" si="245"/>
        <v>33.333333333333329</v>
      </c>
      <c r="F600" s="9">
        <f t="shared" si="246"/>
        <v>0</v>
      </c>
      <c r="G600">
        <v>0</v>
      </c>
      <c r="H600">
        <v>66.666666666666657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33.333333333333329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37.700000000000003</v>
      </c>
      <c r="AK600" t="s">
        <v>1</v>
      </c>
      <c r="AL600" t="s">
        <v>374</v>
      </c>
      <c r="AQ600" s="1">
        <f t="shared" si="235"/>
        <v>99.999999999999986</v>
      </c>
      <c r="AR600" s="1">
        <f t="shared" si="221"/>
        <v>0.33333333333333326</v>
      </c>
      <c r="AS600" s="1">
        <f t="shared" si="222"/>
        <v>0</v>
      </c>
      <c r="AT600" s="1">
        <f t="shared" si="223"/>
        <v>0.66666666666666652</v>
      </c>
      <c r="AU600" s="1">
        <f t="shared" si="224"/>
        <v>0</v>
      </c>
      <c r="AV600" s="1">
        <f t="shared" si="236"/>
        <v>0.377</v>
      </c>
      <c r="AX600" s="1">
        <f t="shared" si="237"/>
        <v>0</v>
      </c>
      <c r="AY600" s="1">
        <f t="shared" si="225"/>
        <v>0.5</v>
      </c>
      <c r="AZ600" s="1">
        <f t="shared" si="226"/>
        <v>0.5</v>
      </c>
      <c r="BA600" s="1">
        <f t="shared" si="227"/>
        <v>0.5</v>
      </c>
      <c r="BB600" s="1">
        <f t="shared" si="228"/>
        <v>0.5</v>
      </c>
      <c r="BC600" s="1">
        <f t="shared" si="229"/>
        <v>0.5</v>
      </c>
      <c r="BD600" s="1">
        <f t="shared" si="238"/>
        <v>0.123</v>
      </c>
      <c r="BF600">
        <f t="shared" si="230"/>
        <v>66.666666666666657</v>
      </c>
      <c r="BG600">
        <f t="shared" si="231"/>
        <v>33.333333333333329</v>
      </c>
      <c r="BH600" s="1">
        <f t="shared" si="232"/>
        <v>0</v>
      </c>
      <c r="BI600" s="1">
        <f t="shared" si="233"/>
        <v>0.5</v>
      </c>
      <c r="BJ600" s="1">
        <f t="shared" si="239"/>
        <v>0.43</v>
      </c>
      <c r="BK600" s="1">
        <f t="shared" si="240"/>
        <v>0.40701138914924623</v>
      </c>
      <c r="BL600" s="22">
        <f t="shared" si="241"/>
        <v>0.40701138914924623</v>
      </c>
      <c r="BM600" s="1">
        <f t="shared" si="234"/>
        <v>9.0068347866749409E-4</v>
      </c>
      <c r="BN600" s="1">
        <f t="shared" si="244"/>
        <v>9.388662801621758E-4</v>
      </c>
    </row>
    <row r="601" spans="1:66" x14ac:dyDescent="0.25">
      <c r="A601" s="3"/>
      <c r="B601" s="3"/>
      <c r="C601" t="s">
        <v>613</v>
      </c>
      <c r="D601" s="5">
        <v>1</v>
      </c>
      <c r="E601" s="9">
        <f t="shared" si="245"/>
        <v>40.011997600479901</v>
      </c>
      <c r="F601" s="9">
        <f t="shared" si="246"/>
        <v>0</v>
      </c>
      <c r="G601">
        <v>0</v>
      </c>
      <c r="H601">
        <v>59.988002399520092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40.011997600479901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38.411999999999999</v>
      </c>
      <c r="AK601" t="s">
        <v>1</v>
      </c>
      <c r="AL601" t="s">
        <v>374</v>
      </c>
      <c r="AQ601" s="1">
        <f t="shared" si="235"/>
        <v>100</v>
      </c>
      <c r="AR601" s="1">
        <f t="shared" si="221"/>
        <v>0.40011997600479904</v>
      </c>
      <c r="AS601" s="1">
        <f t="shared" si="222"/>
        <v>0</v>
      </c>
      <c r="AT601" s="1">
        <f t="shared" si="223"/>
        <v>0.59988002399520091</v>
      </c>
      <c r="AU601" s="1">
        <f t="shared" si="224"/>
        <v>0</v>
      </c>
      <c r="AV601" s="1">
        <f t="shared" si="236"/>
        <v>0.38412000000000002</v>
      </c>
      <c r="AX601" s="1">
        <f t="shared" si="237"/>
        <v>0</v>
      </c>
      <c r="AY601" s="1">
        <f t="shared" si="225"/>
        <v>0.66700000000000004</v>
      </c>
      <c r="AZ601" s="1">
        <f t="shared" si="226"/>
        <v>0.5</v>
      </c>
      <c r="BA601" s="1">
        <f t="shared" si="227"/>
        <v>0.5</v>
      </c>
      <c r="BB601" s="1">
        <f t="shared" si="228"/>
        <v>0.4443333333333333</v>
      </c>
      <c r="BC601" s="1">
        <f t="shared" si="229"/>
        <v>0.4443333333333333</v>
      </c>
      <c r="BD601" s="1">
        <f t="shared" si="238"/>
        <v>6.0213333333333285E-2</v>
      </c>
      <c r="BF601">
        <f t="shared" si="230"/>
        <v>59.988002399520092</v>
      </c>
      <c r="BG601">
        <f t="shared" si="231"/>
        <v>40.011997600479901</v>
      </c>
      <c r="BH601" s="1">
        <f t="shared" si="232"/>
        <v>0</v>
      </c>
      <c r="BI601" s="1">
        <f t="shared" si="233"/>
        <v>0.66700000000000004</v>
      </c>
      <c r="BJ601" s="1">
        <f t="shared" si="239"/>
        <v>0.43</v>
      </c>
      <c r="BK601" s="1">
        <f t="shared" si="240"/>
        <v>0.40764281546119419</v>
      </c>
      <c r="BL601" s="22">
        <f t="shared" si="241"/>
        <v>0.40764281546119419</v>
      </c>
      <c r="BM601" s="1">
        <f t="shared" si="234"/>
        <v>5.5332284722139544E-4</v>
      </c>
      <c r="BN601" s="1">
        <f t="shared" si="244"/>
        <v>5.5323390925278697E-4</v>
      </c>
    </row>
    <row r="602" spans="1:66" x14ac:dyDescent="0.25">
      <c r="A602" s="3"/>
      <c r="B602" s="3"/>
      <c r="C602" t="s">
        <v>614</v>
      </c>
      <c r="D602" s="5">
        <v>1</v>
      </c>
      <c r="E602" s="9">
        <f t="shared" si="245"/>
        <v>44.994499449944989</v>
      </c>
      <c r="F602" s="9">
        <f t="shared" si="246"/>
        <v>0</v>
      </c>
      <c r="G602">
        <v>0</v>
      </c>
      <c r="H602">
        <v>55.005500550055011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44.994499449944989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33.652999999999999</v>
      </c>
      <c r="AK602" t="s">
        <v>1</v>
      </c>
      <c r="AL602" t="s">
        <v>374</v>
      </c>
      <c r="AQ602" s="1">
        <f t="shared" si="235"/>
        <v>100</v>
      </c>
      <c r="AR602" s="1">
        <f t="shared" si="221"/>
        <v>0.44994499449944991</v>
      </c>
      <c r="AS602" s="1">
        <f t="shared" si="222"/>
        <v>0</v>
      </c>
      <c r="AT602" s="1">
        <f t="shared" si="223"/>
        <v>0.55005500550055009</v>
      </c>
      <c r="AU602" s="1">
        <f t="shared" si="224"/>
        <v>0</v>
      </c>
      <c r="AV602" s="1">
        <f t="shared" si="236"/>
        <v>0.33653</v>
      </c>
      <c r="AX602" s="1">
        <f t="shared" si="237"/>
        <v>0</v>
      </c>
      <c r="AY602" s="1">
        <f t="shared" si="225"/>
        <v>0.81799999999999984</v>
      </c>
      <c r="AZ602" s="1">
        <f t="shared" si="226"/>
        <v>0.5</v>
      </c>
      <c r="BA602" s="1">
        <f t="shared" si="227"/>
        <v>0.5</v>
      </c>
      <c r="BB602" s="1">
        <f t="shared" si="228"/>
        <v>0.39400000000000007</v>
      </c>
      <c r="BC602" s="1">
        <f t="shared" si="229"/>
        <v>0.39400000000000007</v>
      </c>
      <c r="BD602" s="1">
        <f t="shared" si="238"/>
        <v>5.7470000000000077E-2</v>
      </c>
      <c r="BF602">
        <f t="shared" si="230"/>
        <v>55.005500550055011</v>
      </c>
      <c r="BG602">
        <f t="shared" si="231"/>
        <v>44.994499449944989</v>
      </c>
      <c r="BH602" s="1">
        <f t="shared" si="232"/>
        <v>0</v>
      </c>
      <c r="BI602" s="1">
        <f t="shared" si="233"/>
        <v>0.81799999999999984</v>
      </c>
      <c r="BJ602" s="1">
        <f t="shared" si="239"/>
        <v>0.43</v>
      </c>
      <c r="BK602" s="1">
        <f t="shared" si="240"/>
        <v>0.39392211657697429</v>
      </c>
      <c r="BL602" s="22">
        <f t="shared" si="241"/>
        <v>0.39392211657697429</v>
      </c>
      <c r="BM602" s="1">
        <f t="shared" si="234"/>
        <v>3.2938550451850077E-3</v>
      </c>
      <c r="BN602" s="1">
        <f t="shared" si="244"/>
        <v>5.0567636434631505E-3</v>
      </c>
    </row>
    <row r="603" spans="1:66" x14ac:dyDescent="0.25">
      <c r="A603" s="3"/>
      <c r="B603" s="3"/>
      <c r="C603" t="s">
        <v>615</v>
      </c>
      <c r="D603" s="5">
        <v>1</v>
      </c>
      <c r="E603" s="9">
        <f t="shared" si="245"/>
        <v>14.310197086546699</v>
      </c>
      <c r="F603" s="9">
        <f t="shared" si="246"/>
        <v>0</v>
      </c>
      <c r="G603">
        <v>0</v>
      </c>
      <c r="H603">
        <v>85.689802913453292</v>
      </c>
      <c r="I603">
        <v>0</v>
      </c>
      <c r="J603">
        <v>0</v>
      </c>
      <c r="K603">
        <v>0</v>
      </c>
      <c r="L603">
        <v>14.310197086546699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15.548</v>
      </c>
      <c r="AK603" t="s">
        <v>1</v>
      </c>
      <c r="AL603" t="s">
        <v>374</v>
      </c>
      <c r="AQ603" s="1">
        <f t="shared" si="235"/>
        <v>99.999999999999986</v>
      </c>
      <c r="AR603" s="1">
        <f t="shared" si="221"/>
        <v>0.143101970865467</v>
      </c>
      <c r="AS603" s="1">
        <f t="shared" si="222"/>
        <v>0</v>
      </c>
      <c r="AT603" s="1">
        <f t="shared" si="223"/>
        <v>0.85689802913453295</v>
      </c>
      <c r="AU603" s="1">
        <f t="shared" si="224"/>
        <v>0</v>
      </c>
      <c r="AV603" s="1">
        <f t="shared" si="236"/>
        <v>0.15548000000000001</v>
      </c>
      <c r="AX603" s="1">
        <f t="shared" si="237"/>
        <v>0</v>
      </c>
      <c r="AY603" s="1">
        <f t="shared" si="225"/>
        <v>0.16700000000000001</v>
      </c>
      <c r="AZ603" s="1">
        <f t="shared" si="226"/>
        <v>0.5</v>
      </c>
      <c r="BA603" s="1">
        <f t="shared" si="227"/>
        <v>0.5</v>
      </c>
      <c r="BB603" s="1">
        <f t="shared" si="228"/>
        <v>0.16700000000000001</v>
      </c>
      <c r="BC603" s="1">
        <f t="shared" si="229"/>
        <v>0.16700000000000001</v>
      </c>
      <c r="BD603" s="1">
        <f t="shared" si="238"/>
        <v>1.1520000000000002E-2</v>
      </c>
      <c r="BF603">
        <f t="shared" si="230"/>
        <v>85.689802913453292</v>
      </c>
      <c r="BG603">
        <f t="shared" si="231"/>
        <v>14.310197086546699</v>
      </c>
      <c r="BH603" s="1">
        <f t="shared" si="232"/>
        <v>0</v>
      </c>
      <c r="BI603" s="1">
        <f t="shared" si="233"/>
        <v>0.16699999999999998</v>
      </c>
      <c r="BJ603" s="1">
        <f t="shared" si="239"/>
        <v>0.43</v>
      </c>
      <c r="BK603" s="1">
        <f t="shared" si="240"/>
        <v>0.16699999999999998</v>
      </c>
      <c r="BL603" s="22">
        <f t="shared" si="241"/>
        <v>0.16699999999999998</v>
      </c>
      <c r="BM603" s="1">
        <f t="shared" si="234"/>
        <v>1.3271039999999943E-4</v>
      </c>
      <c r="BN603" s="1">
        <f t="shared" si="244"/>
        <v>6.3585132058230659E-2</v>
      </c>
    </row>
    <row r="604" spans="1:66" x14ac:dyDescent="0.25">
      <c r="A604" s="3"/>
      <c r="B604" s="3"/>
      <c r="C604" t="s">
        <v>616</v>
      </c>
      <c r="D604" s="5">
        <v>1</v>
      </c>
      <c r="E604" s="9">
        <f t="shared" si="245"/>
        <v>25.03748125937031</v>
      </c>
      <c r="F604" s="9">
        <f t="shared" si="246"/>
        <v>0</v>
      </c>
      <c r="G604">
        <v>0</v>
      </c>
      <c r="H604">
        <v>74.962518740629676</v>
      </c>
      <c r="I604">
        <v>0</v>
      </c>
      <c r="J604">
        <v>0</v>
      </c>
      <c r="K604">
        <v>0</v>
      </c>
      <c r="L604">
        <v>25.03748125937031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28.687999999999999</v>
      </c>
      <c r="AK604" t="s">
        <v>1</v>
      </c>
      <c r="AL604" t="s">
        <v>374</v>
      </c>
      <c r="AQ604" s="1">
        <f t="shared" si="235"/>
        <v>99.999999999999986</v>
      </c>
      <c r="AR604" s="1">
        <f t="shared" si="221"/>
        <v>0.25037481259370309</v>
      </c>
      <c r="AS604" s="1">
        <f t="shared" si="222"/>
        <v>0</v>
      </c>
      <c r="AT604" s="1">
        <f t="shared" si="223"/>
        <v>0.7496251874062968</v>
      </c>
      <c r="AU604" s="1">
        <f t="shared" si="224"/>
        <v>0</v>
      </c>
      <c r="AV604" s="1">
        <f t="shared" si="236"/>
        <v>0.28687999999999997</v>
      </c>
      <c r="AX604" s="1">
        <f t="shared" si="237"/>
        <v>0</v>
      </c>
      <c r="AY604" s="1">
        <f t="shared" si="225"/>
        <v>0.33399999999999996</v>
      </c>
      <c r="AZ604" s="1">
        <f t="shared" si="226"/>
        <v>0.5</v>
      </c>
      <c r="BA604" s="1">
        <f t="shared" si="227"/>
        <v>0.5</v>
      </c>
      <c r="BB604" s="1">
        <f t="shared" si="228"/>
        <v>0.33399999999999996</v>
      </c>
      <c r="BC604" s="1">
        <f t="shared" si="229"/>
        <v>0.33399999999999996</v>
      </c>
      <c r="BD604" s="1">
        <f t="shared" si="238"/>
        <v>4.7119999999999995E-2</v>
      </c>
      <c r="BF604">
        <f t="shared" si="230"/>
        <v>74.962518740629676</v>
      </c>
      <c r="BG604">
        <f t="shared" si="231"/>
        <v>25.03748125937031</v>
      </c>
      <c r="BH604" s="1">
        <f t="shared" si="232"/>
        <v>0</v>
      </c>
      <c r="BI604" s="1">
        <f t="shared" si="233"/>
        <v>0.33399999999999996</v>
      </c>
      <c r="BJ604" s="1">
        <f t="shared" si="239"/>
        <v>0.43</v>
      </c>
      <c r="BK604" s="1">
        <f t="shared" si="240"/>
        <v>0.33399999999999996</v>
      </c>
      <c r="BL604" s="22">
        <f t="shared" si="241"/>
        <v>0.33399999999999996</v>
      </c>
      <c r="BM604" s="1">
        <f t="shared" si="234"/>
        <v>2.2202943999999995E-3</v>
      </c>
      <c r="BN604" s="1">
        <f t="shared" si="244"/>
        <v>1.4583200988357978E-2</v>
      </c>
    </row>
    <row r="605" spans="1:66" x14ac:dyDescent="0.25">
      <c r="A605" s="3"/>
      <c r="B605" s="3"/>
      <c r="C605" t="s">
        <v>617</v>
      </c>
      <c r="D605" s="5">
        <v>1</v>
      </c>
      <c r="E605" s="9">
        <f t="shared" si="245"/>
        <v>33.333333333333329</v>
      </c>
      <c r="F605" s="9">
        <f t="shared" si="246"/>
        <v>0</v>
      </c>
      <c r="G605">
        <v>0</v>
      </c>
      <c r="H605">
        <v>66.666666666666657</v>
      </c>
      <c r="I605">
        <v>0</v>
      </c>
      <c r="J605">
        <v>0</v>
      </c>
      <c r="K605">
        <v>0</v>
      </c>
      <c r="L605">
        <v>33.333333333333329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33.857999999999997</v>
      </c>
      <c r="AK605" t="s">
        <v>1</v>
      </c>
      <c r="AL605" t="s">
        <v>374</v>
      </c>
      <c r="AQ605" s="1">
        <f t="shared" si="235"/>
        <v>99.999999999999986</v>
      </c>
      <c r="AR605" s="1">
        <f t="shared" si="221"/>
        <v>0.33333333333333326</v>
      </c>
      <c r="AS605" s="1">
        <f t="shared" si="222"/>
        <v>0</v>
      </c>
      <c r="AT605" s="1">
        <f t="shared" si="223"/>
        <v>0.66666666666666652</v>
      </c>
      <c r="AU605" s="1">
        <f t="shared" si="224"/>
        <v>0</v>
      </c>
      <c r="AV605" s="1">
        <f t="shared" si="236"/>
        <v>0.33857999999999999</v>
      </c>
      <c r="AX605" s="1">
        <f t="shared" si="237"/>
        <v>0</v>
      </c>
      <c r="AY605" s="1">
        <f t="shared" si="225"/>
        <v>0.5</v>
      </c>
      <c r="AZ605" s="1">
        <f t="shared" si="226"/>
        <v>0.5</v>
      </c>
      <c r="BA605" s="1">
        <f t="shared" si="227"/>
        <v>0.5</v>
      </c>
      <c r="BB605" s="1">
        <f t="shared" si="228"/>
        <v>0.5</v>
      </c>
      <c r="BC605" s="1">
        <f t="shared" si="229"/>
        <v>0.5</v>
      </c>
      <c r="BD605" s="1">
        <f t="shared" si="238"/>
        <v>0.16142000000000001</v>
      </c>
      <c r="BF605">
        <f t="shared" si="230"/>
        <v>66.666666666666657</v>
      </c>
      <c r="BG605">
        <f t="shared" si="231"/>
        <v>33.333333333333329</v>
      </c>
      <c r="BH605" s="1">
        <f t="shared" si="232"/>
        <v>0</v>
      </c>
      <c r="BI605" s="1">
        <f t="shared" si="233"/>
        <v>0.5</v>
      </c>
      <c r="BJ605" s="1">
        <f t="shared" si="239"/>
        <v>0.43</v>
      </c>
      <c r="BK605" s="1">
        <f t="shared" si="240"/>
        <v>0.40701138914924623</v>
      </c>
      <c r="BL605" s="22">
        <f t="shared" si="241"/>
        <v>0.40701138914924623</v>
      </c>
      <c r="BM605" s="1">
        <f t="shared" si="234"/>
        <v>4.6828550208955757E-3</v>
      </c>
      <c r="BN605" s="1">
        <f t="shared" si="244"/>
        <v>4.7694113512771613E-3</v>
      </c>
    </row>
    <row r="606" spans="1:66" x14ac:dyDescent="0.25">
      <c r="A606" s="3"/>
      <c r="B606" s="3"/>
      <c r="C606" t="s">
        <v>618</v>
      </c>
      <c r="D606" s="5">
        <v>1</v>
      </c>
      <c r="E606" s="9">
        <f t="shared" si="245"/>
        <v>40.011997600479901</v>
      </c>
      <c r="F606" s="9">
        <f t="shared" si="246"/>
        <v>0</v>
      </c>
      <c r="G606">
        <v>0</v>
      </c>
      <c r="H606">
        <v>59.988002399520092</v>
      </c>
      <c r="I606">
        <v>0</v>
      </c>
      <c r="J606">
        <v>0</v>
      </c>
      <c r="K606">
        <v>0</v>
      </c>
      <c r="L606">
        <v>40.011997600479901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31.786999999999999</v>
      </c>
      <c r="AK606" t="s">
        <v>1</v>
      </c>
      <c r="AL606" t="s">
        <v>374</v>
      </c>
      <c r="AQ606" s="1">
        <f t="shared" si="235"/>
        <v>100</v>
      </c>
      <c r="AR606" s="1">
        <f t="shared" si="221"/>
        <v>0.40011997600479904</v>
      </c>
      <c r="AS606" s="1">
        <f t="shared" si="222"/>
        <v>0</v>
      </c>
      <c r="AT606" s="1">
        <f t="shared" si="223"/>
        <v>0.59988002399520091</v>
      </c>
      <c r="AU606" s="1">
        <f t="shared" si="224"/>
        <v>0</v>
      </c>
      <c r="AV606" s="1">
        <f t="shared" si="236"/>
        <v>0.31786999999999999</v>
      </c>
      <c r="AX606" s="1">
        <f t="shared" si="237"/>
        <v>0</v>
      </c>
      <c r="AY606" s="1">
        <f t="shared" si="225"/>
        <v>0.66700000000000004</v>
      </c>
      <c r="AZ606" s="1">
        <f t="shared" si="226"/>
        <v>0.5</v>
      </c>
      <c r="BA606" s="1">
        <f t="shared" si="227"/>
        <v>0.5</v>
      </c>
      <c r="BB606" s="1">
        <f t="shared" si="228"/>
        <v>0.4443333333333333</v>
      </c>
      <c r="BC606" s="1">
        <f t="shared" si="229"/>
        <v>0.4443333333333333</v>
      </c>
      <c r="BD606" s="1">
        <f t="shared" si="238"/>
        <v>0.12646333333333332</v>
      </c>
      <c r="BF606">
        <f t="shared" si="230"/>
        <v>59.988002399520092</v>
      </c>
      <c r="BG606">
        <f t="shared" si="231"/>
        <v>40.011997600479901</v>
      </c>
      <c r="BH606" s="1">
        <f t="shared" si="232"/>
        <v>0</v>
      </c>
      <c r="BI606" s="1">
        <f t="shared" si="233"/>
        <v>0.66700000000000004</v>
      </c>
      <c r="BJ606" s="1">
        <f t="shared" si="239"/>
        <v>0.43</v>
      </c>
      <c r="BK606" s="1">
        <f t="shared" si="240"/>
        <v>0.40764281546119419</v>
      </c>
      <c r="BL606" s="22">
        <f t="shared" si="241"/>
        <v>0.40764281546119419</v>
      </c>
      <c r="BM606" s="1">
        <f t="shared" si="234"/>
        <v>8.059158395829628E-3</v>
      </c>
      <c r="BN606" s="1">
        <f t="shared" si="244"/>
        <v>8.0588189616048918E-3</v>
      </c>
    </row>
    <row r="607" spans="1:66" x14ac:dyDescent="0.25">
      <c r="A607" s="3"/>
      <c r="B607" s="3"/>
      <c r="C607" t="s">
        <v>619</v>
      </c>
      <c r="D607" s="5">
        <v>1</v>
      </c>
      <c r="E607" s="9">
        <f t="shared" si="245"/>
        <v>44.994499449944989</v>
      </c>
      <c r="F607" s="9">
        <f t="shared" si="246"/>
        <v>0</v>
      </c>
      <c r="G607">
        <v>0</v>
      </c>
      <c r="H607">
        <v>55.005500550055011</v>
      </c>
      <c r="I607">
        <v>0</v>
      </c>
      <c r="J607">
        <v>0</v>
      </c>
      <c r="K607">
        <v>0</v>
      </c>
      <c r="L607">
        <v>44.994499449944989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29.826000000000001</v>
      </c>
      <c r="AK607" t="s">
        <v>1</v>
      </c>
      <c r="AL607" t="s">
        <v>374</v>
      </c>
      <c r="AQ607" s="1">
        <f t="shared" si="235"/>
        <v>100</v>
      </c>
      <c r="AR607" s="1">
        <f t="shared" si="221"/>
        <v>0.44994499449944991</v>
      </c>
      <c r="AS607" s="1">
        <f t="shared" si="222"/>
        <v>0</v>
      </c>
      <c r="AT607" s="1">
        <f t="shared" si="223"/>
        <v>0.55005500550055009</v>
      </c>
      <c r="AU607" s="1">
        <f t="shared" si="224"/>
        <v>0</v>
      </c>
      <c r="AV607" s="1">
        <f t="shared" si="236"/>
        <v>0.29826000000000003</v>
      </c>
      <c r="AX607" s="1">
        <f t="shared" si="237"/>
        <v>0</v>
      </c>
      <c r="AY607" s="1">
        <f t="shared" si="225"/>
        <v>0.81799999999999984</v>
      </c>
      <c r="AZ607" s="1">
        <f t="shared" si="226"/>
        <v>0.5</v>
      </c>
      <c r="BA607" s="1">
        <f t="shared" si="227"/>
        <v>0.5</v>
      </c>
      <c r="BB607" s="1">
        <f t="shared" si="228"/>
        <v>0.39400000000000007</v>
      </c>
      <c r="BC607" s="1">
        <f t="shared" si="229"/>
        <v>0.39400000000000007</v>
      </c>
      <c r="BD607" s="1">
        <f t="shared" si="238"/>
        <v>9.5740000000000047E-2</v>
      </c>
      <c r="BF607">
        <f t="shared" si="230"/>
        <v>55.005500550055011</v>
      </c>
      <c r="BG607">
        <f t="shared" si="231"/>
        <v>44.994499449944989</v>
      </c>
      <c r="BH607" s="1">
        <f t="shared" si="232"/>
        <v>0</v>
      </c>
      <c r="BI607" s="1">
        <f t="shared" si="233"/>
        <v>0.81799999999999984</v>
      </c>
      <c r="BJ607" s="1">
        <f t="shared" si="239"/>
        <v>0.43</v>
      </c>
      <c r="BK607" s="1">
        <f t="shared" si="240"/>
        <v>0.39392211657697429</v>
      </c>
      <c r="BL607" s="22">
        <f t="shared" si="241"/>
        <v>0.39392211657697429</v>
      </c>
      <c r="BM607" s="1">
        <f t="shared" si="234"/>
        <v>9.1512405479866141E-3</v>
      </c>
      <c r="BN607" s="1">
        <f t="shared" si="244"/>
        <v>1.1964186737101106E-2</v>
      </c>
    </row>
    <row r="608" spans="1:66" x14ac:dyDescent="0.25">
      <c r="A608" s="3"/>
      <c r="B608" s="3"/>
      <c r="C608" t="s">
        <v>620</v>
      </c>
      <c r="D608" s="5">
        <v>1</v>
      </c>
      <c r="E608" s="9">
        <f t="shared" si="245"/>
        <v>14.310197086546699</v>
      </c>
      <c r="F608" s="9">
        <f t="shared" si="246"/>
        <v>0</v>
      </c>
      <c r="G608">
        <v>0</v>
      </c>
      <c r="H608">
        <v>85.689802913453292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14.310197086546699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15.121</v>
      </c>
      <c r="AK608" t="s">
        <v>1</v>
      </c>
      <c r="AL608" t="s">
        <v>374</v>
      </c>
      <c r="AQ608" s="1">
        <f t="shared" si="235"/>
        <v>99.999999999999986</v>
      </c>
      <c r="AR608" s="1">
        <f t="shared" si="221"/>
        <v>0</v>
      </c>
      <c r="AS608" s="1">
        <f t="shared" si="222"/>
        <v>0</v>
      </c>
      <c r="AT608" s="1">
        <f t="shared" si="223"/>
        <v>0.85689802913453295</v>
      </c>
      <c r="AU608" s="1">
        <f t="shared" si="224"/>
        <v>0</v>
      </c>
      <c r="AV608" s="1">
        <f t="shared" si="236"/>
        <v>0.15121000000000001</v>
      </c>
      <c r="AX608" s="1">
        <f t="shared" si="237"/>
        <v>0</v>
      </c>
      <c r="AY608" s="1">
        <f t="shared" si="225"/>
        <v>0</v>
      </c>
      <c r="AZ608" s="1">
        <f t="shared" si="226"/>
        <v>0.5</v>
      </c>
      <c r="BA608" s="1">
        <f t="shared" si="227"/>
        <v>0.5</v>
      </c>
      <c r="BB608" s="1">
        <f t="shared" si="228"/>
        <v>0</v>
      </c>
      <c r="BC608" s="1">
        <f t="shared" si="229"/>
        <v>0</v>
      </c>
      <c r="BD608" s="1">
        <f t="shared" si="238"/>
        <v>0.15121000000000001</v>
      </c>
      <c r="BF608">
        <f t="shared" si="230"/>
        <v>85.689802913453292</v>
      </c>
      <c r="BG608">
        <f t="shared" si="231"/>
        <v>14.310197086546699</v>
      </c>
      <c r="BH608" s="1">
        <f t="shared" si="232"/>
        <v>0</v>
      </c>
      <c r="BI608" s="1">
        <f t="shared" si="233"/>
        <v>0.16699999999999998</v>
      </c>
      <c r="BJ608" s="1">
        <f t="shared" si="239"/>
        <v>0.43</v>
      </c>
      <c r="BK608" s="1">
        <f t="shared" si="240"/>
        <v>0.16699999999999998</v>
      </c>
      <c r="BL608" s="22">
        <f t="shared" si="241"/>
        <v>0.16699999999999998</v>
      </c>
      <c r="BM608" s="1">
        <f t="shared" si="234"/>
        <v>2.493240999999991E-4</v>
      </c>
      <c r="BN608" s="1">
        <f t="shared" si="244"/>
        <v>6.5756819257076604E-2</v>
      </c>
    </row>
    <row r="609" spans="1:66" x14ac:dyDescent="0.25">
      <c r="A609" s="3"/>
      <c r="B609" s="3"/>
      <c r="C609" t="s">
        <v>621</v>
      </c>
      <c r="D609" s="5">
        <v>1</v>
      </c>
      <c r="E609" s="9">
        <f t="shared" si="245"/>
        <v>25.03748125937031</v>
      </c>
      <c r="F609" s="9">
        <f t="shared" si="246"/>
        <v>0</v>
      </c>
      <c r="G609">
        <v>0</v>
      </c>
      <c r="H609">
        <v>74.962518740629676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25.03748125937031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27.754999999999999</v>
      </c>
      <c r="AK609" t="s">
        <v>1</v>
      </c>
      <c r="AL609" t="s">
        <v>374</v>
      </c>
      <c r="AQ609" s="1">
        <f t="shared" si="235"/>
        <v>99.999999999999986</v>
      </c>
      <c r="AR609" s="1">
        <f t="shared" si="221"/>
        <v>0</v>
      </c>
      <c r="AS609" s="1">
        <f t="shared" si="222"/>
        <v>0</v>
      </c>
      <c r="AT609" s="1">
        <f t="shared" si="223"/>
        <v>0.7496251874062968</v>
      </c>
      <c r="AU609" s="1">
        <f t="shared" si="224"/>
        <v>0</v>
      </c>
      <c r="AV609" s="1">
        <f t="shared" si="236"/>
        <v>0.27754999999999996</v>
      </c>
      <c r="AX609" s="1">
        <f t="shared" si="237"/>
        <v>0</v>
      </c>
      <c r="AY609" s="1">
        <f t="shared" si="225"/>
        <v>0</v>
      </c>
      <c r="AZ609" s="1">
        <f t="shared" si="226"/>
        <v>0.5</v>
      </c>
      <c r="BA609" s="1">
        <f t="shared" si="227"/>
        <v>0.5</v>
      </c>
      <c r="BB609" s="1">
        <f t="shared" si="228"/>
        <v>0</v>
      </c>
      <c r="BC609" s="1">
        <f t="shared" si="229"/>
        <v>0</v>
      </c>
      <c r="BD609" s="1">
        <f t="shared" si="238"/>
        <v>0.27754999999999996</v>
      </c>
      <c r="BF609">
        <f t="shared" si="230"/>
        <v>74.962518740629676</v>
      </c>
      <c r="BG609">
        <f t="shared" si="231"/>
        <v>25.03748125937031</v>
      </c>
      <c r="BH609" s="1">
        <f t="shared" si="232"/>
        <v>0</v>
      </c>
      <c r="BI609" s="1">
        <f t="shared" si="233"/>
        <v>0.33399999999999996</v>
      </c>
      <c r="BJ609" s="1">
        <f t="shared" si="239"/>
        <v>0.43</v>
      </c>
      <c r="BK609" s="1">
        <f t="shared" si="240"/>
        <v>0.33399999999999996</v>
      </c>
      <c r="BL609" s="22">
        <f t="shared" si="241"/>
        <v>0.33399999999999996</v>
      </c>
      <c r="BM609" s="1">
        <f t="shared" si="234"/>
        <v>3.1866024999999999E-3</v>
      </c>
      <c r="BN609" s="1">
        <f t="shared" si="244"/>
        <v>1.6923648747428847E-2</v>
      </c>
    </row>
    <row r="610" spans="1:66" x14ac:dyDescent="0.25">
      <c r="A610" s="3"/>
      <c r="B610" s="3"/>
      <c r="C610" t="s">
        <v>622</v>
      </c>
      <c r="D610" s="6">
        <v>1</v>
      </c>
      <c r="E610" s="1"/>
      <c r="F610" s="1"/>
      <c r="G610">
        <v>0</v>
      </c>
      <c r="H610">
        <v>66.666666666666657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33.333333333333329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31.992000000000001</v>
      </c>
      <c r="AK610" t="s">
        <v>1</v>
      </c>
      <c r="AL610" t="s">
        <v>374</v>
      </c>
      <c r="AQ610" s="1">
        <f t="shared" si="235"/>
        <v>99.999999999999986</v>
      </c>
      <c r="AR610" s="1">
        <f t="shared" si="221"/>
        <v>0</v>
      </c>
      <c r="AS610" s="1">
        <f t="shared" si="222"/>
        <v>0</v>
      </c>
      <c r="AT610" s="1">
        <f t="shared" si="223"/>
        <v>0.66666666666666652</v>
      </c>
      <c r="AU610" s="1">
        <f t="shared" si="224"/>
        <v>0</v>
      </c>
      <c r="AV610" s="1">
        <f t="shared" si="236"/>
        <v>0.31991999999999998</v>
      </c>
      <c r="AX610" s="1">
        <f t="shared" si="237"/>
        <v>0</v>
      </c>
      <c r="AY610" s="1">
        <f t="shared" si="225"/>
        <v>0</v>
      </c>
      <c r="AZ610" s="1">
        <f t="shared" si="226"/>
        <v>0.5</v>
      </c>
      <c r="BA610" s="1">
        <f t="shared" si="227"/>
        <v>0.5</v>
      </c>
      <c r="BB610" s="1">
        <f t="shared" si="228"/>
        <v>0</v>
      </c>
      <c r="BC610" s="1">
        <f t="shared" si="229"/>
        <v>0</v>
      </c>
      <c r="BD610" s="1">
        <f t="shared" si="238"/>
        <v>0.31991999999999998</v>
      </c>
      <c r="BF610">
        <f t="shared" si="230"/>
        <v>66.666666666666657</v>
      </c>
      <c r="BG610">
        <f t="shared" si="231"/>
        <v>33.333333333333329</v>
      </c>
      <c r="BH610" s="1">
        <f t="shared" si="232"/>
        <v>0</v>
      </c>
      <c r="BI610" s="1">
        <f t="shared" si="233"/>
        <v>0.5</v>
      </c>
      <c r="BJ610" s="1">
        <f t="shared" si="239"/>
        <v>0.43</v>
      </c>
      <c r="BK610" s="1">
        <f t="shared" si="240"/>
        <v>0.40701138914924623</v>
      </c>
      <c r="BL610" s="22">
        <f t="shared" si="241"/>
        <v>0.40701138914924623</v>
      </c>
      <c r="BM610" s="1">
        <f t="shared" si="234"/>
        <v>7.5849100639454464E-3</v>
      </c>
      <c r="BN610" s="1">
        <f t="shared" si="244"/>
        <v>7.6949606694189029E-3</v>
      </c>
    </row>
    <row r="611" spans="1:66" x14ac:dyDescent="0.25">
      <c r="A611" s="3"/>
      <c r="B611" s="3"/>
      <c r="C611" t="s">
        <v>623</v>
      </c>
      <c r="D611" s="5">
        <v>1</v>
      </c>
      <c r="E611" s="9">
        <f>I611+L611+M611+N611+O611+V611+X611+AB611+AD611</f>
        <v>40.011997600479901</v>
      </c>
      <c r="F611" s="9">
        <f>Q611/(H611+P611+Q611+AC611)</f>
        <v>0</v>
      </c>
      <c r="G611">
        <v>0</v>
      </c>
      <c r="H611">
        <v>59.988002399520092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40.011997600479901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28.893000000000001</v>
      </c>
      <c r="AK611" t="s">
        <v>1</v>
      </c>
      <c r="AL611" t="s">
        <v>374</v>
      </c>
      <c r="AQ611" s="1">
        <f t="shared" si="235"/>
        <v>100</v>
      </c>
      <c r="AR611" s="1">
        <f t="shared" si="221"/>
        <v>0</v>
      </c>
      <c r="AS611" s="1">
        <f t="shared" si="222"/>
        <v>0</v>
      </c>
      <c r="AT611" s="1">
        <f t="shared" si="223"/>
        <v>0.59988002399520091</v>
      </c>
      <c r="AU611" s="1">
        <f t="shared" si="224"/>
        <v>0</v>
      </c>
      <c r="AV611" s="1">
        <f t="shared" si="236"/>
        <v>0.28893000000000002</v>
      </c>
      <c r="AX611" s="1">
        <f t="shared" si="237"/>
        <v>0</v>
      </c>
      <c r="AY611" s="1">
        <f t="shared" si="225"/>
        <v>0</v>
      </c>
      <c r="AZ611" s="1">
        <f t="shared" si="226"/>
        <v>0.5</v>
      </c>
      <c r="BA611" s="1">
        <f t="shared" si="227"/>
        <v>0.5</v>
      </c>
      <c r="BB611" s="1">
        <f t="shared" si="228"/>
        <v>0</v>
      </c>
      <c r="BC611" s="1">
        <f t="shared" si="229"/>
        <v>0</v>
      </c>
      <c r="BD611" s="1">
        <f t="shared" si="238"/>
        <v>0.28893000000000002</v>
      </c>
      <c r="BF611">
        <f t="shared" si="230"/>
        <v>59.988002399520092</v>
      </c>
      <c r="BG611">
        <f t="shared" si="231"/>
        <v>40.011997600479901</v>
      </c>
      <c r="BH611" s="1">
        <f t="shared" si="232"/>
        <v>0</v>
      </c>
      <c r="BI611" s="1">
        <f t="shared" si="233"/>
        <v>0.66700000000000004</v>
      </c>
      <c r="BJ611" s="1">
        <f t="shared" si="239"/>
        <v>0.43</v>
      </c>
      <c r="BK611" s="1">
        <f t="shared" si="240"/>
        <v>0.40764281546119419</v>
      </c>
      <c r="BL611" s="22">
        <f t="shared" si="241"/>
        <v>0.40764281546119419</v>
      </c>
      <c r="BM611" s="1">
        <f t="shared" si="234"/>
        <v>1.409273255472354E-2</v>
      </c>
      <c r="BN611" s="1">
        <f t="shared" si="244"/>
        <v>1.4092283696171975E-2</v>
      </c>
    </row>
    <row r="612" spans="1:66" x14ac:dyDescent="0.25">
      <c r="A612" s="3"/>
      <c r="B612" s="3"/>
      <c r="C612" t="s">
        <v>624</v>
      </c>
      <c r="D612" s="5">
        <v>1</v>
      </c>
      <c r="E612" s="9">
        <f>I612+L612+M612+N612+O612+V612+X612+AB612+AD612</f>
        <v>44.994499449944989</v>
      </c>
      <c r="F612" s="9">
        <f>Q612/(H612+P612+Q612+AC612)</f>
        <v>0</v>
      </c>
      <c r="G612">
        <v>0</v>
      </c>
      <c r="H612">
        <v>55.005500550055011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44.994499449944989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27.96</v>
      </c>
      <c r="AK612" t="s">
        <v>1</v>
      </c>
      <c r="AL612" t="s">
        <v>374</v>
      </c>
      <c r="AQ612" s="1">
        <f t="shared" si="235"/>
        <v>100</v>
      </c>
      <c r="AR612" s="1">
        <f t="shared" si="221"/>
        <v>0</v>
      </c>
      <c r="AS612" s="1">
        <f t="shared" si="222"/>
        <v>0</v>
      </c>
      <c r="AT612" s="1">
        <f t="shared" si="223"/>
        <v>0.55005500550055009</v>
      </c>
      <c r="AU612" s="1">
        <f t="shared" si="224"/>
        <v>0</v>
      </c>
      <c r="AV612" s="1">
        <f t="shared" si="236"/>
        <v>0.27960000000000002</v>
      </c>
      <c r="AX612" s="1">
        <f t="shared" si="237"/>
        <v>0</v>
      </c>
      <c r="AY612" s="1">
        <f t="shared" si="225"/>
        <v>0</v>
      </c>
      <c r="AZ612" s="1">
        <f t="shared" si="226"/>
        <v>0.5</v>
      </c>
      <c r="BA612" s="1">
        <f t="shared" si="227"/>
        <v>0.5</v>
      </c>
      <c r="BB612" s="1">
        <f t="shared" si="228"/>
        <v>0</v>
      </c>
      <c r="BC612" s="1">
        <f t="shared" si="229"/>
        <v>0</v>
      </c>
      <c r="BD612" s="1">
        <f t="shared" si="238"/>
        <v>0.27960000000000002</v>
      </c>
      <c r="BF612">
        <f t="shared" si="230"/>
        <v>55.005500550055011</v>
      </c>
      <c r="BG612">
        <f t="shared" si="231"/>
        <v>44.994499449944989</v>
      </c>
      <c r="BH612" s="1">
        <f t="shared" si="232"/>
        <v>0</v>
      </c>
      <c r="BI612" s="1">
        <f t="shared" si="233"/>
        <v>0.81799999999999984</v>
      </c>
      <c r="BJ612" s="1">
        <f t="shared" si="239"/>
        <v>0.43</v>
      </c>
      <c r="BK612" s="1">
        <f t="shared" si="240"/>
        <v>0.39392211657697429</v>
      </c>
      <c r="BL612" s="22">
        <f t="shared" si="241"/>
        <v>0.39392211657697429</v>
      </c>
      <c r="BM612" s="1">
        <f t="shared" si="234"/>
        <v>1.3069546338639297E-2</v>
      </c>
      <c r="BN612" s="1">
        <f t="shared" si="244"/>
        <v>1.6394478455242847E-2</v>
      </c>
    </row>
    <row r="613" spans="1:66" x14ac:dyDescent="0.25">
      <c r="A613" s="3"/>
      <c r="B613" s="3"/>
      <c r="C613" t="s">
        <v>625</v>
      </c>
      <c r="D613" s="6">
        <v>1</v>
      </c>
      <c r="E613" s="1"/>
      <c r="F613" s="1"/>
      <c r="G613">
        <v>0</v>
      </c>
      <c r="H613">
        <v>85.689802913453292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14.310197086546699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14.41</v>
      </c>
      <c r="AK613" t="s">
        <v>1</v>
      </c>
      <c r="AL613" t="s">
        <v>374</v>
      </c>
      <c r="AQ613" s="1">
        <f t="shared" si="235"/>
        <v>99.999999999999986</v>
      </c>
      <c r="AR613" s="1">
        <f t="shared" si="221"/>
        <v>0.143101970865467</v>
      </c>
      <c r="AS613" s="1">
        <f t="shared" si="222"/>
        <v>0</v>
      </c>
      <c r="AT613" s="1">
        <f t="shared" si="223"/>
        <v>0.85689802913453295</v>
      </c>
      <c r="AU613" s="1">
        <f t="shared" si="224"/>
        <v>0</v>
      </c>
      <c r="AV613" s="1">
        <f t="shared" si="236"/>
        <v>0.14410000000000001</v>
      </c>
      <c r="AX613" s="1">
        <f t="shared" si="237"/>
        <v>0</v>
      </c>
      <c r="AY613" s="1">
        <f t="shared" si="225"/>
        <v>0.16700000000000001</v>
      </c>
      <c r="AZ613" s="1">
        <f t="shared" si="226"/>
        <v>0.5</v>
      </c>
      <c r="BA613" s="1">
        <f t="shared" si="227"/>
        <v>0.5</v>
      </c>
      <c r="BB613" s="1">
        <f t="shared" si="228"/>
        <v>0.16700000000000001</v>
      </c>
      <c r="BC613" s="1">
        <f t="shared" si="229"/>
        <v>0.16700000000000001</v>
      </c>
      <c r="BD613" s="1">
        <f t="shared" si="238"/>
        <v>2.2900000000000004E-2</v>
      </c>
      <c r="BF613">
        <f t="shared" si="230"/>
        <v>85.689802913453292</v>
      </c>
      <c r="BG613">
        <f t="shared" si="231"/>
        <v>14.310197086546699</v>
      </c>
      <c r="BH613" s="1">
        <f t="shared" si="232"/>
        <v>0</v>
      </c>
      <c r="BI613" s="1">
        <f t="shared" si="233"/>
        <v>0.16699999999999998</v>
      </c>
      <c r="BJ613" s="1">
        <f t="shared" si="239"/>
        <v>0.43</v>
      </c>
      <c r="BK613" s="1">
        <f t="shared" si="240"/>
        <v>0.16699999999999998</v>
      </c>
      <c r="BL613" s="22">
        <f t="shared" si="241"/>
        <v>0.16699999999999998</v>
      </c>
      <c r="BM613" s="1">
        <f t="shared" si="234"/>
        <v>5.2440999999999892E-4</v>
      </c>
      <c r="BN613" s="1">
        <f t="shared" si="244"/>
        <v>6.9453819109487516E-2</v>
      </c>
    </row>
    <row r="614" spans="1:66" x14ac:dyDescent="0.25">
      <c r="A614" s="3"/>
      <c r="B614" s="3"/>
      <c r="C614" t="s">
        <v>626</v>
      </c>
      <c r="D614" s="5">
        <v>1</v>
      </c>
      <c r="E614" s="9">
        <f t="shared" ref="E614:E632" si="247">I614+L614+M614+N614+O614+V614+X614+AB614+AD614</f>
        <v>25.03748125937031</v>
      </c>
      <c r="F614" s="9">
        <f t="shared" ref="F614:F632" si="248">Q614/(H614+P614+Q614+AC614)</f>
        <v>0</v>
      </c>
      <c r="G614">
        <v>0</v>
      </c>
      <c r="H614">
        <v>74.962518740629676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25.03748125937031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25.588999999999999</v>
      </c>
      <c r="AK614" t="s">
        <v>1</v>
      </c>
      <c r="AL614" t="s">
        <v>374</v>
      </c>
      <c r="AQ614" s="1">
        <f t="shared" si="235"/>
        <v>99.999999999999986</v>
      </c>
      <c r="AR614" s="1">
        <f t="shared" si="221"/>
        <v>0.25037481259370309</v>
      </c>
      <c r="AS614" s="1">
        <f t="shared" si="222"/>
        <v>0</v>
      </c>
      <c r="AT614" s="1">
        <f t="shared" si="223"/>
        <v>0.7496251874062968</v>
      </c>
      <c r="AU614" s="1">
        <f t="shared" si="224"/>
        <v>0</v>
      </c>
      <c r="AV614" s="1">
        <f t="shared" si="236"/>
        <v>0.25589000000000001</v>
      </c>
      <c r="AX614" s="1">
        <f t="shared" si="237"/>
        <v>0</v>
      </c>
      <c r="AY614" s="1">
        <f t="shared" si="225"/>
        <v>0.33399999999999996</v>
      </c>
      <c r="AZ614" s="1">
        <f t="shared" si="226"/>
        <v>0.5</v>
      </c>
      <c r="BA614" s="1">
        <f t="shared" si="227"/>
        <v>0.5</v>
      </c>
      <c r="BB614" s="1">
        <f t="shared" si="228"/>
        <v>0.33399999999999996</v>
      </c>
      <c r="BC614" s="1">
        <f t="shared" si="229"/>
        <v>0.33399999999999996</v>
      </c>
      <c r="BD614" s="1">
        <f t="shared" si="238"/>
        <v>7.8109999999999957E-2</v>
      </c>
      <c r="BF614">
        <f t="shared" si="230"/>
        <v>74.962518740629676</v>
      </c>
      <c r="BG614">
        <f t="shared" si="231"/>
        <v>25.03748125937031</v>
      </c>
      <c r="BH614" s="1">
        <f t="shared" si="232"/>
        <v>0</v>
      </c>
      <c r="BI614" s="1">
        <f t="shared" si="233"/>
        <v>0.33399999999999996</v>
      </c>
      <c r="BJ614" s="1">
        <f t="shared" si="239"/>
        <v>0.43</v>
      </c>
      <c r="BK614" s="1">
        <f t="shared" si="240"/>
        <v>0.33399999999999996</v>
      </c>
      <c r="BL614" s="22">
        <f t="shared" si="241"/>
        <v>0.33399999999999996</v>
      </c>
      <c r="BM614" s="1">
        <f t="shared" si="234"/>
        <v>6.1011720999999937E-3</v>
      </c>
      <c r="BN614" s="1">
        <f t="shared" si="244"/>
        <v>2.302834321511105E-2</v>
      </c>
    </row>
    <row r="615" spans="1:66" x14ac:dyDescent="0.25">
      <c r="A615" s="3"/>
      <c r="B615" s="3"/>
      <c r="C615" t="s">
        <v>627</v>
      </c>
      <c r="D615" s="5">
        <v>1</v>
      </c>
      <c r="E615" s="9">
        <f t="shared" si="247"/>
        <v>33.333333333333329</v>
      </c>
      <c r="F615" s="9">
        <f t="shared" si="248"/>
        <v>0</v>
      </c>
      <c r="G615">
        <v>0</v>
      </c>
      <c r="H615">
        <v>66.666666666666657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33.333333333333329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27.96</v>
      </c>
      <c r="AK615" t="s">
        <v>1</v>
      </c>
      <c r="AL615" t="s">
        <v>374</v>
      </c>
      <c r="AQ615" s="1">
        <f t="shared" si="235"/>
        <v>99.999999999999986</v>
      </c>
      <c r="AR615" s="1">
        <f t="shared" si="221"/>
        <v>0.33333333333333326</v>
      </c>
      <c r="AS615" s="1">
        <f t="shared" si="222"/>
        <v>0</v>
      </c>
      <c r="AT615" s="1">
        <f t="shared" si="223"/>
        <v>0.66666666666666652</v>
      </c>
      <c r="AU615" s="1">
        <f t="shared" si="224"/>
        <v>0</v>
      </c>
      <c r="AV615" s="1">
        <f t="shared" si="236"/>
        <v>0.27960000000000002</v>
      </c>
      <c r="AX615" s="1">
        <f t="shared" si="237"/>
        <v>0</v>
      </c>
      <c r="AY615" s="1">
        <f t="shared" si="225"/>
        <v>0.5</v>
      </c>
      <c r="AZ615" s="1">
        <f t="shared" si="226"/>
        <v>0.5</v>
      </c>
      <c r="BA615" s="1">
        <f t="shared" si="227"/>
        <v>0.5</v>
      </c>
      <c r="BB615" s="1">
        <f t="shared" si="228"/>
        <v>0.5</v>
      </c>
      <c r="BC615" s="1">
        <f t="shared" si="229"/>
        <v>0.5</v>
      </c>
      <c r="BD615" s="1">
        <f t="shared" si="238"/>
        <v>0.22039999999999998</v>
      </c>
      <c r="BF615">
        <f t="shared" si="230"/>
        <v>66.666666666666657</v>
      </c>
      <c r="BG615">
        <f t="shared" si="231"/>
        <v>33.333333333333329</v>
      </c>
      <c r="BH615" s="1">
        <f t="shared" si="232"/>
        <v>0</v>
      </c>
      <c r="BI615" s="1">
        <f t="shared" si="233"/>
        <v>0.5</v>
      </c>
      <c r="BJ615" s="1">
        <f t="shared" si="239"/>
        <v>0.43</v>
      </c>
      <c r="BK615" s="1">
        <f t="shared" si="240"/>
        <v>0.40701138914924623</v>
      </c>
      <c r="BL615" s="22">
        <f t="shared" si="241"/>
        <v>0.40701138914924623</v>
      </c>
      <c r="BM615" s="1">
        <f t="shared" si="234"/>
        <v>1.6233662084940655E-2</v>
      </c>
      <c r="BN615" s="1">
        <f t="shared" si="244"/>
        <v>1.6394478455242847E-2</v>
      </c>
    </row>
    <row r="616" spans="1:66" x14ac:dyDescent="0.25">
      <c r="A616" s="3"/>
      <c r="B616" s="3"/>
      <c r="C616" t="s">
        <v>628</v>
      </c>
      <c r="D616" s="5">
        <v>1</v>
      </c>
      <c r="E616" s="9">
        <f t="shared" si="247"/>
        <v>40.011997600479901</v>
      </c>
      <c r="F616" s="9">
        <f t="shared" si="248"/>
        <v>0</v>
      </c>
      <c r="G616">
        <v>0</v>
      </c>
      <c r="H616">
        <v>59.988002399520092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40.011997600479901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27.66</v>
      </c>
      <c r="AK616" t="s">
        <v>1</v>
      </c>
      <c r="AL616" t="s">
        <v>374</v>
      </c>
      <c r="AQ616" s="1">
        <f t="shared" si="235"/>
        <v>100</v>
      </c>
      <c r="AR616" s="1">
        <f t="shared" si="221"/>
        <v>0.40011997600479904</v>
      </c>
      <c r="AS616" s="1">
        <f t="shared" si="222"/>
        <v>0</v>
      </c>
      <c r="AT616" s="1">
        <f t="shared" si="223"/>
        <v>0.59988002399520091</v>
      </c>
      <c r="AU616" s="1">
        <f t="shared" si="224"/>
        <v>0</v>
      </c>
      <c r="AV616" s="1">
        <f t="shared" si="236"/>
        <v>0.27660000000000001</v>
      </c>
      <c r="AX616" s="1">
        <f t="shared" si="237"/>
        <v>0</v>
      </c>
      <c r="AY616" s="1">
        <f t="shared" si="225"/>
        <v>0.66700000000000004</v>
      </c>
      <c r="AZ616" s="1">
        <f t="shared" si="226"/>
        <v>0.5</v>
      </c>
      <c r="BA616" s="1">
        <f t="shared" si="227"/>
        <v>0.5</v>
      </c>
      <c r="BB616" s="1">
        <f t="shared" si="228"/>
        <v>0.4443333333333333</v>
      </c>
      <c r="BC616" s="1">
        <f t="shared" si="229"/>
        <v>0.4443333333333333</v>
      </c>
      <c r="BD616" s="1">
        <f t="shared" si="238"/>
        <v>0.16773333333333329</v>
      </c>
      <c r="BF616">
        <f t="shared" si="230"/>
        <v>59.988002399520092</v>
      </c>
      <c r="BG616">
        <f t="shared" si="231"/>
        <v>40.011997600479901</v>
      </c>
      <c r="BH616" s="1">
        <f t="shared" si="232"/>
        <v>0</v>
      </c>
      <c r="BI616" s="1">
        <f t="shared" si="233"/>
        <v>0.66700000000000004</v>
      </c>
      <c r="BJ616" s="1">
        <f t="shared" si="239"/>
        <v>0.43</v>
      </c>
      <c r="BK616" s="1">
        <f t="shared" si="240"/>
        <v>0.40764281546119419</v>
      </c>
      <c r="BL616" s="22">
        <f t="shared" si="241"/>
        <v>0.40764281546119419</v>
      </c>
      <c r="BM616" s="1">
        <f t="shared" si="234"/>
        <v>1.7172219483996592E-2</v>
      </c>
      <c r="BN616" s="1">
        <f t="shared" si="244"/>
        <v>1.7171724004783319E-2</v>
      </c>
    </row>
    <row r="617" spans="1:66" x14ac:dyDescent="0.25">
      <c r="A617" s="3"/>
      <c r="B617" s="3"/>
      <c r="C617" t="s">
        <v>629</v>
      </c>
      <c r="D617" s="5">
        <v>1</v>
      </c>
      <c r="E617" s="9">
        <f t="shared" si="247"/>
        <v>44.994499449944989</v>
      </c>
      <c r="F617" s="9">
        <f t="shared" si="248"/>
        <v>0</v>
      </c>
      <c r="G617">
        <v>0</v>
      </c>
      <c r="H617">
        <v>55.005500550055011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44.994499449944989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23.722999999999999</v>
      </c>
      <c r="AK617" t="s">
        <v>1</v>
      </c>
      <c r="AL617" t="s">
        <v>374</v>
      </c>
      <c r="AQ617" s="1">
        <f t="shared" si="235"/>
        <v>100</v>
      </c>
      <c r="AR617" s="1">
        <f t="shared" si="221"/>
        <v>0.44994499449944991</v>
      </c>
      <c r="AS617" s="1">
        <f t="shared" si="222"/>
        <v>0</v>
      </c>
      <c r="AT617" s="1">
        <f t="shared" si="223"/>
        <v>0.55005500550055009</v>
      </c>
      <c r="AU617" s="1">
        <f t="shared" si="224"/>
        <v>0</v>
      </c>
      <c r="AV617" s="1">
        <f t="shared" si="236"/>
        <v>0.23723</v>
      </c>
      <c r="AX617" s="1">
        <f t="shared" si="237"/>
        <v>0</v>
      </c>
      <c r="AY617" s="1">
        <f t="shared" si="225"/>
        <v>0.81799999999999984</v>
      </c>
      <c r="AZ617" s="1">
        <f t="shared" si="226"/>
        <v>0.5</v>
      </c>
      <c r="BA617" s="1">
        <f t="shared" si="227"/>
        <v>0.5</v>
      </c>
      <c r="BB617" s="1">
        <f t="shared" si="228"/>
        <v>0.39400000000000007</v>
      </c>
      <c r="BC617" s="1">
        <f t="shared" si="229"/>
        <v>0.39400000000000007</v>
      </c>
      <c r="BD617" s="1">
        <f t="shared" si="238"/>
        <v>0.15677000000000008</v>
      </c>
      <c r="BF617">
        <f t="shared" si="230"/>
        <v>55.005500550055011</v>
      </c>
      <c r="BG617">
        <f t="shared" si="231"/>
        <v>44.994499449944989</v>
      </c>
      <c r="BH617" s="1">
        <f t="shared" si="232"/>
        <v>0</v>
      </c>
      <c r="BI617" s="1">
        <f t="shared" si="233"/>
        <v>0.81799999999999984</v>
      </c>
      <c r="BJ617" s="1">
        <f t="shared" si="239"/>
        <v>0.43</v>
      </c>
      <c r="BK617" s="1">
        <f t="shared" si="240"/>
        <v>0.39392211657697429</v>
      </c>
      <c r="BL617" s="22">
        <f t="shared" si="241"/>
        <v>0.39392211657697429</v>
      </c>
      <c r="BM617" s="1">
        <f t="shared" si="234"/>
        <v>2.4552419397372103E-2</v>
      </c>
      <c r="BN617" s="1">
        <f t="shared" si="244"/>
        <v>2.9039883333252792E-2</v>
      </c>
    </row>
    <row r="618" spans="1:66" x14ac:dyDescent="0.25">
      <c r="A618" s="3"/>
      <c r="B618" s="3"/>
      <c r="C618" t="s">
        <v>630</v>
      </c>
      <c r="D618" s="5">
        <v>1</v>
      </c>
      <c r="E618" s="9">
        <f t="shared" si="247"/>
        <v>0.76758000000000004</v>
      </c>
      <c r="F618" s="9">
        <f t="shared" si="248"/>
        <v>0</v>
      </c>
      <c r="G618">
        <v>0</v>
      </c>
      <c r="H618">
        <v>99.232420000000005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0.76758000000000004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0.69100000000000006</v>
      </c>
      <c r="AK618" t="s">
        <v>1</v>
      </c>
      <c r="AL618" t="s">
        <v>374</v>
      </c>
      <c r="AO618" t="s">
        <v>378</v>
      </c>
      <c r="AQ618" s="1">
        <f t="shared" si="235"/>
        <v>100</v>
      </c>
      <c r="AR618" s="1">
        <f t="shared" si="221"/>
        <v>7.6758E-3</v>
      </c>
      <c r="AS618" s="1">
        <f t="shared" si="222"/>
        <v>0</v>
      </c>
      <c r="AT618" s="1">
        <f t="shared" si="223"/>
        <v>0.9923242000000001</v>
      </c>
      <c r="AU618" s="1">
        <f t="shared" si="224"/>
        <v>0</v>
      </c>
      <c r="AV618" s="1">
        <f t="shared" si="236"/>
        <v>6.9100000000000003E-3</v>
      </c>
      <c r="AX618" s="1">
        <f t="shared" si="237"/>
        <v>0</v>
      </c>
      <c r="AY618" s="1">
        <f t="shared" si="225"/>
        <v>7.7351736458709753E-3</v>
      </c>
      <c r="AZ618" s="1">
        <f t="shared" si="226"/>
        <v>0.5</v>
      </c>
      <c r="BA618" s="1">
        <f t="shared" si="227"/>
        <v>0.5</v>
      </c>
      <c r="BB618" s="1">
        <f t="shared" si="228"/>
        <v>7.7351736458709753E-3</v>
      </c>
      <c r="BC618" s="1">
        <f t="shared" si="229"/>
        <v>7.7351736458709753E-3</v>
      </c>
      <c r="BD618" s="1">
        <f t="shared" si="238"/>
        <v>8.2517364587097498E-4</v>
      </c>
      <c r="BF618">
        <f t="shared" si="230"/>
        <v>99.232420000000005</v>
      </c>
      <c r="BG618">
        <f t="shared" si="231"/>
        <v>0.76758000000000004</v>
      </c>
      <c r="BH618" s="1">
        <f t="shared" si="232"/>
        <v>0</v>
      </c>
      <c r="BI618" s="1">
        <f t="shared" si="233"/>
        <v>7.7351736458709762E-3</v>
      </c>
      <c r="BJ618" s="1">
        <f t="shared" si="239"/>
        <v>0.43</v>
      </c>
      <c r="BK618" s="1">
        <f t="shared" si="240"/>
        <v>7.7351736458709762E-3</v>
      </c>
      <c r="BL618" s="22">
        <f t="shared" si="241"/>
        <v>7.7351736458709762E-3</v>
      </c>
      <c r="BM618" s="1">
        <f t="shared" si="234"/>
        <v>6.8091154583999862E-7</v>
      </c>
      <c r="BN618" s="1">
        <f t="shared" si="244"/>
        <v>0.16058527418997331</v>
      </c>
    </row>
    <row r="619" spans="1:66" x14ac:dyDescent="0.25">
      <c r="A619" s="3"/>
      <c r="B619" s="3"/>
      <c r="C619" t="s">
        <v>631</v>
      </c>
      <c r="D619" s="5">
        <v>1</v>
      </c>
      <c r="E619" s="9">
        <f t="shared" si="247"/>
        <v>2.1751900000000002</v>
      </c>
      <c r="F619" s="9">
        <f t="shared" si="248"/>
        <v>0</v>
      </c>
      <c r="G619">
        <v>0</v>
      </c>
      <c r="H619">
        <v>97.824809999999999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2.1751900000000002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3.4319999999999999</v>
      </c>
      <c r="AK619" t="s">
        <v>1</v>
      </c>
      <c r="AL619" t="s">
        <v>374</v>
      </c>
      <c r="AQ619" s="1">
        <f t="shared" si="235"/>
        <v>100</v>
      </c>
      <c r="AR619" s="1">
        <f t="shared" si="221"/>
        <v>2.1751900000000001E-2</v>
      </c>
      <c r="AS619" s="1">
        <f t="shared" si="222"/>
        <v>0</v>
      </c>
      <c r="AT619" s="1">
        <f t="shared" si="223"/>
        <v>0.97824809999999995</v>
      </c>
      <c r="AU619" s="1">
        <f t="shared" si="224"/>
        <v>0</v>
      </c>
      <c r="AV619" s="1">
        <f t="shared" si="236"/>
        <v>3.4319999999999996E-2</v>
      </c>
      <c r="AX619" s="1">
        <f t="shared" si="237"/>
        <v>0</v>
      </c>
      <c r="AY619" s="1">
        <f t="shared" si="225"/>
        <v>2.2235565803807849E-2</v>
      </c>
      <c r="AZ619" s="1">
        <f t="shared" si="226"/>
        <v>0.5</v>
      </c>
      <c r="BA619" s="1">
        <f t="shared" si="227"/>
        <v>0.5</v>
      </c>
      <c r="BB619" s="1">
        <f t="shared" si="228"/>
        <v>2.2235565803807849E-2</v>
      </c>
      <c r="BC619" s="1">
        <f t="shared" si="229"/>
        <v>2.2235565803807849E-2</v>
      </c>
      <c r="BD619" s="1">
        <f t="shared" si="238"/>
        <v>1.2084434196192147E-2</v>
      </c>
      <c r="BF619">
        <f t="shared" si="230"/>
        <v>97.824809999999999</v>
      </c>
      <c r="BG619">
        <f t="shared" si="231"/>
        <v>2.1751900000000002</v>
      </c>
      <c r="BH619" s="1">
        <f t="shared" si="232"/>
        <v>0</v>
      </c>
      <c r="BI619" s="1">
        <f t="shared" si="233"/>
        <v>2.2235565803807849E-2</v>
      </c>
      <c r="BJ619" s="1">
        <f t="shared" si="239"/>
        <v>0.43</v>
      </c>
      <c r="BK619" s="1">
        <f t="shared" si="240"/>
        <v>2.2235565803807849E-2</v>
      </c>
      <c r="BL619" s="22">
        <f t="shared" si="241"/>
        <v>2.2235565803807849E-2</v>
      </c>
      <c r="BM619" s="1">
        <f t="shared" si="234"/>
        <v>1.4603354984209815E-4</v>
      </c>
      <c r="BN619" s="1">
        <f t="shared" si="244"/>
        <v>0.13936851298567188</v>
      </c>
    </row>
    <row r="620" spans="1:66" x14ac:dyDescent="0.25">
      <c r="A620" s="3"/>
      <c r="B620" s="3"/>
      <c r="C620" t="s">
        <v>632</v>
      </c>
      <c r="D620" s="5">
        <v>1</v>
      </c>
      <c r="E620" s="9">
        <f t="shared" si="247"/>
        <v>4.8157300000000003</v>
      </c>
      <c r="F620" s="9">
        <f t="shared" si="248"/>
        <v>0</v>
      </c>
      <c r="G620">
        <v>0</v>
      </c>
      <c r="H620">
        <v>95.184269999999998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4.8157300000000003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7.1609999999999996</v>
      </c>
      <c r="AK620" t="s">
        <v>1</v>
      </c>
      <c r="AL620" t="s">
        <v>374</v>
      </c>
      <c r="AQ620" s="1">
        <f t="shared" si="235"/>
        <v>100</v>
      </c>
      <c r="AR620" s="1">
        <f t="shared" si="221"/>
        <v>4.81573E-2</v>
      </c>
      <c r="AS620" s="1">
        <f t="shared" si="222"/>
        <v>0</v>
      </c>
      <c r="AT620" s="1">
        <f t="shared" si="223"/>
        <v>0.95184269999999993</v>
      </c>
      <c r="AU620" s="1">
        <f t="shared" si="224"/>
        <v>0</v>
      </c>
      <c r="AV620" s="1">
        <f t="shared" si="236"/>
        <v>7.1609999999999993E-2</v>
      </c>
      <c r="AX620" s="1">
        <f t="shared" si="237"/>
        <v>0</v>
      </c>
      <c r="AY620" s="1">
        <f t="shared" si="225"/>
        <v>5.0593758821704471E-2</v>
      </c>
      <c r="AZ620" s="1">
        <f t="shared" si="226"/>
        <v>0.5</v>
      </c>
      <c r="BA620" s="1">
        <f t="shared" si="227"/>
        <v>0.5</v>
      </c>
      <c r="BB620" s="1">
        <f t="shared" si="228"/>
        <v>5.0593758821704471E-2</v>
      </c>
      <c r="BC620" s="1">
        <f t="shared" si="229"/>
        <v>5.0593758821704471E-2</v>
      </c>
      <c r="BD620" s="1">
        <f t="shared" si="238"/>
        <v>2.1016241178295522E-2</v>
      </c>
      <c r="BF620">
        <f t="shared" si="230"/>
        <v>95.184269999999998</v>
      </c>
      <c r="BG620">
        <f t="shared" si="231"/>
        <v>4.8157300000000003</v>
      </c>
      <c r="BH620" s="1">
        <f t="shared" si="232"/>
        <v>0</v>
      </c>
      <c r="BI620" s="1">
        <f t="shared" si="233"/>
        <v>5.0593758821704471E-2</v>
      </c>
      <c r="BJ620" s="1">
        <f t="shared" si="239"/>
        <v>0.43</v>
      </c>
      <c r="BK620" s="1">
        <f t="shared" si="240"/>
        <v>5.0593758821704471E-2</v>
      </c>
      <c r="BL620" s="22">
        <f t="shared" si="241"/>
        <v>5.0593758821704471E-2</v>
      </c>
      <c r="BM620" s="1">
        <f t="shared" si="234"/>
        <v>4.4168239326428435E-4</v>
      </c>
      <c r="BN620" s="1">
        <f t="shared" si="244"/>
        <v>0.11291678250488381</v>
      </c>
    </row>
    <row r="621" spans="1:66" x14ac:dyDescent="0.25">
      <c r="A621" s="3"/>
      <c r="B621" s="3"/>
      <c r="C621" t="s">
        <v>633</v>
      </c>
      <c r="D621" s="5">
        <v>1</v>
      </c>
      <c r="E621" s="9">
        <f t="shared" si="247"/>
        <v>10.024889999999999</v>
      </c>
      <c r="F621" s="9">
        <f t="shared" si="248"/>
        <v>0</v>
      </c>
      <c r="G621">
        <v>0</v>
      </c>
      <c r="H621">
        <v>89.975110000000001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10.024889999999999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19.497</v>
      </c>
      <c r="AK621" t="s">
        <v>1</v>
      </c>
      <c r="AL621" t="s">
        <v>374</v>
      </c>
      <c r="AQ621" s="1">
        <f t="shared" si="235"/>
        <v>100</v>
      </c>
      <c r="AR621" s="1">
        <f t="shared" si="221"/>
        <v>0.10024889999999999</v>
      </c>
      <c r="AS621" s="1">
        <f t="shared" si="222"/>
        <v>0</v>
      </c>
      <c r="AT621" s="1">
        <f t="shared" si="223"/>
        <v>0.89975110000000003</v>
      </c>
      <c r="AU621" s="1">
        <f t="shared" si="224"/>
        <v>0</v>
      </c>
      <c r="AV621" s="1">
        <f t="shared" si="236"/>
        <v>0.19497</v>
      </c>
      <c r="AX621" s="1">
        <f t="shared" si="237"/>
        <v>0</v>
      </c>
      <c r="AY621" s="1">
        <f t="shared" si="225"/>
        <v>0.11141848006632055</v>
      </c>
      <c r="AZ621" s="1">
        <f t="shared" si="226"/>
        <v>0.5</v>
      </c>
      <c r="BA621" s="1">
        <f t="shared" si="227"/>
        <v>0.5</v>
      </c>
      <c r="BB621" s="1">
        <f t="shared" si="228"/>
        <v>0.11141848006632055</v>
      </c>
      <c r="BC621" s="1">
        <f t="shared" si="229"/>
        <v>0.11141848006632055</v>
      </c>
      <c r="BD621" s="1">
        <f t="shared" si="238"/>
        <v>8.3551519933679458E-2</v>
      </c>
      <c r="BF621">
        <f t="shared" si="230"/>
        <v>89.975110000000001</v>
      </c>
      <c r="BG621">
        <f t="shared" si="231"/>
        <v>10.024889999999999</v>
      </c>
      <c r="BH621" s="1">
        <f t="shared" si="232"/>
        <v>0</v>
      </c>
      <c r="BI621" s="1">
        <f t="shared" si="233"/>
        <v>0.11141848006632056</v>
      </c>
      <c r="BJ621" s="1">
        <f t="shared" si="239"/>
        <v>0.43</v>
      </c>
      <c r="BK621" s="1">
        <f t="shared" si="240"/>
        <v>0.11141848006632056</v>
      </c>
      <c r="BL621" s="22">
        <f t="shared" si="241"/>
        <v>0.11141848006632056</v>
      </c>
      <c r="BM621" s="1">
        <f t="shared" si="234"/>
        <v>6.9808564832280337E-3</v>
      </c>
      <c r="BN621" s="1">
        <f t="shared" si="244"/>
        <v>4.5228922307779577E-2</v>
      </c>
    </row>
    <row r="622" spans="1:66" x14ac:dyDescent="0.25">
      <c r="A622" s="3"/>
      <c r="B622" s="3"/>
      <c r="C622" t="s">
        <v>634</v>
      </c>
      <c r="D622" s="5">
        <v>1</v>
      </c>
      <c r="E622" s="9">
        <f t="shared" si="247"/>
        <v>13.66206</v>
      </c>
      <c r="F622" s="9">
        <f t="shared" si="248"/>
        <v>0</v>
      </c>
      <c r="G622">
        <v>0</v>
      </c>
      <c r="H622">
        <v>86.337940000000003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13.66206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27.6</v>
      </c>
      <c r="AK622" t="s">
        <v>1</v>
      </c>
      <c r="AL622" t="s">
        <v>374</v>
      </c>
      <c r="AQ622" s="1">
        <f t="shared" si="235"/>
        <v>100</v>
      </c>
      <c r="AR622" s="1">
        <f t="shared" si="221"/>
        <v>0.13662060000000001</v>
      </c>
      <c r="AS622" s="1">
        <f t="shared" si="222"/>
        <v>0</v>
      </c>
      <c r="AT622" s="1">
        <f t="shared" si="223"/>
        <v>0.86337940000000002</v>
      </c>
      <c r="AU622" s="1">
        <f t="shared" si="224"/>
        <v>0</v>
      </c>
      <c r="AV622" s="1">
        <f t="shared" si="236"/>
        <v>0.27600000000000002</v>
      </c>
      <c r="AX622" s="1">
        <f t="shared" si="237"/>
        <v>0</v>
      </c>
      <c r="AY622" s="1">
        <f t="shared" si="225"/>
        <v>0.15823935572240894</v>
      </c>
      <c r="AZ622" s="1">
        <f t="shared" si="226"/>
        <v>0.5</v>
      </c>
      <c r="BA622" s="1">
        <f t="shared" si="227"/>
        <v>0.5</v>
      </c>
      <c r="BB622" s="1">
        <f t="shared" si="228"/>
        <v>0.15823935572240894</v>
      </c>
      <c r="BC622" s="1">
        <f t="shared" si="229"/>
        <v>0.15823935572240894</v>
      </c>
      <c r="BD622" s="1">
        <f t="shared" si="238"/>
        <v>0.11776064427759109</v>
      </c>
      <c r="BF622">
        <f t="shared" si="230"/>
        <v>86.337940000000003</v>
      </c>
      <c r="BG622">
        <f t="shared" si="231"/>
        <v>13.66206</v>
      </c>
      <c r="BH622" s="1">
        <f t="shared" si="232"/>
        <v>0</v>
      </c>
      <c r="BI622" s="1">
        <f t="shared" si="233"/>
        <v>0.15823935572240894</v>
      </c>
      <c r="BJ622" s="1">
        <f t="shared" si="239"/>
        <v>0.43</v>
      </c>
      <c r="BK622" s="1">
        <f t="shared" si="240"/>
        <v>0.15823935572240894</v>
      </c>
      <c r="BL622" s="22">
        <f t="shared" si="241"/>
        <v>0.15823935572240894</v>
      </c>
      <c r="BM622" s="1">
        <f t="shared" si="234"/>
        <v>1.3867569340673347E-2</v>
      </c>
      <c r="BN622" s="1">
        <f t="shared" si="244"/>
        <v>1.7329333114691411E-2</v>
      </c>
    </row>
    <row r="623" spans="1:66" x14ac:dyDescent="0.25">
      <c r="A623" s="3"/>
      <c r="B623" s="3"/>
      <c r="C623" t="s">
        <v>635</v>
      </c>
      <c r="D623" s="5">
        <v>1</v>
      </c>
      <c r="E623" s="9">
        <f t="shared" si="247"/>
        <v>16.148489999999999</v>
      </c>
      <c r="F623" s="9">
        <f t="shared" si="248"/>
        <v>0</v>
      </c>
      <c r="G623">
        <v>0</v>
      </c>
      <c r="H623">
        <v>83.851510000000005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16.148489999999999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34.734999999999999</v>
      </c>
      <c r="AK623" t="s">
        <v>1</v>
      </c>
      <c r="AL623" t="s">
        <v>374</v>
      </c>
      <c r="AQ623" s="1">
        <f t="shared" si="235"/>
        <v>100</v>
      </c>
      <c r="AR623" s="1">
        <f t="shared" si="221"/>
        <v>0.16148489999999999</v>
      </c>
      <c r="AS623" s="1">
        <f t="shared" si="222"/>
        <v>0</v>
      </c>
      <c r="AT623" s="1">
        <f t="shared" si="223"/>
        <v>0.83851510000000007</v>
      </c>
      <c r="AU623" s="1">
        <f t="shared" si="224"/>
        <v>0</v>
      </c>
      <c r="AV623" s="1">
        <f t="shared" si="236"/>
        <v>0.34734999999999999</v>
      </c>
      <c r="AX623" s="1">
        <f t="shared" si="237"/>
        <v>0</v>
      </c>
      <c r="AY623" s="1">
        <f t="shared" si="225"/>
        <v>0.19258436729404155</v>
      </c>
      <c r="AZ623" s="1">
        <f t="shared" si="226"/>
        <v>0.5</v>
      </c>
      <c r="BA623" s="1">
        <f t="shared" si="227"/>
        <v>0.5</v>
      </c>
      <c r="BB623" s="1">
        <f t="shared" si="228"/>
        <v>0.19258436729404155</v>
      </c>
      <c r="BC623" s="1">
        <f t="shared" si="229"/>
        <v>0.19258436729404155</v>
      </c>
      <c r="BD623" s="1">
        <f t="shared" si="238"/>
        <v>0.15476563270595844</v>
      </c>
      <c r="BF623">
        <f t="shared" si="230"/>
        <v>83.851510000000005</v>
      </c>
      <c r="BG623">
        <f t="shared" si="231"/>
        <v>16.148489999999999</v>
      </c>
      <c r="BH623" s="1">
        <f t="shared" si="232"/>
        <v>0</v>
      </c>
      <c r="BI623" s="1">
        <f t="shared" si="233"/>
        <v>0.19258436729404155</v>
      </c>
      <c r="BJ623" s="1">
        <f t="shared" si="239"/>
        <v>0.43</v>
      </c>
      <c r="BK623" s="1">
        <f t="shared" si="240"/>
        <v>0.19258436729404155</v>
      </c>
      <c r="BL623" s="22">
        <f t="shared" si="241"/>
        <v>0.19258436729404155</v>
      </c>
      <c r="BM623" s="1">
        <f t="shared" si="234"/>
        <v>2.3952401066875635E-2</v>
      </c>
      <c r="BN623" s="1">
        <f t="shared" si="244"/>
        <v>3.6349956281205133E-3</v>
      </c>
    </row>
    <row r="624" spans="1:66" x14ac:dyDescent="0.25">
      <c r="A624" s="3"/>
      <c r="B624" s="3"/>
      <c r="C624" t="s">
        <v>636</v>
      </c>
      <c r="D624" s="5">
        <v>1</v>
      </c>
      <c r="E624" s="9">
        <f t="shared" si="247"/>
        <v>19.950050000000001</v>
      </c>
      <c r="F624" s="9">
        <f t="shared" si="248"/>
        <v>0</v>
      </c>
      <c r="G624">
        <v>0</v>
      </c>
      <c r="H624">
        <v>80.049949999999995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19.950050000000001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43.16</v>
      </c>
      <c r="AK624" t="s">
        <v>1</v>
      </c>
      <c r="AL624" t="s">
        <v>374</v>
      </c>
      <c r="AQ624" s="1">
        <f t="shared" si="235"/>
        <v>100</v>
      </c>
      <c r="AR624" s="1">
        <f t="shared" si="221"/>
        <v>0.1995005</v>
      </c>
      <c r="AS624" s="1">
        <f t="shared" si="222"/>
        <v>0</v>
      </c>
      <c r="AT624" s="1">
        <f t="shared" si="223"/>
        <v>0.80049949999999992</v>
      </c>
      <c r="AU624" s="1">
        <f t="shared" si="224"/>
        <v>0</v>
      </c>
      <c r="AV624" s="1">
        <f t="shared" si="236"/>
        <v>0.43159999999999998</v>
      </c>
      <c r="AX624" s="1">
        <f t="shared" si="237"/>
        <v>0</v>
      </c>
      <c r="AY624" s="1">
        <f t="shared" si="225"/>
        <v>0.24922001825110449</v>
      </c>
      <c r="AZ624" s="1">
        <f t="shared" si="226"/>
        <v>0.5</v>
      </c>
      <c r="BA624" s="1">
        <f t="shared" si="227"/>
        <v>0.5</v>
      </c>
      <c r="BB624" s="1">
        <f t="shared" si="228"/>
        <v>0.24922001825110449</v>
      </c>
      <c r="BC624" s="1">
        <f t="shared" si="229"/>
        <v>0.24922001825110449</v>
      </c>
      <c r="BD624" s="1">
        <f t="shared" si="238"/>
        <v>0.1823799817488955</v>
      </c>
      <c r="BF624">
        <f t="shared" si="230"/>
        <v>80.049949999999995</v>
      </c>
      <c r="BG624">
        <f t="shared" si="231"/>
        <v>19.950050000000001</v>
      </c>
      <c r="BH624" s="1">
        <f t="shared" si="232"/>
        <v>0</v>
      </c>
      <c r="BI624" s="1">
        <f t="shared" si="233"/>
        <v>0.24922001825110449</v>
      </c>
      <c r="BJ624" s="1">
        <f t="shared" si="239"/>
        <v>0.43</v>
      </c>
      <c r="BK624" s="1">
        <f t="shared" si="240"/>
        <v>0.24922001825110449</v>
      </c>
      <c r="BL624" s="22">
        <f t="shared" si="241"/>
        <v>0.24922001825110449</v>
      </c>
      <c r="BM624" s="1">
        <f t="shared" si="234"/>
        <v>3.3262457742727458E-2</v>
      </c>
      <c r="BN624" s="1">
        <f t="shared" si="244"/>
        <v>5.7403727852557544E-4</v>
      </c>
    </row>
    <row r="625" spans="1:66" x14ac:dyDescent="0.25">
      <c r="A625" s="3"/>
      <c r="B625" s="3"/>
      <c r="C625" t="s">
        <v>637</v>
      </c>
      <c r="D625" s="5">
        <v>1</v>
      </c>
      <c r="E625" s="9">
        <f t="shared" si="247"/>
        <v>26.30996</v>
      </c>
      <c r="F625" s="9">
        <f t="shared" si="248"/>
        <v>0</v>
      </c>
      <c r="G625">
        <v>0</v>
      </c>
      <c r="H625">
        <v>73.690039999999996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26.30996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49.972999999999999</v>
      </c>
      <c r="AK625" t="s">
        <v>1</v>
      </c>
      <c r="AL625" t="s">
        <v>374</v>
      </c>
      <c r="AQ625" s="1">
        <f t="shared" si="235"/>
        <v>100</v>
      </c>
      <c r="AR625" s="1">
        <f t="shared" si="221"/>
        <v>0.26309959999999999</v>
      </c>
      <c r="AS625" s="1">
        <f t="shared" si="222"/>
        <v>0</v>
      </c>
      <c r="AT625" s="1">
        <f t="shared" si="223"/>
        <v>0.73690040000000001</v>
      </c>
      <c r="AU625" s="1">
        <f t="shared" si="224"/>
        <v>0</v>
      </c>
      <c r="AV625" s="1">
        <f t="shared" si="236"/>
        <v>0.49973000000000001</v>
      </c>
      <c r="AX625" s="1">
        <f t="shared" si="237"/>
        <v>0</v>
      </c>
      <c r="AY625" s="1">
        <f t="shared" si="225"/>
        <v>0.35703549624888248</v>
      </c>
      <c r="AZ625" s="1">
        <f t="shared" si="226"/>
        <v>0.5</v>
      </c>
      <c r="BA625" s="1">
        <f t="shared" si="227"/>
        <v>0.5</v>
      </c>
      <c r="BB625" s="1">
        <f t="shared" si="228"/>
        <v>0.35703549624888248</v>
      </c>
      <c r="BC625" s="1">
        <f t="shared" si="229"/>
        <v>0.35703549624888248</v>
      </c>
      <c r="BD625" s="1">
        <f t="shared" si="238"/>
        <v>0.14269450375111753</v>
      </c>
      <c r="BF625">
        <f t="shared" si="230"/>
        <v>73.690039999999996</v>
      </c>
      <c r="BG625">
        <f t="shared" si="231"/>
        <v>26.30996</v>
      </c>
      <c r="BH625" s="1">
        <f t="shared" si="232"/>
        <v>0</v>
      </c>
      <c r="BI625" s="1">
        <f t="shared" si="233"/>
        <v>0.35703549624888248</v>
      </c>
      <c r="BJ625" s="1">
        <f t="shared" si="239"/>
        <v>0.43</v>
      </c>
      <c r="BK625" s="1">
        <f t="shared" si="240"/>
        <v>0.35703549624888248</v>
      </c>
      <c r="BL625" s="22">
        <f t="shared" si="241"/>
        <v>0.35703549624888248</v>
      </c>
      <c r="BM625" s="1">
        <f t="shared" si="234"/>
        <v>2.0361721400777695E-2</v>
      </c>
      <c r="BN625" s="1">
        <f t="shared" si="244"/>
        <v>8.4803977484614462E-3</v>
      </c>
    </row>
    <row r="626" spans="1:66" x14ac:dyDescent="0.25">
      <c r="A626" s="3"/>
      <c r="B626" s="3"/>
      <c r="C626" t="s">
        <v>638</v>
      </c>
      <c r="D626" s="5">
        <v>1</v>
      </c>
      <c r="E626" s="9">
        <f t="shared" si="247"/>
        <v>33.748690000000003</v>
      </c>
      <c r="F626" s="9">
        <f t="shared" si="248"/>
        <v>0</v>
      </c>
      <c r="G626">
        <v>0</v>
      </c>
      <c r="H626">
        <v>66.251309999999989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33.748690000000003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55.798000000000002</v>
      </c>
      <c r="AK626" t="s">
        <v>1</v>
      </c>
      <c r="AL626" t="s">
        <v>374</v>
      </c>
      <c r="AQ626" s="1">
        <f t="shared" si="235"/>
        <v>100</v>
      </c>
      <c r="AR626" s="1">
        <f t="shared" si="221"/>
        <v>0.33748690000000003</v>
      </c>
      <c r="AS626" s="1">
        <f t="shared" si="222"/>
        <v>0</v>
      </c>
      <c r="AT626" s="1">
        <f t="shared" si="223"/>
        <v>0.66251309999999985</v>
      </c>
      <c r="AU626" s="1">
        <f t="shared" si="224"/>
        <v>0</v>
      </c>
      <c r="AV626" s="1">
        <f t="shared" si="236"/>
        <v>0.55798000000000003</v>
      </c>
      <c r="AX626" s="1">
        <f t="shared" si="237"/>
        <v>0</v>
      </c>
      <c r="AY626" s="1">
        <f t="shared" si="225"/>
        <v>0.50940411593370771</v>
      </c>
      <c r="AZ626" s="1">
        <f t="shared" si="226"/>
        <v>0.5</v>
      </c>
      <c r="BA626" s="1">
        <f t="shared" si="227"/>
        <v>0.5</v>
      </c>
      <c r="BB626" s="1">
        <f t="shared" si="228"/>
        <v>0.49686529468876411</v>
      </c>
      <c r="BC626" s="1">
        <f t="shared" si="229"/>
        <v>0.49686529468876411</v>
      </c>
      <c r="BD626" s="1">
        <f t="shared" si="238"/>
        <v>6.1114705311235917E-2</v>
      </c>
      <c r="BF626">
        <f t="shared" si="230"/>
        <v>66.251309999999989</v>
      </c>
      <c r="BG626">
        <f t="shared" si="231"/>
        <v>33.748690000000003</v>
      </c>
      <c r="BH626" s="1">
        <f t="shared" si="232"/>
        <v>0</v>
      </c>
      <c r="BI626" s="1">
        <f t="shared" si="233"/>
        <v>0.50940411593370771</v>
      </c>
      <c r="BJ626" s="1">
        <f t="shared" si="239"/>
        <v>0.43</v>
      </c>
      <c r="BK626" s="1">
        <f t="shared" si="240"/>
        <v>0.40758309938636167</v>
      </c>
      <c r="BL626" s="22">
        <f t="shared" si="241"/>
        <v>0.40758309938636167</v>
      </c>
      <c r="BM626" s="1">
        <f t="shared" si="234"/>
        <v>2.2619227714188617E-2</v>
      </c>
      <c r="BN626" s="1">
        <f t="shared" si="244"/>
        <v>2.2601837494883946E-2</v>
      </c>
    </row>
    <row r="627" spans="1:66" x14ac:dyDescent="0.25">
      <c r="A627" s="3"/>
      <c r="B627" s="3"/>
      <c r="C627" t="s">
        <v>639</v>
      </c>
      <c r="D627" s="5">
        <v>1</v>
      </c>
      <c r="E627" s="9">
        <f t="shared" si="247"/>
        <v>7.6707900000000002</v>
      </c>
      <c r="F627" s="9">
        <f t="shared" si="248"/>
        <v>0</v>
      </c>
      <c r="G627">
        <v>0</v>
      </c>
      <c r="H627">
        <v>92.329210000000003</v>
      </c>
      <c r="I627">
        <v>0</v>
      </c>
      <c r="J627">
        <v>0</v>
      </c>
      <c r="K627">
        <v>0</v>
      </c>
      <c r="L627">
        <v>7.6707900000000002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9.6518700000000006</v>
      </c>
      <c r="AK627" t="s">
        <v>1</v>
      </c>
      <c r="AL627" t="s">
        <v>374</v>
      </c>
      <c r="AQ627" s="1">
        <f t="shared" si="235"/>
        <v>100</v>
      </c>
      <c r="AR627" s="1">
        <f t="shared" si="221"/>
        <v>7.6707899999999996E-2</v>
      </c>
      <c r="AS627" s="1">
        <f t="shared" si="222"/>
        <v>0</v>
      </c>
      <c r="AT627" s="1">
        <f t="shared" si="223"/>
        <v>0.92329210000000006</v>
      </c>
      <c r="AU627" s="1">
        <f t="shared" si="224"/>
        <v>0</v>
      </c>
      <c r="AV627" s="1">
        <f t="shared" si="236"/>
        <v>9.6518700000000013E-2</v>
      </c>
      <c r="AX627" s="1">
        <f t="shared" si="237"/>
        <v>0</v>
      </c>
      <c r="AY627" s="1">
        <f t="shared" si="225"/>
        <v>8.3080858159622503E-2</v>
      </c>
      <c r="AZ627" s="1">
        <f t="shared" si="226"/>
        <v>0.5</v>
      </c>
      <c r="BA627" s="1">
        <f t="shared" si="227"/>
        <v>0.5</v>
      </c>
      <c r="BB627" s="1">
        <f t="shared" si="228"/>
        <v>8.3080858159622503E-2</v>
      </c>
      <c r="BC627" s="1">
        <f t="shared" si="229"/>
        <v>8.3080858159622503E-2</v>
      </c>
      <c r="BD627" s="1">
        <f t="shared" si="238"/>
        <v>1.343784184037751E-2</v>
      </c>
      <c r="BF627">
        <f t="shared" si="230"/>
        <v>92.329210000000003</v>
      </c>
      <c r="BG627">
        <f t="shared" si="231"/>
        <v>7.6707900000000002</v>
      </c>
      <c r="BH627" s="1">
        <f t="shared" si="232"/>
        <v>0</v>
      </c>
      <c r="BI627" s="1">
        <f t="shared" si="233"/>
        <v>8.3080858159622503E-2</v>
      </c>
      <c r="BJ627" s="1">
        <f t="shared" si="239"/>
        <v>0.43</v>
      </c>
      <c r="BK627" s="1">
        <f t="shared" si="240"/>
        <v>8.3080858159622503E-2</v>
      </c>
      <c r="BL627" s="22">
        <f t="shared" si="241"/>
        <v>8.3080858159622503E-2</v>
      </c>
      <c r="BM627" s="1">
        <f t="shared" si="234"/>
        <v>1.8057559332700042E-4</v>
      </c>
      <c r="BN627" s="1">
        <f t="shared" si="244"/>
        <v>9.6797038841294217E-2</v>
      </c>
    </row>
    <row r="628" spans="1:66" x14ac:dyDescent="0.25">
      <c r="A628" s="3"/>
      <c r="B628" s="3"/>
      <c r="C628" t="s">
        <v>640</v>
      </c>
      <c r="D628" s="5">
        <v>1</v>
      </c>
      <c r="E628" s="9">
        <f t="shared" si="247"/>
        <v>12.23922</v>
      </c>
      <c r="F628" s="9">
        <f t="shared" si="248"/>
        <v>0</v>
      </c>
      <c r="G628">
        <v>0</v>
      </c>
      <c r="H628">
        <v>87.760779999999997</v>
      </c>
      <c r="I628">
        <v>0</v>
      </c>
      <c r="J628">
        <v>0</v>
      </c>
      <c r="K628">
        <v>0</v>
      </c>
      <c r="L628">
        <v>12.23922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14.503869999999999</v>
      </c>
      <c r="AK628" t="s">
        <v>1</v>
      </c>
      <c r="AL628" t="s">
        <v>374</v>
      </c>
      <c r="AQ628" s="1">
        <f t="shared" si="235"/>
        <v>100</v>
      </c>
      <c r="AR628" s="1">
        <f t="shared" si="221"/>
        <v>0.12239219999999999</v>
      </c>
      <c r="AS628" s="1">
        <f t="shared" si="222"/>
        <v>0</v>
      </c>
      <c r="AT628" s="1">
        <f t="shared" si="223"/>
        <v>0.87760779999999994</v>
      </c>
      <c r="AU628" s="1">
        <f t="shared" si="224"/>
        <v>0</v>
      </c>
      <c r="AV628" s="1">
        <f t="shared" si="236"/>
        <v>0.14503869999999999</v>
      </c>
      <c r="AX628" s="1">
        <f t="shared" si="237"/>
        <v>0</v>
      </c>
      <c r="AY628" s="1">
        <f t="shared" si="225"/>
        <v>0.13946115793410221</v>
      </c>
      <c r="AZ628" s="1">
        <f t="shared" si="226"/>
        <v>0.5</v>
      </c>
      <c r="BA628" s="1">
        <f t="shared" si="227"/>
        <v>0.5</v>
      </c>
      <c r="BB628" s="1">
        <f t="shared" si="228"/>
        <v>0.13946115793410221</v>
      </c>
      <c r="BC628" s="1">
        <f t="shared" si="229"/>
        <v>0.13946115793410221</v>
      </c>
      <c r="BD628" s="1">
        <f t="shared" si="238"/>
        <v>5.5775420658977781E-3</v>
      </c>
      <c r="BF628">
        <f t="shared" si="230"/>
        <v>87.760779999999997</v>
      </c>
      <c r="BG628">
        <f t="shared" si="231"/>
        <v>12.23922</v>
      </c>
      <c r="BH628" s="1">
        <f t="shared" si="232"/>
        <v>0</v>
      </c>
      <c r="BI628" s="1">
        <f t="shared" si="233"/>
        <v>0.13946115793410221</v>
      </c>
      <c r="BJ628" s="1">
        <f t="shared" si="239"/>
        <v>0.43</v>
      </c>
      <c r="BK628" s="1">
        <f t="shared" si="240"/>
        <v>0.13946115793410221</v>
      </c>
      <c r="BL628" s="22">
        <f t="shared" si="241"/>
        <v>0.13946115793410221</v>
      </c>
      <c r="BM628" s="1">
        <f t="shared" si="234"/>
        <v>3.1108975496859255E-5</v>
      </c>
      <c r="BN628" s="1">
        <f t="shared" si="244"/>
        <v>6.8959928534726336E-2</v>
      </c>
    </row>
    <row r="629" spans="1:66" x14ac:dyDescent="0.25">
      <c r="A629" s="3"/>
      <c r="B629" s="3"/>
      <c r="C629" t="s">
        <v>641</v>
      </c>
      <c r="D629" s="5">
        <v>1</v>
      </c>
      <c r="E629" s="9">
        <f t="shared" si="247"/>
        <v>15.447509999999999</v>
      </c>
      <c r="F629" s="9">
        <f t="shared" si="248"/>
        <v>0</v>
      </c>
      <c r="G629">
        <v>0</v>
      </c>
      <c r="H629">
        <v>84.552490000000006</v>
      </c>
      <c r="I629">
        <v>0</v>
      </c>
      <c r="J629">
        <v>0</v>
      </c>
      <c r="K629">
        <v>0</v>
      </c>
      <c r="L629">
        <v>15.447509999999999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16.763000000000002</v>
      </c>
      <c r="AK629" t="s">
        <v>1</v>
      </c>
      <c r="AL629" t="s">
        <v>374</v>
      </c>
      <c r="AQ629" s="1">
        <f t="shared" si="235"/>
        <v>100</v>
      </c>
      <c r="AR629" s="1">
        <f t="shared" si="221"/>
        <v>0.1544751</v>
      </c>
      <c r="AS629" s="1">
        <f t="shared" si="222"/>
        <v>0</v>
      </c>
      <c r="AT629" s="1">
        <f t="shared" si="223"/>
        <v>0.84552490000000002</v>
      </c>
      <c r="AU629" s="1">
        <f t="shared" si="224"/>
        <v>0</v>
      </c>
      <c r="AV629" s="1">
        <f t="shared" si="236"/>
        <v>0.16763000000000003</v>
      </c>
      <c r="AX629" s="1">
        <f t="shared" si="237"/>
        <v>0</v>
      </c>
      <c r="AY629" s="1">
        <f t="shared" si="225"/>
        <v>0.18269728070693128</v>
      </c>
      <c r="AZ629" s="1">
        <f t="shared" si="226"/>
        <v>0.5</v>
      </c>
      <c r="BA629" s="1">
        <f t="shared" si="227"/>
        <v>0.5</v>
      </c>
      <c r="BB629" s="1">
        <f t="shared" si="228"/>
        <v>0.18269728070693128</v>
      </c>
      <c r="BC629" s="1">
        <f t="shared" si="229"/>
        <v>0.18269728070693128</v>
      </c>
      <c r="BD629" s="1">
        <f t="shared" si="238"/>
        <v>1.5067280706931252E-2</v>
      </c>
      <c r="BF629">
        <f t="shared" si="230"/>
        <v>84.552490000000006</v>
      </c>
      <c r="BG629">
        <f t="shared" si="231"/>
        <v>15.447509999999999</v>
      </c>
      <c r="BH629" s="1">
        <f t="shared" si="232"/>
        <v>0</v>
      </c>
      <c r="BI629" s="1">
        <f t="shared" si="233"/>
        <v>0.18269728070693125</v>
      </c>
      <c r="BJ629" s="1">
        <f t="shared" si="239"/>
        <v>0.43</v>
      </c>
      <c r="BK629" s="1">
        <f t="shared" si="240"/>
        <v>0.18269728070693125</v>
      </c>
      <c r="BL629" s="22">
        <f t="shared" si="241"/>
        <v>0.18269728070693125</v>
      </c>
      <c r="BM629" s="1">
        <f t="shared" si="234"/>
        <v>2.270229479014619E-4</v>
      </c>
      <c r="BN629" s="1">
        <f t="shared" si="244"/>
        <v>5.7605244082591739E-2</v>
      </c>
    </row>
    <row r="630" spans="1:66" x14ac:dyDescent="0.25">
      <c r="A630" s="3"/>
      <c r="B630" s="3"/>
      <c r="C630" t="s">
        <v>642</v>
      </c>
      <c r="D630" s="5">
        <v>1</v>
      </c>
      <c r="E630" s="9">
        <f t="shared" si="247"/>
        <v>22.497420000000002</v>
      </c>
      <c r="F630" s="9">
        <f t="shared" si="248"/>
        <v>0</v>
      </c>
      <c r="G630">
        <v>0</v>
      </c>
      <c r="H630">
        <v>77.502579999999995</v>
      </c>
      <c r="I630">
        <v>0</v>
      </c>
      <c r="J630">
        <v>0</v>
      </c>
      <c r="K630">
        <v>0</v>
      </c>
      <c r="L630">
        <v>22.497420000000002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26.77506</v>
      </c>
      <c r="AK630" t="s">
        <v>1</v>
      </c>
      <c r="AL630" t="s">
        <v>374</v>
      </c>
      <c r="AQ630" s="1">
        <f t="shared" si="235"/>
        <v>100</v>
      </c>
      <c r="AR630" s="1">
        <f t="shared" si="221"/>
        <v>0.22497420000000001</v>
      </c>
      <c r="AS630" s="1">
        <f t="shared" si="222"/>
        <v>0</v>
      </c>
      <c r="AT630" s="1">
        <f t="shared" si="223"/>
        <v>0.77502579999999999</v>
      </c>
      <c r="AU630" s="1">
        <f t="shared" si="224"/>
        <v>0</v>
      </c>
      <c r="AV630" s="1">
        <f t="shared" si="236"/>
        <v>0.26775060000000001</v>
      </c>
      <c r="AX630" s="1">
        <f t="shared" si="237"/>
        <v>0</v>
      </c>
      <c r="AY630" s="1">
        <f t="shared" si="225"/>
        <v>0.29027962682016523</v>
      </c>
      <c r="AZ630" s="1">
        <f t="shared" si="226"/>
        <v>0.5</v>
      </c>
      <c r="BA630" s="1">
        <f t="shared" si="227"/>
        <v>0.5</v>
      </c>
      <c r="BB630" s="1">
        <f t="shared" si="228"/>
        <v>0.29027962682016523</v>
      </c>
      <c r="BC630" s="1">
        <f t="shared" si="229"/>
        <v>0.29027962682016523</v>
      </c>
      <c r="BD630" s="1">
        <f t="shared" si="238"/>
        <v>2.2529026820165221E-2</v>
      </c>
      <c r="BF630">
        <f t="shared" si="230"/>
        <v>77.502579999999995</v>
      </c>
      <c r="BG630">
        <f t="shared" si="231"/>
        <v>22.497420000000002</v>
      </c>
      <c r="BH630" s="1">
        <f t="shared" si="232"/>
        <v>0</v>
      </c>
      <c r="BI630" s="1">
        <f t="shared" si="233"/>
        <v>0.29027962682016528</v>
      </c>
      <c r="BJ630" s="1">
        <f t="shared" si="239"/>
        <v>0.43</v>
      </c>
      <c r="BK630" s="1">
        <f t="shared" si="240"/>
        <v>0.29027962682016528</v>
      </c>
      <c r="BL630" s="22">
        <f t="shared" si="241"/>
        <v>0.29027962682016528</v>
      </c>
      <c r="BM630" s="1">
        <f t="shared" si="234"/>
        <v>5.0755704946372636E-4</v>
      </c>
      <c r="BN630" s="1">
        <f t="shared" si="244"/>
        <v>1.9569303007177807E-2</v>
      </c>
    </row>
    <row r="631" spans="1:66" x14ac:dyDescent="0.25">
      <c r="A631" s="3"/>
      <c r="B631" s="3"/>
      <c r="C631" t="s">
        <v>643</v>
      </c>
      <c r="D631" s="5">
        <v>1</v>
      </c>
      <c r="E631" s="9">
        <f t="shared" si="247"/>
        <v>30.5337</v>
      </c>
      <c r="F631" s="9">
        <f t="shared" si="248"/>
        <v>0</v>
      </c>
      <c r="G631">
        <v>0</v>
      </c>
      <c r="H631">
        <v>69.466300000000004</v>
      </c>
      <c r="I631">
        <v>0</v>
      </c>
      <c r="J631">
        <v>0</v>
      </c>
      <c r="K631">
        <v>0</v>
      </c>
      <c r="L631">
        <v>30.5337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45.695279999999997</v>
      </c>
      <c r="AK631" t="s">
        <v>1</v>
      </c>
      <c r="AL631" t="s">
        <v>374</v>
      </c>
      <c r="AQ631" s="1">
        <f t="shared" si="235"/>
        <v>100</v>
      </c>
      <c r="AR631" s="1">
        <f t="shared" si="221"/>
        <v>0.30533699999999997</v>
      </c>
      <c r="AS631" s="1">
        <f t="shared" si="222"/>
        <v>0</v>
      </c>
      <c r="AT631" s="1">
        <f t="shared" si="223"/>
        <v>0.69466300000000003</v>
      </c>
      <c r="AU631" s="1">
        <f t="shared" si="224"/>
        <v>0</v>
      </c>
      <c r="AV631" s="1">
        <f t="shared" si="236"/>
        <v>0.45695279999999999</v>
      </c>
      <c r="AX631" s="1">
        <f t="shared" si="237"/>
        <v>0</v>
      </c>
      <c r="AY631" s="1">
        <f t="shared" si="225"/>
        <v>0.43954694578522241</v>
      </c>
      <c r="AZ631" s="1">
        <f t="shared" si="226"/>
        <v>0.5</v>
      </c>
      <c r="BA631" s="1">
        <f t="shared" si="227"/>
        <v>0.5</v>
      </c>
      <c r="BB631" s="1">
        <f t="shared" si="228"/>
        <v>0.43954694578522241</v>
      </c>
      <c r="BC631" s="1">
        <f t="shared" si="229"/>
        <v>0.43954694578522241</v>
      </c>
      <c r="BD631" s="1">
        <f t="shared" si="238"/>
        <v>1.7405854214777583E-2</v>
      </c>
      <c r="BF631">
        <f t="shared" si="230"/>
        <v>69.466300000000004</v>
      </c>
      <c r="BG631">
        <f t="shared" si="231"/>
        <v>30.5337</v>
      </c>
      <c r="BH631" s="1">
        <f t="shared" si="232"/>
        <v>0</v>
      </c>
      <c r="BI631" s="1">
        <f t="shared" si="233"/>
        <v>0.43954694578522246</v>
      </c>
      <c r="BJ631" s="1">
        <f t="shared" si="239"/>
        <v>0.43</v>
      </c>
      <c r="BK631" s="1">
        <f t="shared" si="240"/>
        <v>0.40158797821633013</v>
      </c>
      <c r="BL631" s="22">
        <f t="shared" si="241"/>
        <v>0.40158797821633013</v>
      </c>
      <c r="BM631" s="1">
        <f t="shared" si="234"/>
        <v>3.0652634911375247E-3</v>
      </c>
      <c r="BN631" s="1">
        <f t="shared" si="244"/>
        <v>2.4316610235690117E-3</v>
      </c>
    </row>
    <row r="632" spans="1:66" x14ac:dyDescent="0.25">
      <c r="A632" s="3"/>
      <c r="B632" s="3"/>
      <c r="C632" t="s">
        <v>644</v>
      </c>
      <c r="D632" s="5">
        <v>1</v>
      </c>
      <c r="E632" s="9">
        <f t="shared" si="247"/>
        <v>3.397509587797173</v>
      </c>
      <c r="F632" s="9">
        <f t="shared" si="248"/>
        <v>0</v>
      </c>
      <c r="G632">
        <v>0</v>
      </c>
      <c r="H632">
        <v>96.60249041220284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3.397509587797173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4.867</v>
      </c>
      <c r="AK632" t="s">
        <v>1</v>
      </c>
      <c r="AL632" t="s">
        <v>374</v>
      </c>
      <c r="AQ632" s="1">
        <f t="shared" si="235"/>
        <v>100.00000000000001</v>
      </c>
      <c r="AR632" s="1">
        <f t="shared" si="221"/>
        <v>3.3975095877971734E-2</v>
      </c>
      <c r="AS632" s="1">
        <f t="shared" si="222"/>
        <v>0</v>
      </c>
      <c r="AT632" s="1">
        <f t="shared" si="223"/>
        <v>0.96602490412202835</v>
      </c>
      <c r="AU632" s="1">
        <f t="shared" si="224"/>
        <v>0</v>
      </c>
      <c r="AV632" s="1">
        <f t="shared" si="236"/>
        <v>4.8669999999999998E-2</v>
      </c>
      <c r="AX632" s="1">
        <f t="shared" si="237"/>
        <v>0</v>
      </c>
      <c r="AY632" s="1">
        <f t="shared" si="225"/>
        <v>3.517E-2</v>
      </c>
      <c r="AZ632" s="1">
        <f t="shared" si="226"/>
        <v>0.5</v>
      </c>
      <c r="BA632" s="1">
        <f t="shared" si="227"/>
        <v>0.5</v>
      </c>
      <c r="BB632" s="1">
        <f t="shared" si="228"/>
        <v>3.517E-2</v>
      </c>
      <c r="BC632" s="1">
        <f t="shared" si="229"/>
        <v>3.517E-2</v>
      </c>
      <c r="BD632" s="1">
        <f t="shared" si="238"/>
        <v>1.3499999999999998E-2</v>
      </c>
      <c r="BF632">
        <f t="shared" si="230"/>
        <v>96.60249041220284</v>
      </c>
      <c r="BG632">
        <f t="shared" si="231"/>
        <v>3.397509587797173</v>
      </c>
      <c r="BH632" s="1">
        <f t="shared" si="232"/>
        <v>0</v>
      </c>
      <c r="BI632" s="1">
        <f t="shared" si="233"/>
        <v>3.5169999999999993E-2</v>
      </c>
      <c r="BJ632" s="1">
        <f t="shared" si="239"/>
        <v>0.43</v>
      </c>
      <c r="BK632" s="1">
        <f t="shared" si="240"/>
        <v>3.5169999999999993E-2</v>
      </c>
      <c r="BL632" s="22">
        <f t="shared" si="241"/>
        <v>3.5169999999999993E-2</v>
      </c>
      <c r="BM632" s="1">
        <f t="shared" si="234"/>
        <v>1.8225000000000015E-4</v>
      </c>
      <c r="BN632" s="1">
        <f t="shared" si="244"/>
        <v>0.12886012494036997</v>
      </c>
    </row>
    <row r="633" spans="1:66" x14ac:dyDescent="0.25">
      <c r="A633" s="3"/>
      <c r="B633" s="3"/>
      <c r="C633" t="s">
        <v>645</v>
      </c>
      <c r="D633" s="6">
        <v>1</v>
      </c>
      <c r="E633" s="1"/>
      <c r="F633" s="1"/>
      <c r="G633">
        <v>0</v>
      </c>
      <c r="H633">
        <v>90.876870927580228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9.1231290724197773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13.010999999999999</v>
      </c>
      <c r="AK633" t="s">
        <v>1</v>
      </c>
      <c r="AL633" t="s">
        <v>374</v>
      </c>
      <c r="AQ633" s="1">
        <f t="shared" si="235"/>
        <v>100</v>
      </c>
      <c r="AR633" s="1">
        <f t="shared" ref="AR633:AR673" si="249">(L633+M633+O633+X633)/100</f>
        <v>9.1231290724197778E-2</v>
      </c>
      <c r="AS633" s="1">
        <f t="shared" ref="AS633:AS639" si="250">G633/100</f>
        <v>0</v>
      </c>
      <c r="AT633" s="1">
        <f t="shared" ref="AT633:AT639" si="251">H633/100</f>
        <v>0.90876870927580233</v>
      </c>
      <c r="AU633" s="1">
        <f t="shared" ref="AU633:AU673" si="252">Q633/100</f>
        <v>0</v>
      </c>
      <c r="AV633" s="1">
        <f t="shared" si="236"/>
        <v>0.13011</v>
      </c>
      <c r="AX633" s="1">
        <f t="shared" si="237"/>
        <v>0</v>
      </c>
      <c r="AY633" s="1">
        <f t="shared" ref="AY633:AY673" si="253">AR633/(AS633+AT633)</f>
        <v>0.10038999999999998</v>
      </c>
      <c r="AZ633" s="1">
        <f t="shared" ref="AZ633:AZ673" si="254">0.5+AX633/16</f>
        <v>0.5</v>
      </c>
      <c r="BA633" s="1">
        <f t="shared" ref="BA633:BA673" si="255">0.5+AX633/4</f>
        <v>0.5</v>
      </c>
      <c r="BB633" s="1">
        <f t="shared" ref="BB633:BB673" si="256">IF(AY633&lt;=AZ633,AY633,IF(AY633&lt;=BA633,AZ633,AZ633-(AY633-BA633)*(8+AX633)/(12*(2+AX633))))</f>
        <v>0.10038999999999998</v>
      </c>
      <c r="BC633" s="1">
        <f t="shared" ref="BC633:BC673" si="257">IF(BB633&lt;1,BB633,1)</f>
        <v>0.10038999999999998</v>
      </c>
      <c r="BD633" s="1">
        <f t="shared" si="238"/>
        <v>2.9720000000000024E-2</v>
      </c>
      <c r="BF633">
        <f t="shared" ref="BF633:BF673" si="258">$BQ$3*H633+$BQ$4*G633+$BQ$5*P633+$BQ$6*K633+$BQ$7*S633+$BQ$8*U633+$BQ$9*Y633+$BQ$10*J633+$BQ$11*AC633+$BQ$12*AG633+$BQ$13*AH633+$BQ$14*R633+$BQ$15*AE633</f>
        <v>90.876870927580228</v>
      </c>
      <c r="BG633">
        <f t="shared" ref="BG633:BG673" si="259">O633+$BQ$17*M633+$BQ$18*L633+$BQ$19*X633+$BQ$20*AD633+$BQ$21*I633+$BQ$22*N633+$BQ$23*AB633+$BQ$24*V633+$BQ$25*T633+$BQ$26*AA633+$BQ$28*Z633+$BQ$29*AF633+$BQ$30*W633+$BQ$27*AI633</f>
        <v>9.1231290724197773</v>
      </c>
      <c r="BH633" s="1">
        <f t="shared" ref="BH633:BH673" si="260">(Q633)/BF633</f>
        <v>0</v>
      </c>
      <c r="BI633" s="1">
        <f t="shared" ref="BI633:BI673" si="261">BG633/BF633</f>
        <v>0.10038999999999998</v>
      </c>
      <c r="BJ633" s="1">
        <f t="shared" si="239"/>
        <v>0.43</v>
      </c>
      <c r="BK633" s="1">
        <f t="shared" si="240"/>
        <v>0.10038999999999998</v>
      </c>
      <c r="BL633" s="22">
        <f t="shared" si="241"/>
        <v>0.10038999999999998</v>
      </c>
      <c r="BM633" s="1">
        <f t="shared" ref="BM633:BM673" si="262">(BL633-AV633)^2</f>
        <v>8.8327840000000147E-4</v>
      </c>
      <c r="BN633" s="1">
        <f t="shared" si="244"/>
        <v>7.7023414288844599E-2</v>
      </c>
    </row>
    <row r="634" spans="1:66" x14ac:dyDescent="0.25">
      <c r="A634" s="3"/>
      <c r="B634" s="3"/>
      <c r="C634" t="s">
        <v>646</v>
      </c>
      <c r="D634" s="5">
        <v>1</v>
      </c>
      <c r="E634" s="9">
        <f>I634+L634+M634+N634+O634+V634+X634+AB634+AD634</f>
        <v>16.535906253129902</v>
      </c>
      <c r="F634" s="9">
        <f>Q634/(H634+P634+Q634+AC634)</f>
        <v>0</v>
      </c>
      <c r="G634">
        <v>0</v>
      </c>
      <c r="H634">
        <v>83.464093746870091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16.535906253129902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22.158999999999999</v>
      </c>
      <c r="AK634" t="s">
        <v>1</v>
      </c>
      <c r="AL634" t="s">
        <v>374</v>
      </c>
      <c r="AQ634" s="1">
        <f t="shared" ref="AQ634:AQ639" si="263">SUM(G634:AI634)</f>
        <v>100</v>
      </c>
      <c r="AR634" s="1">
        <f t="shared" si="249"/>
        <v>0.16535906253129901</v>
      </c>
      <c r="AS634" s="1">
        <f t="shared" si="250"/>
        <v>0</v>
      </c>
      <c r="AT634" s="1">
        <f t="shared" si="251"/>
        <v>0.83464093746870094</v>
      </c>
      <c r="AU634" s="1">
        <f t="shared" si="252"/>
        <v>0</v>
      </c>
      <c r="AV634" s="1">
        <f t="shared" ref="AV634:AV674" si="264">AJ634/100</f>
        <v>0.22158999999999998</v>
      </c>
      <c r="AX634" s="1">
        <f t="shared" ref="AX634:AX674" si="265">AU634/(AT634+AS634)</f>
        <v>0</v>
      </c>
      <c r="AY634" s="1">
        <f t="shared" si="253"/>
        <v>0.19811999999999996</v>
      </c>
      <c r="AZ634" s="1">
        <f t="shared" si="254"/>
        <v>0.5</v>
      </c>
      <c r="BA634" s="1">
        <f t="shared" si="255"/>
        <v>0.5</v>
      </c>
      <c r="BB634" s="1">
        <f t="shared" si="256"/>
        <v>0.19811999999999996</v>
      </c>
      <c r="BC634" s="1">
        <f t="shared" si="257"/>
        <v>0.19811999999999996</v>
      </c>
      <c r="BD634" s="1">
        <f t="shared" ref="BD634:BD674" si="266">ABS(BC634-AV634)</f>
        <v>2.3470000000000019E-2</v>
      </c>
      <c r="BF634">
        <f t="shared" si="258"/>
        <v>83.464093746870091</v>
      </c>
      <c r="BG634">
        <f t="shared" si="259"/>
        <v>16.535906253129902</v>
      </c>
      <c r="BH634" s="1">
        <f t="shared" si="260"/>
        <v>0</v>
      </c>
      <c r="BI634" s="1">
        <f t="shared" si="261"/>
        <v>0.19811999999999999</v>
      </c>
      <c r="BJ634" s="1">
        <f t="shared" ref="BJ634:BJ674" si="267">$BQ$32+BH634*$BQ$33</f>
        <v>0.43</v>
      </c>
      <c r="BK634" s="1">
        <f t="shared" ref="BK634:BK674" si="268">IF(BI634&lt;BJ634,BI634,$BQ$35*($BQ$36+BI634)*($BQ$37-BI634/($BQ$38+BH634)*$BQ$39)^5)</f>
        <v>0.19811999999999999</v>
      </c>
      <c r="BL634" s="22">
        <f t="shared" ref="BL634:BL674" si="269">IF(BK634&lt;1,IF(BK634&gt;0,BK634,0),1)</f>
        <v>0.19811999999999999</v>
      </c>
      <c r="BM634" s="1">
        <f t="shared" si="262"/>
        <v>5.5084089999999958E-4</v>
      </c>
      <c r="BN634" s="1">
        <f t="shared" si="244"/>
        <v>3.4614946664857128E-2</v>
      </c>
    </row>
    <row r="635" spans="1:66" x14ac:dyDescent="0.25">
      <c r="A635" s="3"/>
      <c r="B635" s="3"/>
      <c r="C635" t="s">
        <v>647</v>
      </c>
      <c r="D635" s="5">
        <v>1</v>
      </c>
      <c r="E635" s="9">
        <f>I635+L635+M635+N635+O635+V635+X635+AB635+AD635</f>
        <v>23.07396438324551</v>
      </c>
      <c r="F635" s="9">
        <f>Q635/(H635+P635+Q635+AC635)</f>
        <v>0</v>
      </c>
      <c r="G635">
        <v>0</v>
      </c>
      <c r="H635">
        <v>76.92603561675449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23.07396438324551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31.974</v>
      </c>
      <c r="AK635" t="s">
        <v>1</v>
      </c>
      <c r="AL635" t="s">
        <v>374</v>
      </c>
      <c r="AQ635" s="1">
        <f t="shared" si="263"/>
        <v>100</v>
      </c>
      <c r="AR635" s="1">
        <f t="shared" si="249"/>
        <v>0.2307396438324551</v>
      </c>
      <c r="AS635" s="1">
        <f t="shared" si="250"/>
        <v>0</v>
      </c>
      <c r="AT635" s="1">
        <f t="shared" si="251"/>
        <v>0.76926035616754485</v>
      </c>
      <c r="AU635" s="1">
        <f t="shared" si="252"/>
        <v>0</v>
      </c>
      <c r="AV635" s="1">
        <f t="shared" si="264"/>
        <v>0.31974000000000002</v>
      </c>
      <c r="AX635" s="1">
        <f t="shared" si="265"/>
        <v>0</v>
      </c>
      <c r="AY635" s="1">
        <f t="shared" si="253"/>
        <v>0.29995000000000005</v>
      </c>
      <c r="AZ635" s="1">
        <f t="shared" si="254"/>
        <v>0.5</v>
      </c>
      <c r="BA635" s="1">
        <f t="shared" si="255"/>
        <v>0.5</v>
      </c>
      <c r="BB635" s="1">
        <f t="shared" si="256"/>
        <v>0.29995000000000005</v>
      </c>
      <c r="BC635" s="1">
        <f t="shared" si="257"/>
        <v>0.29995000000000005</v>
      </c>
      <c r="BD635" s="1">
        <f t="shared" si="266"/>
        <v>1.9789999999999974E-2</v>
      </c>
      <c r="BF635">
        <f t="shared" si="258"/>
        <v>76.92603561675449</v>
      </c>
      <c r="BG635">
        <f t="shared" si="259"/>
        <v>23.07396438324551</v>
      </c>
      <c r="BH635" s="1">
        <f t="shared" si="260"/>
        <v>0</v>
      </c>
      <c r="BI635" s="1">
        <f t="shared" si="261"/>
        <v>0.29994999999999999</v>
      </c>
      <c r="BJ635" s="1">
        <f t="shared" si="267"/>
        <v>0.43</v>
      </c>
      <c r="BK635" s="1">
        <f t="shared" si="268"/>
        <v>0.29994999999999999</v>
      </c>
      <c r="BL635" s="22">
        <f t="shared" si="269"/>
        <v>0.29994999999999999</v>
      </c>
      <c r="BM635" s="1">
        <f t="shared" si="262"/>
        <v>3.9164410000000119E-4</v>
      </c>
      <c r="BN635" s="1">
        <f t="shared" si="244"/>
        <v>7.7265726023913236E-3</v>
      </c>
    </row>
    <row r="636" spans="1:66" x14ac:dyDescent="0.25">
      <c r="A636" s="3"/>
      <c r="B636" s="3"/>
      <c r="C636" t="s">
        <v>648</v>
      </c>
      <c r="D636" s="6">
        <v>1</v>
      </c>
      <c r="E636" s="1"/>
      <c r="F636" s="1"/>
      <c r="G636">
        <v>0</v>
      </c>
      <c r="H636">
        <v>75.715129397156133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24.28487060284386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33.012</v>
      </c>
      <c r="AK636" t="s">
        <v>1</v>
      </c>
      <c r="AL636" t="s">
        <v>374</v>
      </c>
      <c r="AQ636" s="1">
        <f t="shared" si="263"/>
        <v>100</v>
      </c>
      <c r="AR636" s="1">
        <f t="shared" si="249"/>
        <v>0.24284870602843861</v>
      </c>
      <c r="AS636" s="1">
        <f t="shared" si="250"/>
        <v>0</v>
      </c>
      <c r="AT636" s="1">
        <f t="shared" si="251"/>
        <v>0.75715129397156133</v>
      </c>
      <c r="AU636" s="1">
        <f t="shared" si="252"/>
        <v>0</v>
      </c>
      <c r="AV636" s="1">
        <f t="shared" si="264"/>
        <v>0.33012000000000002</v>
      </c>
      <c r="AX636" s="1">
        <f t="shared" si="265"/>
        <v>0</v>
      </c>
      <c r="AY636" s="1">
        <f t="shared" si="253"/>
        <v>0.32074000000000003</v>
      </c>
      <c r="AZ636" s="1">
        <f t="shared" si="254"/>
        <v>0.5</v>
      </c>
      <c r="BA636" s="1">
        <f t="shared" si="255"/>
        <v>0.5</v>
      </c>
      <c r="BB636" s="1">
        <f t="shared" si="256"/>
        <v>0.32074000000000003</v>
      </c>
      <c r="BC636" s="1">
        <f t="shared" si="257"/>
        <v>0.32074000000000003</v>
      </c>
      <c r="BD636" s="1">
        <f t="shared" si="266"/>
        <v>9.3799999999999994E-3</v>
      </c>
      <c r="BF636">
        <f t="shared" si="258"/>
        <v>75.715129397156133</v>
      </c>
      <c r="BG636">
        <f t="shared" si="259"/>
        <v>24.28487060284386</v>
      </c>
      <c r="BH636" s="1">
        <f t="shared" si="260"/>
        <v>0</v>
      </c>
      <c r="BI636" s="1">
        <f t="shared" si="261"/>
        <v>0.32074000000000003</v>
      </c>
      <c r="BJ636" s="1">
        <f t="shared" si="267"/>
        <v>0.43</v>
      </c>
      <c r="BK636" s="1">
        <f t="shared" si="268"/>
        <v>0.32074000000000003</v>
      </c>
      <c r="BL636" s="22">
        <f t="shared" si="269"/>
        <v>0.32074000000000003</v>
      </c>
      <c r="BM636" s="1">
        <f t="shared" si="262"/>
        <v>8.7984399999999991E-5</v>
      </c>
      <c r="BN636" s="1">
        <f t="shared" si="244"/>
        <v>6.0094938009812894E-3</v>
      </c>
    </row>
    <row r="637" spans="1:66" x14ac:dyDescent="0.25">
      <c r="A637" s="3"/>
      <c r="B637" s="3"/>
      <c r="C637" t="s">
        <v>649</v>
      </c>
      <c r="D637" s="5">
        <v>1</v>
      </c>
      <c r="E637" s="9">
        <f>I637+L637+M637+N637+O637+V637+X637+AB637+AD637</f>
        <v>32.308941988763287</v>
      </c>
      <c r="F637" s="9">
        <f>Q637/(H637+P637+Q637+AC637)</f>
        <v>0</v>
      </c>
      <c r="G637">
        <v>0</v>
      </c>
      <c r="H637">
        <v>67.69105801123672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32.308941988763287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40.100999999999999</v>
      </c>
      <c r="AK637" t="s">
        <v>1</v>
      </c>
      <c r="AL637" t="s">
        <v>374</v>
      </c>
      <c r="AQ637" s="1">
        <f t="shared" si="263"/>
        <v>100</v>
      </c>
      <c r="AR637" s="1">
        <f t="shared" si="249"/>
        <v>0.32308941988763284</v>
      </c>
      <c r="AS637" s="1">
        <f t="shared" si="250"/>
        <v>0</v>
      </c>
      <c r="AT637" s="1">
        <f t="shared" si="251"/>
        <v>0.67691058011236716</v>
      </c>
      <c r="AU637" s="1">
        <f t="shared" si="252"/>
        <v>0</v>
      </c>
      <c r="AV637" s="1">
        <f t="shared" si="264"/>
        <v>0.40100999999999998</v>
      </c>
      <c r="AX637" s="1">
        <f t="shared" si="265"/>
        <v>0</v>
      </c>
      <c r="AY637" s="1">
        <f t="shared" si="253"/>
        <v>0.4773</v>
      </c>
      <c r="AZ637" s="1">
        <f t="shared" si="254"/>
        <v>0.5</v>
      </c>
      <c r="BA637" s="1">
        <f t="shared" si="255"/>
        <v>0.5</v>
      </c>
      <c r="BB637" s="1">
        <f t="shared" si="256"/>
        <v>0.4773</v>
      </c>
      <c r="BC637" s="1">
        <f t="shared" si="257"/>
        <v>0.4773</v>
      </c>
      <c r="BD637" s="1">
        <f t="shared" si="266"/>
        <v>7.6290000000000024E-2</v>
      </c>
      <c r="BF637">
        <f t="shared" si="258"/>
        <v>67.69105801123672</v>
      </c>
      <c r="BG637">
        <f t="shared" si="259"/>
        <v>32.308941988763287</v>
      </c>
      <c r="BH637" s="1">
        <f t="shared" si="260"/>
        <v>0</v>
      </c>
      <c r="BI637" s="1">
        <f t="shared" si="261"/>
        <v>0.4773</v>
      </c>
      <c r="BJ637" s="1">
        <f t="shared" si="267"/>
        <v>0.43</v>
      </c>
      <c r="BK637" s="1">
        <f t="shared" si="268"/>
        <v>0.40533631180756258</v>
      </c>
      <c r="BL637" s="22">
        <f t="shared" si="269"/>
        <v>0.40533631180756258</v>
      </c>
      <c r="BM637" s="1">
        <f t="shared" si="262"/>
        <v>1.8716973856255567E-5</v>
      </c>
      <c r="BN637" s="1">
        <f t="shared" si="244"/>
        <v>4.3969165339927857E-5</v>
      </c>
    </row>
    <row r="638" spans="1:66" x14ac:dyDescent="0.25">
      <c r="A638" s="3"/>
      <c r="B638" s="3"/>
      <c r="C638" t="s">
        <v>650</v>
      </c>
      <c r="D638" s="5">
        <v>1</v>
      </c>
      <c r="E638" s="9">
        <f>I638+L638+M638+N638+O638+V638+X638+AB638+AD638</f>
        <v>33.367094005703777</v>
      </c>
      <c r="F638" s="9">
        <f>Q638/(H638+P638+Q638+AC638)</f>
        <v>0</v>
      </c>
      <c r="G638">
        <v>0</v>
      </c>
      <c r="H638">
        <v>66.632905994296223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33.367094005703777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39.204000000000001</v>
      </c>
      <c r="AK638" t="s">
        <v>1</v>
      </c>
      <c r="AL638" t="s">
        <v>374</v>
      </c>
      <c r="AQ638" s="1">
        <f t="shared" si="263"/>
        <v>100</v>
      </c>
      <c r="AR638" s="1">
        <f t="shared" si="249"/>
        <v>0.33367094005703779</v>
      </c>
      <c r="AS638" s="1">
        <f t="shared" si="250"/>
        <v>0</v>
      </c>
      <c r="AT638" s="1">
        <f t="shared" si="251"/>
        <v>0.66632905994296221</v>
      </c>
      <c r="AU638" s="1">
        <f t="shared" si="252"/>
        <v>0</v>
      </c>
      <c r="AV638" s="1">
        <f t="shared" si="264"/>
        <v>0.39204</v>
      </c>
      <c r="AX638" s="1">
        <f t="shared" si="265"/>
        <v>0</v>
      </c>
      <c r="AY638" s="1">
        <f t="shared" si="253"/>
        <v>0.50076000000000009</v>
      </c>
      <c r="AZ638" s="1">
        <f t="shared" si="254"/>
        <v>0.5</v>
      </c>
      <c r="BA638" s="1">
        <f t="shared" si="255"/>
        <v>0.5</v>
      </c>
      <c r="BB638" s="1">
        <f t="shared" si="256"/>
        <v>0.49974666666666662</v>
      </c>
      <c r="BC638" s="1">
        <f t="shared" si="257"/>
        <v>0.49974666666666662</v>
      </c>
      <c r="BD638" s="1">
        <f t="shared" si="266"/>
        <v>0.10770666666666662</v>
      </c>
      <c r="BF638">
        <f t="shared" si="258"/>
        <v>66.632905994296223</v>
      </c>
      <c r="BG638">
        <f t="shared" si="259"/>
        <v>33.367094005703777</v>
      </c>
      <c r="BH638" s="1">
        <f t="shared" si="260"/>
        <v>0</v>
      </c>
      <c r="BI638" s="1">
        <f t="shared" si="261"/>
        <v>0.50075999999999998</v>
      </c>
      <c r="BJ638" s="1">
        <f t="shared" si="267"/>
        <v>0.43</v>
      </c>
      <c r="BK638" s="1">
        <f t="shared" si="268"/>
        <v>0.40706021562236133</v>
      </c>
      <c r="BL638" s="22">
        <f t="shared" si="269"/>
        <v>0.40706021562236133</v>
      </c>
      <c r="BM638" s="1">
        <f t="shared" si="262"/>
        <v>2.2560687734222743E-4</v>
      </c>
      <c r="BN638" s="1">
        <f t="shared" si="244"/>
        <v>2.4338885846594038E-4</v>
      </c>
    </row>
    <row r="639" spans="1:66" x14ac:dyDescent="0.25">
      <c r="C639" t="s">
        <v>651</v>
      </c>
      <c r="G639">
        <v>0</v>
      </c>
      <c r="H639">
        <v>64.993728105237849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35.006271894762158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38.165999999999997</v>
      </c>
      <c r="AK639" t="s">
        <v>1</v>
      </c>
      <c r="AL639" t="s">
        <v>374</v>
      </c>
      <c r="AQ639" s="1">
        <f t="shared" si="263"/>
        <v>100</v>
      </c>
      <c r="AR639" s="1">
        <f t="shared" si="249"/>
        <v>0.35006271894762159</v>
      </c>
      <c r="AS639" s="1">
        <f t="shared" si="250"/>
        <v>0</v>
      </c>
      <c r="AT639" s="1">
        <f t="shared" si="251"/>
        <v>0.64993728105237847</v>
      </c>
      <c r="AU639" s="1">
        <f t="shared" si="252"/>
        <v>0</v>
      </c>
      <c r="AV639" s="1">
        <f t="shared" si="264"/>
        <v>0.38165999999999994</v>
      </c>
      <c r="AX639" s="1">
        <f t="shared" si="265"/>
        <v>0</v>
      </c>
      <c r="AY639" s="1">
        <f t="shared" si="253"/>
        <v>0.53861000000000003</v>
      </c>
      <c r="AZ639" s="1">
        <f t="shared" si="254"/>
        <v>0.5</v>
      </c>
      <c r="BA639" s="1">
        <f t="shared" si="255"/>
        <v>0.5</v>
      </c>
      <c r="BB639" s="1">
        <f t="shared" si="256"/>
        <v>0.48713000000000001</v>
      </c>
      <c r="BC639" s="1">
        <f t="shared" si="257"/>
        <v>0.48713000000000001</v>
      </c>
      <c r="BD639" s="1">
        <f t="shared" si="266"/>
        <v>0.10547000000000006</v>
      </c>
      <c r="BF639">
        <f t="shared" si="258"/>
        <v>64.993728105237849</v>
      </c>
      <c r="BG639">
        <f t="shared" si="259"/>
        <v>35.006271894762158</v>
      </c>
      <c r="BH639" s="1">
        <f t="shared" si="260"/>
        <v>0</v>
      </c>
      <c r="BI639" s="1">
        <f t="shared" si="261"/>
        <v>0.53861000000000003</v>
      </c>
      <c r="BJ639" s="1">
        <f t="shared" si="267"/>
        <v>0.43</v>
      </c>
      <c r="BK639" s="1">
        <f t="shared" si="268"/>
        <v>0.40891830989247635</v>
      </c>
      <c r="BL639" s="22">
        <f t="shared" si="269"/>
        <v>0.40891830989247635</v>
      </c>
      <c r="BM639" s="1">
        <f t="shared" si="262"/>
        <v>7.4301545819427709E-4</v>
      </c>
      <c r="BN639" s="1">
        <f t="shared" si="244"/>
        <v>6.7500845987597817E-4</v>
      </c>
    </row>
    <row r="640" spans="1:66" x14ac:dyDescent="0.25">
      <c r="C640" t="s">
        <v>665</v>
      </c>
      <c r="G640">
        <v>0</v>
      </c>
      <c r="H640">
        <v>12.534863172053781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12.49316678486027</v>
      </c>
      <c r="P640">
        <v>0</v>
      </c>
      <c r="Q640">
        <v>74.97197004308596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65</v>
      </c>
      <c r="AK640" t="s">
        <v>1</v>
      </c>
      <c r="AL640" t="s">
        <v>372</v>
      </c>
      <c r="AQ640" s="1">
        <f t="shared" ref="AQ640:AQ680" si="270">SUM(G640:AF640)</f>
        <v>100.00000000000001</v>
      </c>
      <c r="AR640" s="1">
        <f t="shared" si="249"/>
        <v>0.1249316678486027</v>
      </c>
      <c r="AS640" s="1">
        <f t="shared" ref="AS640:AT696" si="271">G640/100</f>
        <v>0</v>
      </c>
      <c r="AT640" s="1">
        <f t="shared" si="271"/>
        <v>0.12534863172053781</v>
      </c>
      <c r="AU640" s="1">
        <f t="shared" si="252"/>
        <v>0.74971970043085956</v>
      </c>
      <c r="AV640" s="1">
        <f t="shared" si="264"/>
        <v>0.65</v>
      </c>
      <c r="AX640" s="1">
        <f t="shared" si="265"/>
        <v>5.9810760607450755</v>
      </c>
      <c r="AY640" s="1">
        <f t="shared" si="253"/>
        <v>0.99667356662604245</v>
      </c>
      <c r="AZ640" s="1">
        <f t="shared" si="254"/>
        <v>0.87381725379656716</v>
      </c>
      <c r="BA640" s="1">
        <f t="shared" si="255"/>
        <v>1.9952690151862689</v>
      </c>
      <c r="BB640" s="1">
        <f t="shared" si="256"/>
        <v>0.87381725379656716</v>
      </c>
      <c r="BC640" s="1">
        <f t="shared" si="257"/>
        <v>0.87381725379656716</v>
      </c>
      <c r="BD640" s="1">
        <f t="shared" si="266"/>
        <v>0.22381725379656714</v>
      </c>
      <c r="BF640">
        <f t="shared" si="258"/>
        <v>12.534863172053781</v>
      </c>
      <c r="BG640">
        <f t="shared" si="259"/>
        <v>12.49316678486027</v>
      </c>
      <c r="BH640" s="1">
        <f t="shared" si="260"/>
        <v>5.9810760607450764</v>
      </c>
      <c r="BI640" s="1">
        <f t="shared" si="261"/>
        <v>0.99667356662604245</v>
      </c>
      <c r="BJ640" s="1">
        <f t="shared" si="267"/>
        <v>0.78886456364470459</v>
      </c>
      <c r="BK640" s="1">
        <f t="shared" si="268"/>
        <v>0.77210314073893749</v>
      </c>
      <c r="BL640" s="22">
        <f t="shared" si="269"/>
        <v>0.77210314073893749</v>
      </c>
      <c r="BM640" s="1">
        <f t="shared" si="262"/>
        <v>1.4909176978312771E-2</v>
      </c>
      <c r="BN640" s="1">
        <f t="shared" si="244"/>
        <v>5.8737921271979188E-2</v>
      </c>
    </row>
    <row r="641" spans="3:66" x14ac:dyDescent="0.25">
      <c r="C641" t="s">
        <v>666</v>
      </c>
      <c r="G641">
        <v>14.99</v>
      </c>
      <c r="H641">
        <v>4.79</v>
      </c>
      <c r="I641">
        <v>15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65.22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2.7</v>
      </c>
      <c r="AK641" t="s">
        <v>1</v>
      </c>
      <c r="AL641" t="s">
        <v>372</v>
      </c>
      <c r="AM641" t="s">
        <v>821</v>
      </c>
      <c r="AO641" t="s">
        <v>822</v>
      </c>
      <c r="AP641" t="s">
        <v>823</v>
      </c>
      <c r="AQ641" s="1">
        <f t="shared" si="270"/>
        <v>100</v>
      </c>
      <c r="AR641" s="1">
        <f t="shared" si="249"/>
        <v>0</v>
      </c>
      <c r="AS641" s="1">
        <f t="shared" si="271"/>
        <v>0.14990000000000001</v>
      </c>
      <c r="AT641" s="1">
        <f t="shared" si="271"/>
        <v>4.7899999999999998E-2</v>
      </c>
      <c r="AU641" s="1">
        <f t="shared" si="252"/>
        <v>0.6522</v>
      </c>
      <c r="AV641" s="1">
        <f t="shared" si="264"/>
        <v>2.7000000000000003E-2</v>
      </c>
      <c r="AX641" s="1">
        <f t="shared" si="265"/>
        <v>3.2972699696663295</v>
      </c>
      <c r="AY641" s="1">
        <f t="shared" si="253"/>
        <v>0</v>
      </c>
      <c r="AZ641" s="1">
        <f t="shared" si="254"/>
        <v>0.70607937310414559</v>
      </c>
      <c r="BA641" s="1">
        <f t="shared" si="255"/>
        <v>1.3243174924165824</v>
      </c>
      <c r="BB641" s="1">
        <f t="shared" si="256"/>
        <v>0</v>
      </c>
      <c r="BC641" s="1">
        <f t="shared" si="257"/>
        <v>0</v>
      </c>
      <c r="BD641" s="1">
        <f t="shared" si="266"/>
        <v>2.7000000000000003E-2</v>
      </c>
      <c r="BF641">
        <f t="shared" si="258"/>
        <v>64.75</v>
      </c>
      <c r="BG641">
        <f t="shared" si="259"/>
        <v>7.5</v>
      </c>
      <c r="BH641" s="1">
        <f t="shared" si="260"/>
        <v>1.0072586872586873</v>
      </c>
      <c r="BI641" s="1">
        <f t="shared" si="261"/>
        <v>0.11583011583011583</v>
      </c>
      <c r="BJ641" s="1">
        <f t="shared" si="267"/>
        <v>0.49043552123552125</v>
      </c>
      <c r="BK641" s="1">
        <f t="shared" si="268"/>
        <v>0.11583011583011583</v>
      </c>
      <c r="BL641" s="22">
        <f t="shared" si="269"/>
        <v>0.11583011583011583</v>
      </c>
      <c r="BM641" s="1">
        <f t="shared" si="262"/>
        <v>7.8907894783917937E-3</v>
      </c>
      <c r="BN641" s="1">
        <f t="shared" si="244"/>
        <v>0.14488751372655062</v>
      </c>
    </row>
    <row r="642" spans="3:66" x14ac:dyDescent="0.25">
      <c r="C642" t="s">
        <v>667</v>
      </c>
      <c r="G642">
        <v>14.99</v>
      </c>
      <c r="H642">
        <v>4.79</v>
      </c>
      <c r="I642">
        <v>15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65.22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7</v>
      </c>
      <c r="AK642" t="s">
        <v>1</v>
      </c>
      <c r="AL642" t="s">
        <v>372</v>
      </c>
      <c r="AM642" t="s">
        <v>824</v>
      </c>
      <c r="AO642" t="s">
        <v>825</v>
      </c>
      <c r="AQ642" s="1">
        <f t="shared" si="270"/>
        <v>100</v>
      </c>
      <c r="AR642" s="1">
        <f t="shared" si="249"/>
        <v>0</v>
      </c>
      <c r="AS642" s="1">
        <f t="shared" si="271"/>
        <v>0.14990000000000001</v>
      </c>
      <c r="AT642" s="1">
        <f t="shared" si="271"/>
        <v>4.7899999999999998E-2</v>
      </c>
      <c r="AU642" s="1">
        <f t="shared" si="252"/>
        <v>0.6522</v>
      </c>
      <c r="AV642" s="1">
        <f t="shared" si="264"/>
        <v>7.0000000000000007E-2</v>
      </c>
      <c r="AX642" s="1">
        <f t="shared" si="265"/>
        <v>3.2972699696663295</v>
      </c>
      <c r="AY642" s="1">
        <f t="shared" si="253"/>
        <v>0</v>
      </c>
      <c r="AZ642" s="1">
        <f t="shared" si="254"/>
        <v>0.70607937310414559</v>
      </c>
      <c r="BA642" s="1">
        <f t="shared" si="255"/>
        <v>1.3243174924165824</v>
      </c>
      <c r="BB642" s="1">
        <f t="shared" si="256"/>
        <v>0</v>
      </c>
      <c r="BC642" s="1">
        <f t="shared" si="257"/>
        <v>0</v>
      </c>
      <c r="BD642" s="1">
        <f t="shared" si="266"/>
        <v>7.0000000000000007E-2</v>
      </c>
      <c r="BF642">
        <f t="shared" si="258"/>
        <v>64.75</v>
      </c>
      <c r="BG642">
        <f t="shared" si="259"/>
        <v>7.5</v>
      </c>
      <c r="BH642" s="1">
        <f t="shared" si="260"/>
        <v>1.0072586872586873</v>
      </c>
      <c r="BI642" s="1">
        <f t="shared" si="261"/>
        <v>0.11583011583011583</v>
      </c>
      <c r="BJ642" s="1">
        <f t="shared" si="267"/>
        <v>0.49043552123552125</v>
      </c>
      <c r="BK642" s="1">
        <f t="shared" si="268"/>
        <v>0.11583011583011583</v>
      </c>
      <c r="BL642" s="22">
        <f t="shared" si="269"/>
        <v>0.11583011583011583</v>
      </c>
      <c r="BM642" s="1">
        <f t="shared" si="262"/>
        <v>2.1003995170018335E-3</v>
      </c>
      <c r="BN642" s="1">
        <f t="shared" ref="BN642:BN705" si="272">(AV642-AVERAGE($AV$2:$AV$638))^2</f>
        <v>0.11400139418313719</v>
      </c>
    </row>
    <row r="643" spans="3:66" x14ac:dyDescent="0.25">
      <c r="C643" t="s">
        <v>668</v>
      </c>
      <c r="G643">
        <v>14.99</v>
      </c>
      <c r="H643">
        <v>4.79</v>
      </c>
      <c r="I643">
        <v>15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65.22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11.7</v>
      </c>
      <c r="AK643" t="s">
        <v>1</v>
      </c>
      <c r="AL643" t="s">
        <v>372</v>
      </c>
      <c r="AM643" t="s">
        <v>826</v>
      </c>
      <c r="AO643" t="s">
        <v>827</v>
      </c>
      <c r="AQ643" s="1">
        <f t="shared" si="270"/>
        <v>100</v>
      </c>
      <c r="AR643" s="1">
        <f t="shared" si="249"/>
        <v>0</v>
      </c>
      <c r="AS643" s="1">
        <f t="shared" si="271"/>
        <v>0.14990000000000001</v>
      </c>
      <c r="AT643" s="1">
        <f t="shared" si="271"/>
        <v>4.7899999999999998E-2</v>
      </c>
      <c r="AU643" s="1">
        <f t="shared" si="252"/>
        <v>0.6522</v>
      </c>
      <c r="AV643" s="1">
        <f t="shared" si="264"/>
        <v>0.11699999999999999</v>
      </c>
      <c r="AX643" s="1">
        <f t="shared" si="265"/>
        <v>3.2972699696663295</v>
      </c>
      <c r="AY643" s="1">
        <f t="shared" si="253"/>
        <v>0</v>
      </c>
      <c r="AZ643" s="1">
        <f t="shared" si="254"/>
        <v>0.70607937310414559</v>
      </c>
      <c r="BA643" s="1">
        <f t="shared" si="255"/>
        <v>1.3243174924165824</v>
      </c>
      <c r="BB643" s="1">
        <f t="shared" si="256"/>
        <v>0</v>
      </c>
      <c r="BC643" s="1">
        <f t="shared" si="257"/>
        <v>0</v>
      </c>
      <c r="BD643" s="1">
        <f t="shared" si="266"/>
        <v>0.11699999999999999</v>
      </c>
      <c r="BF643">
        <f t="shared" si="258"/>
        <v>64.75</v>
      </c>
      <c r="BG643">
        <f t="shared" si="259"/>
        <v>7.5</v>
      </c>
      <c r="BH643" s="1">
        <f t="shared" si="260"/>
        <v>1.0072586872586873</v>
      </c>
      <c r="BI643" s="1">
        <f t="shared" si="261"/>
        <v>0.11583011583011583</v>
      </c>
      <c r="BJ643" s="1">
        <f t="shared" si="267"/>
        <v>0.49043552123552125</v>
      </c>
      <c r="BK643" s="1">
        <f t="shared" si="268"/>
        <v>0.11583011583011583</v>
      </c>
      <c r="BL643" s="22">
        <f t="shared" si="269"/>
        <v>0.11583011583011583</v>
      </c>
      <c r="BM643" s="1">
        <f t="shared" si="262"/>
        <v>1.3686289709455462E-6</v>
      </c>
      <c r="BN643" s="1">
        <f t="shared" si="272"/>
        <v>8.447214724033647E-2</v>
      </c>
    </row>
    <row r="644" spans="3:66" x14ac:dyDescent="0.25">
      <c r="C644" t="s">
        <v>669</v>
      </c>
      <c r="G644">
        <v>15.06</v>
      </c>
      <c r="H644">
        <v>9.59</v>
      </c>
      <c r="I644">
        <v>15.21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60.14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3.6</v>
      </c>
      <c r="AK644" t="s">
        <v>1</v>
      </c>
      <c r="AL644" t="s">
        <v>372</v>
      </c>
      <c r="AM644" t="s">
        <v>828</v>
      </c>
      <c r="AO644" t="s">
        <v>822</v>
      </c>
      <c r="AQ644" s="1">
        <f t="shared" si="270"/>
        <v>100</v>
      </c>
      <c r="AR644" s="1">
        <f t="shared" si="249"/>
        <v>0</v>
      </c>
      <c r="AS644" s="1">
        <f t="shared" si="271"/>
        <v>0.15060000000000001</v>
      </c>
      <c r="AT644" s="1">
        <f t="shared" si="271"/>
        <v>9.5899999999999999E-2</v>
      </c>
      <c r="AU644" s="1">
        <f t="shared" si="252"/>
        <v>0.60140000000000005</v>
      </c>
      <c r="AV644" s="1">
        <f t="shared" si="264"/>
        <v>3.6000000000000004E-2</v>
      </c>
      <c r="AX644" s="1">
        <f t="shared" si="265"/>
        <v>2.4397565922920896</v>
      </c>
      <c r="AY644" s="1">
        <f t="shared" si="253"/>
        <v>0</v>
      </c>
      <c r="AZ644" s="1">
        <f t="shared" si="254"/>
        <v>0.65248478701825563</v>
      </c>
      <c r="BA644" s="1">
        <f t="shared" si="255"/>
        <v>1.1099391480730225</v>
      </c>
      <c r="BB644" s="1">
        <f t="shared" si="256"/>
        <v>0</v>
      </c>
      <c r="BC644" s="1">
        <f t="shared" si="257"/>
        <v>0</v>
      </c>
      <c r="BD644" s="1">
        <f t="shared" si="266"/>
        <v>3.6000000000000004E-2</v>
      </c>
      <c r="BF644">
        <f t="shared" si="258"/>
        <v>69.83</v>
      </c>
      <c r="BG644">
        <f t="shared" si="259"/>
        <v>7.6050000000000004</v>
      </c>
      <c r="BH644" s="1">
        <f t="shared" si="260"/>
        <v>0.8612344264642704</v>
      </c>
      <c r="BI644" s="1">
        <f t="shared" si="261"/>
        <v>0.10890734641271661</v>
      </c>
      <c r="BJ644" s="1">
        <f t="shared" si="267"/>
        <v>0.48167406558785619</v>
      </c>
      <c r="BK644" s="1">
        <f t="shared" si="268"/>
        <v>0.10890734641271661</v>
      </c>
      <c r="BL644" s="22">
        <f t="shared" si="269"/>
        <v>0.10890734641271661</v>
      </c>
      <c r="BM644" s="1">
        <f t="shared" si="262"/>
        <v>5.315481160943861E-3</v>
      </c>
      <c r="BN644" s="1">
        <f t="shared" si="272"/>
        <v>0.13811697707792919</v>
      </c>
    </row>
    <row r="645" spans="3:66" x14ac:dyDescent="0.25">
      <c r="C645" t="s">
        <v>670</v>
      </c>
      <c r="G645">
        <v>15.06</v>
      </c>
      <c r="H645">
        <v>9.59</v>
      </c>
      <c r="I645">
        <v>15.21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60.14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8</v>
      </c>
      <c r="AK645" t="s">
        <v>1</v>
      </c>
      <c r="AL645" t="s">
        <v>372</v>
      </c>
      <c r="AM645" t="s">
        <v>829</v>
      </c>
      <c r="AO645" t="s">
        <v>825</v>
      </c>
      <c r="AQ645" s="1">
        <f t="shared" si="270"/>
        <v>100</v>
      </c>
      <c r="AR645" s="1">
        <f t="shared" si="249"/>
        <v>0</v>
      </c>
      <c r="AS645" s="1">
        <f t="shared" si="271"/>
        <v>0.15060000000000001</v>
      </c>
      <c r="AT645" s="1">
        <f t="shared" si="271"/>
        <v>9.5899999999999999E-2</v>
      </c>
      <c r="AU645" s="1">
        <f t="shared" si="252"/>
        <v>0.60140000000000005</v>
      </c>
      <c r="AV645" s="1">
        <f t="shared" si="264"/>
        <v>0.08</v>
      </c>
      <c r="AX645" s="1">
        <f t="shared" si="265"/>
        <v>2.4397565922920896</v>
      </c>
      <c r="AY645" s="1">
        <f t="shared" si="253"/>
        <v>0</v>
      </c>
      <c r="AZ645" s="1">
        <f t="shared" si="254"/>
        <v>0.65248478701825563</v>
      </c>
      <c r="BA645" s="1">
        <f t="shared" si="255"/>
        <v>1.1099391480730225</v>
      </c>
      <c r="BB645" s="1">
        <f t="shared" si="256"/>
        <v>0</v>
      </c>
      <c r="BC645" s="1">
        <f t="shared" si="257"/>
        <v>0</v>
      </c>
      <c r="BD645" s="1">
        <f t="shared" si="266"/>
        <v>0.08</v>
      </c>
      <c r="BF645">
        <f t="shared" si="258"/>
        <v>69.83</v>
      </c>
      <c r="BG645">
        <f t="shared" si="259"/>
        <v>7.6050000000000004</v>
      </c>
      <c r="BH645" s="1">
        <f t="shared" si="260"/>
        <v>0.8612344264642704</v>
      </c>
      <c r="BI645" s="1">
        <f t="shared" si="261"/>
        <v>0.10890734641271661</v>
      </c>
      <c r="BJ645" s="1">
        <f t="shared" si="267"/>
        <v>0.48167406558785619</v>
      </c>
      <c r="BK645" s="1">
        <f t="shared" si="268"/>
        <v>0.10890734641271661</v>
      </c>
      <c r="BL645" s="22">
        <f t="shared" si="269"/>
        <v>0.10890734641271661</v>
      </c>
      <c r="BM645" s="1">
        <f t="shared" si="262"/>
        <v>8.3563467662479995E-4</v>
      </c>
      <c r="BN645" s="1">
        <f t="shared" si="272"/>
        <v>0.10734857568466895</v>
      </c>
    </row>
    <row r="646" spans="3:66" x14ac:dyDescent="0.25">
      <c r="C646" t="s">
        <v>671</v>
      </c>
      <c r="G646">
        <v>15.06</v>
      </c>
      <c r="H646">
        <v>9.59</v>
      </c>
      <c r="I646">
        <v>15.21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60.14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16.3</v>
      </c>
      <c r="AK646" t="s">
        <v>1</v>
      </c>
      <c r="AL646" t="s">
        <v>372</v>
      </c>
      <c r="AM646" t="s">
        <v>830</v>
      </c>
      <c r="AO646" t="s">
        <v>827</v>
      </c>
      <c r="AQ646" s="1">
        <f t="shared" si="270"/>
        <v>100</v>
      </c>
      <c r="AR646" s="1">
        <f t="shared" si="249"/>
        <v>0</v>
      </c>
      <c r="AS646" s="1">
        <f t="shared" si="271"/>
        <v>0.15060000000000001</v>
      </c>
      <c r="AT646" s="1">
        <f t="shared" si="271"/>
        <v>9.5899999999999999E-2</v>
      </c>
      <c r="AU646" s="1">
        <f t="shared" si="252"/>
        <v>0.60140000000000005</v>
      </c>
      <c r="AV646" s="1">
        <f t="shared" si="264"/>
        <v>0.16300000000000001</v>
      </c>
      <c r="AX646" s="1">
        <f t="shared" si="265"/>
        <v>2.4397565922920896</v>
      </c>
      <c r="AY646" s="1">
        <f t="shared" si="253"/>
        <v>0</v>
      </c>
      <c r="AZ646" s="1">
        <f t="shared" si="254"/>
        <v>0.65248478701825563</v>
      </c>
      <c r="BA646" s="1">
        <f t="shared" si="255"/>
        <v>1.1099391480730225</v>
      </c>
      <c r="BB646" s="1">
        <f t="shared" si="256"/>
        <v>0</v>
      </c>
      <c r="BC646" s="1">
        <f t="shared" si="257"/>
        <v>0</v>
      </c>
      <c r="BD646" s="1">
        <f t="shared" si="266"/>
        <v>0.16300000000000001</v>
      </c>
      <c r="BF646">
        <f t="shared" si="258"/>
        <v>69.83</v>
      </c>
      <c r="BG646">
        <f t="shared" si="259"/>
        <v>7.6050000000000004</v>
      </c>
      <c r="BH646" s="1">
        <f t="shared" si="260"/>
        <v>0.8612344264642704</v>
      </c>
      <c r="BI646" s="1">
        <f t="shared" si="261"/>
        <v>0.10890734641271661</v>
      </c>
      <c r="BJ646" s="1">
        <f t="shared" si="267"/>
        <v>0.48167406558785619</v>
      </c>
      <c r="BK646" s="1">
        <f t="shared" si="268"/>
        <v>0.10890734641271661</v>
      </c>
      <c r="BL646" s="22">
        <f t="shared" si="269"/>
        <v>0.10890734641271661</v>
      </c>
      <c r="BM646" s="1">
        <f t="shared" si="262"/>
        <v>2.9260151721138428E-3</v>
      </c>
      <c r="BN646" s="1">
        <f t="shared" si="272"/>
        <v>5.9849182147382544E-2</v>
      </c>
    </row>
    <row r="647" spans="3:66" x14ac:dyDescent="0.25">
      <c r="C647" t="s">
        <v>672</v>
      </c>
      <c r="G647">
        <v>15.06</v>
      </c>
      <c r="H647">
        <v>14.28</v>
      </c>
      <c r="I647">
        <v>15.21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55.45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4.4000000000000004</v>
      </c>
      <c r="AK647" t="s">
        <v>1</v>
      </c>
      <c r="AL647" t="s">
        <v>372</v>
      </c>
      <c r="AM647" t="s">
        <v>831</v>
      </c>
      <c r="AO647" t="s">
        <v>822</v>
      </c>
      <c r="AQ647" s="1">
        <f t="shared" si="270"/>
        <v>100</v>
      </c>
      <c r="AR647" s="1">
        <f t="shared" si="249"/>
        <v>0</v>
      </c>
      <c r="AS647" s="1">
        <f t="shared" si="271"/>
        <v>0.15060000000000001</v>
      </c>
      <c r="AT647" s="1">
        <f t="shared" si="271"/>
        <v>0.14279999999999998</v>
      </c>
      <c r="AU647" s="1">
        <f t="shared" si="252"/>
        <v>0.55449999999999999</v>
      </c>
      <c r="AV647" s="1">
        <f t="shared" si="264"/>
        <v>4.4000000000000004E-2</v>
      </c>
      <c r="AX647" s="1">
        <f t="shared" si="265"/>
        <v>1.8899113837764145</v>
      </c>
      <c r="AY647" s="1">
        <f t="shared" si="253"/>
        <v>0</v>
      </c>
      <c r="AZ647" s="1">
        <f t="shared" si="254"/>
        <v>0.61811946148602592</v>
      </c>
      <c r="BA647" s="1">
        <f t="shared" si="255"/>
        <v>0.97247784594410369</v>
      </c>
      <c r="BB647" s="1">
        <f t="shared" si="256"/>
        <v>0</v>
      </c>
      <c r="BC647" s="1">
        <f t="shared" si="257"/>
        <v>0</v>
      </c>
      <c r="BD647" s="1">
        <f t="shared" si="266"/>
        <v>4.4000000000000004E-2</v>
      </c>
      <c r="BF647">
        <f t="shared" si="258"/>
        <v>74.52</v>
      </c>
      <c r="BG647">
        <f t="shared" si="259"/>
        <v>7.6050000000000004</v>
      </c>
      <c r="BH647" s="1">
        <f t="shared" si="260"/>
        <v>0.74409554482018259</v>
      </c>
      <c r="BI647" s="1">
        <f t="shared" si="261"/>
        <v>0.10205314009661837</v>
      </c>
      <c r="BJ647" s="1">
        <f t="shared" si="267"/>
        <v>0.47464573268921095</v>
      </c>
      <c r="BK647" s="1">
        <f t="shared" si="268"/>
        <v>0.10205314009661837</v>
      </c>
      <c r="BL647" s="22">
        <f t="shared" si="269"/>
        <v>0.10205314009661837</v>
      </c>
      <c r="BM647" s="1">
        <f t="shared" si="262"/>
        <v>3.3701670750775985E-3</v>
      </c>
      <c r="BN647" s="1">
        <f t="shared" si="272"/>
        <v>0.13223472227915464</v>
      </c>
    </row>
    <row r="648" spans="3:66" x14ac:dyDescent="0.25">
      <c r="C648" t="s">
        <v>673</v>
      </c>
      <c r="G648">
        <v>15.06</v>
      </c>
      <c r="H648">
        <v>14.28</v>
      </c>
      <c r="I648">
        <v>15.21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55.45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9.1</v>
      </c>
      <c r="AK648" t="s">
        <v>1</v>
      </c>
      <c r="AL648" t="s">
        <v>372</v>
      </c>
      <c r="AM648" t="s">
        <v>832</v>
      </c>
      <c r="AO648" t="s">
        <v>825</v>
      </c>
      <c r="AQ648" s="1">
        <f t="shared" si="270"/>
        <v>100</v>
      </c>
      <c r="AR648" s="1">
        <f t="shared" si="249"/>
        <v>0</v>
      </c>
      <c r="AS648" s="1">
        <f t="shared" si="271"/>
        <v>0.15060000000000001</v>
      </c>
      <c r="AT648" s="1">
        <f t="shared" si="271"/>
        <v>0.14279999999999998</v>
      </c>
      <c r="AU648" s="1">
        <f t="shared" si="252"/>
        <v>0.55449999999999999</v>
      </c>
      <c r="AV648" s="1">
        <f t="shared" si="264"/>
        <v>9.0999999999999998E-2</v>
      </c>
      <c r="AX648" s="1">
        <f t="shared" si="265"/>
        <v>1.8899113837764145</v>
      </c>
      <c r="AY648" s="1">
        <f t="shared" si="253"/>
        <v>0</v>
      </c>
      <c r="AZ648" s="1">
        <f t="shared" si="254"/>
        <v>0.61811946148602592</v>
      </c>
      <c r="BA648" s="1">
        <f t="shared" si="255"/>
        <v>0.97247784594410369</v>
      </c>
      <c r="BB648" s="1">
        <f t="shared" si="256"/>
        <v>0</v>
      </c>
      <c r="BC648" s="1">
        <f t="shared" si="257"/>
        <v>0</v>
      </c>
      <c r="BD648" s="1">
        <f t="shared" si="266"/>
        <v>9.0999999999999998E-2</v>
      </c>
      <c r="BF648">
        <f t="shared" si="258"/>
        <v>74.52</v>
      </c>
      <c r="BG648">
        <f t="shared" si="259"/>
        <v>7.6050000000000004</v>
      </c>
      <c r="BH648" s="1">
        <f t="shared" si="260"/>
        <v>0.74409554482018259</v>
      </c>
      <c r="BI648" s="1">
        <f t="shared" si="261"/>
        <v>0.10205314009661837</v>
      </c>
      <c r="BJ648" s="1">
        <f t="shared" si="267"/>
        <v>0.47464573268921095</v>
      </c>
      <c r="BK648" s="1">
        <f t="shared" si="268"/>
        <v>0.10205314009661837</v>
      </c>
      <c r="BL648" s="22">
        <f t="shared" si="269"/>
        <v>0.10205314009661837</v>
      </c>
      <c r="BM648" s="1">
        <f t="shared" si="262"/>
        <v>1.2217190599547273E-4</v>
      </c>
      <c r="BN648" s="1">
        <f t="shared" si="272"/>
        <v>0.10026147533635391</v>
      </c>
    </row>
    <row r="649" spans="3:66" x14ac:dyDescent="0.25">
      <c r="C649" t="s">
        <v>674</v>
      </c>
      <c r="G649">
        <v>15.06</v>
      </c>
      <c r="H649">
        <v>14.28</v>
      </c>
      <c r="I649">
        <v>15.21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55.45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17</v>
      </c>
      <c r="AK649" t="s">
        <v>1</v>
      </c>
      <c r="AL649" t="s">
        <v>372</v>
      </c>
      <c r="AM649" t="s">
        <v>828</v>
      </c>
      <c r="AO649" t="s">
        <v>827</v>
      </c>
      <c r="AQ649" s="1">
        <f t="shared" si="270"/>
        <v>100</v>
      </c>
      <c r="AR649" s="1">
        <f t="shared" si="249"/>
        <v>0</v>
      </c>
      <c r="AS649" s="1">
        <f t="shared" si="271"/>
        <v>0.15060000000000001</v>
      </c>
      <c r="AT649" s="1">
        <f t="shared" si="271"/>
        <v>0.14279999999999998</v>
      </c>
      <c r="AU649" s="1">
        <f t="shared" si="252"/>
        <v>0.55449999999999999</v>
      </c>
      <c r="AV649" s="1">
        <f t="shared" si="264"/>
        <v>0.17</v>
      </c>
      <c r="AX649" s="1">
        <f t="shared" si="265"/>
        <v>1.8899113837764145</v>
      </c>
      <c r="AY649" s="1">
        <f t="shared" si="253"/>
        <v>0</v>
      </c>
      <c r="AZ649" s="1">
        <f t="shared" si="254"/>
        <v>0.61811946148602592</v>
      </c>
      <c r="BA649" s="1">
        <f t="shared" si="255"/>
        <v>0.97247784594410369</v>
      </c>
      <c r="BB649" s="1">
        <f t="shared" si="256"/>
        <v>0</v>
      </c>
      <c r="BC649" s="1">
        <f t="shared" si="257"/>
        <v>0</v>
      </c>
      <c r="BD649" s="1">
        <f t="shared" si="266"/>
        <v>0.17</v>
      </c>
      <c r="BF649">
        <f t="shared" si="258"/>
        <v>74.52</v>
      </c>
      <c r="BG649">
        <f t="shared" si="259"/>
        <v>7.6050000000000004</v>
      </c>
      <c r="BH649" s="1">
        <f t="shared" si="260"/>
        <v>0.74409554482018259</v>
      </c>
      <c r="BI649" s="1">
        <f t="shared" si="261"/>
        <v>0.10205314009661837</v>
      </c>
      <c r="BJ649" s="1">
        <f t="shared" si="267"/>
        <v>0.47464573268921095</v>
      </c>
      <c r="BK649" s="1">
        <f t="shared" si="268"/>
        <v>0.10205314009661837</v>
      </c>
      <c r="BL649" s="22">
        <f t="shared" si="269"/>
        <v>0.10205314009661837</v>
      </c>
      <c r="BM649" s="1">
        <f t="shared" si="262"/>
        <v>4.6167757707297726E-3</v>
      </c>
      <c r="BN649" s="1">
        <f t="shared" si="272"/>
        <v>5.647320919845477E-2</v>
      </c>
    </row>
    <row r="650" spans="3:66" x14ac:dyDescent="0.25">
      <c r="C650" t="s">
        <v>675</v>
      </c>
      <c r="G650">
        <v>15.05</v>
      </c>
      <c r="H650">
        <v>18.989999999999998</v>
      </c>
      <c r="I650">
        <v>15.14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50.82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5.7</v>
      </c>
      <c r="AK650" t="s">
        <v>1</v>
      </c>
      <c r="AL650" t="s">
        <v>372</v>
      </c>
      <c r="AM650" t="s">
        <v>833</v>
      </c>
      <c r="AO650" t="s">
        <v>822</v>
      </c>
      <c r="AQ650" s="1">
        <f t="shared" si="270"/>
        <v>100</v>
      </c>
      <c r="AR650" s="1">
        <f t="shared" si="249"/>
        <v>0</v>
      </c>
      <c r="AS650" s="1">
        <f t="shared" si="271"/>
        <v>0.15049999999999999</v>
      </c>
      <c r="AT650" s="1">
        <f t="shared" si="271"/>
        <v>0.18989999999999999</v>
      </c>
      <c r="AU650" s="1">
        <f t="shared" si="252"/>
        <v>0.50819999999999999</v>
      </c>
      <c r="AV650" s="1">
        <f t="shared" si="264"/>
        <v>5.7000000000000002E-2</v>
      </c>
      <c r="AX650" s="1">
        <f t="shared" si="265"/>
        <v>1.4929494712103408</v>
      </c>
      <c r="AY650" s="1">
        <f t="shared" si="253"/>
        <v>0</v>
      </c>
      <c r="AZ650" s="1">
        <f t="shared" si="254"/>
        <v>0.59330934195064633</v>
      </c>
      <c r="BA650" s="1">
        <f t="shared" si="255"/>
        <v>0.87323736780258521</v>
      </c>
      <c r="BB650" s="1">
        <f t="shared" si="256"/>
        <v>0</v>
      </c>
      <c r="BC650" s="1">
        <f t="shared" si="257"/>
        <v>0</v>
      </c>
      <c r="BD650" s="1">
        <f t="shared" si="266"/>
        <v>5.7000000000000002E-2</v>
      </c>
      <c r="BF650">
        <f t="shared" si="258"/>
        <v>79.19</v>
      </c>
      <c r="BG650">
        <f t="shared" si="259"/>
        <v>7.57</v>
      </c>
      <c r="BH650" s="1">
        <f t="shared" si="260"/>
        <v>0.64174769541608789</v>
      </c>
      <c r="BI650" s="1">
        <f t="shared" si="261"/>
        <v>9.5592877888622307E-2</v>
      </c>
      <c r="BJ650" s="1">
        <f t="shared" si="267"/>
        <v>0.46850486172496525</v>
      </c>
      <c r="BK650" s="1">
        <f t="shared" si="268"/>
        <v>9.5592877888622307E-2</v>
      </c>
      <c r="BL650" s="22">
        <f t="shared" si="269"/>
        <v>9.5592877888622307E-2</v>
      </c>
      <c r="BM650" s="1">
        <f t="shared" si="262"/>
        <v>1.4894102237261125E-3</v>
      </c>
      <c r="BN650" s="1">
        <f t="shared" si="272"/>
        <v>0.12294905823114591</v>
      </c>
    </row>
    <row r="651" spans="3:66" x14ac:dyDescent="0.25">
      <c r="C651" t="s">
        <v>676</v>
      </c>
      <c r="G651">
        <v>15.05</v>
      </c>
      <c r="H651">
        <v>18.989999999999998</v>
      </c>
      <c r="I651">
        <v>15.14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50.82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11.2</v>
      </c>
      <c r="AK651" t="s">
        <v>1</v>
      </c>
      <c r="AL651" t="s">
        <v>372</v>
      </c>
      <c r="AM651" t="s">
        <v>834</v>
      </c>
      <c r="AO651" t="s">
        <v>825</v>
      </c>
      <c r="AQ651" s="1">
        <f t="shared" si="270"/>
        <v>100</v>
      </c>
      <c r="AR651" s="1">
        <f t="shared" si="249"/>
        <v>0</v>
      </c>
      <c r="AS651" s="1">
        <f t="shared" si="271"/>
        <v>0.15049999999999999</v>
      </c>
      <c r="AT651" s="1">
        <f t="shared" si="271"/>
        <v>0.18989999999999999</v>
      </c>
      <c r="AU651" s="1">
        <f t="shared" si="252"/>
        <v>0.50819999999999999</v>
      </c>
      <c r="AV651" s="1">
        <f t="shared" si="264"/>
        <v>0.11199999999999999</v>
      </c>
      <c r="AX651" s="1">
        <f t="shared" si="265"/>
        <v>1.4929494712103408</v>
      </c>
      <c r="AY651" s="1">
        <f t="shared" si="253"/>
        <v>0</v>
      </c>
      <c r="AZ651" s="1">
        <f t="shared" si="254"/>
        <v>0.59330934195064633</v>
      </c>
      <c r="BA651" s="1">
        <f t="shared" si="255"/>
        <v>0.87323736780258521</v>
      </c>
      <c r="BB651" s="1">
        <f t="shared" si="256"/>
        <v>0</v>
      </c>
      <c r="BC651" s="1">
        <f t="shared" si="257"/>
        <v>0</v>
      </c>
      <c r="BD651" s="1">
        <f t="shared" si="266"/>
        <v>0.11199999999999999</v>
      </c>
      <c r="BF651">
        <f t="shared" si="258"/>
        <v>79.19</v>
      </c>
      <c r="BG651">
        <f t="shared" si="259"/>
        <v>7.57</v>
      </c>
      <c r="BH651" s="1">
        <f t="shared" si="260"/>
        <v>0.64174769541608789</v>
      </c>
      <c r="BI651" s="1">
        <f t="shared" si="261"/>
        <v>9.5592877888622307E-2</v>
      </c>
      <c r="BJ651" s="1">
        <f t="shared" si="267"/>
        <v>0.46850486172496525</v>
      </c>
      <c r="BK651" s="1">
        <f t="shared" si="268"/>
        <v>9.5592877888622307E-2</v>
      </c>
      <c r="BL651" s="22">
        <f t="shared" si="269"/>
        <v>9.5592877888622307E-2</v>
      </c>
      <c r="BM651" s="1">
        <f t="shared" si="262"/>
        <v>2.6919365597765841E-4</v>
      </c>
      <c r="BN651" s="1">
        <f t="shared" si="272"/>
        <v>8.7403556489570586E-2</v>
      </c>
    </row>
    <row r="652" spans="3:66" x14ac:dyDescent="0.25">
      <c r="C652" t="s">
        <v>677</v>
      </c>
      <c r="G652">
        <v>15.05</v>
      </c>
      <c r="H652">
        <v>18.989999999999998</v>
      </c>
      <c r="I652">
        <v>15.14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50.82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18.2</v>
      </c>
      <c r="AK652" t="s">
        <v>1</v>
      </c>
      <c r="AL652" t="s">
        <v>372</v>
      </c>
      <c r="AM652" t="s">
        <v>832</v>
      </c>
      <c r="AO652" t="s">
        <v>827</v>
      </c>
      <c r="AQ652" s="1">
        <f t="shared" si="270"/>
        <v>100</v>
      </c>
      <c r="AR652" s="1">
        <f t="shared" si="249"/>
        <v>0</v>
      </c>
      <c r="AS652" s="1">
        <f t="shared" si="271"/>
        <v>0.15049999999999999</v>
      </c>
      <c r="AT652" s="1">
        <f t="shared" si="271"/>
        <v>0.18989999999999999</v>
      </c>
      <c r="AU652" s="1">
        <f t="shared" si="252"/>
        <v>0.50819999999999999</v>
      </c>
      <c r="AV652" s="1">
        <f t="shared" si="264"/>
        <v>0.182</v>
      </c>
      <c r="AX652" s="1">
        <f t="shared" si="265"/>
        <v>1.4929494712103408</v>
      </c>
      <c r="AY652" s="1">
        <f t="shared" si="253"/>
        <v>0</v>
      </c>
      <c r="AZ652" s="1">
        <f t="shared" si="254"/>
        <v>0.59330934195064633</v>
      </c>
      <c r="BA652" s="1">
        <f t="shared" si="255"/>
        <v>0.87323736780258521</v>
      </c>
      <c r="BB652" s="1">
        <f t="shared" si="256"/>
        <v>0</v>
      </c>
      <c r="BC652" s="1">
        <f t="shared" si="257"/>
        <v>0</v>
      </c>
      <c r="BD652" s="1">
        <f t="shared" si="266"/>
        <v>0.182</v>
      </c>
      <c r="BF652">
        <f t="shared" si="258"/>
        <v>79.19</v>
      </c>
      <c r="BG652">
        <f t="shared" si="259"/>
        <v>7.57</v>
      </c>
      <c r="BH652" s="1">
        <f t="shared" si="260"/>
        <v>0.64174769541608789</v>
      </c>
      <c r="BI652" s="1">
        <f t="shared" si="261"/>
        <v>9.5592877888622307E-2</v>
      </c>
      <c r="BJ652" s="1">
        <f t="shared" si="267"/>
        <v>0.46850486172496525</v>
      </c>
      <c r="BK652" s="1">
        <f t="shared" si="268"/>
        <v>9.5592877888622307E-2</v>
      </c>
      <c r="BL652" s="22">
        <f t="shared" si="269"/>
        <v>9.5592877888622307E-2</v>
      </c>
      <c r="BM652" s="1">
        <f t="shared" si="262"/>
        <v>7.4661907515705351E-3</v>
      </c>
      <c r="BN652" s="1">
        <f t="shared" si="272"/>
        <v>5.0913827000292892E-2</v>
      </c>
    </row>
    <row r="653" spans="3:66" x14ac:dyDescent="0.25">
      <c r="C653" t="s">
        <v>678</v>
      </c>
      <c r="G653">
        <v>15.05</v>
      </c>
      <c r="H653">
        <v>23.5</v>
      </c>
      <c r="I653">
        <v>15.11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46.34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6.4</v>
      </c>
      <c r="AK653" t="s">
        <v>1</v>
      </c>
      <c r="AL653" t="s">
        <v>372</v>
      </c>
      <c r="AM653" t="s">
        <v>835</v>
      </c>
      <c r="AO653" t="s">
        <v>822</v>
      </c>
      <c r="AQ653" s="1">
        <f t="shared" si="270"/>
        <v>100</v>
      </c>
      <c r="AR653" s="1">
        <f t="shared" si="249"/>
        <v>0</v>
      </c>
      <c r="AS653" s="1">
        <f t="shared" si="271"/>
        <v>0.15049999999999999</v>
      </c>
      <c r="AT653" s="1">
        <f t="shared" si="271"/>
        <v>0.23499999999999999</v>
      </c>
      <c r="AU653" s="1">
        <f t="shared" si="252"/>
        <v>0.46340000000000003</v>
      </c>
      <c r="AV653" s="1">
        <f t="shared" si="264"/>
        <v>6.4000000000000001E-2</v>
      </c>
      <c r="AX653" s="1">
        <f t="shared" si="265"/>
        <v>1.2020752269779509</v>
      </c>
      <c r="AY653" s="1">
        <f t="shared" si="253"/>
        <v>0</v>
      </c>
      <c r="AZ653" s="1">
        <f t="shared" si="254"/>
        <v>0.57512970168612187</v>
      </c>
      <c r="BA653" s="1">
        <f t="shared" si="255"/>
        <v>0.80051880674448772</v>
      </c>
      <c r="BB653" s="1">
        <f t="shared" si="256"/>
        <v>0</v>
      </c>
      <c r="BC653" s="1">
        <f t="shared" si="257"/>
        <v>0</v>
      </c>
      <c r="BD653" s="1">
        <f t="shared" si="266"/>
        <v>6.4000000000000001E-2</v>
      </c>
      <c r="BF653">
        <f t="shared" si="258"/>
        <v>83.7</v>
      </c>
      <c r="BG653">
        <f t="shared" si="259"/>
        <v>7.5549999999999997</v>
      </c>
      <c r="BH653" s="1">
        <f t="shared" si="260"/>
        <v>0.55364396654719239</v>
      </c>
      <c r="BI653" s="1">
        <f t="shared" si="261"/>
        <v>9.0262843488649935E-2</v>
      </c>
      <c r="BJ653" s="1">
        <f t="shared" si="267"/>
        <v>0.46321863799283153</v>
      </c>
      <c r="BK653" s="1">
        <f t="shared" si="268"/>
        <v>9.0262843488649935E-2</v>
      </c>
      <c r="BL653" s="22">
        <f t="shared" si="269"/>
        <v>9.0262843488649935E-2</v>
      </c>
      <c r="BM653" s="1">
        <f t="shared" si="262"/>
        <v>6.8973694810932221E-4</v>
      </c>
      <c r="BN653" s="1">
        <f t="shared" si="272"/>
        <v>0.11808908528221813</v>
      </c>
    </row>
    <row r="654" spans="3:66" x14ac:dyDescent="0.25">
      <c r="C654" t="s">
        <v>679</v>
      </c>
      <c r="G654">
        <v>15.05</v>
      </c>
      <c r="H654">
        <v>23.5</v>
      </c>
      <c r="I654">
        <v>15.11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46.34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12.7</v>
      </c>
      <c r="AK654" t="s">
        <v>1</v>
      </c>
      <c r="AL654" t="s">
        <v>372</v>
      </c>
      <c r="AM654" t="s">
        <v>836</v>
      </c>
      <c r="AO654" t="s">
        <v>825</v>
      </c>
      <c r="AQ654" s="1">
        <f t="shared" si="270"/>
        <v>100</v>
      </c>
      <c r="AR654" s="1">
        <f t="shared" si="249"/>
        <v>0</v>
      </c>
      <c r="AS654" s="1">
        <f t="shared" si="271"/>
        <v>0.15049999999999999</v>
      </c>
      <c r="AT654" s="1">
        <f t="shared" si="271"/>
        <v>0.23499999999999999</v>
      </c>
      <c r="AU654" s="1">
        <f t="shared" si="252"/>
        <v>0.46340000000000003</v>
      </c>
      <c r="AV654" s="1">
        <f t="shared" si="264"/>
        <v>0.127</v>
      </c>
      <c r="AX654" s="1">
        <f t="shared" si="265"/>
        <v>1.2020752269779509</v>
      </c>
      <c r="AY654" s="1">
        <f t="shared" si="253"/>
        <v>0</v>
      </c>
      <c r="AZ654" s="1">
        <f t="shared" si="254"/>
        <v>0.57512970168612187</v>
      </c>
      <c r="BA654" s="1">
        <f t="shared" si="255"/>
        <v>0.80051880674448772</v>
      </c>
      <c r="BB654" s="1">
        <f t="shared" si="256"/>
        <v>0</v>
      </c>
      <c r="BC654" s="1">
        <f t="shared" si="257"/>
        <v>0</v>
      </c>
      <c r="BD654" s="1">
        <f t="shared" si="266"/>
        <v>0.127</v>
      </c>
      <c r="BF654">
        <f t="shared" si="258"/>
        <v>83.7</v>
      </c>
      <c r="BG654">
        <f t="shared" si="259"/>
        <v>7.5549999999999997</v>
      </c>
      <c r="BH654" s="1">
        <f t="shared" si="260"/>
        <v>0.55364396654719239</v>
      </c>
      <c r="BI654" s="1">
        <f t="shared" si="261"/>
        <v>9.0262843488649935E-2</v>
      </c>
      <c r="BJ654" s="1">
        <f t="shared" si="267"/>
        <v>0.46321863799283153</v>
      </c>
      <c r="BK654" s="1">
        <f t="shared" si="268"/>
        <v>9.0262843488649935E-2</v>
      </c>
      <c r="BL654" s="22">
        <f t="shared" si="269"/>
        <v>9.0262843488649935E-2</v>
      </c>
      <c r="BM654" s="1">
        <f t="shared" si="262"/>
        <v>1.3496186685394305E-3</v>
      </c>
      <c r="BN654" s="1">
        <f t="shared" si="272"/>
        <v>7.8759328741868223E-2</v>
      </c>
    </row>
    <row r="655" spans="3:66" x14ac:dyDescent="0.25">
      <c r="C655" t="s">
        <v>680</v>
      </c>
      <c r="G655">
        <v>15.05</v>
      </c>
      <c r="H655">
        <v>23.5</v>
      </c>
      <c r="I655">
        <v>15.11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46.34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22.1</v>
      </c>
      <c r="AK655" t="s">
        <v>1</v>
      </c>
      <c r="AL655" t="s">
        <v>372</v>
      </c>
      <c r="AM655" t="s">
        <v>832</v>
      </c>
      <c r="AO655" t="s">
        <v>827</v>
      </c>
      <c r="AQ655" s="1">
        <f t="shared" si="270"/>
        <v>100</v>
      </c>
      <c r="AR655" s="1">
        <f t="shared" si="249"/>
        <v>0</v>
      </c>
      <c r="AS655" s="1">
        <f t="shared" si="271"/>
        <v>0.15049999999999999</v>
      </c>
      <c r="AT655" s="1">
        <f t="shared" si="271"/>
        <v>0.23499999999999999</v>
      </c>
      <c r="AU655" s="1">
        <f t="shared" si="252"/>
        <v>0.46340000000000003</v>
      </c>
      <c r="AV655" s="1">
        <f t="shared" si="264"/>
        <v>0.221</v>
      </c>
      <c r="AX655" s="1">
        <f t="shared" si="265"/>
        <v>1.2020752269779509</v>
      </c>
      <c r="AY655" s="1">
        <f t="shared" si="253"/>
        <v>0</v>
      </c>
      <c r="AZ655" s="1">
        <f t="shared" si="254"/>
        <v>0.57512970168612187</v>
      </c>
      <c r="BA655" s="1">
        <f t="shared" si="255"/>
        <v>0.80051880674448772</v>
      </c>
      <c r="BB655" s="1">
        <f t="shared" si="256"/>
        <v>0</v>
      </c>
      <c r="BC655" s="1">
        <f t="shared" si="257"/>
        <v>0</v>
      </c>
      <c r="BD655" s="1">
        <f t="shared" si="266"/>
        <v>0.221</v>
      </c>
      <c r="BF655">
        <f t="shared" si="258"/>
        <v>83.7</v>
      </c>
      <c r="BG655">
        <f t="shared" si="259"/>
        <v>7.5549999999999997</v>
      </c>
      <c r="BH655" s="1">
        <f t="shared" si="260"/>
        <v>0.55364396654719239</v>
      </c>
      <c r="BI655" s="1">
        <f t="shared" si="261"/>
        <v>9.0262843488649935E-2</v>
      </c>
      <c r="BJ655" s="1">
        <f t="shared" si="267"/>
        <v>0.46321863799283153</v>
      </c>
      <c r="BK655" s="1">
        <f t="shared" si="268"/>
        <v>9.0262843488649935E-2</v>
      </c>
      <c r="BL655" s="22">
        <f t="shared" si="269"/>
        <v>9.0262843488649935E-2</v>
      </c>
      <c r="BM655" s="1">
        <f t="shared" si="262"/>
        <v>1.7092204092673244E-2</v>
      </c>
      <c r="BN655" s="1">
        <f t="shared" si="272"/>
        <v>3.4834834856266747E-2</v>
      </c>
    </row>
    <row r="656" spans="3:66" x14ac:dyDescent="0.25">
      <c r="C656" t="s">
        <v>681</v>
      </c>
      <c r="G656">
        <v>0.08</v>
      </c>
      <c r="H656">
        <v>10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9.6999999999999993</v>
      </c>
      <c r="P656">
        <v>0</v>
      </c>
      <c r="Q656">
        <v>80.2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75.5</v>
      </c>
      <c r="AK656" t="s">
        <v>1</v>
      </c>
      <c r="AL656" t="s">
        <v>372</v>
      </c>
      <c r="AM656" t="s">
        <v>837</v>
      </c>
      <c r="AO656" t="s">
        <v>378</v>
      </c>
      <c r="AP656" t="s">
        <v>838</v>
      </c>
      <c r="AQ656" s="1">
        <f t="shared" si="270"/>
        <v>99.98</v>
      </c>
      <c r="AR656" s="1">
        <f t="shared" si="249"/>
        <v>9.6999999999999989E-2</v>
      </c>
      <c r="AS656" s="1">
        <f t="shared" si="271"/>
        <v>8.0000000000000004E-4</v>
      </c>
      <c r="AT656" s="1">
        <f t="shared" si="271"/>
        <v>0.1</v>
      </c>
      <c r="AU656" s="1">
        <f t="shared" si="252"/>
        <v>0.80200000000000005</v>
      </c>
      <c r="AV656" s="1">
        <f t="shared" si="264"/>
        <v>0.755</v>
      </c>
      <c r="AX656" s="1">
        <f t="shared" si="265"/>
        <v>7.9563492063492065</v>
      </c>
      <c r="AY656" s="1">
        <f t="shared" si="253"/>
        <v>0.96230158730158721</v>
      </c>
      <c r="AZ656" s="1">
        <f t="shared" si="254"/>
        <v>0.99727182539682535</v>
      </c>
      <c r="BA656" s="1">
        <f t="shared" si="255"/>
        <v>2.4890873015873014</v>
      </c>
      <c r="BB656" s="1">
        <f t="shared" si="256"/>
        <v>0.96230158730158721</v>
      </c>
      <c r="BC656" s="1">
        <f t="shared" si="257"/>
        <v>0.96230158730158721</v>
      </c>
      <c r="BD656" s="1">
        <f t="shared" si="266"/>
        <v>0.20730158730158721</v>
      </c>
      <c r="BF656">
        <f t="shared" si="258"/>
        <v>10.32</v>
      </c>
      <c r="BG656">
        <f t="shared" si="259"/>
        <v>9.6999999999999993</v>
      </c>
      <c r="BH656" s="1">
        <f t="shared" si="260"/>
        <v>7.7713178294573648</v>
      </c>
      <c r="BI656" s="1">
        <f t="shared" si="261"/>
        <v>0.93992248062015493</v>
      </c>
      <c r="BJ656" s="1">
        <f t="shared" si="267"/>
        <v>0.89627906976744187</v>
      </c>
      <c r="BK656" s="1">
        <f t="shared" si="268"/>
        <v>0.80392411748809589</v>
      </c>
      <c r="BL656" s="22">
        <f t="shared" si="269"/>
        <v>0.80392411748809589</v>
      </c>
      <c r="BM656" s="1">
        <f t="shared" si="262"/>
        <v>2.3935692719890098E-3</v>
      </c>
      <c r="BN656" s="1">
        <f t="shared" si="272"/>
        <v>0.12065832703806265</v>
      </c>
    </row>
    <row r="657" spans="3:66" x14ac:dyDescent="0.25">
      <c r="C657" t="s">
        <v>682</v>
      </c>
      <c r="G657">
        <v>0.09</v>
      </c>
      <c r="H657">
        <v>19.899999999999999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9.8000000000000007</v>
      </c>
      <c r="P657">
        <v>0</v>
      </c>
      <c r="Q657">
        <v>70.2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48.4</v>
      </c>
      <c r="AK657" t="s">
        <v>1</v>
      </c>
      <c r="AL657" t="s">
        <v>372</v>
      </c>
      <c r="AQ657" s="1">
        <f t="shared" si="270"/>
        <v>99.990000000000009</v>
      </c>
      <c r="AR657" s="1">
        <f t="shared" si="249"/>
        <v>9.8000000000000004E-2</v>
      </c>
      <c r="AS657" s="1">
        <f t="shared" si="271"/>
        <v>8.9999999999999998E-4</v>
      </c>
      <c r="AT657" s="1">
        <f t="shared" si="271"/>
        <v>0.19899999999999998</v>
      </c>
      <c r="AU657" s="1">
        <f t="shared" si="252"/>
        <v>0.70200000000000007</v>
      </c>
      <c r="AV657" s="1">
        <f t="shared" si="264"/>
        <v>0.48399999999999999</v>
      </c>
      <c r="AX657" s="1">
        <f t="shared" si="265"/>
        <v>3.5117558779389699</v>
      </c>
      <c r="AY657" s="1">
        <f t="shared" si="253"/>
        <v>0.49024512256128067</v>
      </c>
      <c r="AZ657" s="1">
        <f t="shared" si="254"/>
        <v>0.71948474237118565</v>
      </c>
      <c r="BA657" s="1">
        <f t="shared" si="255"/>
        <v>1.3779389694847426</v>
      </c>
      <c r="BB657" s="1">
        <f t="shared" si="256"/>
        <v>0.49024512256128067</v>
      </c>
      <c r="BC657" s="1">
        <f t="shared" si="257"/>
        <v>0.49024512256128067</v>
      </c>
      <c r="BD657" s="1">
        <f t="shared" si="266"/>
        <v>6.2451225612806804E-3</v>
      </c>
      <c r="BF657">
        <f t="shared" si="258"/>
        <v>20.259999999999998</v>
      </c>
      <c r="BG657">
        <f t="shared" si="259"/>
        <v>9.8000000000000007</v>
      </c>
      <c r="BH657" s="1">
        <f t="shared" si="260"/>
        <v>3.4649555774925966</v>
      </c>
      <c r="BI657" s="1">
        <f t="shared" si="261"/>
        <v>0.48371174728529132</v>
      </c>
      <c r="BJ657" s="1">
        <f t="shared" si="267"/>
        <v>0.63789733464955578</v>
      </c>
      <c r="BK657" s="1">
        <f t="shared" si="268"/>
        <v>0.48371174728529132</v>
      </c>
      <c r="BL657" s="22">
        <f t="shared" si="269"/>
        <v>0.48371174728529132</v>
      </c>
      <c r="BM657" s="1">
        <f t="shared" si="262"/>
        <v>8.3089627536917888E-8</v>
      </c>
      <c r="BN657" s="1">
        <f t="shared" si="272"/>
        <v>5.8307083465519872E-3</v>
      </c>
    </row>
    <row r="658" spans="3:66" x14ac:dyDescent="0.25">
      <c r="C658" t="s">
        <v>683</v>
      </c>
      <c r="G658">
        <v>0</v>
      </c>
      <c r="H658">
        <v>29.9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9.8000000000000007</v>
      </c>
      <c r="P658">
        <v>0</v>
      </c>
      <c r="Q658">
        <v>60.2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34.799999999999997</v>
      </c>
      <c r="AK658" t="s">
        <v>1</v>
      </c>
      <c r="AL658" t="s">
        <v>372</v>
      </c>
      <c r="AQ658" s="1">
        <f t="shared" si="270"/>
        <v>99.9</v>
      </c>
      <c r="AR658" s="1">
        <f t="shared" si="249"/>
        <v>9.8000000000000004E-2</v>
      </c>
      <c r="AS658" s="1">
        <f t="shared" si="271"/>
        <v>0</v>
      </c>
      <c r="AT658" s="1">
        <f t="shared" si="271"/>
        <v>0.29899999999999999</v>
      </c>
      <c r="AU658" s="1">
        <f t="shared" si="252"/>
        <v>0.60199999999999998</v>
      </c>
      <c r="AV658" s="1">
        <f t="shared" si="264"/>
        <v>0.34799999999999998</v>
      </c>
      <c r="AX658" s="1">
        <f t="shared" si="265"/>
        <v>2.0133779264214047</v>
      </c>
      <c r="AY658" s="1">
        <f t="shared" si="253"/>
        <v>0.32775919732441472</v>
      </c>
      <c r="AZ658" s="1">
        <f t="shared" si="254"/>
        <v>0.62583612040133785</v>
      </c>
      <c r="BA658" s="1">
        <f t="shared" si="255"/>
        <v>1.0033444816053512</v>
      </c>
      <c r="BB658" s="1">
        <f t="shared" si="256"/>
        <v>0.32775919732441472</v>
      </c>
      <c r="BC658" s="1">
        <f t="shared" si="257"/>
        <v>0.32775919732441472</v>
      </c>
      <c r="BD658" s="1">
        <f t="shared" si="266"/>
        <v>2.0240802675585257E-2</v>
      </c>
      <c r="BF658">
        <f t="shared" si="258"/>
        <v>29.9</v>
      </c>
      <c r="BG658">
        <f t="shared" si="259"/>
        <v>9.8000000000000007</v>
      </c>
      <c r="BH658" s="1">
        <f t="shared" si="260"/>
        <v>2.0133779264214047</v>
      </c>
      <c r="BI658" s="1">
        <f t="shared" si="261"/>
        <v>0.32775919732441477</v>
      </c>
      <c r="BJ658" s="1">
        <f t="shared" si="267"/>
        <v>0.55080267558528428</v>
      </c>
      <c r="BK658" s="1">
        <f t="shared" si="268"/>
        <v>0.32775919732441477</v>
      </c>
      <c r="BL658" s="22">
        <f t="shared" si="269"/>
        <v>0.32775919732441477</v>
      </c>
      <c r="BM658" s="1">
        <f t="shared" si="262"/>
        <v>4.0969009295197705E-4</v>
      </c>
      <c r="BN658" s="1">
        <f t="shared" si="272"/>
        <v>3.5570399257200797E-3</v>
      </c>
    </row>
    <row r="659" spans="3:66" x14ac:dyDescent="0.25">
      <c r="C659" t="s">
        <v>684</v>
      </c>
      <c r="G659">
        <v>0.05</v>
      </c>
      <c r="H659">
        <v>59.5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</v>
      </c>
      <c r="P659">
        <v>0</v>
      </c>
      <c r="Q659">
        <v>30.4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18.899999999999999</v>
      </c>
      <c r="AK659" t="s">
        <v>1</v>
      </c>
      <c r="AL659" t="s">
        <v>372</v>
      </c>
      <c r="AQ659" s="1">
        <f t="shared" si="270"/>
        <v>99.949999999999989</v>
      </c>
      <c r="AR659" s="1">
        <f t="shared" si="249"/>
        <v>0.1</v>
      </c>
      <c r="AS659" s="1">
        <f t="shared" si="271"/>
        <v>5.0000000000000001E-4</v>
      </c>
      <c r="AT659" s="1">
        <f t="shared" si="271"/>
        <v>0.59499999999999997</v>
      </c>
      <c r="AU659" s="1">
        <f t="shared" si="252"/>
        <v>0.30399999999999999</v>
      </c>
      <c r="AV659" s="1">
        <f t="shared" si="264"/>
        <v>0.18899999999999997</v>
      </c>
      <c r="AX659" s="1">
        <f t="shared" si="265"/>
        <v>0.51049538203190603</v>
      </c>
      <c r="AY659" s="1">
        <f t="shared" si="253"/>
        <v>0.16792611251049541</v>
      </c>
      <c r="AZ659" s="1">
        <f t="shared" si="254"/>
        <v>0.53190596137699409</v>
      </c>
      <c r="BA659" s="1">
        <f t="shared" si="255"/>
        <v>0.62762384550797656</v>
      </c>
      <c r="BB659" s="1">
        <f t="shared" si="256"/>
        <v>0.16792611251049541</v>
      </c>
      <c r="BC659" s="1">
        <f t="shared" si="257"/>
        <v>0.16792611251049541</v>
      </c>
      <c r="BD659" s="1">
        <f t="shared" si="266"/>
        <v>2.1073887489504561E-2</v>
      </c>
      <c r="BF659">
        <f t="shared" si="258"/>
        <v>59.7</v>
      </c>
      <c r="BG659">
        <f t="shared" si="259"/>
        <v>10</v>
      </c>
      <c r="BH659" s="1">
        <f t="shared" si="260"/>
        <v>0.50921273031825787</v>
      </c>
      <c r="BI659" s="1">
        <f t="shared" si="261"/>
        <v>0.1675041876046901</v>
      </c>
      <c r="BJ659" s="1">
        <f t="shared" si="267"/>
        <v>0.46055276381909549</v>
      </c>
      <c r="BK659" s="1">
        <f t="shared" si="268"/>
        <v>0.1675041876046901</v>
      </c>
      <c r="BL659" s="22">
        <f t="shared" si="269"/>
        <v>0.1675041876046901</v>
      </c>
      <c r="BM659" s="1">
        <f t="shared" si="262"/>
        <v>4.6206995053435751E-4</v>
      </c>
      <c r="BN659" s="1">
        <f t="shared" si="272"/>
        <v>4.7803854051365134E-2</v>
      </c>
    </row>
    <row r="660" spans="3:66" x14ac:dyDescent="0.25">
      <c r="C660" t="s">
        <v>685</v>
      </c>
      <c r="G660">
        <v>0.04</v>
      </c>
      <c r="H660">
        <v>69.099999999999994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10.1</v>
      </c>
      <c r="P660">
        <v>0</v>
      </c>
      <c r="Q660">
        <v>20.7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16.600000000000001</v>
      </c>
      <c r="AK660" t="s">
        <v>1</v>
      </c>
      <c r="AL660" t="s">
        <v>372</v>
      </c>
      <c r="AQ660" s="1">
        <f t="shared" si="270"/>
        <v>99.94</v>
      </c>
      <c r="AR660" s="1">
        <f t="shared" si="249"/>
        <v>0.10099999999999999</v>
      </c>
      <c r="AS660" s="1">
        <f t="shared" si="271"/>
        <v>4.0000000000000002E-4</v>
      </c>
      <c r="AT660" s="1">
        <f t="shared" si="271"/>
        <v>0.69099999999999995</v>
      </c>
      <c r="AU660" s="1">
        <f t="shared" si="252"/>
        <v>0.20699999999999999</v>
      </c>
      <c r="AV660" s="1">
        <f t="shared" si="264"/>
        <v>0.16600000000000001</v>
      </c>
      <c r="AX660" s="1">
        <f t="shared" si="265"/>
        <v>0.29939253688168938</v>
      </c>
      <c r="AY660" s="1">
        <f t="shared" si="253"/>
        <v>0.14608041654613829</v>
      </c>
      <c r="AZ660" s="1">
        <f t="shared" si="254"/>
        <v>0.51871203355510553</v>
      </c>
      <c r="BA660" s="1">
        <f t="shared" si="255"/>
        <v>0.57484813422042236</v>
      </c>
      <c r="BB660" s="1">
        <f t="shared" si="256"/>
        <v>0.14608041654613829</v>
      </c>
      <c r="BC660" s="1">
        <f t="shared" si="257"/>
        <v>0.14608041654613829</v>
      </c>
      <c r="BD660" s="1">
        <f t="shared" si="266"/>
        <v>1.9919583453861717E-2</v>
      </c>
      <c r="BF660">
        <f t="shared" si="258"/>
        <v>69.259999999999991</v>
      </c>
      <c r="BG660">
        <f t="shared" si="259"/>
        <v>10.1</v>
      </c>
      <c r="BH660" s="1">
        <f t="shared" si="260"/>
        <v>0.29887380883626918</v>
      </c>
      <c r="BI660" s="1">
        <f t="shared" si="261"/>
        <v>0.14582731735489463</v>
      </c>
      <c r="BJ660" s="1">
        <f t="shared" si="267"/>
        <v>0.44793242853017612</v>
      </c>
      <c r="BK660" s="1">
        <f t="shared" si="268"/>
        <v>0.14582731735489463</v>
      </c>
      <c r="BL660" s="22">
        <f t="shared" si="269"/>
        <v>0.14582731735489463</v>
      </c>
      <c r="BM660" s="1">
        <f t="shared" si="262"/>
        <v>4.0693712510013594E-4</v>
      </c>
      <c r="BN660" s="1">
        <f t="shared" si="272"/>
        <v>5.8390336597842069E-2</v>
      </c>
    </row>
    <row r="661" spans="3:66" x14ac:dyDescent="0.25">
      <c r="C661" t="s">
        <v>686</v>
      </c>
      <c r="G661">
        <v>0.04</v>
      </c>
      <c r="H661">
        <v>79.3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10.1</v>
      </c>
      <c r="P661">
        <v>0</v>
      </c>
      <c r="Q661">
        <v>10.5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15.1</v>
      </c>
      <c r="AK661" t="s">
        <v>1</v>
      </c>
      <c r="AL661" t="s">
        <v>372</v>
      </c>
      <c r="AQ661" s="1">
        <f t="shared" si="270"/>
        <v>99.94</v>
      </c>
      <c r="AR661" s="1">
        <f t="shared" si="249"/>
        <v>0.10099999999999999</v>
      </c>
      <c r="AS661" s="1">
        <f t="shared" si="271"/>
        <v>4.0000000000000002E-4</v>
      </c>
      <c r="AT661" s="1">
        <f t="shared" si="271"/>
        <v>0.79299999999999993</v>
      </c>
      <c r="AU661" s="1">
        <f t="shared" si="252"/>
        <v>0.105</v>
      </c>
      <c r="AV661" s="1">
        <f t="shared" si="264"/>
        <v>0.151</v>
      </c>
      <c r="AX661" s="1">
        <f t="shared" si="265"/>
        <v>0.13234182001512479</v>
      </c>
      <c r="AY661" s="1">
        <f t="shared" si="253"/>
        <v>0.12730022687169146</v>
      </c>
      <c r="AZ661" s="1">
        <f t="shared" si="254"/>
        <v>0.50827136375094528</v>
      </c>
      <c r="BA661" s="1">
        <f t="shared" si="255"/>
        <v>0.53308545500378124</v>
      </c>
      <c r="BB661" s="1">
        <f t="shared" si="256"/>
        <v>0.12730022687169146</v>
      </c>
      <c r="BC661" s="1">
        <f t="shared" si="257"/>
        <v>0.12730022687169146</v>
      </c>
      <c r="BD661" s="1">
        <f t="shared" si="266"/>
        <v>2.3699773128308538E-2</v>
      </c>
      <c r="BF661">
        <f t="shared" si="258"/>
        <v>79.459999999999994</v>
      </c>
      <c r="BG661">
        <f t="shared" si="259"/>
        <v>10.1</v>
      </c>
      <c r="BH661" s="1">
        <f t="shared" si="260"/>
        <v>0.13214195821797131</v>
      </c>
      <c r="BI661" s="1">
        <f t="shared" si="261"/>
        <v>0.1271079788572867</v>
      </c>
      <c r="BJ661" s="1">
        <f t="shared" si="267"/>
        <v>0.43792851749307826</v>
      </c>
      <c r="BK661" s="1">
        <f t="shared" si="268"/>
        <v>0.1271079788572867</v>
      </c>
      <c r="BL661" s="22">
        <f t="shared" si="269"/>
        <v>0.1271079788572867</v>
      </c>
      <c r="BM661" s="1">
        <f t="shared" si="262"/>
        <v>5.7082867428385933E-4</v>
      </c>
      <c r="BN661" s="1">
        <f t="shared" si="272"/>
        <v>6.5864564345544427E-2</v>
      </c>
    </row>
    <row r="662" spans="3:66" x14ac:dyDescent="0.25">
      <c r="C662" t="s">
        <v>687</v>
      </c>
      <c r="G662">
        <v>0.1</v>
      </c>
      <c r="H662">
        <v>10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19.600000000000001</v>
      </c>
      <c r="P662">
        <v>0</v>
      </c>
      <c r="Q662">
        <v>70.2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87.2</v>
      </c>
      <c r="AK662" t="s">
        <v>1</v>
      </c>
      <c r="AL662" t="s">
        <v>372</v>
      </c>
      <c r="AQ662" s="1">
        <f t="shared" si="270"/>
        <v>99.9</v>
      </c>
      <c r="AR662" s="1">
        <f t="shared" si="249"/>
        <v>0.19600000000000001</v>
      </c>
      <c r="AS662" s="1">
        <f t="shared" si="271"/>
        <v>1E-3</v>
      </c>
      <c r="AT662" s="1">
        <f t="shared" si="271"/>
        <v>0.1</v>
      </c>
      <c r="AU662" s="1">
        <f t="shared" si="252"/>
        <v>0.70200000000000007</v>
      </c>
      <c r="AV662" s="1">
        <f t="shared" si="264"/>
        <v>0.872</v>
      </c>
      <c r="AX662" s="1">
        <f t="shared" si="265"/>
        <v>6.9504950495049505</v>
      </c>
      <c r="AY662" s="1">
        <f t="shared" si="253"/>
        <v>1.9405940594059405</v>
      </c>
      <c r="AZ662" s="1">
        <f t="shared" si="254"/>
        <v>0.93440594059405946</v>
      </c>
      <c r="BA662" s="1">
        <f t="shared" si="255"/>
        <v>2.2376237623762378</v>
      </c>
      <c r="BB662" s="1">
        <f t="shared" si="256"/>
        <v>0.93440594059405946</v>
      </c>
      <c r="BC662" s="1">
        <f t="shared" si="257"/>
        <v>0.93440594059405946</v>
      </c>
      <c r="BD662" s="1">
        <f t="shared" si="266"/>
        <v>6.2405940594059461E-2</v>
      </c>
      <c r="BF662">
        <f t="shared" si="258"/>
        <v>10.4</v>
      </c>
      <c r="BG662">
        <f t="shared" si="259"/>
        <v>19.600000000000001</v>
      </c>
      <c r="BH662" s="1">
        <f t="shared" si="260"/>
        <v>6.75</v>
      </c>
      <c r="BI662" s="1">
        <f t="shared" si="261"/>
        <v>1.8846153846153846</v>
      </c>
      <c r="BJ662" s="1">
        <f t="shared" si="267"/>
        <v>0.83499999999999996</v>
      </c>
      <c r="BK662" s="1">
        <f t="shared" si="268"/>
        <v>0.9454162947132797</v>
      </c>
      <c r="BL662" s="22">
        <f t="shared" si="269"/>
        <v>0.9454162947132797</v>
      </c>
      <c r="BM662" s="1">
        <f t="shared" si="262"/>
        <v>5.3899523294271418E-3</v>
      </c>
      <c r="BN662" s="1">
        <f t="shared" si="272"/>
        <v>0.2156293506059842</v>
      </c>
    </row>
    <row r="663" spans="3:66" x14ac:dyDescent="0.25">
      <c r="C663" t="s">
        <v>688</v>
      </c>
      <c r="G663">
        <v>0.08</v>
      </c>
      <c r="H663">
        <v>20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19.600000000000001</v>
      </c>
      <c r="P663">
        <v>0</v>
      </c>
      <c r="Q663">
        <v>60.3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72.7</v>
      </c>
      <c r="AK663" t="s">
        <v>1</v>
      </c>
      <c r="AL663" t="s">
        <v>372</v>
      </c>
      <c r="AQ663" s="1">
        <f t="shared" si="270"/>
        <v>99.97999999999999</v>
      </c>
      <c r="AR663" s="1">
        <f t="shared" si="249"/>
        <v>0.19600000000000001</v>
      </c>
      <c r="AS663" s="1">
        <f t="shared" si="271"/>
        <v>8.0000000000000004E-4</v>
      </c>
      <c r="AT663" s="1">
        <f t="shared" si="271"/>
        <v>0.2</v>
      </c>
      <c r="AU663" s="1">
        <f t="shared" si="252"/>
        <v>0.60299999999999998</v>
      </c>
      <c r="AV663" s="1">
        <f t="shared" si="264"/>
        <v>0.72699999999999998</v>
      </c>
      <c r="AX663" s="1">
        <f t="shared" si="265"/>
        <v>3.0029880478087647</v>
      </c>
      <c r="AY663" s="1">
        <f t="shared" si="253"/>
        <v>0.9760956175298805</v>
      </c>
      <c r="AZ663" s="1">
        <f t="shared" si="254"/>
        <v>0.68768675298804782</v>
      </c>
      <c r="BA663" s="1">
        <f t="shared" si="255"/>
        <v>1.2507470119521913</v>
      </c>
      <c r="BB663" s="1">
        <f t="shared" si="256"/>
        <v>0.68768675298804782</v>
      </c>
      <c r="BC663" s="1">
        <f t="shared" si="257"/>
        <v>0.68768675298804782</v>
      </c>
      <c r="BD663" s="1">
        <f t="shared" si="266"/>
        <v>3.9313247011952157E-2</v>
      </c>
      <c r="BF663">
        <f t="shared" si="258"/>
        <v>20.32</v>
      </c>
      <c r="BG663">
        <f t="shared" si="259"/>
        <v>19.600000000000001</v>
      </c>
      <c r="BH663" s="1">
        <f t="shared" si="260"/>
        <v>2.9675196850393699</v>
      </c>
      <c r="BI663" s="1">
        <f t="shared" si="261"/>
        <v>0.96456692913385833</v>
      </c>
      <c r="BJ663" s="1">
        <f t="shared" si="267"/>
        <v>0.60805118110236211</v>
      </c>
      <c r="BK663" s="1">
        <f t="shared" si="268"/>
        <v>0.63042536611617417</v>
      </c>
      <c r="BL663" s="22">
        <f t="shared" si="269"/>
        <v>0.63042536611617417</v>
      </c>
      <c r="BM663" s="1">
        <f t="shared" si="262"/>
        <v>9.3266599097949973E-3</v>
      </c>
      <c r="BN663" s="1">
        <f t="shared" si="272"/>
        <v>0.10199021883377371</v>
      </c>
    </row>
    <row r="664" spans="3:66" x14ac:dyDescent="0.25">
      <c r="C664" t="s">
        <v>689</v>
      </c>
      <c r="G664">
        <v>0.08</v>
      </c>
      <c r="H664">
        <v>29.9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19.5</v>
      </c>
      <c r="P664">
        <v>0</v>
      </c>
      <c r="Q664">
        <v>50.5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59.9</v>
      </c>
      <c r="AK664" t="s">
        <v>1</v>
      </c>
      <c r="AL664" t="s">
        <v>372</v>
      </c>
      <c r="AQ664" s="1">
        <f t="shared" si="270"/>
        <v>99.97999999999999</v>
      </c>
      <c r="AR664" s="1">
        <f t="shared" si="249"/>
        <v>0.19500000000000001</v>
      </c>
      <c r="AS664" s="1">
        <f t="shared" si="271"/>
        <v>8.0000000000000004E-4</v>
      </c>
      <c r="AT664" s="1">
        <f t="shared" si="271"/>
        <v>0.29899999999999999</v>
      </c>
      <c r="AU664" s="1">
        <f t="shared" si="252"/>
        <v>0.505</v>
      </c>
      <c r="AV664" s="1">
        <f t="shared" si="264"/>
        <v>0.59899999999999998</v>
      </c>
      <c r="AX664" s="1">
        <f t="shared" si="265"/>
        <v>1.6844563042028018</v>
      </c>
      <c r="AY664" s="1">
        <f t="shared" si="253"/>
        <v>0.65043362241494329</v>
      </c>
      <c r="AZ664" s="1">
        <f t="shared" si="254"/>
        <v>0.60527851901267515</v>
      </c>
      <c r="BA664" s="1">
        <f t="shared" si="255"/>
        <v>0.92111407605070039</v>
      </c>
      <c r="BB664" s="1">
        <f t="shared" si="256"/>
        <v>0.60527851901267515</v>
      </c>
      <c r="BC664" s="1">
        <f t="shared" si="257"/>
        <v>0.60527851901267515</v>
      </c>
      <c r="BD664" s="1">
        <f t="shared" si="266"/>
        <v>6.2785190126751766E-3</v>
      </c>
      <c r="BF664">
        <f t="shared" si="258"/>
        <v>30.22</v>
      </c>
      <c r="BG664">
        <f t="shared" si="259"/>
        <v>19.5</v>
      </c>
      <c r="BH664" s="1">
        <f t="shared" si="260"/>
        <v>1.6710787557908671</v>
      </c>
      <c r="BI664" s="1">
        <f t="shared" si="261"/>
        <v>0.64526803441429514</v>
      </c>
      <c r="BJ664" s="1">
        <f t="shared" si="267"/>
        <v>0.53026472534745206</v>
      </c>
      <c r="BK664" s="1">
        <f t="shared" si="268"/>
        <v>0.51719305512742142</v>
      </c>
      <c r="BL664" s="22">
        <f t="shared" si="269"/>
        <v>0.51719305512742142</v>
      </c>
      <c r="BM664" s="1">
        <f t="shared" si="262"/>
        <v>6.6923762293851071E-3</v>
      </c>
      <c r="BN664" s="1">
        <f t="shared" si="272"/>
        <v>3.6618295614167198E-2</v>
      </c>
    </row>
    <row r="665" spans="3:66" x14ac:dyDescent="0.25">
      <c r="C665" t="s">
        <v>690</v>
      </c>
      <c r="G665">
        <v>0.08</v>
      </c>
      <c r="H665">
        <v>39.299999999999997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19.600000000000001</v>
      </c>
      <c r="P665">
        <v>0</v>
      </c>
      <c r="Q665">
        <v>41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48.7</v>
      </c>
      <c r="AK665" t="s">
        <v>1</v>
      </c>
      <c r="AL665" t="s">
        <v>372</v>
      </c>
      <c r="AQ665" s="1">
        <f t="shared" si="270"/>
        <v>99.97999999999999</v>
      </c>
      <c r="AR665" s="1">
        <f t="shared" si="249"/>
        <v>0.19600000000000001</v>
      </c>
      <c r="AS665" s="1">
        <f t="shared" si="271"/>
        <v>8.0000000000000004E-4</v>
      </c>
      <c r="AT665" s="1">
        <f t="shared" si="271"/>
        <v>0.39299999999999996</v>
      </c>
      <c r="AU665" s="1">
        <f t="shared" si="252"/>
        <v>0.41</v>
      </c>
      <c r="AV665" s="1">
        <f t="shared" si="264"/>
        <v>0.48700000000000004</v>
      </c>
      <c r="AX665" s="1">
        <f t="shared" si="265"/>
        <v>1.0411376333164042</v>
      </c>
      <c r="AY665" s="1">
        <f t="shared" si="253"/>
        <v>0.49771457592686646</v>
      </c>
      <c r="AZ665" s="1">
        <f t="shared" si="254"/>
        <v>0.56507110208227529</v>
      </c>
      <c r="BA665" s="1">
        <f t="shared" si="255"/>
        <v>0.76028440832910105</v>
      </c>
      <c r="BB665" s="1">
        <f t="shared" si="256"/>
        <v>0.49771457592686646</v>
      </c>
      <c r="BC665" s="1">
        <f t="shared" si="257"/>
        <v>0.49771457592686646</v>
      </c>
      <c r="BD665" s="1">
        <f t="shared" si="266"/>
        <v>1.0714575926866421E-2</v>
      </c>
      <c r="BF665">
        <f t="shared" si="258"/>
        <v>39.619999999999997</v>
      </c>
      <c r="BG665">
        <f t="shared" si="259"/>
        <v>19.600000000000001</v>
      </c>
      <c r="BH665" s="1">
        <f t="shared" si="260"/>
        <v>1.0348308934881374</v>
      </c>
      <c r="BI665" s="1">
        <f t="shared" si="261"/>
        <v>0.49469964664310961</v>
      </c>
      <c r="BJ665" s="1">
        <f t="shared" si="267"/>
        <v>0.49208985360928825</v>
      </c>
      <c r="BK665" s="1">
        <f t="shared" si="268"/>
        <v>0.46031729825954915</v>
      </c>
      <c r="BL665" s="22">
        <f t="shared" si="269"/>
        <v>0.46031729825954915</v>
      </c>
      <c r="BM665" s="1">
        <f t="shared" si="262"/>
        <v>7.1196657216986137E-4</v>
      </c>
      <c r="BN665" s="1">
        <f t="shared" si="272"/>
        <v>6.297862797011524E-3</v>
      </c>
    </row>
    <row r="666" spans="3:66" x14ac:dyDescent="0.25">
      <c r="C666" t="s">
        <v>691</v>
      </c>
      <c r="G666">
        <v>0.06</v>
      </c>
      <c r="H666">
        <v>49.7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19.7</v>
      </c>
      <c r="P666">
        <v>0</v>
      </c>
      <c r="Q666">
        <v>30.5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40.700000000000003</v>
      </c>
      <c r="AK666" t="s">
        <v>1</v>
      </c>
      <c r="AL666" t="s">
        <v>372</v>
      </c>
      <c r="AQ666" s="1">
        <f t="shared" si="270"/>
        <v>99.960000000000008</v>
      </c>
      <c r="AR666" s="1">
        <f t="shared" si="249"/>
        <v>0.19699999999999998</v>
      </c>
      <c r="AS666" s="1">
        <f t="shared" si="271"/>
        <v>5.9999999999999995E-4</v>
      </c>
      <c r="AT666" s="1">
        <f t="shared" si="271"/>
        <v>0.49700000000000005</v>
      </c>
      <c r="AU666" s="1">
        <f t="shared" si="252"/>
        <v>0.30499999999999999</v>
      </c>
      <c r="AV666" s="1">
        <f t="shared" si="264"/>
        <v>0.40700000000000003</v>
      </c>
      <c r="AX666" s="1">
        <f t="shared" si="265"/>
        <v>0.61294212218649513</v>
      </c>
      <c r="AY666" s="1">
        <f t="shared" si="253"/>
        <v>0.39590032154340826</v>
      </c>
      <c r="AZ666" s="1">
        <f t="shared" si="254"/>
        <v>0.53830888263665599</v>
      </c>
      <c r="BA666" s="1">
        <f t="shared" si="255"/>
        <v>0.65323553054662375</v>
      </c>
      <c r="BB666" s="1">
        <f t="shared" si="256"/>
        <v>0.39590032154340826</v>
      </c>
      <c r="BC666" s="1">
        <f t="shared" si="257"/>
        <v>0.39590032154340826</v>
      </c>
      <c r="BD666" s="1">
        <f t="shared" si="266"/>
        <v>1.1099678456591766E-2</v>
      </c>
      <c r="BF666">
        <f t="shared" si="258"/>
        <v>49.940000000000005</v>
      </c>
      <c r="BG666">
        <f t="shared" si="259"/>
        <v>19.7</v>
      </c>
      <c r="BH666" s="1">
        <f t="shared" si="260"/>
        <v>0.61073287945534638</v>
      </c>
      <c r="BI666" s="1">
        <f t="shared" si="261"/>
        <v>0.39447336804164995</v>
      </c>
      <c r="BJ666" s="1">
        <f t="shared" si="267"/>
        <v>0.46664397276732078</v>
      </c>
      <c r="BK666" s="1">
        <f t="shared" si="268"/>
        <v>0.39447336804164995</v>
      </c>
      <c r="BL666" s="22">
        <f t="shared" si="269"/>
        <v>0.39447336804164995</v>
      </c>
      <c r="BM666" s="1">
        <f t="shared" si="262"/>
        <v>1.5691650821995746E-4</v>
      </c>
      <c r="BN666" s="1">
        <f t="shared" si="272"/>
        <v>4.1078475745075009E-7</v>
      </c>
    </row>
    <row r="667" spans="3:66" x14ac:dyDescent="0.25">
      <c r="C667" t="s">
        <v>692</v>
      </c>
      <c r="G667">
        <v>0.05</v>
      </c>
      <c r="H667">
        <v>59.8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19.8</v>
      </c>
      <c r="P667">
        <v>0</v>
      </c>
      <c r="Q667">
        <v>20.399999999999999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35.1</v>
      </c>
      <c r="AK667" t="s">
        <v>1</v>
      </c>
      <c r="AL667" t="s">
        <v>372</v>
      </c>
      <c r="AQ667" s="1">
        <f t="shared" si="270"/>
        <v>100.04999999999998</v>
      </c>
      <c r="AR667" s="1">
        <f t="shared" si="249"/>
        <v>0.19800000000000001</v>
      </c>
      <c r="AS667" s="1">
        <f t="shared" si="271"/>
        <v>5.0000000000000001E-4</v>
      </c>
      <c r="AT667" s="1">
        <f t="shared" si="271"/>
        <v>0.59799999999999998</v>
      </c>
      <c r="AU667" s="1">
        <f t="shared" si="252"/>
        <v>0.20399999999999999</v>
      </c>
      <c r="AV667" s="1">
        <f t="shared" si="264"/>
        <v>0.35100000000000003</v>
      </c>
      <c r="AX667" s="1">
        <f t="shared" si="265"/>
        <v>0.34085213032581457</v>
      </c>
      <c r="AY667" s="1">
        <f t="shared" si="253"/>
        <v>0.33082706766917297</v>
      </c>
      <c r="AZ667" s="1">
        <f t="shared" si="254"/>
        <v>0.52130325814536338</v>
      </c>
      <c r="BA667" s="1">
        <f t="shared" si="255"/>
        <v>0.58521303258145363</v>
      </c>
      <c r="BB667" s="1">
        <f t="shared" si="256"/>
        <v>0.33082706766917297</v>
      </c>
      <c r="BC667" s="1">
        <f t="shared" si="257"/>
        <v>0.33082706766917297</v>
      </c>
      <c r="BD667" s="1">
        <f t="shared" si="266"/>
        <v>2.0172932330827065E-2</v>
      </c>
      <c r="BF667">
        <f t="shared" si="258"/>
        <v>60</v>
      </c>
      <c r="BG667">
        <f t="shared" si="259"/>
        <v>19.8</v>
      </c>
      <c r="BH667" s="1">
        <f t="shared" si="260"/>
        <v>0.33999999999999997</v>
      </c>
      <c r="BI667" s="1">
        <f t="shared" si="261"/>
        <v>0.33</v>
      </c>
      <c r="BJ667" s="1">
        <f t="shared" si="267"/>
        <v>0.45039999999999997</v>
      </c>
      <c r="BK667" s="1">
        <f t="shared" si="268"/>
        <v>0.33</v>
      </c>
      <c r="BL667" s="22">
        <f t="shared" si="269"/>
        <v>0.33</v>
      </c>
      <c r="BM667" s="1">
        <f t="shared" si="262"/>
        <v>4.410000000000008E-4</v>
      </c>
      <c r="BN667" s="1">
        <f t="shared" si="272"/>
        <v>3.2081943761796002E-3</v>
      </c>
    </row>
    <row r="668" spans="3:66" x14ac:dyDescent="0.25">
      <c r="C668" t="s">
        <v>693</v>
      </c>
      <c r="G668">
        <v>7.0000000000000007E-2</v>
      </c>
      <c r="H668">
        <v>10.1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29.4</v>
      </c>
      <c r="P668">
        <v>0</v>
      </c>
      <c r="Q668">
        <v>60.4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79</v>
      </c>
      <c r="AK668" t="s">
        <v>1</v>
      </c>
      <c r="AL668" t="s">
        <v>372</v>
      </c>
      <c r="AQ668" s="1">
        <f t="shared" si="270"/>
        <v>99.97</v>
      </c>
      <c r="AR668" s="1">
        <f t="shared" si="249"/>
        <v>0.29399999999999998</v>
      </c>
      <c r="AS668" s="1">
        <f t="shared" si="271"/>
        <v>7.000000000000001E-4</v>
      </c>
      <c r="AT668" s="1">
        <f t="shared" si="271"/>
        <v>0.10099999999999999</v>
      </c>
      <c r="AU668" s="1">
        <f t="shared" si="252"/>
        <v>0.60399999999999998</v>
      </c>
      <c r="AV668" s="1">
        <f t="shared" si="264"/>
        <v>0.79</v>
      </c>
      <c r="AX668" s="1">
        <f t="shared" si="265"/>
        <v>5.9390363815142573</v>
      </c>
      <c r="AY668" s="1">
        <f t="shared" si="253"/>
        <v>2.8908554572271385</v>
      </c>
      <c r="AZ668" s="1">
        <f t="shared" si="254"/>
        <v>0.87118977384464102</v>
      </c>
      <c r="BA668" s="1">
        <f t="shared" si="255"/>
        <v>1.9847590953785643</v>
      </c>
      <c r="BB668" s="1">
        <f t="shared" si="256"/>
        <v>0.73861585317783618</v>
      </c>
      <c r="BC668" s="1">
        <f t="shared" si="257"/>
        <v>0.73861585317783618</v>
      </c>
      <c r="BD668" s="1">
        <f t="shared" si="266"/>
        <v>5.1384146822163856E-2</v>
      </c>
      <c r="BF668">
        <f t="shared" si="258"/>
        <v>10.379999999999999</v>
      </c>
      <c r="BG668">
        <f t="shared" si="259"/>
        <v>29.4</v>
      </c>
      <c r="BH668" s="1">
        <f t="shared" si="260"/>
        <v>5.8188824662813108</v>
      </c>
      <c r="BI668" s="1">
        <f t="shared" si="261"/>
        <v>2.8323699421965318</v>
      </c>
      <c r="BJ668" s="1">
        <f t="shared" si="267"/>
        <v>0.77913294797687871</v>
      </c>
      <c r="BK668" s="1">
        <f t="shared" si="268"/>
        <v>0.7870829892769875</v>
      </c>
      <c r="BL668" s="22">
        <f t="shared" si="269"/>
        <v>0.7870829892769875</v>
      </c>
      <c r="BM668" s="1">
        <f t="shared" si="262"/>
        <v>8.5089515581701198E-6</v>
      </c>
      <c r="BN668" s="1">
        <f t="shared" si="272"/>
        <v>0.14619846229342381</v>
      </c>
    </row>
    <row r="669" spans="3:66" x14ac:dyDescent="0.25">
      <c r="C669" t="s">
        <v>694</v>
      </c>
      <c r="G669">
        <v>7.0000000000000007E-2</v>
      </c>
      <c r="H669">
        <v>20.100000000000001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29.2</v>
      </c>
      <c r="P669">
        <v>0</v>
      </c>
      <c r="Q669">
        <v>50.6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70.099999999999994</v>
      </c>
      <c r="AK669" t="s">
        <v>1</v>
      </c>
      <c r="AL669" t="s">
        <v>372</v>
      </c>
      <c r="AQ669" s="1">
        <f t="shared" si="270"/>
        <v>99.97</v>
      </c>
      <c r="AR669" s="1">
        <f t="shared" si="249"/>
        <v>0.29199999999999998</v>
      </c>
      <c r="AS669" s="1">
        <f t="shared" si="271"/>
        <v>7.000000000000001E-4</v>
      </c>
      <c r="AT669" s="1">
        <f t="shared" si="271"/>
        <v>0.20100000000000001</v>
      </c>
      <c r="AU669" s="1">
        <f t="shared" si="252"/>
        <v>0.50600000000000001</v>
      </c>
      <c r="AV669" s="1">
        <f t="shared" si="264"/>
        <v>0.70099999999999996</v>
      </c>
      <c r="AX669" s="1">
        <f t="shared" si="265"/>
        <v>2.5086762518591965</v>
      </c>
      <c r="AY669" s="1">
        <f t="shared" si="253"/>
        <v>1.447694595934556</v>
      </c>
      <c r="AZ669" s="1">
        <f t="shared" si="254"/>
        <v>0.65679226574119975</v>
      </c>
      <c r="BA669" s="1">
        <f t="shared" si="255"/>
        <v>1.127169062964799</v>
      </c>
      <c r="BB669" s="1">
        <f t="shared" si="256"/>
        <v>0.59453639010133674</v>
      </c>
      <c r="BC669" s="1">
        <f t="shared" si="257"/>
        <v>0.59453639010133674</v>
      </c>
      <c r="BD669" s="1">
        <f t="shared" si="266"/>
        <v>0.10646360989866321</v>
      </c>
      <c r="BF669">
        <f t="shared" si="258"/>
        <v>20.380000000000003</v>
      </c>
      <c r="BG669">
        <f t="shared" si="259"/>
        <v>29.2</v>
      </c>
      <c r="BH669" s="1">
        <f t="shared" si="260"/>
        <v>2.482826300294406</v>
      </c>
      <c r="BI669" s="1">
        <f t="shared" si="261"/>
        <v>1.4327772325809616</v>
      </c>
      <c r="BJ669" s="1">
        <f t="shared" si="267"/>
        <v>0.57896957801766435</v>
      </c>
      <c r="BK669" s="1">
        <f t="shared" si="268"/>
        <v>0.5900972177902194</v>
      </c>
      <c r="BL669" s="22">
        <f t="shared" si="269"/>
        <v>0.5900972177902194</v>
      </c>
      <c r="BM669" s="1">
        <f t="shared" si="262"/>
        <v>1.2299427101870019E-2</v>
      </c>
      <c r="BN669" s="1">
        <f t="shared" si="272"/>
        <v>8.605954692979112E-2</v>
      </c>
    </row>
    <row r="670" spans="3:66" x14ac:dyDescent="0.25">
      <c r="C670" t="s">
        <v>695</v>
      </c>
      <c r="G670">
        <v>0.08</v>
      </c>
      <c r="H670">
        <v>30.1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29.3</v>
      </c>
      <c r="P670">
        <v>0</v>
      </c>
      <c r="Q670">
        <v>40.5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62.8</v>
      </c>
      <c r="AK670" t="s">
        <v>1</v>
      </c>
      <c r="AL670" t="s">
        <v>372</v>
      </c>
      <c r="AQ670" s="1">
        <f t="shared" si="270"/>
        <v>99.98</v>
      </c>
      <c r="AR670" s="1">
        <f t="shared" si="249"/>
        <v>0.29299999999999998</v>
      </c>
      <c r="AS670" s="1">
        <f t="shared" si="271"/>
        <v>8.0000000000000004E-4</v>
      </c>
      <c r="AT670" s="1">
        <f t="shared" si="271"/>
        <v>0.30099999999999999</v>
      </c>
      <c r="AU670" s="1">
        <f t="shared" si="252"/>
        <v>0.40500000000000003</v>
      </c>
      <c r="AV670" s="1">
        <f t="shared" si="264"/>
        <v>0.628</v>
      </c>
      <c r="AX670" s="1">
        <f t="shared" si="265"/>
        <v>1.3419483101391649</v>
      </c>
      <c r="AY670" s="1">
        <f t="shared" si="253"/>
        <v>0.97084161696487725</v>
      </c>
      <c r="AZ670" s="1">
        <f t="shared" si="254"/>
        <v>0.58387176938369778</v>
      </c>
      <c r="BA670" s="1">
        <f t="shared" si="255"/>
        <v>0.83548707753479123</v>
      </c>
      <c r="BB670" s="1">
        <f t="shared" si="256"/>
        <v>0.55234138167886071</v>
      </c>
      <c r="BC670" s="1">
        <f t="shared" si="257"/>
        <v>0.55234138167886071</v>
      </c>
      <c r="BD670" s="1">
        <f t="shared" si="266"/>
        <v>7.5658618321139293E-2</v>
      </c>
      <c r="BF670">
        <f t="shared" si="258"/>
        <v>30.42</v>
      </c>
      <c r="BG670">
        <f t="shared" si="259"/>
        <v>29.3</v>
      </c>
      <c r="BH670" s="1">
        <f t="shared" si="260"/>
        <v>1.331360946745562</v>
      </c>
      <c r="BI670" s="1">
        <f t="shared" si="261"/>
        <v>0.96318211702827083</v>
      </c>
      <c r="BJ670" s="1">
        <f t="shared" si="267"/>
        <v>0.50988165680473374</v>
      </c>
      <c r="BK670" s="1">
        <f t="shared" si="268"/>
        <v>0.51229893841542806</v>
      </c>
      <c r="BL670" s="22">
        <f t="shared" si="269"/>
        <v>0.51229893841542806</v>
      </c>
      <c r="BM670" s="1">
        <f t="shared" si="262"/>
        <v>1.3386735651796908E-2</v>
      </c>
      <c r="BN670" s="1">
        <f t="shared" si="272"/>
        <v>4.8558121968609314E-2</v>
      </c>
    </row>
    <row r="671" spans="3:66" x14ac:dyDescent="0.25">
      <c r="C671" t="s">
        <v>696</v>
      </c>
      <c r="G671">
        <v>7.0000000000000007E-2</v>
      </c>
      <c r="H671">
        <v>60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29.9</v>
      </c>
      <c r="P671">
        <v>0</v>
      </c>
      <c r="Q671">
        <v>10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45.8</v>
      </c>
      <c r="AK671" t="s">
        <v>1</v>
      </c>
      <c r="AL671" t="s">
        <v>372</v>
      </c>
      <c r="AQ671" s="1">
        <f t="shared" si="270"/>
        <v>99.97</v>
      </c>
      <c r="AR671" s="1">
        <f t="shared" si="249"/>
        <v>0.29899999999999999</v>
      </c>
      <c r="AS671" s="1">
        <f t="shared" si="271"/>
        <v>7.000000000000001E-4</v>
      </c>
      <c r="AT671" s="1">
        <f t="shared" si="271"/>
        <v>0.6</v>
      </c>
      <c r="AU671" s="1">
        <f t="shared" si="252"/>
        <v>0.1</v>
      </c>
      <c r="AV671" s="1">
        <f t="shared" si="264"/>
        <v>0.45799999999999996</v>
      </c>
      <c r="AX671" s="1">
        <f t="shared" si="265"/>
        <v>0.16647244880972201</v>
      </c>
      <c r="AY671" s="1">
        <f t="shared" si="253"/>
        <v>0.49775262194106873</v>
      </c>
      <c r="AZ671" s="1">
        <f t="shared" si="254"/>
        <v>0.51040452805060765</v>
      </c>
      <c r="BA671" s="1">
        <f t="shared" si="255"/>
        <v>0.5416181122024305</v>
      </c>
      <c r="BB671" s="1">
        <f t="shared" si="256"/>
        <v>0.49775262194106873</v>
      </c>
      <c r="BC671" s="1">
        <f t="shared" si="257"/>
        <v>0.49775262194106873</v>
      </c>
      <c r="BD671" s="1">
        <f t="shared" si="266"/>
        <v>3.9752621941068766E-2</v>
      </c>
      <c r="BF671">
        <f t="shared" si="258"/>
        <v>60.28</v>
      </c>
      <c r="BG671">
        <f t="shared" si="259"/>
        <v>29.9</v>
      </c>
      <c r="BH671" s="1">
        <f t="shared" si="260"/>
        <v>0.16589250165892502</v>
      </c>
      <c r="BI671" s="1">
        <f t="shared" si="261"/>
        <v>0.49601857996018578</v>
      </c>
      <c r="BJ671" s="1">
        <f t="shared" si="267"/>
        <v>0.43995355009953552</v>
      </c>
      <c r="BK671" s="1">
        <f t="shared" si="268"/>
        <v>0.41690945950966501</v>
      </c>
      <c r="BL671" s="22">
        <f t="shared" si="269"/>
        <v>0.41690945950966501</v>
      </c>
      <c r="BM671" s="1">
        <f t="shared" si="262"/>
        <v>1.6884325177878559E-3</v>
      </c>
      <c r="BN671" s="1">
        <f t="shared" si="272"/>
        <v>2.5360364425694145E-3</v>
      </c>
    </row>
    <row r="672" spans="3:66" x14ac:dyDescent="0.25">
      <c r="C672" t="s">
        <v>697</v>
      </c>
      <c r="G672">
        <v>0.06</v>
      </c>
      <c r="H672">
        <v>10.1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38.299999999999997</v>
      </c>
      <c r="P672">
        <v>0</v>
      </c>
      <c r="Q672">
        <v>51.4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59.6</v>
      </c>
      <c r="AK672" t="s">
        <v>1</v>
      </c>
      <c r="AL672" t="s">
        <v>372</v>
      </c>
      <c r="AQ672" s="1">
        <f t="shared" si="270"/>
        <v>99.859999999999985</v>
      </c>
      <c r="AR672" s="1">
        <f t="shared" si="249"/>
        <v>0.38299999999999995</v>
      </c>
      <c r="AS672" s="1">
        <f t="shared" si="271"/>
        <v>5.9999999999999995E-4</v>
      </c>
      <c r="AT672" s="1">
        <f t="shared" si="271"/>
        <v>0.10099999999999999</v>
      </c>
      <c r="AU672" s="1">
        <f t="shared" si="252"/>
        <v>0.51400000000000001</v>
      </c>
      <c r="AV672" s="1">
        <f t="shared" si="264"/>
        <v>0.59599999999999997</v>
      </c>
      <c r="AX672" s="1">
        <f t="shared" si="265"/>
        <v>5.0590551181102361</v>
      </c>
      <c r="AY672" s="1">
        <f t="shared" si="253"/>
        <v>3.7696850393700783</v>
      </c>
      <c r="AZ672" s="1">
        <f t="shared" si="254"/>
        <v>0.81619094488188981</v>
      </c>
      <c r="BA672" s="1">
        <f t="shared" si="255"/>
        <v>1.764763779527559</v>
      </c>
      <c r="BB672" s="1">
        <f t="shared" si="256"/>
        <v>0.50710357646314852</v>
      </c>
      <c r="BC672" s="1">
        <f t="shared" si="257"/>
        <v>0.50710357646314852</v>
      </c>
      <c r="BD672" s="1">
        <f t="shared" si="266"/>
        <v>8.8896423536851454E-2</v>
      </c>
      <c r="BF672">
        <f t="shared" si="258"/>
        <v>10.34</v>
      </c>
      <c r="BG672">
        <f t="shared" si="259"/>
        <v>38.299999999999997</v>
      </c>
      <c r="BH672" s="1">
        <f t="shared" si="260"/>
        <v>4.9709864603481622</v>
      </c>
      <c r="BI672" s="1">
        <f t="shared" si="261"/>
        <v>3.704061895551257</v>
      </c>
      <c r="BJ672" s="1">
        <f t="shared" si="267"/>
        <v>0.7282591876208897</v>
      </c>
      <c r="BK672" s="1">
        <f t="shared" si="268"/>
        <v>0.50732332921318612</v>
      </c>
      <c r="BL672" s="22">
        <f t="shared" si="269"/>
        <v>0.50732332921318612</v>
      </c>
      <c r="BM672" s="1">
        <f t="shared" si="262"/>
        <v>7.8635519418329639E-3</v>
      </c>
      <c r="BN672" s="1">
        <f t="shared" si="272"/>
        <v>3.5479141163707671E-2</v>
      </c>
    </row>
    <row r="673" spans="3:66" x14ac:dyDescent="0.25">
      <c r="C673" t="s">
        <v>698</v>
      </c>
      <c r="G673">
        <v>7.0000000000000007E-2</v>
      </c>
      <c r="H673">
        <v>30.2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39.1</v>
      </c>
      <c r="P673">
        <v>0</v>
      </c>
      <c r="Q673">
        <v>30.6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50</v>
      </c>
      <c r="AK673" t="s">
        <v>1</v>
      </c>
      <c r="AL673" t="s">
        <v>372</v>
      </c>
      <c r="AQ673" s="1">
        <f t="shared" si="270"/>
        <v>99.97</v>
      </c>
      <c r="AR673" s="1">
        <f t="shared" si="249"/>
        <v>0.39100000000000001</v>
      </c>
      <c r="AS673" s="1">
        <f t="shared" si="271"/>
        <v>7.000000000000001E-4</v>
      </c>
      <c r="AT673" s="1">
        <f t="shared" si="271"/>
        <v>0.30199999999999999</v>
      </c>
      <c r="AU673" s="1">
        <f t="shared" si="252"/>
        <v>0.30599999999999999</v>
      </c>
      <c r="AV673" s="1">
        <f t="shared" si="264"/>
        <v>0.5</v>
      </c>
      <c r="AX673" s="1">
        <f t="shared" si="265"/>
        <v>1.0109018830525274</v>
      </c>
      <c r="AY673" s="1">
        <f t="shared" si="253"/>
        <v>1.2917079616782294</v>
      </c>
      <c r="AZ673" s="1">
        <f t="shared" si="254"/>
        <v>0.56318136769078297</v>
      </c>
      <c r="BA673" s="1">
        <f t="shared" si="255"/>
        <v>0.7527254707631319</v>
      </c>
      <c r="BB673" s="1">
        <f t="shared" si="256"/>
        <v>0.42876100321305455</v>
      </c>
      <c r="BC673" s="1">
        <f t="shared" si="257"/>
        <v>0.42876100321305455</v>
      </c>
      <c r="BD673" s="1">
        <f t="shared" si="266"/>
        <v>7.1238996786945452E-2</v>
      </c>
      <c r="BF673">
        <f t="shared" si="258"/>
        <v>30.48</v>
      </c>
      <c r="BG673">
        <f t="shared" si="259"/>
        <v>39.1</v>
      </c>
      <c r="BH673" s="1">
        <f t="shared" si="260"/>
        <v>1.0039370078740157</v>
      </c>
      <c r="BI673" s="1">
        <f t="shared" si="261"/>
        <v>1.2828083989501313</v>
      </c>
      <c r="BJ673" s="1">
        <f t="shared" si="267"/>
        <v>0.49023622047244092</v>
      </c>
      <c r="BK673" s="1">
        <f t="shared" si="268"/>
        <v>0.44216683919769612</v>
      </c>
      <c r="BL673" s="22">
        <f t="shared" si="269"/>
        <v>0.44216683919769612</v>
      </c>
      <c r="BM673" s="1">
        <f t="shared" si="262"/>
        <v>3.3446744883851385E-3</v>
      </c>
      <c r="BN673" s="1">
        <f t="shared" si="272"/>
        <v>8.5301987490028035E-3</v>
      </c>
    </row>
    <row r="674" spans="3:66" x14ac:dyDescent="0.25">
      <c r="C674" t="s">
        <v>699</v>
      </c>
      <c r="G674">
        <v>4.8</v>
      </c>
      <c r="H674">
        <v>10.199999999999999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9.1999999999999993</v>
      </c>
      <c r="P674">
        <v>0</v>
      </c>
      <c r="Q674">
        <v>75.8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42.3</v>
      </c>
      <c r="AK674" t="s">
        <v>1</v>
      </c>
      <c r="AL674" t="s">
        <v>372</v>
      </c>
      <c r="AQ674" s="1">
        <f t="shared" si="270"/>
        <v>100</v>
      </c>
      <c r="AR674" s="1">
        <f t="shared" ref="AR674:AR732" si="273">(L674+M674+O674+X674)/100</f>
        <v>9.1999999999999998E-2</v>
      </c>
      <c r="AS674" s="1">
        <f t="shared" si="271"/>
        <v>4.8000000000000001E-2</v>
      </c>
      <c r="AT674" s="1">
        <f t="shared" si="271"/>
        <v>0.10199999999999999</v>
      </c>
      <c r="AU674" s="1">
        <f t="shared" ref="AU674:AU732" si="274">Q674/100</f>
        <v>0.75800000000000001</v>
      </c>
      <c r="AV674" s="1">
        <f t="shared" si="264"/>
        <v>0.42299999999999999</v>
      </c>
      <c r="AX674" s="1">
        <f t="shared" si="265"/>
        <v>5.0533333333333337</v>
      </c>
      <c r="AY674" s="1">
        <f t="shared" ref="AY674:AY732" si="275">AR674/(AS674+AT674)</f>
        <v>0.6133333333333334</v>
      </c>
      <c r="AZ674" s="1">
        <f t="shared" ref="AZ674:AZ732" si="276">0.5+AX674/16</f>
        <v>0.81583333333333341</v>
      </c>
      <c r="BA674" s="1">
        <f t="shared" ref="BA674:BA732" si="277">0.5+AX674/4</f>
        <v>1.7633333333333334</v>
      </c>
      <c r="BB674" s="1">
        <f t="shared" ref="BB674:BB732" si="278">IF(AY674&lt;=AZ674,AY674,IF(AY674&lt;=BA674,AZ674,AZ674-(AY674-BA674)*(8+AX674)/(12*(2+AX674))))</f>
        <v>0.6133333333333334</v>
      </c>
      <c r="BC674" s="1">
        <f t="shared" ref="BC674:BC732" si="279">IF(BB674&lt;1,BB674,1)</f>
        <v>0.6133333333333334</v>
      </c>
      <c r="BD674" s="1">
        <f t="shared" si="266"/>
        <v>0.19033333333333341</v>
      </c>
      <c r="BF674">
        <f t="shared" ref="BF674:BF732" si="280">$BQ$3*H674+$BQ$4*G674+$BQ$5*P674+$BQ$6*K674+$BQ$7*S674+$BQ$8*U674+$BQ$9*Y674+$BQ$10*J674+$BQ$11*AC674+$BQ$12*AG674+$BQ$13*AH674+$BQ$14*R674+$BQ$15*AE674</f>
        <v>29.4</v>
      </c>
      <c r="BG674">
        <f t="shared" ref="BG674:BG732" si="281">O674+$BQ$17*M674+$BQ$18*L674+$BQ$19*X674+$BQ$20*AD674+$BQ$21*I674+$BQ$22*N674+$BQ$23*AB674+$BQ$24*V674+$BQ$25*T674+$BQ$26*AA674+$BQ$28*Z674+$BQ$29*AF674+$BQ$30*W674+$BQ$27*AI674</f>
        <v>9.1999999999999993</v>
      </c>
      <c r="BH674" s="1">
        <f t="shared" ref="BH674:BH732" si="282">(Q674)/BF674</f>
        <v>2.5782312925170068</v>
      </c>
      <c r="BI674" s="1">
        <f t="shared" ref="BI674:BI732" si="283">BG674/BF674</f>
        <v>0.31292517006802723</v>
      </c>
      <c r="BJ674" s="1">
        <f t="shared" si="267"/>
        <v>0.58469387755102042</v>
      </c>
      <c r="BK674" s="1">
        <f t="shared" si="268"/>
        <v>0.31292517006802723</v>
      </c>
      <c r="BL674" s="22">
        <f t="shared" si="269"/>
        <v>0.31292517006802723</v>
      </c>
      <c r="BM674" s="1">
        <f t="shared" ref="BM674:BM732" si="284">(BL674-AV674)^2</f>
        <v>1.2116468184552727E-2</v>
      </c>
      <c r="BN674" s="1">
        <f t="shared" si="272"/>
        <v>2.3590118720826368E-4</v>
      </c>
    </row>
    <row r="675" spans="3:66" x14ac:dyDescent="0.25">
      <c r="C675" t="s">
        <v>700</v>
      </c>
      <c r="G675">
        <v>4.7</v>
      </c>
      <c r="H675">
        <v>19.8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9.4</v>
      </c>
      <c r="P675">
        <v>0</v>
      </c>
      <c r="Q675">
        <v>66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24.5</v>
      </c>
      <c r="AK675" t="s">
        <v>1</v>
      </c>
      <c r="AL675" t="s">
        <v>372</v>
      </c>
      <c r="AQ675" s="1">
        <f t="shared" si="270"/>
        <v>99.9</v>
      </c>
      <c r="AR675" s="1">
        <f t="shared" si="273"/>
        <v>9.4E-2</v>
      </c>
      <c r="AS675" s="1">
        <f t="shared" si="271"/>
        <v>4.7E-2</v>
      </c>
      <c r="AT675" s="1">
        <f t="shared" si="271"/>
        <v>0.19800000000000001</v>
      </c>
      <c r="AU675" s="1">
        <f t="shared" si="274"/>
        <v>0.66</v>
      </c>
      <c r="AV675" s="1">
        <f t="shared" ref="AV675:AV733" si="285">AJ675/100</f>
        <v>0.245</v>
      </c>
      <c r="AX675" s="1">
        <f t="shared" ref="AX675:AX733" si="286">AU675/(AT675+AS675)</f>
        <v>2.6938775510204085</v>
      </c>
      <c r="AY675" s="1">
        <f t="shared" si="275"/>
        <v>0.3836734693877551</v>
      </c>
      <c r="AZ675" s="1">
        <f t="shared" si="276"/>
        <v>0.66836734693877553</v>
      </c>
      <c r="BA675" s="1">
        <f t="shared" si="277"/>
        <v>1.1734693877551021</v>
      </c>
      <c r="BB675" s="1">
        <f t="shared" si="278"/>
        <v>0.3836734693877551</v>
      </c>
      <c r="BC675" s="1">
        <f t="shared" si="279"/>
        <v>0.3836734693877551</v>
      </c>
      <c r="BD675" s="1">
        <f t="shared" ref="BD675:BD733" si="287">ABS(BC675-AV675)</f>
        <v>0.1386734693877551</v>
      </c>
      <c r="BF675">
        <f t="shared" si="280"/>
        <v>38.6</v>
      </c>
      <c r="BG675">
        <f t="shared" si="281"/>
        <v>9.4</v>
      </c>
      <c r="BH675" s="1">
        <f t="shared" si="282"/>
        <v>1.7098445595854921</v>
      </c>
      <c r="BI675" s="1">
        <f t="shared" si="283"/>
        <v>0.24352331606217617</v>
      </c>
      <c r="BJ675" s="1">
        <f t="shared" ref="BJ675:BJ733" si="288">$BQ$32+BH675*$BQ$33</f>
        <v>0.53259067357512957</v>
      </c>
      <c r="BK675" s="1">
        <f t="shared" ref="BK675:BK733" si="289">IF(BI675&lt;BJ675,BI675,$BQ$35*($BQ$36+BI675)*($BQ$37-BI675/($BQ$38+BH675)*$BQ$39)^5)</f>
        <v>0.24352331606217617</v>
      </c>
      <c r="BL675" s="22">
        <f t="shared" ref="BL675:BL733" si="290">IF(BK675&lt;1,IF(BK675&gt;0,BK675,0),1)</f>
        <v>0.24352331606217617</v>
      </c>
      <c r="BM675" s="1">
        <f t="shared" si="284"/>
        <v>2.1805954522268781E-6</v>
      </c>
      <c r="BN675" s="1">
        <f t="shared" si="272"/>
        <v>2.6452070459942967E-2</v>
      </c>
    </row>
    <row r="676" spans="3:66" x14ac:dyDescent="0.25">
      <c r="C676" t="s">
        <v>701</v>
      </c>
      <c r="G676">
        <v>4.8</v>
      </c>
      <c r="H676">
        <v>28.3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9.4</v>
      </c>
      <c r="P676">
        <v>0</v>
      </c>
      <c r="Q676">
        <v>57.5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16.899999999999999</v>
      </c>
      <c r="AK676" t="s">
        <v>1</v>
      </c>
      <c r="AL676" t="s">
        <v>372</v>
      </c>
      <c r="AQ676" s="1">
        <f t="shared" si="270"/>
        <v>100</v>
      </c>
      <c r="AR676" s="1">
        <f t="shared" si="273"/>
        <v>9.4E-2</v>
      </c>
      <c r="AS676" s="1">
        <f t="shared" si="271"/>
        <v>4.8000000000000001E-2</v>
      </c>
      <c r="AT676" s="1">
        <f t="shared" si="271"/>
        <v>0.28300000000000003</v>
      </c>
      <c r="AU676" s="1">
        <f t="shared" si="274"/>
        <v>0.57499999999999996</v>
      </c>
      <c r="AV676" s="1">
        <f t="shared" si="285"/>
        <v>0.16899999999999998</v>
      </c>
      <c r="AX676" s="1">
        <f t="shared" si="286"/>
        <v>1.7371601208459213</v>
      </c>
      <c r="AY676" s="1">
        <f t="shared" si="275"/>
        <v>0.28398791540785495</v>
      </c>
      <c r="AZ676" s="1">
        <f t="shared" si="276"/>
        <v>0.60857250755287007</v>
      </c>
      <c r="BA676" s="1">
        <f t="shared" si="277"/>
        <v>0.93429003021148027</v>
      </c>
      <c r="BB676" s="1">
        <f t="shared" si="278"/>
        <v>0.28398791540785495</v>
      </c>
      <c r="BC676" s="1">
        <f t="shared" si="279"/>
        <v>0.28398791540785495</v>
      </c>
      <c r="BD676" s="1">
        <f t="shared" si="287"/>
        <v>0.11498791540785497</v>
      </c>
      <c r="BF676">
        <f t="shared" si="280"/>
        <v>47.5</v>
      </c>
      <c r="BG676">
        <f t="shared" si="281"/>
        <v>9.4</v>
      </c>
      <c r="BH676" s="1">
        <f t="shared" si="282"/>
        <v>1.2105263157894737</v>
      </c>
      <c r="BI676" s="1">
        <f t="shared" si="283"/>
        <v>0.19789473684210526</v>
      </c>
      <c r="BJ676" s="1">
        <f t="shared" si="288"/>
        <v>0.50263157894736843</v>
      </c>
      <c r="BK676" s="1">
        <f t="shared" si="289"/>
        <v>0.19789473684210526</v>
      </c>
      <c r="BL676" s="22">
        <f t="shared" si="290"/>
        <v>0.19789473684210526</v>
      </c>
      <c r="BM676" s="1">
        <f t="shared" si="284"/>
        <v>8.3490581717451614E-4</v>
      </c>
      <c r="BN676" s="1">
        <f t="shared" si="272"/>
        <v>5.6949491048301611E-2</v>
      </c>
    </row>
    <row r="677" spans="3:66" x14ac:dyDescent="0.25">
      <c r="C677" t="s">
        <v>702</v>
      </c>
      <c r="G677">
        <v>4.8</v>
      </c>
      <c r="H677">
        <v>38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9.4</v>
      </c>
      <c r="P677">
        <v>0</v>
      </c>
      <c r="Q677">
        <v>47.7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13.8</v>
      </c>
      <c r="AK677" t="s">
        <v>1</v>
      </c>
      <c r="AL677" t="s">
        <v>372</v>
      </c>
      <c r="AQ677" s="1">
        <f t="shared" si="270"/>
        <v>99.9</v>
      </c>
      <c r="AR677" s="1">
        <f t="shared" si="273"/>
        <v>9.4E-2</v>
      </c>
      <c r="AS677" s="1">
        <f t="shared" si="271"/>
        <v>4.8000000000000001E-2</v>
      </c>
      <c r="AT677" s="1">
        <f t="shared" si="271"/>
        <v>0.38</v>
      </c>
      <c r="AU677" s="1">
        <f t="shared" si="274"/>
        <v>0.47700000000000004</v>
      </c>
      <c r="AV677" s="1">
        <f t="shared" si="285"/>
        <v>0.13800000000000001</v>
      </c>
      <c r="AX677" s="1">
        <f t="shared" si="286"/>
        <v>1.1144859813084114</v>
      </c>
      <c r="AY677" s="1">
        <f t="shared" si="275"/>
        <v>0.21962616822429906</v>
      </c>
      <c r="AZ677" s="1">
        <f t="shared" si="276"/>
        <v>0.56965537383177567</v>
      </c>
      <c r="BA677" s="1">
        <f t="shared" si="277"/>
        <v>0.7786214953271029</v>
      </c>
      <c r="BB677" s="1">
        <f t="shared" si="278"/>
        <v>0.21962616822429906</v>
      </c>
      <c r="BC677" s="1">
        <f t="shared" si="279"/>
        <v>0.21962616822429906</v>
      </c>
      <c r="BD677" s="1">
        <f t="shared" si="287"/>
        <v>8.1626168224299051E-2</v>
      </c>
      <c r="BF677">
        <f t="shared" si="280"/>
        <v>57.2</v>
      </c>
      <c r="BG677">
        <f t="shared" si="281"/>
        <v>9.4</v>
      </c>
      <c r="BH677" s="1">
        <f t="shared" si="282"/>
        <v>0.83391608391608396</v>
      </c>
      <c r="BI677" s="1">
        <f t="shared" si="283"/>
        <v>0.16433566433566432</v>
      </c>
      <c r="BJ677" s="1">
        <f t="shared" si="288"/>
        <v>0.48003496503496501</v>
      </c>
      <c r="BK677" s="1">
        <f t="shared" si="289"/>
        <v>0.16433566433566432</v>
      </c>
      <c r="BL677" s="22">
        <f t="shared" si="290"/>
        <v>0.16433566433566432</v>
      </c>
      <c r="BM677" s="1">
        <f t="shared" si="284"/>
        <v>6.9356721600078114E-4</v>
      </c>
      <c r="BN677" s="1">
        <f t="shared" si="272"/>
        <v>7.2706228393553146E-2</v>
      </c>
    </row>
    <row r="678" spans="3:66" x14ac:dyDescent="0.25">
      <c r="C678" t="s">
        <v>703</v>
      </c>
      <c r="G678">
        <v>4.8</v>
      </c>
      <c r="H678">
        <v>47.4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9.5</v>
      </c>
      <c r="P678">
        <v>0</v>
      </c>
      <c r="Q678">
        <v>38.200000000000003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12.4</v>
      </c>
      <c r="AK678" t="s">
        <v>1</v>
      </c>
      <c r="AL678" t="s">
        <v>372</v>
      </c>
      <c r="AQ678" s="1">
        <f t="shared" si="270"/>
        <v>99.9</v>
      </c>
      <c r="AR678" s="1">
        <f t="shared" si="273"/>
        <v>9.5000000000000001E-2</v>
      </c>
      <c r="AS678" s="1">
        <f t="shared" si="271"/>
        <v>4.8000000000000001E-2</v>
      </c>
      <c r="AT678" s="1">
        <f t="shared" si="271"/>
        <v>0.47399999999999998</v>
      </c>
      <c r="AU678" s="1">
        <f t="shared" si="274"/>
        <v>0.38200000000000001</v>
      </c>
      <c r="AV678" s="1">
        <f t="shared" si="285"/>
        <v>0.124</v>
      </c>
      <c r="AX678" s="1">
        <f t="shared" si="286"/>
        <v>0.73180076628352486</v>
      </c>
      <c r="AY678" s="1">
        <f t="shared" si="275"/>
        <v>0.18199233716475097</v>
      </c>
      <c r="AZ678" s="1">
        <f t="shared" si="276"/>
        <v>0.54573754789272033</v>
      </c>
      <c r="BA678" s="1">
        <f t="shared" si="277"/>
        <v>0.68295019157088122</v>
      </c>
      <c r="BB678" s="1">
        <f t="shared" si="278"/>
        <v>0.18199233716475097</v>
      </c>
      <c r="BC678" s="1">
        <f t="shared" si="279"/>
        <v>0.18199233716475097</v>
      </c>
      <c r="BD678" s="1">
        <f t="shared" si="287"/>
        <v>5.7992337164750968E-2</v>
      </c>
      <c r="BF678">
        <f t="shared" si="280"/>
        <v>66.599999999999994</v>
      </c>
      <c r="BG678">
        <f t="shared" si="281"/>
        <v>9.5</v>
      </c>
      <c r="BH678" s="1">
        <f t="shared" si="282"/>
        <v>0.57357357357357364</v>
      </c>
      <c r="BI678" s="1">
        <f t="shared" si="283"/>
        <v>0.14264264264264265</v>
      </c>
      <c r="BJ678" s="1">
        <f t="shared" si="288"/>
        <v>0.46441441441441439</v>
      </c>
      <c r="BK678" s="1">
        <f t="shared" si="289"/>
        <v>0.14264264264264265</v>
      </c>
      <c r="BL678" s="22">
        <f t="shared" si="290"/>
        <v>0.14264264264264265</v>
      </c>
      <c r="BM678" s="1">
        <f t="shared" si="284"/>
        <v>3.4754812470127804E-4</v>
      </c>
      <c r="BN678" s="1">
        <f t="shared" si="272"/>
        <v>8.045217429140869E-2</v>
      </c>
    </row>
    <row r="679" spans="3:66" x14ac:dyDescent="0.25">
      <c r="C679" t="s">
        <v>704</v>
      </c>
      <c r="G679">
        <v>4.9000000000000004</v>
      </c>
      <c r="H679">
        <v>56.6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9.5</v>
      </c>
      <c r="P679">
        <v>0</v>
      </c>
      <c r="Q679">
        <v>29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10.6</v>
      </c>
      <c r="AK679" t="s">
        <v>1</v>
      </c>
      <c r="AL679" t="s">
        <v>372</v>
      </c>
      <c r="AQ679" s="1">
        <f t="shared" si="270"/>
        <v>100</v>
      </c>
      <c r="AR679" s="1">
        <f t="shared" si="273"/>
        <v>9.5000000000000001E-2</v>
      </c>
      <c r="AS679" s="1">
        <f t="shared" si="271"/>
        <v>4.9000000000000002E-2</v>
      </c>
      <c r="AT679" s="1">
        <f t="shared" si="271"/>
        <v>0.56600000000000006</v>
      </c>
      <c r="AU679" s="1">
        <f t="shared" si="274"/>
        <v>0.28999999999999998</v>
      </c>
      <c r="AV679" s="1">
        <f t="shared" si="285"/>
        <v>0.106</v>
      </c>
      <c r="AX679" s="1">
        <f t="shared" si="286"/>
        <v>0.47154471544715437</v>
      </c>
      <c r="AY679" s="1">
        <f t="shared" si="275"/>
        <v>0.15447154471544713</v>
      </c>
      <c r="AZ679" s="1">
        <f t="shared" si="276"/>
        <v>0.52947154471544711</v>
      </c>
      <c r="BA679" s="1">
        <f t="shared" si="277"/>
        <v>0.61788617886178865</v>
      </c>
      <c r="BB679" s="1">
        <f t="shared" si="278"/>
        <v>0.15447154471544713</v>
      </c>
      <c r="BC679" s="1">
        <f t="shared" si="279"/>
        <v>0.15447154471544713</v>
      </c>
      <c r="BD679" s="1">
        <f t="shared" si="287"/>
        <v>4.8471544715447137E-2</v>
      </c>
      <c r="BF679">
        <f t="shared" si="280"/>
        <v>76.2</v>
      </c>
      <c r="BG679">
        <f t="shared" si="281"/>
        <v>9.5</v>
      </c>
      <c r="BH679" s="1">
        <f t="shared" si="282"/>
        <v>0.38057742782152232</v>
      </c>
      <c r="BI679" s="1">
        <f t="shared" si="283"/>
        <v>0.12467191601049868</v>
      </c>
      <c r="BJ679" s="1">
        <f t="shared" si="288"/>
        <v>0.45283464566929132</v>
      </c>
      <c r="BK679" s="1">
        <f t="shared" si="289"/>
        <v>0.12467191601049868</v>
      </c>
      <c r="BL679" s="22">
        <f t="shared" si="290"/>
        <v>0.12467191601049868</v>
      </c>
      <c r="BM679" s="1">
        <f t="shared" si="284"/>
        <v>3.4864044750311702E-4</v>
      </c>
      <c r="BN679" s="1">
        <f t="shared" si="272"/>
        <v>9.0987247588651537E-2</v>
      </c>
    </row>
    <row r="680" spans="3:66" x14ac:dyDescent="0.25">
      <c r="C680" t="s">
        <v>705</v>
      </c>
      <c r="G680">
        <v>4.9000000000000004</v>
      </c>
      <c r="H680">
        <v>66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9.5</v>
      </c>
      <c r="P680">
        <v>0</v>
      </c>
      <c r="Q680">
        <v>19.399999999999999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9.8000000000000007</v>
      </c>
      <c r="AK680" t="s">
        <v>1</v>
      </c>
      <c r="AL680" t="s">
        <v>372</v>
      </c>
      <c r="AQ680" s="1">
        <f t="shared" si="270"/>
        <v>99.800000000000011</v>
      </c>
      <c r="AR680" s="1">
        <f t="shared" si="273"/>
        <v>9.5000000000000001E-2</v>
      </c>
      <c r="AS680" s="1">
        <f t="shared" si="271"/>
        <v>4.9000000000000002E-2</v>
      </c>
      <c r="AT680" s="1">
        <f t="shared" si="271"/>
        <v>0.66</v>
      </c>
      <c r="AU680" s="1">
        <f t="shared" si="274"/>
        <v>0.19399999999999998</v>
      </c>
      <c r="AV680" s="1">
        <f t="shared" si="285"/>
        <v>9.8000000000000004E-2</v>
      </c>
      <c r="AX680" s="1">
        <f t="shared" si="286"/>
        <v>0.27362482369534552</v>
      </c>
      <c r="AY680" s="1">
        <f t="shared" si="275"/>
        <v>0.13399153737658673</v>
      </c>
      <c r="AZ680" s="1">
        <f t="shared" si="276"/>
        <v>0.51710155148095904</v>
      </c>
      <c r="BA680" s="1">
        <f t="shared" si="277"/>
        <v>0.56840620592383639</v>
      </c>
      <c r="BB680" s="1">
        <f t="shared" si="278"/>
        <v>0.13399153737658673</v>
      </c>
      <c r="BC680" s="1">
        <f t="shared" si="279"/>
        <v>0.13399153737658673</v>
      </c>
      <c r="BD680" s="1">
        <f t="shared" si="287"/>
        <v>3.5991537376586724E-2</v>
      </c>
      <c r="BF680">
        <f t="shared" si="280"/>
        <v>85.6</v>
      </c>
      <c r="BG680">
        <f t="shared" si="281"/>
        <v>9.5</v>
      </c>
      <c r="BH680" s="1">
        <f t="shared" si="282"/>
        <v>0.22663551401869159</v>
      </c>
      <c r="BI680" s="1">
        <f t="shared" si="283"/>
        <v>0.11098130841121497</v>
      </c>
      <c r="BJ680" s="1">
        <f t="shared" si="288"/>
        <v>0.44359813084112149</v>
      </c>
      <c r="BK680" s="1">
        <f t="shared" si="289"/>
        <v>0.11098130841121497</v>
      </c>
      <c r="BL680" s="22">
        <f t="shared" si="290"/>
        <v>0.11098130841121497</v>
      </c>
      <c r="BM680" s="1">
        <f t="shared" si="284"/>
        <v>1.6851436806708032E-4</v>
      </c>
      <c r="BN680" s="1">
        <f t="shared" si="272"/>
        <v>9.5877502387426136E-2</v>
      </c>
    </row>
    <row r="681" spans="3:66" x14ac:dyDescent="0.25">
      <c r="C681" t="s">
        <v>706</v>
      </c>
      <c r="G681">
        <v>4.9000000000000004</v>
      </c>
      <c r="H681">
        <v>75.8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9.5</v>
      </c>
      <c r="P681">
        <v>0</v>
      </c>
      <c r="Q681">
        <v>9.6999999999999993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9.8000000000000007</v>
      </c>
      <c r="AK681" t="s">
        <v>1</v>
      </c>
      <c r="AL681" t="s">
        <v>372</v>
      </c>
      <c r="AQ681" s="1">
        <f t="shared" ref="AQ681:AQ739" si="291">SUM(G681:AF681)</f>
        <v>99.9</v>
      </c>
      <c r="AR681" s="1">
        <f t="shared" si="273"/>
        <v>9.5000000000000001E-2</v>
      </c>
      <c r="AS681" s="1">
        <f t="shared" si="271"/>
        <v>4.9000000000000002E-2</v>
      </c>
      <c r="AT681" s="1">
        <f t="shared" si="271"/>
        <v>0.75800000000000001</v>
      </c>
      <c r="AU681" s="1">
        <f t="shared" si="274"/>
        <v>9.6999999999999989E-2</v>
      </c>
      <c r="AV681" s="1">
        <f t="shared" si="285"/>
        <v>9.8000000000000004E-2</v>
      </c>
      <c r="AX681" s="1">
        <f t="shared" si="286"/>
        <v>0.1201982651796778</v>
      </c>
      <c r="AY681" s="1">
        <f t="shared" si="275"/>
        <v>0.11771995043370508</v>
      </c>
      <c r="AZ681" s="1">
        <f t="shared" si="276"/>
        <v>0.50751239157372985</v>
      </c>
      <c r="BA681" s="1">
        <f t="shared" si="277"/>
        <v>0.53004956629491939</v>
      </c>
      <c r="BB681" s="1">
        <f t="shared" si="278"/>
        <v>0.11771995043370508</v>
      </c>
      <c r="BC681" s="1">
        <f t="shared" si="279"/>
        <v>0.11771995043370508</v>
      </c>
      <c r="BD681" s="1">
        <f t="shared" si="287"/>
        <v>1.9719950433705072E-2</v>
      </c>
      <c r="BF681">
        <f t="shared" si="280"/>
        <v>95.4</v>
      </c>
      <c r="BG681">
        <f t="shared" si="281"/>
        <v>9.5</v>
      </c>
      <c r="BH681" s="1">
        <f t="shared" si="282"/>
        <v>0.10167714884696015</v>
      </c>
      <c r="BI681" s="1">
        <f t="shared" si="283"/>
        <v>9.9580712788259945E-2</v>
      </c>
      <c r="BJ681" s="1">
        <f t="shared" si="288"/>
        <v>0.43610062893081758</v>
      </c>
      <c r="BK681" s="1">
        <f t="shared" si="289"/>
        <v>9.9580712788259945E-2</v>
      </c>
      <c r="BL681" s="22">
        <f t="shared" si="290"/>
        <v>9.9580712788259945E-2</v>
      </c>
      <c r="BM681" s="1">
        <f t="shared" si="284"/>
        <v>2.4986529189685186E-6</v>
      </c>
      <c r="BN681" s="1">
        <f t="shared" si="272"/>
        <v>9.5877502387426136E-2</v>
      </c>
    </row>
    <row r="682" spans="3:66" x14ac:dyDescent="0.25">
      <c r="C682" t="s">
        <v>707</v>
      </c>
      <c r="G682">
        <v>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40</v>
      </c>
      <c r="N682">
        <v>0</v>
      </c>
      <c r="O682">
        <v>0</v>
      </c>
      <c r="P682">
        <v>0</v>
      </c>
      <c r="Q682">
        <v>30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57.5</v>
      </c>
      <c r="AK682" t="s">
        <v>1</v>
      </c>
      <c r="AL682" t="s">
        <v>380</v>
      </c>
      <c r="AN682" t="s">
        <v>839</v>
      </c>
      <c r="AO682" t="s">
        <v>840</v>
      </c>
      <c r="AP682" t="s">
        <v>841</v>
      </c>
      <c r="AQ682" s="1">
        <f t="shared" si="291"/>
        <v>100</v>
      </c>
      <c r="AR682" s="1">
        <f t="shared" si="273"/>
        <v>0.4</v>
      </c>
      <c r="AS682" s="1">
        <f t="shared" si="271"/>
        <v>0</v>
      </c>
      <c r="AT682" s="1">
        <f t="shared" si="271"/>
        <v>0.3</v>
      </c>
      <c r="AU682" s="1">
        <f t="shared" si="274"/>
        <v>0.3</v>
      </c>
      <c r="AV682" s="1">
        <f t="shared" si="285"/>
        <v>0.57499999999999996</v>
      </c>
      <c r="AX682" s="1">
        <f t="shared" si="286"/>
        <v>1</v>
      </c>
      <c r="AY682" s="1">
        <f t="shared" si="275"/>
        <v>1.3333333333333335</v>
      </c>
      <c r="AZ682" s="1">
        <f t="shared" si="276"/>
        <v>0.5625</v>
      </c>
      <c r="BA682" s="1">
        <f t="shared" si="277"/>
        <v>0.75</v>
      </c>
      <c r="BB682" s="1">
        <f t="shared" si="278"/>
        <v>0.41666666666666663</v>
      </c>
      <c r="BC682" s="1">
        <f t="shared" si="279"/>
        <v>0.41666666666666663</v>
      </c>
      <c r="BD682" s="1">
        <f t="shared" si="287"/>
        <v>0.15833333333333333</v>
      </c>
      <c r="BF682">
        <f t="shared" si="280"/>
        <v>30</v>
      </c>
      <c r="BG682">
        <f t="shared" si="281"/>
        <v>40</v>
      </c>
      <c r="BH682" s="1">
        <f t="shared" si="282"/>
        <v>1</v>
      </c>
      <c r="BI682" s="1">
        <f t="shared" si="283"/>
        <v>1.3333333333333333</v>
      </c>
      <c r="BJ682" s="1">
        <f t="shared" si="288"/>
        <v>0.49</v>
      </c>
      <c r="BK682" s="1">
        <f t="shared" si="289"/>
        <v>0.4328609893047598</v>
      </c>
      <c r="BL682" s="22">
        <f t="shared" si="290"/>
        <v>0.4328609893047598</v>
      </c>
      <c r="BM682" s="1">
        <f t="shared" si="284"/>
        <v>2.0203498361421594E-2</v>
      </c>
      <c r="BN682" s="1">
        <f t="shared" si="272"/>
        <v>2.8009060010490975E-2</v>
      </c>
    </row>
    <row r="683" spans="3:66" x14ac:dyDescent="0.25">
      <c r="C683" t="s">
        <v>708</v>
      </c>
      <c r="G683">
        <v>0</v>
      </c>
      <c r="H683">
        <v>50</v>
      </c>
      <c r="I683">
        <v>0</v>
      </c>
      <c r="J683">
        <v>0</v>
      </c>
      <c r="K683">
        <v>0</v>
      </c>
      <c r="L683">
        <v>0</v>
      </c>
      <c r="M683">
        <v>40</v>
      </c>
      <c r="N683">
        <v>0</v>
      </c>
      <c r="O683">
        <v>0</v>
      </c>
      <c r="P683">
        <v>0</v>
      </c>
      <c r="Q683">
        <v>10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17.399999999999999</v>
      </c>
      <c r="AK683" t="s">
        <v>1</v>
      </c>
      <c r="AL683" t="s">
        <v>380</v>
      </c>
      <c r="AQ683" s="1">
        <f t="shared" si="291"/>
        <v>100</v>
      </c>
      <c r="AR683" s="1">
        <f t="shared" si="273"/>
        <v>0.4</v>
      </c>
      <c r="AS683" s="1">
        <f t="shared" si="271"/>
        <v>0</v>
      </c>
      <c r="AT683" s="1">
        <f t="shared" si="271"/>
        <v>0.5</v>
      </c>
      <c r="AU683" s="1">
        <f t="shared" si="274"/>
        <v>0.1</v>
      </c>
      <c r="AV683" s="1">
        <f t="shared" si="285"/>
        <v>0.17399999999999999</v>
      </c>
      <c r="AX683" s="1">
        <f t="shared" si="286"/>
        <v>0.2</v>
      </c>
      <c r="AY683" s="1">
        <f t="shared" si="275"/>
        <v>0.8</v>
      </c>
      <c r="AZ683" s="1">
        <f t="shared" si="276"/>
        <v>0.51249999999999996</v>
      </c>
      <c r="BA683" s="1">
        <f t="shared" si="277"/>
        <v>0.55000000000000004</v>
      </c>
      <c r="BB683" s="1">
        <f t="shared" si="278"/>
        <v>0.43484848484848482</v>
      </c>
      <c r="BC683" s="1">
        <f t="shared" si="279"/>
        <v>0.43484848484848482</v>
      </c>
      <c r="BD683" s="1">
        <f t="shared" si="287"/>
        <v>0.26084848484848483</v>
      </c>
      <c r="BF683">
        <f t="shared" si="280"/>
        <v>50</v>
      </c>
      <c r="BG683">
        <f t="shared" si="281"/>
        <v>40</v>
      </c>
      <c r="BH683" s="1">
        <f t="shared" si="282"/>
        <v>0.2</v>
      </c>
      <c r="BI683" s="1">
        <f t="shared" si="283"/>
        <v>0.8</v>
      </c>
      <c r="BJ683" s="1">
        <f t="shared" si="288"/>
        <v>0.442</v>
      </c>
      <c r="BK683" s="1">
        <f t="shared" si="289"/>
        <v>0.41686693485161125</v>
      </c>
      <c r="BL683" s="22">
        <f t="shared" si="290"/>
        <v>0.41686693485161125</v>
      </c>
      <c r="BM683" s="1">
        <f t="shared" si="284"/>
        <v>5.8984348044216789E-2</v>
      </c>
      <c r="BN683" s="1">
        <f t="shared" si="272"/>
        <v>5.4588081799067489E-2</v>
      </c>
    </row>
    <row r="684" spans="3:66" x14ac:dyDescent="0.25">
      <c r="C684" t="s">
        <v>709</v>
      </c>
      <c r="G684">
        <v>0</v>
      </c>
      <c r="H684">
        <v>25</v>
      </c>
      <c r="I684">
        <v>0</v>
      </c>
      <c r="J684">
        <v>0</v>
      </c>
      <c r="K684">
        <v>0</v>
      </c>
      <c r="L684">
        <v>0</v>
      </c>
      <c r="M684">
        <v>60</v>
      </c>
      <c r="N684">
        <v>0</v>
      </c>
      <c r="O684">
        <v>0</v>
      </c>
      <c r="P684">
        <v>0</v>
      </c>
      <c r="Q684">
        <v>15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3.3</v>
      </c>
      <c r="AK684" t="s">
        <v>1</v>
      </c>
      <c r="AL684" t="s">
        <v>380</v>
      </c>
      <c r="AQ684" s="1">
        <f t="shared" si="291"/>
        <v>100</v>
      </c>
      <c r="AR684" s="1">
        <f t="shared" si="273"/>
        <v>0.6</v>
      </c>
      <c r="AS684" s="1">
        <f t="shared" si="271"/>
        <v>0</v>
      </c>
      <c r="AT684" s="1">
        <f t="shared" si="271"/>
        <v>0.25</v>
      </c>
      <c r="AU684" s="1">
        <f t="shared" si="274"/>
        <v>0.15</v>
      </c>
      <c r="AV684" s="1">
        <f t="shared" si="285"/>
        <v>3.3000000000000002E-2</v>
      </c>
      <c r="AX684" s="1">
        <f t="shared" si="286"/>
        <v>0.6</v>
      </c>
      <c r="AY684" s="1">
        <f t="shared" si="275"/>
        <v>2.4</v>
      </c>
      <c r="AZ684" s="1">
        <f t="shared" si="276"/>
        <v>0.53749999999999998</v>
      </c>
      <c r="BA684" s="1">
        <f t="shared" si="277"/>
        <v>0.65</v>
      </c>
      <c r="BB684" s="1">
        <f t="shared" si="278"/>
        <v>5.512820512820521E-2</v>
      </c>
      <c r="BC684" s="1">
        <f t="shared" si="279"/>
        <v>5.512820512820521E-2</v>
      </c>
      <c r="BD684" s="1">
        <f t="shared" si="287"/>
        <v>2.2128205128205208E-2</v>
      </c>
      <c r="BF684">
        <f t="shared" si="280"/>
        <v>25</v>
      </c>
      <c r="BG684">
        <f t="shared" si="281"/>
        <v>60</v>
      </c>
      <c r="BH684" s="1">
        <f t="shared" si="282"/>
        <v>0.6</v>
      </c>
      <c r="BI684" s="1">
        <f t="shared" si="283"/>
        <v>2.4</v>
      </c>
      <c r="BJ684" s="1">
        <f t="shared" si="288"/>
        <v>0.46599999999999997</v>
      </c>
      <c r="BK684" s="1">
        <f t="shared" si="289"/>
        <v>0.15074169970634649</v>
      </c>
      <c r="BL684" s="22">
        <f t="shared" si="290"/>
        <v>0.15074169970634649</v>
      </c>
      <c r="BM684" s="1">
        <f t="shared" si="284"/>
        <v>1.3863107849739473E-2</v>
      </c>
      <c r="BN684" s="1">
        <f t="shared" si="272"/>
        <v>0.14035582262746968</v>
      </c>
    </row>
    <row r="685" spans="3:66" x14ac:dyDescent="0.25">
      <c r="C685" t="s">
        <v>710</v>
      </c>
      <c r="G685">
        <v>0</v>
      </c>
      <c r="H685">
        <v>26.7</v>
      </c>
      <c r="I685">
        <v>0</v>
      </c>
      <c r="J685">
        <v>0</v>
      </c>
      <c r="K685">
        <v>0</v>
      </c>
      <c r="L685">
        <v>20</v>
      </c>
      <c r="M685">
        <v>0</v>
      </c>
      <c r="N685">
        <v>0</v>
      </c>
      <c r="O685">
        <v>0</v>
      </c>
      <c r="P685">
        <v>0</v>
      </c>
      <c r="Q685">
        <v>53.3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62.8</v>
      </c>
      <c r="AK685" t="s">
        <v>1</v>
      </c>
      <c r="AL685" t="s">
        <v>372</v>
      </c>
      <c r="AQ685" s="1">
        <f t="shared" si="291"/>
        <v>100</v>
      </c>
      <c r="AR685" s="1">
        <f t="shared" si="273"/>
        <v>0.2</v>
      </c>
      <c r="AS685" s="1">
        <f t="shared" si="271"/>
        <v>0</v>
      </c>
      <c r="AT685" s="1">
        <f t="shared" si="271"/>
        <v>0.26700000000000002</v>
      </c>
      <c r="AU685" s="1">
        <f t="shared" si="274"/>
        <v>0.53299999999999992</v>
      </c>
      <c r="AV685" s="1">
        <f t="shared" si="285"/>
        <v>0.628</v>
      </c>
      <c r="AX685" s="1">
        <f t="shared" si="286"/>
        <v>1.9962546816479396</v>
      </c>
      <c r="AY685" s="1">
        <f t="shared" si="275"/>
        <v>0.74906367041198507</v>
      </c>
      <c r="AZ685" s="1">
        <f t="shared" si="276"/>
        <v>0.62476591760299627</v>
      </c>
      <c r="BA685" s="1">
        <f t="shared" si="277"/>
        <v>0.99906367041198485</v>
      </c>
      <c r="BB685" s="1">
        <f t="shared" si="278"/>
        <v>0.62476591760299627</v>
      </c>
      <c r="BC685" s="1">
        <f t="shared" si="279"/>
        <v>0.62476591760299627</v>
      </c>
      <c r="BD685" s="1">
        <f t="shared" si="287"/>
        <v>3.2340823970037347E-3</v>
      </c>
      <c r="BF685">
        <f t="shared" si="280"/>
        <v>26.7</v>
      </c>
      <c r="BG685">
        <f t="shared" si="281"/>
        <v>20</v>
      </c>
      <c r="BH685" s="1">
        <f t="shared" si="282"/>
        <v>1.9962546816479401</v>
      </c>
      <c r="BI685" s="1">
        <f t="shared" si="283"/>
        <v>0.74906367041198507</v>
      </c>
      <c r="BJ685" s="1">
        <f t="shared" si="288"/>
        <v>0.5497752808988764</v>
      </c>
      <c r="BK685" s="1">
        <f t="shared" si="289"/>
        <v>0.54944198891805596</v>
      </c>
      <c r="BL685" s="22">
        <f t="shared" si="290"/>
        <v>0.54944198891805596</v>
      </c>
      <c r="BM685" s="1">
        <f t="shared" si="284"/>
        <v>6.1713611051508431E-3</v>
      </c>
      <c r="BN685" s="1">
        <f t="shared" si="272"/>
        <v>4.8558121968609314E-2</v>
      </c>
    </row>
    <row r="686" spans="3:66" x14ac:dyDescent="0.25">
      <c r="C686" t="s">
        <v>711</v>
      </c>
      <c r="G686">
        <v>0</v>
      </c>
      <c r="H686">
        <v>26.7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20</v>
      </c>
      <c r="P686">
        <v>0</v>
      </c>
      <c r="Q686">
        <v>53.3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60.4</v>
      </c>
      <c r="AK686" t="s">
        <v>1</v>
      </c>
      <c r="AL686" t="s">
        <v>372</v>
      </c>
      <c r="AQ686" s="1">
        <f t="shared" si="291"/>
        <v>100</v>
      </c>
      <c r="AR686" s="1">
        <f t="shared" si="273"/>
        <v>0.2</v>
      </c>
      <c r="AS686" s="1">
        <f t="shared" si="271"/>
        <v>0</v>
      </c>
      <c r="AT686" s="1">
        <f t="shared" si="271"/>
        <v>0.26700000000000002</v>
      </c>
      <c r="AU686" s="1">
        <f t="shared" si="274"/>
        <v>0.53299999999999992</v>
      </c>
      <c r="AV686" s="1">
        <f t="shared" si="285"/>
        <v>0.60399999999999998</v>
      </c>
      <c r="AX686" s="1">
        <f t="shared" si="286"/>
        <v>1.9962546816479396</v>
      </c>
      <c r="AY686" s="1">
        <f t="shared" si="275"/>
        <v>0.74906367041198507</v>
      </c>
      <c r="AZ686" s="1">
        <f t="shared" si="276"/>
        <v>0.62476591760299627</v>
      </c>
      <c r="BA686" s="1">
        <f t="shared" si="277"/>
        <v>0.99906367041198485</v>
      </c>
      <c r="BB686" s="1">
        <f t="shared" si="278"/>
        <v>0.62476591760299627</v>
      </c>
      <c r="BC686" s="1">
        <f t="shared" si="279"/>
        <v>0.62476591760299627</v>
      </c>
      <c r="BD686" s="1">
        <f t="shared" si="287"/>
        <v>2.0765917602996287E-2</v>
      </c>
      <c r="BF686">
        <f t="shared" si="280"/>
        <v>26.7</v>
      </c>
      <c r="BG686">
        <f t="shared" si="281"/>
        <v>20</v>
      </c>
      <c r="BH686" s="1">
        <f t="shared" si="282"/>
        <v>1.9962546816479401</v>
      </c>
      <c r="BI686" s="1">
        <f t="shared" si="283"/>
        <v>0.74906367041198507</v>
      </c>
      <c r="BJ686" s="1">
        <f t="shared" si="288"/>
        <v>0.5497752808988764</v>
      </c>
      <c r="BK686" s="1">
        <f t="shared" si="289"/>
        <v>0.54944198891805596</v>
      </c>
      <c r="BL686" s="22">
        <f t="shared" si="290"/>
        <v>0.54944198891805596</v>
      </c>
      <c r="BM686" s="1">
        <f t="shared" si="284"/>
        <v>2.9765765732175271E-3</v>
      </c>
      <c r="BN686" s="1">
        <f t="shared" si="272"/>
        <v>3.8556886364933082E-2</v>
      </c>
    </row>
    <row r="687" spans="3:66" x14ac:dyDescent="0.25">
      <c r="C687" t="s">
        <v>712</v>
      </c>
      <c r="G687">
        <v>0</v>
      </c>
      <c r="H687">
        <v>17.399999999999999</v>
      </c>
      <c r="I687">
        <v>0</v>
      </c>
      <c r="J687">
        <v>0</v>
      </c>
      <c r="K687">
        <v>0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69.599999999999994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68.099999999999994</v>
      </c>
      <c r="AK687" t="s">
        <v>1</v>
      </c>
      <c r="AL687" t="s">
        <v>372</v>
      </c>
      <c r="AQ687" s="1">
        <f t="shared" si="291"/>
        <v>100</v>
      </c>
      <c r="AR687" s="1">
        <f t="shared" si="273"/>
        <v>0.13</v>
      </c>
      <c r="AS687" s="1">
        <f t="shared" si="271"/>
        <v>0</v>
      </c>
      <c r="AT687" s="1">
        <f t="shared" si="271"/>
        <v>0.17399999999999999</v>
      </c>
      <c r="AU687" s="1">
        <f t="shared" si="274"/>
        <v>0.69599999999999995</v>
      </c>
      <c r="AV687" s="1">
        <f t="shared" si="285"/>
        <v>0.68099999999999994</v>
      </c>
      <c r="AX687" s="1">
        <f t="shared" si="286"/>
        <v>4</v>
      </c>
      <c r="AY687" s="1">
        <f t="shared" si="275"/>
        <v>0.74712643678160928</v>
      </c>
      <c r="AZ687" s="1">
        <f t="shared" si="276"/>
        <v>0.75</v>
      </c>
      <c r="BA687" s="1">
        <f t="shared" si="277"/>
        <v>1.5</v>
      </c>
      <c r="BB687" s="1">
        <f t="shared" si="278"/>
        <v>0.74712643678160928</v>
      </c>
      <c r="BC687" s="1">
        <f t="shared" si="279"/>
        <v>0.74712643678160928</v>
      </c>
      <c r="BD687" s="1">
        <f t="shared" si="287"/>
        <v>6.6126436781609343E-2</v>
      </c>
      <c r="BF687">
        <f t="shared" si="280"/>
        <v>17.399999999999999</v>
      </c>
      <c r="BG687">
        <f t="shared" si="281"/>
        <v>13</v>
      </c>
      <c r="BH687" s="1">
        <f t="shared" si="282"/>
        <v>4</v>
      </c>
      <c r="BI687" s="1">
        <f t="shared" si="283"/>
        <v>0.74712643678160928</v>
      </c>
      <c r="BJ687" s="1">
        <f t="shared" si="288"/>
        <v>0.66999999999999993</v>
      </c>
      <c r="BK687" s="1">
        <f t="shared" si="289"/>
        <v>0.63400721288396622</v>
      </c>
      <c r="BL687" s="22">
        <f t="shared" si="290"/>
        <v>0.63400721288396622</v>
      </c>
      <c r="BM687" s="1">
        <f t="shared" si="284"/>
        <v>2.2083220409328647E-3</v>
      </c>
      <c r="BN687" s="1">
        <f t="shared" si="272"/>
        <v>7.4725183926727598E-2</v>
      </c>
    </row>
    <row r="688" spans="3:66" x14ac:dyDescent="0.25">
      <c r="C688" t="s">
        <v>713</v>
      </c>
      <c r="G688">
        <v>0</v>
      </c>
      <c r="H688">
        <v>17.399999999999999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6.5</v>
      </c>
      <c r="P688">
        <v>0</v>
      </c>
      <c r="Q688">
        <v>69.599999999999994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6.5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65.099999999999994</v>
      </c>
      <c r="AK688" t="s">
        <v>1</v>
      </c>
      <c r="AL688" t="s">
        <v>372</v>
      </c>
      <c r="AQ688" s="1">
        <f t="shared" si="291"/>
        <v>100</v>
      </c>
      <c r="AR688" s="1">
        <f t="shared" si="273"/>
        <v>6.5000000000000002E-2</v>
      </c>
      <c r="AS688" s="1">
        <f t="shared" si="271"/>
        <v>0</v>
      </c>
      <c r="AT688" s="1">
        <f t="shared" si="271"/>
        <v>0.17399999999999999</v>
      </c>
      <c r="AU688" s="1">
        <f t="shared" si="274"/>
        <v>0.69599999999999995</v>
      </c>
      <c r="AV688" s="1">
        <f t="shared" si="285"/>
        <v>0.65099999999999991</v>
      </c>
      <c r="AX688" s="1">
        <f t="shared" si="286"/>
        <v>4</v>
      </c>
      <c r="AY688" s="1">
        <f t="shared" si="275"/>
        <v>0.37356321839080464</v>
      </c>
      <c r="AZ688" s="1">
        <f t="shared" si="276"/>
        <v>0.75</v>
      </c>
      <c r="BA688" s="1">
        <f t="shared" si="277"/>
        <v>1.5</v>
      </c>
      <c r="BB688" s="1">
        <f t="shared" si="278"/>
        <v>0.37356321839080464</v>
      </c>
      <c r="BC688" s="1">
        <f t="shared" si="279"/>
        <v>0.37356321839080464</v>
      </c>
      <c r="BD688" s="1">
        <f t="shared" si="287"/>
        <v>0.27743678160919527</v>
      </c>
      <c r="BF688">
        <f t="shared" si="280"/>
        <v>17.399999999999999</v>
      </c>
      <c r="BG688">
        <f t="shared" si="281"/>
        <v>13</v>
      </c>
      <c r="BH688" s="1">
        <f t="shared" si="282"/>
        <v>4</v>
      </c>
      <c r="BI688" s="1">
        <f t="shared" si="283"/>
        <v>0.74712643678160928</v>
      </c>
      <c r="BJ688" s="1">
        <f t="shared" si="288"/>
        <v>0.66999999999999993</v>
      </c>
      <c r="BK688" s="1">
        <f t="shared" si="289"/>
        <v>0.63400721288396622</v>
      </c>
      <c r="BL688" s="22">
        <f t="shared" si="290"/>
        <v>0.63400721288396622</v>
      </c>
      <c r="BM688" s="1">
        <f t="shared" si="284"/>
        <v>2.8875481397084066E-4</v>
      </c>
      <c r="BN688" s="1">
        <f t="shared" si="272"/>
        <v>5.922363942213231E-2</v>
      </c>
    </row>
    <row r="689" spans="3:66" x14ac:dyDescent="0.25">
      <c r="C689" t="s">
        <v>714</v>
      </c>
      <c r="G689">
        <v>0</v>
      </c>
      <c r="H689">
        <v>17.399999999999999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13</v>
      </c>
      <c r="P689">
        <v>0</v>
      </c>
      <c r="Q689">
        <v>69.599999999999994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61.8</v>
      </c>
      <c r="AK689" t="s">
        <v>1</v>
      </c>
      <c r="AL689" t="s">
        <v>372</v>
      </c>
      <c r="AQ689" s="1">
        <f t="shared" si="291"/>
        <v>100</v>
      </c>
      <c r="AR689" s="1">
        <f t="shared" si="273"/>
        <v>0.13</v>
      </c>
      <c r="AS689" s="1">
        <f t="shared" si="271"/>
        <v>0</v>
      </c>
      <c r="AT689" s="1">
        <f t="shared" si="271"/>
        <v>0.17399999999999999</v>
      </c>
      <c r="AU689" s="1">
        <f t="shared" si="274"/>
        <v>0.69599999999999995</v>
      </c>
      <c r="AV689" s="1">
        <f t="shared" si="285"/>
        <v>0.61799999999999999</v>
      </c>
      <c r="AX689" s="1">
        <f t="shared" si="286"/>
        <v>4</v>
      </c>
      <c r="AY689" s="1">
        <f t="shared" si="275"/>
        <v>0.74712643678160928</v>
      </c>
      <c r="AZ689" s="1">
        <f t="shared" si="276"/>
        <v>0.75</v>
      </c>
      <c r="BA689" s="1">
        <f t="shared" si="277"/>
        <v>1.5</v>
      </c>
      <c r="BB689" s="1">
        <f t="shared" si="278"/>
        <v>0.74712643678160928</v>
      </c>
      <c r="BC689" s="1">
        <f t="shared" si="279"/>
        <v>0.74712643678160928</v>
      </c>
      <c r="BD689" s="1">
        <f t="shared" si="287"/>
        <v>0.12912643678160929</v>
      </c>
      <c r="BF689">
        <f t="shared" si="280"/>
        <v>17.399999999999999</v>
      </c>
      <c r="BG689">
        <f t="shared" si="281"/>
        <v>13</v>
      </c>
      <c r="BH689" s="1">
        <f t="shared" si="282"/>
        <v>4</v>
      </c>
      <c r="BI689" s="1">
        <f t="shared" si="283"/>
        <v>0.74712643678160928</v>
      </c>
      <c r="BJ689" s="1">
        <f t="shared" si="288"/>
        <v>0.66999999999999993</v>
      </c>
      <c r="BK689" s="1">
        <f t="shared" si="289"/>
        <v>0.63400721288396622</v>
      </c>
      <c r="BL689" s="22">
        <f t="shared" si="290"/>
        <v>0.63400721288396622</v>
      </c>
      <c r="BM689" s="1">
        <f t="shared" si="284"/>
        <v>2.5623086431261435E-4</v>
      </c>
      <c r="BN689" s="1">
        <f t="shared" si="272"/>
        <v>4.4250940467077546E-2</v>
      </c>
    </row>
    <row r="690" spans="3:66" x14ac:dyDescent="0.25">
      <c r="C690" t="s">
        <v>715</v>
      </c>
      <c r="G690">
        <v>0</v>
      </c>
      <c r="H690">
        <v>17.399999999999999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6.5</v>
      </c>
      <c r="O690">
        <v>6.5</v>
      </c>
      <c r="P690">
        <v>0</v>
      </c>
      <c r="Q690">
        <v>69.599999999999994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31.3</v>
      </c>
      <c r="AK690" t="s">
        <v>1</v>
      </c>
      <c r="AL690" t="s">
        <v>372</v>
      </c>
      <c r="AQ690" s="1">
        <f t="shared" si="291"/>
        <v>100</v>
      </c>
      <c r="AR690" s="1">
        <f t="shared" si="273"/>
        <v>6.5000000000000002E-2</v>
      </c>
      <c r="AS690" s="1">
        <f t="shared" si="271"/>
        <v>0</v>
      </c>
      <c r="AT690" s="1">
        <f t="shared" si="271"/>
        <v>0.17399999999999999</v>
      </c>
      <c r="AU690" s="1">
        <f t="shared" si="274"/>
        <v>0.69599999999999995</v>
      </c>
      <c r="AV690" s="1">
        <f t="shared" si="285"/>
        <v>0.313</v>
      </c>
      <c r="AX690" s="1">
        <f t="shared" si="286"/>
        <v>4</v>
      </c>
      <c r="AY690" s="1">
        <f t="shared" si="275"/>
        <v>0.37356321839080464</v>
      </c>
      <c r="AZ690" s="1">
        <f t="shared" si="276"/>
        <v>0.75</v>
      </c>
      <c r="BA690" s="1">
        <f t="shared" si="277"/>
        <v>1.5</v>
      </c>
      <c r="BB690" s="1">
        <f t="shared" si="278"/>
        <v>0.37356321839080464</v>
      </c>
      <c r="BC690" s="1">
        <f t="shared" si="279"/>
        <v>0.37356321839080464</v>
      </c>
      <c r="BD690" s="1">
        <f t="shared" si="287"/>
        <v>6.0563218390804641E-2</v>
      </c>
      <c r="BF690">
        <f t="shared" si="280"/>
        <v>17.399999999999999</v>
      </c>
      <c r="BG690">
        <f t="shared" si="281"/>
        <v>9.75</v>
      </c>
      <c r="BH690" s="1">
        <f t="shared" si="282"/>
        <v>4</v>
      </c>
      <c r="BI690" s="1">
        <f t="shared" si="283"/>
        <v>0.56034482758620696</v>
      </c>
      <c r="BJ690" s="1">
        <f t="shared" si="288"/>
        <v>0.66999999999999993</v>
      </c>
      <c r="BK690" s="1">
        <f t="shared" si="289"/>
        <v>0.56034482758620696</v>
      </c>
      <c r="BL690" s="22">
        <f t="shared" si="290"/>
        <v>0.56034482758620696</v>
      </c>
      <c r="BM690" s="1">
        <f t="shared" si="284"/>
        <v>6.1179463733650449E-2</v>
      </c>
      <c r="BN690" s="1">
        <f t="shared" si="272"/>
        <v>8.9569046703589228E-3</v>
      </c>
    </row>
    <row r="691" spans="3:66" x14ac:dyDescent="0.25">
      <c r="C691" t="s">
        <v>716</v>
      </c>
      <c r="G691">
        <v>0</v>
      </c>
      <c r="H691">
        <v>19.600000000000001</v>
      </c>
      <c r="I691">
        <v>0</v>
      </c>
      <c r="J691">
        <v>0</v>
      </c>
      <c r="K691">
        <v>0</v>
      </c>
      <c r="L691">
        <v>20.6</v>
      </c>
      <c r="M691">
        <v>0</v>
      </c>
      <c r="N691">
        <v>0</v>
      </c>
      <c r="O691">
        <v>20.6</v>
      </c>
      <c r="P691">
        <v>0</v>
      </c>
      <c r="Q691">
        <v>39.200000000000003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54.7</v>
      </c>
      <c r="AK691" t="s">
        <v>1</v>
      </c>
      <c r="AL691" t="s">
        <v>372</v>
      </c>
      <c r="AQ691" s="1">
        <f t="shared" si="291"/>
        <v>100</v>
      </c>
      <c r="AR691" s="1">
        <f t="shared" si="273"/>
        <v>0.41200000000000003</v>
      </c>
      <c r="AS691" s="1">
        <f t="shared" si="271"/>
        <v>0</v>
      </c>
      <c r="AT691" s="1">
        <f t="shared" si="271"/>
        <v>0.19600000000000001</v>
      </c>
      <c r="AU691" s="1">
        <f t="shared" si="274"/>
        <v>0.39200000000000002</v>
      </c>
      <c r="AV691" s="1">
        <f t="shared" si="285"/>
        <v>0.54700000000000004</v>
      </c>
      <c r="AX691" s="1">
        <f t="shared" si="286"/>
        <v>2</v>
      </c>
      <c r="AY691" s="1">
        <f t="shared" si="275"/>
        <v>2.1020408163265305</v>
      </c>
      <c r="AZ691" s="1">
        <f t="shared" si="276"/>
        <v>0.625</v>
      </c>
      <c r="BA691" s="1">
        <f t="shared" si="277"/>
        <v>1</v>
      </c>
      <c r="BB691" s="1">
        <f t="shared" si="278"/>
        <v>0.39540816326530615</v>
      </c>
      <c r="BC691" s="1">
        <f t="shared" si="279"/>
        <v>0.39540816326530615</v>
      </c>
      <c r="BD691" s="1">
        <f t="shared" si="287"/>
        <v>0.1515918367346939</v>
      </c>
      <c r="BF691">
        <f t="shared" si="280"/>
        <v>19.600000000000001</v>
      </c>
      <c r="BG691">
        <f t="shared" si="281"/>
        <v>41.2</v>
      </c>
      <c r="BH691" s="1">
        <f t="shared" si="282"/>
        <v>2</v>
      </c>
      <c r="BI691" s="1">
        <f t="shared" si="283"/>
        <v>2.1020408163265305</v>
      </c>
      <c r="BJ691" s="1">
        <f t="shared" si="288"/>
        <v>0.55000000000000004</v>
      </c>
      <c r="BK691" s="1">
        <f t="shared" si="289"/>
        <v>0.41587098274672779</v>
      </c>
      <c r="BL691" s="22">
        <f t="shared" si="290"/>
        <v>0.41587098274672779</v>
      </c>
      <c r="BM691" s="1">
        <f t="shared" si="284"/>
        <v>1.7194819165808971E-2</v>
      </c>
      <c r="BN691" s="1">
        <f t="shared" si="272"/>
        <v>1.942095180620208E-2</v>
      </c>
    </row>
    <row r="692" spans="3:66" x14ac:dyDescent="0.25">
      <c r="C692" t="s">
        <v>717</v>
      </c>
      <c r="G692">
        <v>0</v>
      </c>
      <c r="H692">
        <v>30.7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8</v>
      </c>
      <c r="P692">
        <v>0</v>
      </c>
      <c r="Q692">
        <v>61.3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27</v>
      </c>
      <c r="AK692" t="s">
        <v>1</v>
      </c>
      <c r="AL692" t="s">
        <v>372</v>
      </c>
      <c r="AQ692" s="1">
        <f t="shared" si="291"/>
        <v>100</v>
      </c>
      <c r="AR692" s="1">
        <f t="shared" si="273"/>
        <v>0.08</v>
      </c>
      <c r="AS692" s="1">
        <f t="shared" si="271"/>
        <v>0</v>
      </c>
      <c r="AT692" s="1">
        <f t="shared" si="271"/>
        <v>0.307</v>
      </c>
      <c r="AU692" s="1">
        <f t="shared" si="274"/>
        <v>0.61299999999999999</v>
      </c>
      <c r="AV692" s="1">
        <f t="shared" si="285"/>
        <v>0.27</v>
      </c>
      <c r="AX692" s="1">
        <f t="shared" si="286"/>
        <v>1.996742671009772</v>
      </c>
      <c r="AY692" s="1">
        <f t="shared" si="275"/>
        <v>0.26058631921824105</v>
      </c>
      <c r="AZ692" s="1">
        <f t="shared" si="276"/>
        <v>0.62479641693811072</v>
      </c>
      <c r="BA692" s="1">
        <f t="shared" si="277"/>
        <v>0.999185667752443</v>
      </c>
      <c r="BB692" s="1">
        <f t="shared" si="278"/>
        <v>0.26058631921824105</v>
      </c>
      <c r="BC692" s="1">
        <f t="shared" si="279"/>
        <v>0.26058631921824105</v>
      </c>
      <c r="BD692" s="1">
        <f t="shared" si="287"/>
        <v>9.4136807817589707E-3</v>
      </c>
      <c r="BF692">
        <f t="shared" si="280"/>
        <v>30.7</v>
      </c>
      <c r="BG692">
        <f t="shared" si="281"/>
        <v>8</v>
      </c>
      <c r="BH692" s="1">
        <f t="shared" si="282"/>
        <v>1.996742671009772</v>
      </c>
      <c r="BI692" s="1">
        <f t="shared" si="283"/>
        <v>0.26058631921824105</v>
      </c>
      <c r="BJ692" s="1">
        <f t="shared" si="288"/>
        <v>0.54980456026058633</v>
      </c>
      <c r="BK692" s="1">
        <f t="shared" si="289"/>
        <v>0.26058631921824105</v>
      </c>
      <c r="BL692" s="22">
        <f t="shared" si="290"/>
        <v>0.26058631921824105</v>
      </c>
      <c r="BM692" s="1">
        <f t="shared" si="284"/>
        <v>8.861738586085818E-5</v>
      </c>
      <c r="BN692" s="1">
        <f t="shared" si="272"/>
        <v>1.8945024213772359E-2</v>
      </c>
    </row>
    <row r="693" spans="3:66" x14ac:dyDescent="0.25">
      <c r="C693" t="s">
        <v>718</v>
      </c>
      <c r="G693">
        <v>0</v>
      </c>
      <c r="H693">
        <v>28.6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14.3</v>
      </c>
      <c r="P693">
        <v>0</v>
      </c>
      <c r="Q693">
        <v>57.1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47.6</v>
      </c>
      <c r="AK693" t="s">
        <v>1</v>
      </c>
      <c r="AL693" t="s">
        <v>372</v>
      </c>
      <c r="AQ693" s="1">
        <f t="shared" si="291"/>
        <v>100</v>
      </c>
      <c r="AR693" s="1">
        <f t="shared" si="273"/>
        <v>0.14300000000000002</v>
      </c>
      <c r="AS693" s="1">
        <f t="shared" si="271"/>
        <v>0</v>
      </c>
      <c r="AT693" s="1">
        <f t="shared" si="271"/>
        <v>0.28600000000000003</v>
      </c>
      <c r="AU693" s="1">
        <f t="shared" si="274"/>
        <v>0.57100000000000006</v>
      </c>
      <c r="AV693" s="1">
        <f t="shared" si="285"/>
        <v>0.47600000000000003</v>
      </c>
      <c r="AX693" s="1">
        <f t="shared" si="286"/>
        <v>1.9965034965034965</v>
      </c>
      <c r="AY693" s="1">
        <f t="shared" si="275"/>
        <v>0.5</v>
      </c>
      <c r="AZ693" s="1">
        <f t="shared" si="276"/>
        <v>0.62478146853146854</v>
      </c>
      <c r="BA693" s="1">
        <f t="shared" si="277"/>
        <v>0.99912587412587417</v>
      </c>
      <c r="BB693" s="1">
        <f t="shared" si="278"/>
        <v>0.5</v>
      </c>
      <c r="BC693" s="1">
        <f t="shared" si="279"/>
        <v>0.5</v>
      </c>
      <c r="BD693" s="1">
        <f t="shared" si="287"/>
        <v>2.3999999999999966E-2</v>
      </c>
      <c r="BF693">
        <f t="shared" si="280"/>
        <v>28.6</v>
      </c>
      <c r="BG693">
        <f t="shared" si="281"/>
        <v>14.3</v>
      </c>
      <c r="BH693" s="1">
        <f t="shared" si="282"/>
        <v>1.9965034965034965</v>
      </c>
      <c r="BI693" s="1">
        <f t="shared" si="283"/>
        <v>0.5</v>
      </c>
      <c r="BJ693" s="1">
        <f t="shared" si="288"/>
        <v>0.54979020979020976</v>
      </c>
      <c r="BK693" s="1">
        <f t="shared" si="289"/>
        <v>0.5</v>
      </c>
      <c r="BL693" s="22">
        <f t="shared" si="290"/>
        <v>0.5</v>
      </c>
      <c r="BM693" s="1">
        <f t="shared" si="284"/>
        <v>5.7599999999999839E-4</v>
      </c>
      <c r="BN693" s="1">
        <f t="shared" si="272"/>
        <v>4.672963145326588E-3</v>
      </c>
    </row>
    <row r="694" spans="3:66" x14ac:dyDescent="0.25">
      <c r="C694" t="s">
        <v>719</v>
      </c>
      <c r="G694">
        <v>0</v>
      </c>
      <c r="H694">
        <v>18.2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45.5</v>
      </c>
      <c r="P694">
        <v>0</v>
      </c>
      <c r="Q694">
        <v>36.299999999999997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41.1</v>
      </c>
      <c r="AK694" t="s">
        <v>1</v>
      </c>
      <c r="AL694" t="s">
        <v>372</v>
      </c>
      <c r="AQ694" s="1">
        <f t="shared" si="291"/>
        <v>100</v>
      </c>
      <c r="AR694" s="1">
        <f t="shared" si="273"/>
        <v>0.45500000000000002</v>
      </c>
      <c r="AS694" s="1">
        <f t="shared" si="271"/>
        <v>0</v>
      </c>
      <c r="AT694" s="1">
        <f t="shared" si="271"/>
        <v>0.182</v>
      </c>
      <c r="AU694" s="1">
        <f t="shared" si="274"/>
        <v>0.36299999999999999</v>
      </c>
      <c r="AV694" s="1">
        <f t="shared" si="285"/>
        <v>0.41100000000000003</v>
      </c>
      <c r="AX694" s="1">
        <f t="shared" si="286"/>
        <v>1.9945054945054945</v>
      </c>
      <c r="AY694" s="1">
        <f t="shared" si="275"/>
        <v>2.5</v>
      </c>
      <c r="AZ694" s="1">
        <f t="shared" si="276"/>
        <v>0.62465659340659341</v>
      </c>
      <c r="BA694" s="1">
        <f t="shared" si="277"/>
        <v>0.99862637362637363</v>
      </c>
      <c r="BB694" s="1">
        <f t="shared" si="278"/>
        <v>0.31161227584886458</v>
      </c>
      <c r="BC694" s="1">
        <f t="shared" si="279"/>
        <v>0.31161227584886458</v>
      </c>
      <c r="BD694" s="1">
        <f t="shared" si="287"/>
        <v>9.9387724151135448E-2</v>
      </c>
      <c r="BF694">
        <f t="shared" si="280"/>
        <v>18.2</v>
      </c>
      <c r="BG694">
        <f t="shared" si="281"/>
        <v>45.5</v>
      </c>
      <c r="BH694" s="1">
        <f t="shared" si="282"/>
        <v>1.9945054945054945</v>
      </c>
      <c r="BI694" s="1">
        <f t="shared" si="283"/>
        <v>2.5</v>
      </c>
      <c r="BJ694" s="1">
        <f t="shared" si="288"/>
        <v>0.54967032967032969</v>
      </c>
      <c r="BK694" s="1">
        <f t="shared" si="289"/>
        <v>0.32907952659700329</v>
      </c>
      <c r="BL694" s="22">
        <f t="shared" si="290"/>
        <v>0.32907952659700329</v>
      </c>
      <c r="BM694" s="1">
        <f t="shared" si="284"/>
        <v>6.7109639625710961E-3</v>
      </c>
      <c r="BN694" s="1">
        <f t="shared" si="272"/>
        <v>1.1283385370154325E-5</v>
      </c>
    </row>
    <row r="695" spans="3:66" x14ac:dyDescent="0.25">
      <c r="C695" t="s">
        <v>720</v>
      </c>
      <c r="G695">
        <v>0</v>
      </c>
      <c r="H695">
        <v>16.100000000000001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19.399999999999999</v>
      </c>
      <c r="P695">
        <v>0</v>
      </c>
      <c r="Q695">
        <v>64.5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73.3</v>
      </c>
      <c r="AK695" t="s">
        <v>1</v>
      </c>
      <c r="AL695" t="s">
        <v>372</v>
      </c>
      <c r="AQ695" s="1">
        <f t="shared" si="291"/>
        <v>100</v>
      </c>
      <c r="AR695" s="1">
        <f t="shared" si="273"/>
        <v>0.19399999999999998</v>
      </c>
      <c r="AS695" s="1">
        <f t="shared" si="271"/>
        <v>0</v>
      </c>
      <c r="AT695" s="1">
        <f t="shared" si="271"/>
        <v>0.161</v>
      </c>
      <c r="AU695" s="1">
        <f t="shared" si="274"/>
        <v>0.64500000000000002</v>
      </c>
      <c r="AV695" s="1">
        <f t="shared" si="285"/>
        <v>0.73299999999999998</v>
      </c>
      <c r="AX695" s="1">
        <f t="shared" si="286"/>
        <v>4.0062111801242235</v>
      </c>
      <c r="AY695" s="1">
        <f t="shared" si="275"/>
        <v>1.2049689440993787</v>
      </c>
      <c r="AZ695" s="1">
        <f t="shared" si="276"/>
        <v>0.75038819875776397</v>
      </c>
      <c r="BA695" s="1">
        <f t="shared" si="277"/>
        <v>1.5015527950310559</v>
      </c>
      <c r="BB695" s="1">
        <f t="shared" si="278"/>
        <v>0.75038819875776397</v>
      </c>
      <c r="BC695" s="1">
        <f t="shared" si="279"/>
        <v>0.75038819875776397</v>
      </c>
      <c r="BD695" s="1">
        <f t="shared" si="287"/>
        <v>1.7388198757763984E-2</v>
      </c>
      <c r="BF695">
        <f t="shared" si="280"/>
        <v>16.100000000000001</v>
      </c>
      <c r="BG695">
        <f t="shared" si="281"/>
        <v>19.399999999999999</v>
      </c>
      <c r="BH695" s="1">
        <f t="shared" si="282"/>
        <v>4.0062111801242235</v>
      </c>
      <c r="BI695" s="1">
        <f t="shared" si="283"/>
        <v>1.2049689440993787</v>
      </c>
      <c r="BJ695" s="1">
        <f t="shared" si="288"/>
        <v>0.67037267080745333</v>
      </c>
      <c r="BK695" s="1">
        <f t="shared" si="289"/>
        <v>0.7171647275423404</v>
      </c>
      <c r="BL695" s="22">
        <f t="shared" si="290"/>
        <v>0.7171647275423404</v>
      </c>
      <c r="BM695" s="1">
        <f t="shared" si="284"/>
        <v>2.5075585380831232E-4</v>
      </c>
      <c r="BN695" s="1">
        <f t="shared" si="272"/>
        <v>0.10585852773469276</v>
      </c>
    </row>
    <row r="696" spans="3:66" x14ac:dyDescent="0.25">
      <c r="C696" t="s">
        <v>721</v>
      </c>
      <c r="G696">
        <v>0</v>
      </c>
      <c r="H696">
        <v>50</v>
      </c>
      <c r="I696">
        <v>12.5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12.5</v>
      </c>
      <c r="P696">
        <v>0</v>
      </c>
      <c r="Q696">
        <v>25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41.9</v>
      </c>
      <c r="AK696" t="s">
        <v>1</v>
      </c>
      <c r="AL696" t="s">
        <v>372</v>
      </c>
      <c r="AQ696" s="1">
        <f t="shared" si="291"/>
        <v>100</v>
      </c>
      <c r="AR696" s="1">
        <f t="shared" si="273"/>
        <v>0.125</v>
      </c>
      <c r="AS696" s="1">
        <f t="shared" si="271"/>
        <v>0</v>
      </c>
      <c r="AT696" s="1">
        <f t="shared" si="271"/>
        <v>0.5</v>
      </c>
      <c r="AU696" s="1">
        <f t="shared" si="274"/>
        <v>0.25</v>
      </c>
      <c r="AV696" s="1">
        <f t="shared" si="285"/>
        <v>0.41899999999999998</v>
      </c>
      <c r="AX696" s="1">
        <f t="shared" si="286"/>
        <v>0.5</v>
      </c>
      <c r="AY696" s="1">
        <f t="shared" si="275"/>
        <v>0.25</v>
      </c>
      <c r="AZ696" s="1">
        <f t="shared" si="276"/>
        <v>0.53125</v>
      </c>
      <c r="BA696" s="1">
        <f t="shared" si="277"/>
        <v>0.625</v>
      </c>
      <c r="BB696" s="1">
        <f t="shared" si="278"/>
        <v>0.25</v>
      </c>
      <c r="BC696" s="1">
        <f t="shared" si="279"/>
        <v>0.25</v>
      </c>
      <c r="BD696" s="1">
        <f t="shared" si="287"/>
        <v>0.16899999999999998</v>
      </c>
      <c r="BF696">
        <f t="shared" si="280"/>
        <v>50</v>
      </c>
      <c r="BG696">
        <f t="shared" si="281"/>
        <v>18.75</v>
      </c>
      <c r="BH696" s="1">
        <f t="shared" si="282"/>
        <v>0.5</v>
      </c>
      <c r="BI696" s="1">
        <f t="shared" si="283"/>
        <v>0.375</v>
      </c>
      <c r="BJ696" s="1">
        <f t="shared" si="288"/>
        <v>0.45999999999999996</v>
      </c>
      <c r="BK696" s="1">
        <f t="shared" si="289"/>
        <v>0.375</v>
      </c>
      <c r="BL696" s="22">
        <f t="shared" si="290"/>
        <v>0.375</v>
      </c>
      <c r="BM696" s="1">
        <f t="shared" si="284"/>
        <v>1.9359999999999985E-3</v>
      </c>
      <c r="BN696" s="1">
        <f t="shared" si="272"/>
        <v>1.2902858659556037E-4</v>
      </c>
    </row>
    <row r="697" spans="3:66" x14ac:dyDescent="0.25">
      <c r="C697" t="s">
        <v>722</v>
      </c>
      <c r="G697">
        <v>0</v>
      </c>
      <c r="H697">
        <v>28.6</v>
      </c>
      <c r="I697">
        <v>7.1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7.1</v>
      </c>
      <c r="P697">
        <v>0</v>
      </c>
      <c r="Q697">
        <v>57.2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40.4</v>
      </c>
      <c r="AK697" t="s">
        <v>1</v>
      </c>
      <c r="AL697" t="s">
        <v>372</v>
      </c>
      <c r="AQ697" s="1">
        <f t="shared" si="291"/>
        <v>100</v>
      </c>
      <c r="AR697" s="1">
        <f t="shared" si="273"/>
        <v>7.0999999999999994E-2</v>
      </c>
      <c r="AS697" s="1">
        <f t="shared" ref="AS697:AT755" si="292">G697/100</f>
        <v>0</v>
      </c>
      <c r="AT697" s="1">
        <f t="shared" si="292"/>
        <v>0.28600000000000003</v>
      </c>
      <c r="AU697" s="1">
        <f t="shared" si="274"/>
        <v>0.57200000000000006</v>
      </c>
      <c r="AV697" s="1">
        <f t="shared" si="285"/>
        <v>0.40399999999999997</v>
      </c>
      <c r="AX697" s="1">
        <f t="shared" si="286"/>
        <v>2</v>
      </c>
      <c r="AY697" s="1">
        <f t="shared" si="275"/>
        <v>0.2482517482517482</v>
      </c>
      <c r="AZ697" s="1">
        <f t="shared" si="276"/>
        <v>0.625</v>
      </c>
      <c r="BA697" s="1">
        <f t="shared" si="277"/>
        <v>1</v>
      </c>
      <c r="BB697" s="1">
        <f t="shared" si="278"/>
        <v>0.2482517482517482</v>
      </c>
      <c r="BC697" s="1">
        <f t="shared" si="279"/>
        <v>0.2482517482517482</v>
      </c>
      <c r="BD697" s="1">
        <f t="shared" si="287"/>
        <v>0.15574825174825177</v>
      </c>
      <c r="BF697">
        <f t="shared" si="280"/>
        <v>28.6</v>
      </c>
      <c r="BG697">
        <f t="shared" si="281"/>
        <v>10.649999999999999</v>
      </c>
      <c r="BH697" s="1">
        <f t="shared" si="282"/>
        <v>2</v>
      </c>
      <c r="BI697" s="1">
        <f t="shared" si="283"/>
        <v>0.37237762237762229</v>
      </c>
      <c r="BJ697" s="1">
        <f t="shared" si="288"/>
        <v>0.55000000000000004</v>
      </c>
      <c r="BK697" s="1">
        <f t="shared" si="289"/>
        <v>0.37237762237762229</v>
      </c>
      <c r="BL697" s="22">
        <f t="shared" si="290"/>
        <v>0.37237762237762229</v>
      </c>
      <c r="BM697" s="1">
        <f t="shared" si="284"/>
        <v>9.9997476649225296E-4</v>
      </c>
      <c r="BN697" s="1">
        <f t="shared" si="272"/>
        <v>1.3256334297923511E-5</v>
      </c>
    </row>
    <row r="698" spans="3:66" x14ac:dyDescent="0.25">
      <c r="C698" t="s">
        <v>723</v>
      </c>
      <c r="G698">
        <v>0</v>
      </c>
      <c r="H698">
        <v>16.100000000000001</v>
      </c>
      <c r="I698">
        <v>9.6999999999999993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9.6999999999999993</v>
      </c>
      <c r="P698">
        <v>0</v>
      </c>
      <c r="Q698">
        <v>64.5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55.2</v>
      </c>
      <c r="AK698" t="s">
        <v>1</v>
      </c>
      <c r="AL698" t="s">
        <v>372</v>
      </c>
      <c r="AQ698" s="1">
        <f t="shared" si="291"/>
        <v>100</v>
      </c>
      <c r="AR698" s="1">
        <f t="shared" si="273"/>
        <v>9.6999999999999989E-2</v>
      </c>
      <c r="AS698" s="1">
        <f t="shared" si="292"/>
        <v>0</v>
      </c>
      <c r="AT698" s="1">
        <f t="shared" si="292"/>
        <v>0.161</v>
      </c>
      <c r="AU698" s="1">
        <f t="shared" si="274"/>
        <v>0.64500000000000002</v>
      </c>
      <c r="AV698" s="1">
        <f t="shared" si="285"/>
        <v>0.55200000000000005</v>
      </c>
      <c r="AX698" s="1">
        <f t="shared" si="286"/>
        <v>4.0062111801242235</v>
      </c>
      <c r="AY698" s="1">
        <f t="shared" si="275"/>
        <v>0.60248447204968936</v>
      </c>
      <c r="AZ698" s="1">
        <f t="shared" si="276"/>
        <v>0.75038819875776397</v>
      </c>
      <c r="BA698" s="1">
        <f t="shared" si="277"/>
        <v>1.5015527950310559</v>
      </c>
      <c r="BB698" s="1">
        <f t="shared" si="278"/>
        <v>0.60248447204968936</v>
      </c>
      <c r="BC698" s="1">
        <f t="shared" si="279"/>
        <v>0.60248447204968936</v>
      </c>
      <c r="BD698" s="1">
        <f t="shared" si="287"/>
        <v>5.0484472049689311E-2</v>
      </c>
      <c r="BF698">
        <f t="shared" si="280"/>
        <v>16.100000000000001</v>
      </c>
      <c r="BG698">
        <f t="shared" si="281"/>
        <v>14.549999999999999</v>
      </c>
      <c r="BH698" s="1">
        <f t="shared" si="282"/>
        <v>4.0062111801242235</v>
      </c>
      <c r="BI698" s="1">
        <f t="shared" si="283"/>
        <v>0.90372670807453404</v>
      </c>
      <c r="BJ698" s="1">
        <f t="shared" si="288"/>
        <v>0.67037267080745333</v>
      </c>
      <c r="BK698" s="1">
        <f t="shared" si="289"/>
        <v>0.67330643788544586</v>
      </c>
      <c r="BL698" s="22">
        <f t="shared" si="290"/>
        <v>0.67330643788544586</v>
      </c>
      <c r="BM698" s="1">
        <f t="shared" si="284"/>
        <v>1.4715251872455525E-2</v>
      </c>
      <c r="BN698" s="1">
        <f t="shared" si="272"/>
        <v>2.083954255696796E-2</v>
      </c>
    </row>
    <row r="699" spans="3:66" x14ac:dyDescent="0.25">
      <c r="C699" t="s">
        <v>724</v>
      </c>
      <c r="G699">
        <v>0</v>
      </c>
      <c r="H699">
        <v>14.3</v>
      </c>
      <c r="I699">
        <v>14.3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14.3</v>
      </c>
      <c r="P699">
        <v>0</v>
      </c>
      <c r="Q699">
        <v>57.1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59.1</v>
      </c>
      <c r="AK699" t="s">
        <v>1</v>
      </c>
      <c r="AL699" t="s">
        <v>372</v>
      </c>
      <c r="AQ699" s="1">
        <f t="shared" si="291"/>
        <v>100</v>
      </c>
      <c r="AR699" s="1">
        <f t="shared" si="273"/>
        <v>0.14300000000000002</v>
      </c>
      <c r="AS699" s="1">
        <f t="shared" si="292"/>
        <v>0</v>
      </c>
      <c r="AT699" s="1">
        <f t="shared" si="292"/>
        <v>0.14300000000000002</v>
      </c>
      <c r="AU699" s="1">
        <f t="shared" si="274"/>
        <v>0.57100000000000006</v>
      </c>
      <c r="AV699" s="1">
        <f t="shared" si="285"/>
        <v>0.59099999999999997</v>
      </c>
      <c r="AX699" s="1">
        <f t="shared" si="286"/>
        <v>3.9930069930069929</v>
      </c>
      <c r="AY699" s="1">
        <f t="shared" si="275"/>
        <v>1</v>
      </c>
      <c r="AZ699" s="1">
        <f t="shared" si="276"/>
        <v>0.74956293706293708</v>
      </c>
      <c r="BA699" s="1">
        <f t="shared" si="277"/>
        <v>1.4982517482517483</v>
      </c>
      <c r="BB699" s="1">
        <f t="shared" si="278"/>
        <v>0.74956293706293708</v>
      </c>
      <c r="BC699" s="1">
        <f t="shared" si="279"/>
        <v>0.74956293706293708</v>
      </c>
      <c r="BD699" s="1">
        <f t="shared" si="287"/>
        <v>0.15856293706293711</v>
      </c>
      <c r="BF699">
        <f t="shared" si="280"/>
        <v>14.3</v>
      </c>
      <c r="BG699">
        <f t="shared" si="281"/>
        <v>21.450000000000003</v>
      </c>
      <c r="BH699" s="1">
        <f t="shared" si="282"/>
        <v>3.9930069930069929</v>
      </c>
      <c r="BI699" s="1">
        <f t="shared" si="283"/>
        <v>1.5000000000000002</v>
      </c>
      <c r="BJ699" s="1">
        <f t="shared" si="288"/>
        <v>0.66958041958041958</v>
      </c>
      <c r="BK699" s="1">
        <f t="shared" si="289"/>
        <v>0.7263447075892413</v>
      </c>
      <c r="BL699" s="22">
        <f t="shared" si="290"/>
        <v>0.7263447075892413</v>
      </c>
      <c r="BM699" s="1">
        <f t="shared" si="284"/>
        <v>1.8318189872417241E-2</v>
      </c>
      <c r="BN699" s="1">
        <f t="shared" si="272"/>
        <v>3.3620550412941791E-2</v>
      </c>
    </row>
    <row r="700" spans="3:66" x14ac:dyDescent="0.25">
      <c r="C700" t="s">
        <v>725</v>
      </c>
      <c r="G700">
        <v>0</v>
      </c>
      <c r="H700">
        <v>12</v>
      </c>
      <c r="I700">
        <v>19.899999999999999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19.899999999999999</v>
      </c>
      <c r="P700">
        <v>0</v>
      </c>
      <c r="Q700">
        <v>48.2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47.2</v>
      </c>
      <c r="AK700" t="s">
        <v>1</v>
      </c>
      <c r="AL700" t="s">
        <v>372</v>
      </c>
      <c r="AQ700" s="1">
        <f t="shared" si="291"/>
        <v>100</v>
      </c>
      <c r="AR700" s="1">
        <f t="shared" si="273"/>
        <v>0.19899999999999998</v>
      </c>
      <c r="AS700" s="1">
        <f t="shared" si="292"/>
        <v>0</v>
      </c>
      <c r="AT700" s="1">
        <f t="shared" si="292"/>
        <v>0.12</v>
      </c>
      <c r="AU700" s="1">
        <f t="shared" si="274"/>
        <v>0.48200000000000004</v>
      </c>
      <c r="AV700" s="1">
        <f t="shared" si="285"/>
        <v>0.47200000000000003</v>
      </c>
      <c r="AX700" s="1">
        <f t="shared" si="286"/>
        <v>4.0166666666666675</v>
      </c>
      <c r="AY700" s="1">
        <f t="shared" si="275"/>
        <v>1.6583333333333332</v>
      </c>
      <c r="AZ700" s="1">
        <f t="shared" si="276"/>
        <v>0.75104166666666672</v>
      </c>
      <c r="BA700" s="1">
        <f t="shared" si="277"/>
        <v>1.5041666666666669</v>
      </c>
      <c r="BB700" s="1">
        <f t="shared" si="278"/>
        <v>0.72538281009541405</v>
      </c>
      <c r="BC700" s="1">
        <f t="shared" si="279"/>
        <v>0.72538281009541405</v>
      </c>
      <c r="BD700" s="1">
        <f t="shared" si="287"/>
        <v>0.25338281009541402</v>
      </c>
      <c r="BF700">
        <f t="shared" si="280"/>
        <v>12</v>
      </c>
      <c r="BG700">
        <f t="shared" si="281"/>
        <v>29.849999999999998</v>
      </c>
      <c r="BH700" s="1">
        <f t="shared" si="282"/>
        <v>4.0166666666666666</v>
      </c>
      <c r="BI700" s="1">
        <f t="shared" si="283"/>
        <v>2.4874999999999998</v>
      </c>
      <c r="BJ700" s="1">
        <f t="shared" si="288"/>
        <v>0.67100000000000004</v>
      </c>
      <c r="BK700" s="1">
        <f t="shared" si="289"/>
        <v>0.61703892760696333</v>
      </c>
      <c r="BL700" s="22">
        <f t="shared" si="290"/>
        <v>0.61703892760696333</v>
      </c>
      <c r="BM700" s="1">
        <f t="shared" si="284"/>
        <v>2.103629052137794E-2</v>
      </c>
      <c r="BN700" s="1">
        <f t="shared" si="272"/>
        <v>4.1420905447138836E-3</v>
      </c>
    </row>
    <row r="701" spans="3:66" x14ac:dyDescent="0.25">
      <c r="C701" t="s">
        <v>731</v>
      </c>
      <c r="G701">
        <v>0</v>
      </c>
      <c r="H701">
        <v>26.67</v>
      </c>
      <c r="I701">
        <v>0</v>
      </c>
      <c r="J701">
        <v>0</v>
      </c>
      <c r="K701">
        <v>0</v>
      </c>
      <c r="L701">
        <v>0</v>
      </c>
      <c r="M701">
        <v>10</v>
      </c>
      <c r="N701">
        <v>0</v>
      </c>
      <c r="O701">
        <v>10</v>
      </c>
      <c r="P701">
        <v>0</v>
      </c>
      <c r="Q701">
        <v>53.33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56.3</v>
      </c>
      <c r="AK701" t="s">
        <v>1</v>
      </c>
      <c r="AL701" t="s">
        <v>372</v>
      </c>
      <c r="AO701" t="s">
        <v>378</v>
      </c>
      <c r="AP701" t="s">
        <v>843</v>
      </c>
      <c r="AQ701" s="1">
        <f t="shared" si="291"/>
        <v>100</v>
      </c>
      <c r="AR701" s="1">
        <f t="shared" si="273"/>
        <v>0.2</v>
      </c>
      <c r="AS701" s="1">
        <f t="shared" si="292"/>
        <v>0</v>
      </c>
      <c r="AT701" s="1">
        <f t="shared" si="292"/>
        <v>0.26669999999999999</v>
      </c>
      <c r="AU701" s="1">
        <f t="shared" si="274"/>
        <v>0.5333</v>
      </c>
      <c r="AV701" s="1">
        <f t="shared" si="285"/>
        <v>0.56299999999999994</v>
      </c>
      <c r="AX701" s="1">
        <f t="shared" si="286"/>
        <v>1.9996250468691414</v>
      </c>
      <c r="AY701" s="1">
        <f t="shared" si="275"/>
        <v>0.74990626171728536</v>
      </c>
      <c r="AZ701" s="1">
        <f t="shared" si="276"/>
        <v>0.62497656542932134</v>
      </c>
      <c r="BA701" s="1">
        <f t="shared" si="277"/>
        <v>0.99990626171728536</v>
      </c>
      <c r="BB701" s="1">
        <f t="shared" si="278"/>
        <v>0.62497656542932134</v>
      </c>
      <c r="BC701" s="1">
        <f t="shared" si="279"/>
        <v>0.62497656542932134</v>
      </c>
      <c r="BD701" s="1">
        <f t="shared" si="287"/>
        <v>6.1976565429321395E-2</v>
      </c>
      <c r="BF701">
        <f t="shared" si="280"/>
        <v>26.67</v>
      </c>
      <c r="BG701">
        <f t="shared" si="281"/>
        <v>20</v>
      </c>
      <c r="BH701" s="1">
        <f t="shared" si="282"/>
        <v>1.9996250468691412</v>
      </c>
      <c r="BI701" s="1">
        <f t="shared" si="283"/>
        <v>0.74990626171728525</v>
      </c>
      <c r="BJ701" s="1">
        <f t="shared" si="288"/>
        <v>0.54997750281214852</v>
      </c>
      <c r="BK701" s="1">
        <f t="shared" si="289"/>
        <v>0.54973732443967671</v>
      </c>
      <c r="BL701" s="22">
        <f t="shared" si="290"/>
        <v>0.54973732443967671</v>
      </c>
      <c r="BM701" s="1">
        <f t="shared" si="284"/>
        <v>1.7589856301839521E-4</v>
      </c>
      <c r="BN701" s="1">
        <f t="shared" si="272"/>
        <v>2.4136442208652863E-2</v>
      </c>
    </row>
    <row r="702" spans="3:66" x14ac:dyDescent="0.25">
      <c r="C702" t="s">
        <v>732</v>
      </c>
      <c r="G702">
        <v>0</v>
      </c>
      <c r="H702">
        <v>26.67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20</v>
      </c>
      <c r="P702">
        <v>0</v>
      </c>
      <c r="Q702">
        <v>53.33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60.4</v>
      </c>
      <c r="AK702" t="s">
        <v>1</v>
      </c>
      <c r="AL702" t="s">
        <v>372</v>
      </c>
      <c r="AQ702" s="1">
        <f t="shared" si="291"/>
        <v>100</v>
      </c>
      <c r="AR702" s="1">
        <f t="shared" si="273"/>
        <v>0.2</v>
      </c>
      <c r="AS702" s="1">
        <f t="shared" si="292"/>
        <v>0</v>
      </c>
      <c r="AT702" s="1">
        <f t="shared" si="292"/>
        <v>0.26669999999999999</v>
      </c>
      <c r="AU702" s="1">
        <f t="shared" si="274"/>
        <v>0.5333</v>
      </c>
      <c r="AV702" s="1">
        <f t="shared" si="285"/>
        <v>0.60399999999999998</v>
      </c>
      <c r="AX702" s="1">
        <f t="shared" si="286"/>
        <v>1.9996250468691414</v>
      </c>
      <c r="AY702" s="1">
        <f t="shared" si="275"/>
        <v>0.74990626171728536</v>
      </c>
      <c r="AZ702" s="1">
        <f t="shared" si="276"/>
        <v>0.62497656542932134</v>
      </c>
      <c r="BA702" s="1">
        <f t="shared" si="277"/>
        <v>0.99990626171728536</v>
      </c>
      <c r="BB702" s="1">
        <f t="shared" si="278"/>
        <v>0.62497656542932134</v>
      </c>
      <c r="BC702" s="1">
        <f t="shared" si="279"/>
        <v>0.62497656542932134</v>
      </c>
      <c r="BD702" s="1">
        <f t="shared" si="287"/>
        <v>2.0976565429321359E-2</v>
      </c>
      <c r="BF702">
        <f t="shared" si="280"/>
        <v>26.67</v>
      </c>
      <c r="BG702">
        <f t="shared" si="281"/>
        <v>20</v>
      </c>
      <c r="BH702" s="1">
        <f t="shared" si="282"/>
        <v>1.9996250468691412</v>
      </c>
      <c r="BI702" s="1">
        <f t="shared" si="283"/>
        <v>0.74990626171728525</v>
      </c>
      <c r="BJ702" s="1">
        <f t="shared" si="288"/>
        <v>0.54997750281214852</v>
      </c>
      <c r="BK702" s="1">
        <f t="shared" si="289"/>
        <v>0.54973732443967671</v>
      </c>
      <c r="BL702" s="22">
        <f t="shared" si="290"/>
        <v>0.54973732443967671</v>
      </c>
      <c r="BM702" s="1">
        <f t="shared" si="284"/>
        <v>2.9444379589649043E-3</v>
      </c>
      <c r="BN702" s="1">
        <f t="shared" si="272"/>
        <v>3.8556886364933082E-2</v>
      </c>
    </row>
    <row r="703" spans="3:66" x14ac:dyDescent="0.25">
      <c r="C703" t="s">
        <v>733</v>
      </c>
      <c r="G703">
        <v>0</v>
      </c>
      <c r="H703">
        <v>26.67</v>
      </c>
      <c r="I703">
        <v>0</v>
      </c>
      <c r="J703">
        <v>0</v>
      </c>
      <c r="K703">
        <v>0</v>
      </c>
      <c r="L703">
        <v>10</v>
      </c>
      <c r="M703">
        <v>0</v>
      </c>
      <c r="N703">
        <v>0</v>
      </c>
      <c r="O703">
        <v>10</v>
      </c>
      <c r="P703">
        <v>0</v>
      </c>
      <c r="Q703">
        <v>53.33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62.4</v>
      </c>
      <c r="AK703" t="s">
        <v>1</v>
      </c>
      <c r="AL703" t="s">
        <v>372</v>
      </c>
      <c r="AQ703" s="1">
        <f t="shared" si="291"/>
        <v>100</v>
      </c>
      <c r="AR703" s="1">
        <f t="shared" si="273"/>
        <v>0.2</v>
      </c>
      <c r="AS703" s="1">
        <f t="shared" si="292"/>
        <v>0</v>
      </c>
      <c r="AT703" s="1">
        <f t="shared" si="292"/>
        <v>0.26669999999999999</v>
      </c>
      <c r="AU703" s="1">
        <f t="shared" si="274"/>
        <v>0.5333</v>
      </c>
      <c r="AV703" s="1">
        <f t="shared" si="285"/>
        <v>0.624</v>
      </c>
      <c r="AX703" s="1">
        <f t="shared" si="286"/>
        <v>1.9996250468691414</v>
      </c>
      <c r="AY703" s="1">
        <f t="shared" si="275"/>
        <v>0.74990626171728536</v>
      </c>
      <c r="AZ703" s="1">
        <f t="shared" si="276"/>
        <v>0.62497656542932134</v>
      </c>
      <c r="BA703" s="1">
        <f t="shared" si="277"/>
        <v>0.99990626171728536</v>
      </c>
      <c r="BB703" s="1">
        <f t="shared" si="278"/>
        <v>0.62497656542932134</v>
      </c>
      <c r="BC703" s="1">
        <f t="shared" si="279"/>
        <v>0.62497656542932134</v>
      </c>
      <c r="BD703" s="1">
        <f t="shared" si="287"/>
        <v>9.7656542932134105E-4</v>
      </c>
      <c r="BF703">
        <f t="shared" si="280"/>
        <v>26.67</v>
      </c>
      <c r="BG703">
        <f t="shared" si="281"/>
        <v>20</v>
      </c>
      <c r="BH703" s="1">
        <f t="shared" si="282"/>
        <v>1.9996250468691412</v>
      </c>
      <c r="BI703" s="1">
        <f t="shared" si="283"/>
        <v>0.74990626171728525</v>
      </c>
      <c r="BJ703" s="1">
        <f t="shared" si="288"/>
        <v>0.54997750281214852</v>
      </c>
      <c r="BK703" s="1">
        <f t="shared" si="289"/>
        <v>0.54973732443967671</v>
      </c>
      <c r="BL703" s="22">
        <f t="shared" si="290"/>
        <v>0.54973732443967671</v>
      </c>
      <c r="BM703" s="1">
        <f t="shared" si="284"/>
        <v>5.5149449813778374E-3</v>
      </c>
      <c r="BN703" s="1">
        <f t="shared" si="272"/>
        <v>4.6811249367996605E-2</v>
      </c>
    </row>
    <row r="704" spans="3:66" x14ac:dyDescent="0.25">
      <c r="C704" t="s">
        <v>734</v>
      </c>
      <c r="G704">
        <v>0</v>
      </c>
      <c r="H704">
        <v>26.67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10</v>
      </c>
      <c r="P704">
        <v>0</v>
      </c>
      <c r="Q704">
        <v>53.33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60.3</v>
      </c>
      <c r="AK704" t="s">
        <v>1</v>
      </c>
      <c r="AL704" t="s">
        <v>372</v>
      </c>
      <c r="AQ704" s="1">
        <f t="shared" si="291"/>
        <v>100</v>
      </c>
      <c r="AR704" s="1">
        <f t="shared" si="273"/>
        <v>0.1</v>
      </c>
      <c r="AS704" s="1">
        <f t="shared" si="292"/>
        <v>0</v>
      </c>
      <c r="AT704" s="1">
        <f t="shared" si="292"/>
        <v>0.26669999999999999</v>
      </c>
      <c r="AU704" s="1">
        <f t="shared" si="274"/>
        <v>0.5333</v>
      </c>
      <c r="AV704" s="1">
        <f t="shared" si="285"/>
        <v>0.60299999999999998</v>
      </c>
      <c r="AX704" s="1">
        <f t="shared" si="286"/>
        <v>1.9996250468691414</v>
      </c>
      <c r="AY704" s="1">
        <f t="shared" si="275"/>
        <v>0.37495313085864268</v>
      </c>
      <c r="AZ704" s="1">
        <f t="shared" si="276"/>
        <v>0.62497656542932134</v>
      </c>
      <c r="BA704" s="1">
        <f t="shared" si="277"/>
        <v>0.99990626171728536</v>
      </c>
      <c r="BB704" s="1">
        <f t="shared" si="278"/>
        <v>0.37495313085864268</v>
      </c>
      <c r="BC704" s="1">
        <f t="shared" si="279"/>
        <v>0.37495313085864268</v>
      </c>
      <c r="BD704" s="1">
        <f t="shared" si="287"/>
        <v>0.2280468691413573</v>
      </c>
      <c r="BF704">
        <f t="shared" si="280"/>
        <v>26.67</v>
      </c>
      <c r="BG704">
        <f t="shared" si="281"/>
        <v>20</v>
      </c>
      <c r="BH704" s="1">
        <f t="shared" si="282"/>
        <v>1.9996250468691412</v>
      </c>
      <c r="BI704" s="1">
        <f t="shared" si="283"/>
        <v>0.74990626171728525</v>
      </c>
      <c r="BJ704" s="1">
        <f t="shared" si="288"/>
        <v>0.54997750281214852</v>
      </c>
      <c r="BK704" s="1">
        <f t="shared" si="289"/>
        <v>0.54973732443967671</v>
      </c>
      <c r="BL704" s="22">
        <f t="shared" si="290"/>
        <v>0.54973732443967671</v>
      </c>
      <c r="BM704" s="1">
        <f t="shared" si="284"/>
        <v>2.8369126078442576E-3</v>
      </c>
      <c r="BN704" s="1">
        <f t="shared" si="272"/>
        <v>3.8165168214779908E-2</v>
      </c>
    </row>
    <row r="705" spans="3:66" x14ac:dyDescent="0.25">
      <c r="C705" t="s">
        <v>735</v>
      </c>
      <c r="G705">
        <v>0</v>
      </c>
      <c r="H705">
        <v>26.67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10</v>
      </c>
      <c r="O705">
        <v>10</v>
      </c>
      <c r="P705">
        <v>0</v>
      </c>
      <c r="Q705">
        <v>53.33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36.1</v>
      </c>
      <c r="AK705" t="s">
        <v>1</v>
      </c>
      <c r="AL705" t="s">
        <v>372</v>
      </c>
      <c r="AQ705" s="1">
        <f t="shared" si="291"/>
        <v>100</v>
      </c>
      <c r="AR705" s="1">
        <f t="shared" si="273"/>
        <v>0.1</v>
      </c>
      <c r="AS705" s="1">
        <f t="shared" si="292"/>
        <v>0</v>
      </c>
      <c r="AT705" s="1">
        <f t="shared" si="292"/>
        <v>0.26669999999999999</v>
      </c>
      <c r="AU705" s="1">
        <f t="shared" si="274"/>
        <v>0.5333</v>
      </c>
      <c r="AV705" s="1">
        <f t="shared" si="285"/>
        <v>0.36099999999999999</v>
      </c>
      <c r="AX705" s="1">
        <f t="shared" si="286"/>
        <v>1.9996250468691414</v>
      </c>
      <c r="AY705" s="1">
        <f t="shared" si="275"/>
        <v>0.37495313085864268</v>
      </c>
      <c r="AZ705" s="1">
        <f t="shared" si="276"/>
        <v>0.62497656542932134</v>
      </c>
      <c r="BA705" s="1">
        <f t="shared" si="277"/>
        <v>0.99990626171728536</v>
      </c>
      <c r="BB705" s="1">
        <f t="shared" si="278"/>
        <v>0.37495313085864268</v>
      </c>
      <c r="BC705" s="1">
        <f t="shared" si="279"/>
        <v>0.37495313085864268</v>
      </c>
      <c r="BD705" s="1">
        <f t="shared" si="287"/>
        <v>1.3953130858642693E-2</v>
      </c>
      <c r="BF705">
        <f t="shared" si="280"/>
        <v>26.67</v>
      </c>
      <c r="BG705">
        <f t="shared" si="281"/>
        <v>15</v>
      </c>
      <c r="BH705" s="1">
        <f t="shared" si="282"/>
        <v>1.9996250468691412</v>
      </c>
      <c r="BI705" s="1">
        <f t="shared" si="283"/>
        <v>0.56242969628796402</v>
      </c>
      <c r="BJ705" s="1">
        <f t="shared" si="288"/>
        <v>0.54997750281214852</v>
      </c>
      <c r="BK705" s="1">
        <f t="shared" si="289"/>
        <v>0.51402517386927882</v>
      </c>
      <c r="BL705" s="22">
        <f t="shared" si="290"/>
        <v>0.51402517386927882</v>
      </c>
      <c r="BM705" s="1">
        <f t="shared" si="284"/>
        <v>2.3416703837723016E-2</v>
      </c>
      <c r="BN705" s="1">
        <f t="shared" si="272"/>
        <v>2.1753758777113639E-3</v>
      </c>
    </row>
    <row r="706" spans="3:66" x14ac:dyDescent="0.25">
      <c r="C706" t="s">
        <v>736</v>
      </c>
      <c r="G706">
        <v>0</v>
      </c>
      <c r="H706">
        <v>26.67</v>
      </c>
      <c r="I706">
        <v>10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10</v>
      </c>
      <c r="P706">
        <v>0</v>
      </c>
      <c r="Q706">
        <v>53.33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48.3</v>
      </c>
      <c r="AK706" t="s">
        <v>1</v>
      </c>
      <c r="AL706" t="s">
        <v>372</v>
      </c>
      <c r="AQ706" s="1">
        <f t="shared" si="291"/>
        <v>100</v>
      </c>
      <c r="AR706" s="1">
        <f t="shared" si="273"/>
        <v>0.1</v>
      </c>
      <c r="AS706" s="1">
        <f t="shared" si="292"/>
        <v>0</v>
      </c>
      <c r="AT706" s="1">
        <f t="shared" si="292"/>
        <v>0.26669999999999999</v>
      </c>
      <c r="AU706" s="1">
        <f t="shared" si="274"/>
        <v>0.5333</v>
      </c>
      <c r="AV706" s="1">
        <f t="shared" si="285"/>
        <v>0.48299999999999998</v>
      </c>
      <c r="AX706" s="1">
        <f t="shared" si="286"/>
        <v>1.9996250468691414</v>
      </c>
      <c r="AY706" s="1">
        <f t="shared" si="275"/>
        <v>0.37495313085864268</v>
      </c>
      <c r="AZ706" s="1">
        <f t="shared" si="276"/>
        <v>0.62497656542932134</v>
      </c>
      <c r="BA706" s="1">
        <f t="shared" si="277"/>
        <v>0.99990626171728536</v>
      </c>
      <c r="BB706" s="1">
        <f t="shared" si="278"/>
        <v>0.37495313085864268</v>
      </c>
      <c r="BC706" s="1">
        <f t="shared" si="279"/>
        <v>0.37495313085864268</v>
      </c>
      <c r="BD706" s="1">
        <f t="shared" si="287"/>
        <v>0.1080468691413573</v>
      </c>
      <c r="BF706">
        <f t="shared" si="280"/>
        <v>26.67</v>
      </c>
      <c r="BG706">
        <f t="shared" si="281"/>
        <v>15</v>
      </c>
      <c r="BH706" s="1">
        <f t="shared" si="282"/>
        <v>1.9996250468691412</v>
      </c>
      <c r="BI706" s="1">
        <f t="shared" si="283"/>
        <v>0.56242969628796402</v>
      </c>
      <c r="BJ706" s="1">
        <f t="shared" si="288"/>
        <v>0.54997750281214852</v>
      </c>
      <c r="BK706" s="1">
        <f t="shared" si="289"/>
        <v>0.51402517386927882</v>
      </c>
      <c r="BL706" s="22">
        <f t="shared" si="290"/>
        <v>0.51402517386927882</v>
      </c>
      <c r="BM706" s="1">
        <f t="shared" si="284"/>
        <v>9.6256141361898207E-4</v>
      </c>
      <c r="BN706" s="1">
        <f t="shared" ref="BN706:BN769" si="293">(AV706-AVERAGE($AV$2:$AV$638))^2</f>
        <v>5.6789901963988114E-3</v>
      </c>
    </row>
    <row r="707" spans="3:66" x14ac:dyDescent="0.25">
      <c r="C707" t="s">
        <v>737</v>
      </c>
      <c r="G707">
        <v>0</v>
      </c>
      <c r="H707">
        <v>26.67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10</v>
      </c>
      <c r="P707">
        <v>0</v>
      </c>
      <c r="Q707">
        <v>53.33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53.8</v>
      </c>
      <c r="AK707" t="s">
        <v>1</v>
      </c>
      <c r="AL707" t="s">
        <v>372</v>
      </c>
      <c r="AQ707" s="1">
        <f t="shared" si="291"/>
        <v>100</v>
      </c>
      <c r="AR707" s="1">
        <f t="shared" si="273"/>
        <v>0.1</v>
      </c>
      <c r="AS707" s="1">
        <f t="shared" si="292"/>
        <v>0</v>
      </c>
      <c r="AT707" s="1">
        <f t="shared" si="292"/>
        <v>0.26669999999999999</v>
      </c>
      <c r="AU707" s="1">
        <f t="shared" si="274"/>
        <v>0.5333</v>
      </c>
      <c r="AV707" s="1">
        <f t="shared" si="285"/>
        <v>0.53799999999999992</v>
      </c>
      <c r="AX707" s="1">
        <f t="shared" si="286"/>
        <v>1.9996250468691414</v>
      </c>
      <c r="AY707" s="1">
        <f t="shared" si="275"/>
        <v>0.37495313085864268</v>
      </c>
      <c r="AZ707" s="1">
        <f t="shared" si="276"/>
        <v>0.62497656542932134</v>
      </c>
      <c r="BA707" s="1">
        <f t="shared" si="277"/>
        <v>0.99990626171728536</v>
      </c>
      <c r="BB707" s="1">
        <f t="shared" si="278"/>
        <v>0.37495313085864268</v>
      </c>
      <c r="BC707" s="1">
        <f t="shared" si="279"/>
        <v>0.37495313085864268</v>
      </c>
      <c r="BD707" s="1">
        <f t="shared" si="287"/>
        <v>0.16304686914135724</v>
      </c>
      <c r="BF707">
        <f t="shared" si="280"/>
        <v>26.67</v>
      </c>
      <c r="BG707">
        <f t="shared" si="281"/>
        <v>15</v>
      </c>
      <c r="BH707" s="1">
        <f t="shared" si="282"/>
        <v>1.9996250468691412</v>
      </c>
      <c r="BI707" s="1">
        <f t="shared" si="283"/>
        <v>0.56242969628796402</v>
      </c>
      <c r="BJ707" s="1">
        <f t="shared" si="288"/>
        <v>0.54997750281214852</v>
      </c>
      <c r="BK707" s="1">
        <f t="shared" si="289"/>
        <v>0.51402517386927882</v>
      </c>
      <c r="BL707" s="22">
        <f t="shared" si="290"/>
        <v>0.51402517386927882</v>
      </c>
      <c r="BM707" s="1">
        <f t="shared" si="284"/>
        <v>5.7479228799830757E-4</v>
      </c>
      <c r="BN707" s="1">
        <f t="shared" si="293"/>
        <v>1.6993488454823465E-2</v>
      </c>
    </row>
    <row r="708" spans="3:66" x14ac:dyDescent="0.25">
      <c r="C708" t="s">
        <v>738</v>
      </c>
      <c r="G708">
        <v>0</v>
      </c>
      <c r="H708">
        <v>26.67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10</v>
      </c>
      <c r="P708">
        <v>0</v>
      </c>
      <c r="Q708">
        <v>53.33</v>
      </c>
      <c r="R708">
        <v>0</v>
      </c>
      <c r="S708">
        <v>0</v>
      </c>
      <c r="T708">
        <v>0</v>
      </c>
      <c r="U708">
        <v>0</v>
      </c>
      <c r="V708">
        <v>10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57.4</v>
      </c>
      <c r="AK708" t="s">
        <v>1</v>
      </c>
      <c r="AL708" t="s">
        <v>372</v>
      </c>
      <c r="AQ708" s="1">
        <f t="shared" si="291"/>
        <v>100</v>
      </c>
      <c r="AR708" s="1">
        <f t="shared" si="273"/>
        <v>0.1</v>
      </c>
      <c r="AS708" s="1">
        <f t="shared" si="292"/>
        <v>0</v>
      </c>
      <c r="AT708" s="1">
        <f t="shared" si="292"/>
        <v>0.26669999999999999</v>
      </c>
      <c r="AU708" s="1">
        <f t="shared" si="274"/>
        <v>0.5333</v>
      </c>
      <c r="AV708" s="1">
        <f t="shared" si="285"/>
        <v>0.57399999999999995</v>
      </c>
      <c r="AX708" s="1">
        <f t="shared" si="286"/>
        <v>1.9996250468691414</v>
      </c>
      <c r="AY708" s="1">
        <f t="shared" si="275"/>
        <v>0.37495313085864268</v>
      </c>
      <c r="AZ708" s="1">
        <f t="shared" si="276"/>
        <v>0.62497656542932134</v>
      </c>
      <c r="BA708" s="1">
        <f t="shared" si="277"/>
        <v>0.99990626171728536</v>
      </c>
      <c r="BB708" s="1">
        <f t="shared" si="278"/>
        <v>0.37495313085864268</v>
      </c>
      <c r="BC708" s="1">
        <f t="shared" si="279"/>
        <v>0.37495313085864268</v>
      </c>
      <c r="BD708" s="1">
        <f t="shared" si="287"/>
        <v>0.19904686914135727</v>
      </c>
      <c r="BF708">
        <f t="shared" si="280"/>
        <v>26.67</v>
      </c>
      <c r="BG708">
        <f t="shared" si="281"/>
        <v>15</v>
      </c>
      <c r="BH708" s="1">
        <f t="shared" si="282"/>
        <v>1.9996250468691412</v>
      </c>
      <c r="BI708" s="1">
        <f t="shared" si="283"/>
        <v>0.56242969628796402</v>
      </c>
      <c r="BJ708" s="1">
        <f t="shared" si="288"/>
        <v>0.54997750281214852</v>
      </c>
      <c r="BK708" s="1">
        <f t="shared" si="289"/>
        <v>0.51402517386927882</v>
      </c>
      <c r="BL708" s="22">
        <f t="shared" si="290"/>
        <v>0.51402517386927882</v>
      </c>
      <c r="BM708" s="1">
        <f t="shared" si="284"/>
        <v>3.596979769410231E-3</v>
      </c>
      <c r="BN708" s="1">
        <f t="shared" si="293"/>
        <v>2.76753418603378E-2</v>
      </c>
    </row>
    <row r="709" spans="3:66" x14ac:dyDescent="0.25">
      <c r="C709" t="s">
        <v>739</v>
      </c>
      <c r="G709">
        <v>0</v>
      </c>
      <c r="H709">
        <v>17.27</v>
      </c>
      <c r="I709">
        <v>0</v>
      </c>
      <c r="J709">
        <v>0</v>
      </c>
      <c r="K709">
        <v>0</v>
      </c>
      <c r="L709">
        <v>0</v>
      </c>
      <c r="M709">
        <v>6.48</v>
      </c>
      <c r="N709">
        <v>0</v>
      </c>
      <c r="O709">
        <v>6.48</v>
      </c>
      <c r="P709">
        <v>0</v>
      </c>
      <c r="Q709">
        <v>69.77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53.9</v>
      </c>
      <c r="AK709" t="s">
        <v>1</v>
      </c>
      <c r="AL709" t="s">
        <v>372</v>
      </c>
      <c r="AQ709" s="1">
        <f t="shared" si="291"/>
        <v>100</v>
      </c>
      <c r="AR709" s="1">
        <f t="shared" si="273"/>
        <v>0.12960000000000002</v>
      </c>
      <c r="AS709" s="1">
        <f t="shared" si="292"/>
        <v>0</v>
      </c>
      <c r="AT709" s="1">
        <f t="shared" si="292"/>
        <v>0.17269999999999999</v>
      </c>
      <c r="AU709" s="1">
        <f t="shared" si="274"/>
        <v>0.69769999999999999</v>
      </c>
      <c r="AV709" s="1">
        <f t="shared" si="285"/>
        <v>0.53900000000000003</v>
      </c>
      <c r="AX709" s="1">
        <f t="shared" si="286"/>
        <v>4.039953676896352</v>
      </c>
      <c r="AY709" s="1">
        <f t="shared" si="275"/>
        <v>0.75043427909669969</v>
      </c>
      <c r="AZ709" s="1">
        <f t="shared" si="276"/>
        <v>0.75249710480602205</v>
      </c>
      <c r="BA709" s="1">
        <f t="shared" si="277"/>
        <v>1.509988419224088</v>
      </c>
      <c r="BB709" s="1">
        <f t="shared" si="278"/>
        <v>0.75043427909669969</v>
      </c>
      <c r="BC709" s="1">
        <f t="shared" si="279"/>
        <v>0.75043427909669969</v>
      </c>
      <c r="BD709" s="1">
        <f t="shared" si="287"/>
        <v>0.21143427909669965</v>
      </c>
      <c r="BF709">
        <f t="shared" si="280"/>
        <v>17.27</v>
      </c>
      <c r="BG709">
        <f t="shared" si="281"/>
        <v>12.96</v>
      </c>
      <c r="BH709" s="1">
        <f t="shared" si="282"/>
        <v>4.039953676896352</v>
      </c>
      <c r="BI709" s="1">
        <f t="shared" si="283"/>
        <v>0.75043427909669957</v>
      </c>
      <c r="BJ709" s="1">
        <f t="shared" si="288"/>
        <v>0.67239722061378115</v>
      </c>
      <c r="BK709" s="1">
        <f t="shared" si="289"/>
        <v>0.63628626573093094</v>
      </c>
      <c r="BL709" s="22">
        <f t="shared" si="290"/>
        <v>0.63628626573093094</v>
      </c>
      <c r="BM709" s="1">
        <f t="shared" si="284"/>
        <v>9.464617499869302E-3</v>
      </c>
      <c r="BN709" s="1">
        <f t="shared" si="293"/>
        <v>1.7255206604976668E-2</v>
      </c>
    </row>
    <row r="710" spans="3:66" x14ac:dyDescent="0.25">
      <c r="C710" t="s">
        <v>740</v>
      </c>
      <c r="G710">
        <v>0</v>
      </c>
      <c r="H710">
        <v>17.27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12.96</v>
      </c>
      <c r="P710">
        <v>0</v>
      </c>
      <c r="Q710">
        <v>69.77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62.3</v>
      </c>
      <c r="AK710" t="s">
        <v>1</v>
      </c>
      <c r="AL710" t="s">
        <v>372</v>
      </c>
      <c r="AQ710" s="1">
        <f t="shared" si="291"/>
        <v>100</v>
      </c>
      <c r="AR710" s="1">
        <f t="shared" si="273"/>
        <v>0.12960000000000002</v>
      </c>
      <c r="AS710" s="1">
        <f t="shared" si="292"/>
        <v>0</v>
      </c>
      <c r="AT710" s="1">
        <f t="shared" si="292"/>
        <v>0.17269999999999999</v>
      </c>
      <c r="AU710" s="1">
        <f t="shared" si="274"/>
        <v>0.69769999999999999</v>
      </c>
      <c r="AV710" s="1">
        <f t="shared" si="285"/>
        <v>0.623</v>
      </c>
      <c r="AX710" s="1">
        <f t="shared" si="286"/>
        <v>4.039953676896352</v>
      </c>
      <c r="AY710" s="1">
        <f t="shared" si="275"/>
        <v>0.75043427909669969</v>
      </c>
      <c r="AZ710" s="1">
        <f t="shared" si="276"/>
        <v>0.75249710480602205</v>
      </c>
      <c r="BA710" s="1">
        <f t="shared" si="277"/>
        <v>1.509988419224088</v>
      </c>
      <c r="BB710" s="1">
        <f t="shared" si="278"/>
        <v>0.75043427909669969</v>
      </c>
      <c r="BC710" s="1">
        <f t="shared" si="279"/>
        <v>0.75043427909669969</v>
      </c>
      <c r="BD710" s="1">
        <f t="shared" si="287"/>
        <v>0.12743427909669969</v>
      </c>
      <c r="BF710">
        <f t="shared" si="280"/>
        <v>17.27</v>
      </c>
      <c r="BG710">
        <f t="shared" si="281"/>
        <v>12.96</v>
      </c>
      <c r="BH710" s="1">
        <f t="shared" si="282"/>
        <v>4.039953676896352</v>
      </c>
      <c r="BI710" s="1">
        <f t="shared" si="283"/>
        <v>0.75043427909669957</v>
      </c>
      <c r="BJ710" s="1">
        <f t="shared" si="288"/>
        <v>0.67239722061378115</v>
      </c>
      <c r="BK710" s="1">
        <f t="shared" si="289"/>
        <v>0.63628626573093094</v>
      </c>
      <c r="BL710" s="22">
        <f t="shared" si="290"/>
        <v>0.63628626573093094</v>
      </c>
      <c r="BM710" s="1">
        <f t="shared" si="284"/>
        <v>1.7652485707291002E-4</v>
      </c>
      <c r="BN710" s="1">
        <f t="shared" si="293"/>
        <v>4.6379531217843432E-2</v>
      </c>
    </row>
    <row r="711" spans="3:66" x14ac:dyDescent="0.25">
      <c r="C711" t="s">
        <v>741</v>
      </c>
      <c r="G711">
        <v>0</v>
      </c>
      <c r="H711">
        <v>17.27</v>
      </c>
      <c r="I711">
        <v>0</v>
      </c>
      <c r="J711">
        <v>0</v>
      </c>
      <c r="K711">
        <v>0</v>
      </c>
      <c r="L711">
        <v>6.48</v>
      </c>
      <c r="M711">
        <v>0</v>
      </c>
      <c r="N711">
        <v>0</v>
      </c>
      <c r="O711">
        <v>6.48</v>
      </c>
      <c r="P711">
        <v>0</v>
      </c>
      <c r="Q711">
        <v>69.77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66.7</v>
      </c>
      <c r="AK711" t="s">
        <v>1</v>
      </c>
      <c r="AL711" t="s">
        <v>372</v>
      </c>
      <c r="AQ711" s="1">
        <f t="shared" si="291"/>
        <v>100</v>
      </c>
      <c r="AR711" s="1">
        <f t="shared" si="273"/>
        <v>0.12960000000000002</v>
      </c>
      <c r="AS711" s="1">
        <f t="shared" si="292"/>
        <v>0</v>
      </c>
      <c r="AT711" s="1">
        <f t="shared" si="292"/>
        <v>0.17269999999999999</v>
      </c>
      <c r="AU711" s="1">
        <f t="shared" si="274"/>
        <v>0.69769999999999999</v>
      </c>
      <c r="AV711" s="1">
        <f t="shared" si="285"/>
        <v>0.66700000000000004</v>
      </c>
      <c r="AX711" s="1">
        <f t="shared" si="286"/>
        <v>4.039953676896352</v>
      </c>
      <c r="AY711" s="1">
        <f t="shared" si="275"/>
        <v>0.75043427909669969</v>
      </c>
      <c r="AZ711" s="1">
        <f t="shared" si="276"/>
        <v>0.75249710480602205</v>
      </c>
      <c r="BA711" s="1">
        <f t="shared" si="277"/>
        <v>1.509988419224088</v>
      </c>
      <c r="BB711" s="1">
        <f t="shared" si="278"/>
        <v>0.75043427909669969</v>
      </c>
      <c r="BC711" s="1">
        <f t="shared" si="279"/>
        <v>0.75043427909669969</v>
      </c>
      <c r="BD711" s="1">
        <f t="shared" si="287"/>
        <v>8.3434279096699648E-2</v>
      </c>
      <c r="BF711">
        <f t="shared" si="280"/>
        <v>17.27</v>
      </c>
      <c r="BG711">
        <f t="shared" si="281"/>
        <v>12.96</v>
      </c>
      <c r="BH711" s="1">
        <f t="shared" si="282"/>
        <v>4.039953676896352</v>
      </c>
      <c r="BI711" s="1">
        <f t="shared" si="283"/>
        <v>0.75043427909669957</v>
      </c>
      <c r="BJ711" s="1">
        <f t="shared" si="288"/>
        <v>0.67239722061378115</v>
      </c>
      <c r="BK711" s="1">
        <f t="shared" si="289"/>
        <v>0.63628626573093094</v>
      </c>
      <c r="BL711" s="22">
        <f t="shared" si="290"/>
        <v>0.63628626573093094</v>
      </c>
      <c r="BM711" s="1">
        <f t="shared" si="284"/>
        <v>9.4333347275098916E-4</v>
      </c>
      <c r="BN711" s="1">
        <f t="shared" si="293"/>
        <v>6.7267129824583188E-2</v>
      </c>
    </row>
    <row r="712" spans="3:66" x14ac:dyDescent="0.25">
      <c r="C712" t="s">
        <v>742</v>
      </c>
      <c r="G712">
        <v>0</v>
      </c>
      <c r="H712">
        <v>17.27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6.48</v>
      </c>
      <c r="P712">
        <v>0</v>
      </c>
      <c r="Q712">
        <v>69.77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6.48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65.099999999999994</v>
      </c>
      <c r="AK712" t="s">
        <v>1</v>
      </c>
      <c r="AL712" t="s">
        <v>372</v>
      </c>
      <c r="AQ712" s="1">
        <f t="shared" si="291"/>
        <v>100</v>
      </c>
      <c r="AR712" s="1">
        <f t="shared" si="273"/>
        <v>6.480000000000001E-2</v>
      </c>
      <c r="AS712" s="1">
        <f t="shared" si="292"/>
        <v>0</v>
      </c>
      <c r="AT712" s="1">
        <f t="shared" si="292"/>
        <v>0.17269999999999999</v>
      </c>
      <c r="AU712" s="1">
        <f t="shared" si="274"/>
        <v>0.69769999999999999</v>
      </c>
      <c r="AV712" s="1">
        <f t="shared" si="285"/>
        <v>0.65099999999999991</v>
      </c>
      <c r="AX712" s="1">
        <f t="shared" si="286"/>
        <v>4.039953676896352</v>
      </c>
      <c r="AY712" s="1">
        <f t="shared" si="275"/>
        <v>0.37521713954834984</v>
      </c>
      <c r="AZ712" s="1">
        <f t="shared" si="276"/>
        <v>0.75249710480602205</v>
      </c>
      <c r="BA712" s="1">
        <f t="shared" si="277"/>
        <v>1.509988419224088</v>
      </c>
      <c r="BB712" s="1">
        <f t="shared" si="278"/>
        <v>0.37521713954834984</v>
      </c>
      <c r="BC712" s="1">
        <f t="shared" si="279"/>
        <v>0.37521713954834984</v>
      </c>
      <c r="BD712" s="1">
        <f t="shared" si="287"/>
        <v>0.27578286045165007</v>
      </c>
      <c r="BF712">
        <f t="shared" si="280"/>
        <v>17.27</v>
      </c>
      <c r="BG712">
        <f t="shared" si="281"/>
        <v>12.96</v>
      </c>
      <c r="BH712" s="1">
        <f t="shared" si="282"/>
        <v>4.039953676896352</v>
      </c>
      <c r="BI712" s="1">
        <f t="shared" si="283"/>
        <v>0.75043427909669957</v>
      </c>
      <c r="BJ712" s="1">
        <f t="shared" si="288"/>
        <v>0.67239722061378115</v>
      </c>
      <c r="BK712" s="1">
        <f t="shared" si="289"/>
        <v>0.63628626573093094</v>
      </c>
      <c r="BL712" s="22">
        <f t="shared" si="290"/>
        <v>0.63628626573093094</v>
      </c>
      <c r="BM712" s="1">
        <f t="shared" si="284"/>
        <v>2.164939761407745E-4</v>
      </c>
      <c r="BN712" s="1">
        <f t="shared" si="293"/>
        <v>5.922363942213231E-2</v>
      </c>
    </row>
    <row r="713" spans="3:66" x14ac:dyDescent="0.25">
      <c r="C713" t="s">
        <v>743</v>
      </c>
      <c r="G713">
        <v>0</v>
      </c>
      <c r="H713">
        <v>17.27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6.48</v>
      </c>
      <c r="O713">
        <v>6.48</v>
      </c>
      <c r="P713">
        <v>0</v>
      </c>
      <c r="Q713">
        <v>69.77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31.3</v>
      </c>
      <c r="AK713" t="s">
        <v>1</v>
      </c>
      <c r="AL713" t="s">
        <v>372</v>
      </c>
      <c r="AQ713" s="1">
        <f t="shared" si="291"/>
        <v>100</v>
      </c>
      <c r="AR713" s="1">
        <f t="shared" si="273"/>
        <v>6.480000000000001E-2</v>
      </c>
      <c r="AS713" s="1">
        <f t="shared" si="292"/>
        <v>0</v>
      </c>
      <c r="AT713" s="1">
        <f t="shared" si="292"/>
        <v>0.17269999999999999</v>
      </c>
      <c r="AU713" s="1">
        <f t="shared" si="274"/>
        <v>0.69769999999999999</v>
      </c>
      <c r="AV713" s="1">
        <f t="shared" si="285"/>
        <v>0.313</v>
      </c>
      <c r="AX713" s="1">
        <f t="shared" si="286"/>
        <v>4.039953676896352</v>
      </c>
      <c r="AY713" s="1">
        <f t="shared" si="275"/>
        <v>0.37521713954834984</v>
      </c>
      <c r="AZ713" s="1">
        <f t="shared" si="276"/>
        <v>0.75249710480602205</v>
      </c>
      <c r="BA713" s="1">
        <f t="shared" si="277"/>
        <v>1.509988419224088</v>
      </c>
      <c r="BB713" s="1">
        <f t="shared" si="278"/>
        <v>0.37521713954834984</v>
      </c>
      <c r="BC713" s="1">
        <f t="shared" si="279"/>
        <v>0.37521713954834984</v>
      </c>
      <c r="BD713" s="1">
        <f t="shared" si="287"/>
        <v>6.2217139548349842E-2</v>
      </c>
      <c r="BF713">
        <f t="shared" si="280"/>
        <v>17.27</v>
      </c>
      <c r="BG713">
        <f t="shared" si="281"/>
        <v>9.7200000000000006</v>
      </c>
      <c r="BH713" s="1">
        <f t="shared" si="282"/>
        <v>4.039953676896352</v>
      </c>
      <c r="BI713" s="1">
        <f t="shared" si="283"/>
        <v>0.56282570932252463</v>
      </c>
      <c r="BJ713" s="1">
        <f t="shared" si="288"/>
        <v>0.67239722061378115</v>
      </c>
      <c r="BK713" s="1">
        <f t="shared" si="289"/>
        <v>0.56282570932252463</v>
      </c>
      <c r="BL713" s="22">
        <f t="shared" si="290"/>
        <v>0.56282570932252463</v>
      </c>
      <c r="BM713" s="1">
        <f t="shared" si="284"/>
        <v>6.241288503850257E-2</v>
      </c>
      <c r="BN713" s="1">
        <f t="shared" si="293"/>
        <v>8.9569046703589228E-3</v>
      </c>
    </row>
    <row r="714" spans="3:66" x14ac:dyDescent="0.25">
      <c r="C714" t="s">
        <v>744</v>
      </c>
      <c r="G714">
        <v>0</v>
      </c>
      <c r="H714">
        <v>17.27</v>
      </c>
      <c r="I714">
        <v>6.48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6.48</v>
      </c>
      <c r="P714">
        <v>0</v>
      </c>
      <c r="Q714">
        <v>69.77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42</v>
      </c>
      <c r="AK714" t="s">
        <v>1</v>
      </c>
      <c r="AL714" t="s">
        <v>372</v>
      </c>
      <c r="AQ714" s="1">
        <f t="shared" si="291"/>
        <v>100</v>
      </c>
      <c r="AR714" s="1">
        <f t="shared" si="273"/>
        <v>6.480000000000001E-2</v>
      </c>
      <c r="AS714" s="1">
        <f t="shared" si="292"/>
        <v>0</v>
      </c>
      <c r="AT714" s="1">
        <f t="shared" si="292"/>
        <v>0.17269999999999999</v>
      </c>
      <c r="AU714" s="1">
        <f t="shared" si="274"/>
        <v>0.69769999999999999</v>
      </c>
      <c r="AV714" s="1">
        <f t="shared" si="285"/>
        <v>0.42</v>
      </c>
      <c r="AX714" s="1">
        <f t="shared" si="286"/>
        <v>4.039953676896352</v>
      </c>
      <c r="AY714" s="1">
        <f t="shared" si="275"/>
        <v>0.37521713954834984</v>
      </c>
      <c r="AZ714" s="1">
        <f t="shared" si="276"/>
        <v>0.75249710480602205</v>
      </c>
      <c r="BA714" s="1">
        <f t="shared" si="277"/>
        <v>1.509988419224088</v>
      </c>
      <c r="BB714" s="1">
        <f t="shared" si="278"/>
        <v>0.37521713954834984</v>
      </c>
      <c r="BC714" s="1">
        <f t="shared" si="279"/>
        <v>0.37521713954834984</v>
      </c>
      <c r="BD714" s="1">
        <f t="shared" si="287"/>
        <v>4.4782860451650142E-2</v>
      </c>
      <c r="BF714">
        <f t="shared" si="280"/>
        <v>17.27</v>
      </c>
      <c r="BG714">
        <f t="shared" si="281"/>
        <v>9.7200000000000006</v>
      </c>
      <c r="BH714" s="1">
        <f t="shared" si="282"/>
        <v>4.039953676896352</v>
      </c>
      <c r="BI714" s="1">
        <f t="shared" si="283"/>
        <v>0.56282570932252463</v>
      </c>
      <c r="BJ714" s="1">
        <f t="shared" si="288"/>
        <v>0.67239722061378115</v>
      </c>
      <c r="BK714" s="1">
        <f t="shared" si="289"/>
        <v>0.56282570932252463</v>
      </c>
      <c r="BL714" s="22">
        <f t="shared" si="290"/>
        <v>0.56282570932252463</v>
      </c>
      <c r="BM714" s="1">
        <f t="shared" si="284"/>
        <v>2.0399183243482302E-2</v>
      </c>
      <c r="BN714" s="1">
        <f t="shared" si="293"/>
        <v>1.527467367487362E-4</v>
      </c>
    </row>
    <row r="715" spans="3:66" x14ac:dyDescent="0.25">
      <c r="C715" t="s">
        <v>745</v>
      </c>
      <c r="G715">
        <v>0</v>
      </c>
      <c r="H715">
        <v>17.27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6.48</v>
      </c>
      <c r="P715">
        <v>0</v>
      </c>
      <c r="Q715">
        <v>69.77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6.48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51.7</v>
      </c>
      <c r="AK715" t="s">
        <v>1</v>
      </c>
      <c r="AL715" t="s">
        <v>372</v>
      </c>
      <c r="AQ715" s="1">
        <f t="shared" si="291"/>
        <v>100</v>
      </c>
      <c r="AR715" s="1">
        <f t="shared" si="273"/>
        <v>6.480000000000001E-2</v>
      </c>
      <c r="AS715" s="1">
        <f t="shared" si="292"/>
        <v>0</v>
      </c>
      <c r="AT715" s="1">
        <f t="shared" si="292"/>
        <v>0.17269999999999999</v>
      </c>
      <c r="AU715" s="1">
        <f t="shared" si="274"/>
        <v>0.69769999999999999</v>
      </c>
      <c r="AV715" s="1">
        <f t="shared" si="285"/>
        <v>0.51700000000000002</v>
      </c>
      <c r="AX715" s="1">
        <f t="shared" si="286"/>
        <v>4.039953676896352</v>
      </c>
      <c r="AY715" s="1">
        <f t="shared" si="275"/>
        <v>0.37521713954834984</v>
      </c>
      <c r="AZ715" s="1">
        <f t="shared" si="276"/>
        <v>0.75249710480602205</v>
      </c>
      <c r="BA715" s="1">
        <f t="shared" si="277"/>
        <v>1.509988419224088</v>
      </c>
      <c r="BB715" s="1">
        <f t="shared" si="278"/>
        <v>0.37521713954834984</v>
      </c>
      <c r="BC715" s="1">
        <f t="shared" si="279"/>
        <v>0.37521713954834984</v>
      </c>
      <c r="BD715" s="1">
        <f t="shared" si="287"/>
        <v>0.14178286045165017</v>
      </c>
      <c r="BF715">
        <f t="shared" si="280"/>
        <v>17.27</v>
      </c>
      <c r="BG715">
        <f t="shared" si="281"/>
        <v>9.7200000000000006</v>
      </c>
      <c r="BH715" s="1">
        <f t="shared" si="282"/>
        <v>4.039953676896352</v>
      </c>
      <c r="BI715" s="1">
        <f t="shared" si="283"/>
        <v>0.56282570932252463</v>
      </c>
      <c r="BJ715" s="1">
        <f t="shared" si="288"/>
        <v>0.67239722061378115</v>
      </c>
      <c r="BK715" s="1">
        <f t="shared" si="289"/>
        <v>0.56282570932252463</v>
      </c>
      <c r="BL715" s="22">
        <f t="shared" si="290"/>
        <v>0.56282570932252463</v>
      </c>
      <c r="BM715" s="1">
        <f t="shared" si="284"/>
        <v>2.0999956349125192E-3</v>
      </c>
      <c r="BN715" s="1">
        <f t="shared" si="293"/>
        <v>1.1959407301606795E-2</v>
      </c>
    </row>
    <row r="716" spans="3:66" x14ac:dyDescent="0.25">
      <c r="C716" t="s">
        <v>746</v>
      </c>
      <c r="G716">
        <v>0</v>
      </c>
      <c r="H716">
        <v>17.27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6.48</v>
      </c>
      <c r="P716">
        <v>0</v>
      </c>
      <c r="Q716">
        <v>69.77</v>
      </c>
      <c r="R716">
        <v>0</v>
      </c>
      <c r="S716">
        <v>0</v>
      </c>
      <c r="T716">
        <v>0</v>
      </c>
      <c r="U716">
        <v>0</v>
      </c>
      <c r="V716">
        <v>6.48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56</v>
      </c>
      <c r="AK716" t="s">
        <v>1</v>
      </c>
      <c r="AL716" t="s">
        <v>372</v>
      </c>
      <c r="AQ716" s="1">
        <f t="shared" si="291"/>
        <v>100</v>
      </c>
      <c r="AR716" s="1">
        <f t="shared" si="273"/>
        <v>6.480000000000001E-2</v>
      </c>
      <c r="AS716" s="1">
        <f t="shared" si="292"/>
        <v>0</v>
      </c>
      <c r="AT716" s="1">
        <f t="shared" si="292"/>
        <v>0.17269999999999999</v>
      </c>
      <c r="AU716" s="1">
        <f t="shared" si="274"/>
        <v>0.69769999999999999</v>
      </c>
      <c r="AV716" s="1">
        <f t="shared" si="285"/>
        <v>0.56000000000000005</v>
      </c>
      <c r="AX716" s="1">
        <f t="shared" si="286"/>
        <v>4.039953676896352</v>
      </c>
      <c r="AY716" s="1">
        <f t="shared" si="275"/>
        <v>0.37521713954834984</v>
      </c>
      <c r="AZ716" s="1">
        <f t="shared" si="276"/>
        <v>0.75249710480602205</v>
      </c>
      <c r="BA716" s="1">
        <f t="shared" si="277"/>
        <v>1.509988419224088</v>
      </c>
      <c r="BB716" s="1">
        <f t="shared" si="278"/>
        <v>0.37521713954834984</v>
      </c>
      <c r="BC716" s="1">
        <f t="shared" si="279"/>
        <v>0.37521713954834984</v>
      </c>
      <c r="BD716" s="1">
        <f t="shared" si="287"/>
        <v>0.18478286045165021</v>
      </c>
      <c r="BF716">
        <f t="shared" si="280"/>
        <v>17.27</v>
      </c>
      <c r="BG716">
        <f t="shared" si="281"/>
        <v>9.7200000000000006</v>
      </c>
      <c r="BH716" s="1">
        <f t="shared" si="282"/>
        <v>4.039953676896352</v>
      </c>
      <c r="BI716" s="1">
        <f t="shared" si="283"/>
        <v>0.56282570932252463</v>
      </c>
      <c r="BJ716" s="1">
        <f t="shared" si="288"/>
        <v>0.67239722061378115</v>
      </c>
      <c r="BK716" s="1">
        <f t="shared" si="289"/>
        <v>0.56282570932252463</v>
      </c>
      <c r="BL716" s="22">
        <f t="shared" si="290"/>
        <v>0.56282570932252463</v>
      </c>
      <c r="BM716" s="1">
        <f t="shared" si="284"/>
        <v>7.9846331754022766E-6</v>
      </c>
      <c r="BN716" s="1">
        <f t="shared" si="293"/>
        <v>2.3213287758193368E-2</v>
      </c>
    </row>
    <row r="717" spans="3:66" x14ac:dyDescent="0.25">
      <c r="C717" t="s">
        <v>747</v>
      </c>
      <c r="G717">
        <v>0</v>
      </c>
      <c r="H717">
        <v>19.61</v>
      </c>
      <c r="I717">
        <v>0</v>
      </c>
      <c r="J717">
        <v>0</v>
      </c>
      <c r="K717">
        <v>0</v>
      </c>
      <c r="L717">
        <v>0</v>
      </c>
      <c r="M717">
        <v>20.59</v>
      </c>
      <c r="N717">
        <v>0</v>
      </c>
      <c r="O717">
        <v>20.59</v>
      </c>
      <c r="P717">
        <v>0</v>
      </c>
      <c r="Q717">
        <v>39.21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54.7</v>
      </c>
      <c r="AK717" t="s">
        <v>1</v>
      </c>
      <c r="AL717" t="s">
        <v>372</v>
      </c>
      <c r="AQ717" s="1">
        <f t="shared" si="291"/>
        <v>100</v>
      </c>
      <c r="AR717" s="1">
        <f t="shared" si="273"/>
        <v>0.4118</v>
      </c>
      <c r="AS717" s="1">
        <f t="shared" si="292"/>
        <v>0</v>
      </c>
      <c r="AT717" s="1">
        <f t="shared" si="292"/>
        <v>0.1961</v>
      </c>
      <c r="AU717" s="1">
        <f t="shared" si="274"/>
        <v>0.3921</v>
      </c>
      <c r="AV717" s="1">
        <f t="shared" si="285"/>
        <v>0.54700000000000004</v>
      </c>
      <c r="AX717" s="1">
        <f t="shared" si="286"/>
        <v>1.9994900560938298</v>
      </c>
      <c r="AY717" s="1">
        <f t="shared" si="275"/>
        <v>2.0999490056093828</v>
      </c>
      <c r="AZ717" s="1">
        <f t="shared" si="276"/>
        <v>0.62496812850586436</v>
      </c>
      <c r="BA717" s="1">
        <f t="shared" si="277"/>
        <v>0.99987251402345745</v>
      </c>
      <c r="BB717" s="1">
        <f t="shared" si="278"/>
        <v>0.3957679933162217</v>
      </c>
      <c r="BC717" s="1">
        <f t="shared" si="279"/>
        <v>0.3957679933162217</v>
      </c>
      <c r="BD717" s="1">
        <f t="shared" si="287"/>
        <v>0.15123200668377834</v>
      </c>
      <c r="BF717">
        <f t="shared" si="280"/>
        <v>19.61</v>
      </c>
      <c r="BG717">
        <f t="shared" si="281"/>
        <v>41.18</v>
      </c>
      <c r="BH717" s="1">
        <f t="shared" si="282"/>
        <v>1.9994900560938298</v>
      </c>
      <c r="BI717" s="1">
        <f t="shared" si="283"/>
        <v>2.0999490056093828</v>
      </c>
      <c r="BJ717" s="1">
        <f t="shared" si="288"/>
        <v>0.54996940336562972</v>
      </c>
      <c r="BK717" s="1">
        <f t="shared" si="289"/>
        <v>0.41624384953049554</v>
      </c>
      <c r="BL717" s="22">
        <f t="shared" si="290"/>
        <v>0.41624384953049554</v>
      </c>
      <c r="BM717" s="1">
        <f t="shared" si="284"/>
        <v>1.7097170885603703E-2</v>
      </c>
      <c r="BN717" s="1">
        <f t="shared" si="293"/>
        <v>1.942095180620208E-2</v>
      </c>
    </row>
    <row r="718" spans="3:66" x14ac:dyDescent="0.25">
      <c r="C718" t="s">
        <v>748</v>
      </c>
      <c r="G718">
        <v>0</v>
      </c>
      <c r="H718">
        <v>19.61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41.18</v>
      </c>
      <c r="P718">
        <v>0</v>
      </c>
      <c r="Q718">
        <v>39.21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48.7</v>
      </c>
      <c r="AK718" t="s">
        <v>1</v>
      </c>
      <c r="AL718" t="s">
        <v>372</v>
      </c>
      <c r="AQ718" s="1">
        <f t="shared" si="291"/>
        <v>100</v>
      </c>
      <c r="AR718" s="1">
        <f t="shared" si="273"/>
        <v>0.4118</v>
      </c>
      <c r="AS718" s="1">
        <f t="shared" si="292"/>
        <v>0</v>
      </c>
      <c r="AT718" s="1">
        <f t="shared" si="292"/>
        <v>0.1961</v>
      </c>
      <c r="AU718" s="1">
        <f t="shared" si="274"/>
        <v>0.3921</v>
      </c>
      <c r="AV718" s="1">
        <f t="shared" si="285"/>
        <v>0.48700000000000004</v>
      </c>
      <c r="AX718" s="1">
        <f t="shared" si="286"/>
        <v>1.9994900560938298</v>
      </c>
      <c r="AY718" s="1">
        <f t="shared" si="275"/>
        <v>2.0999490056093828</v>
      </c>
      <c r="AZ718" s="1">
        <f t="shared" si="276"/>
        <v>0.62496812850586436</v>
      </c>
      <c r="BA718" s="1">
        <f t="shared" si="277"/>
        <v>0.99987251402345745</v>
      </c>
      <c r="BB718" s="1">
        <f t="shared" si="278"/>
        <v>0.3957679933162217</v>
      </c>
      <c r="BC718" s="1">
        <f t="shared" si="279"/>
        <v>0.3957679933162217</v>
      </c>
      <c r="BD718" s="1">
        <f t="shared" si="287"/>
        <v>9.1232006683778344E-2</v>
      </c>
      <c r="BF718">
        <f t="shared" si="280"/>
        <v>19.61</v>
      </c>
      <c r="BG718">
        <f t="shared" si="281"/>
        <v>41.18</v>
      </c>
      <c r="BH718" s="1">
        <f t="shared" si="282"/>
        <v>1.9994900560938298</v>
      </c>
      <c r="BI718" s="1">
        <f t="shared" si="283"/>
        <v>2.0999490056093828</v>
      </c>
      <c r="BJ718" s="1">
        <f t="shared" si="288"/>
        <v>0.54996940336562972</v>
      </c>
      <c r="BK718" s="1">
        <f t="shared" si="289"/>
        <v>0.41624384953049554</v>
      </c>
      <c r="BL718" s="22">
        <f t="shared" si="290"/>
        <v>0.41624384953049554</v>
      </c>
      <c r="BM718" s="1">
        <f t="shared" si="284"/>
        <v>5.0064328292631632E-3</v>
      </c>
      <c r="BN718" s="1">
        <f t="shared" si="293"/>
        <v>6.297862797011524E-3</v>
      </c>
    </row>
    <row r="719" spans="3:66" x14ac:dyDescent="0.25">
      <c r="C719" t="s">
        <v>749</v>
      </c>
      <c r="G719">
        <v>0</v>
      </c>
      <c r="H719">
        <v>19.61</v>
      </c>
      <c r="I719">
        <v>0</v>
      </c>
      <c r="J719">
        <v>0</v>
      </c>
      <c r="K719">
        <v>0</v>
      </c>
      <c r="L719">
        <v>20.59</v>
      </c>
      <c r="M719">
        <v>0</v>
      </c>
      <c r="N719">
        <v>0</v>
      </c>
      <c r="O719">
        <v>20.59</v>
      </c>
      <c r="P719">
        <v>0</v>
      </c>
      <c r="Q719">
        <v>39.21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43.9</v>
      </c>
      <c r="AK719" t="s">
        <v>1</v>
      </c>
      <c r="AL719" t="s">
        <v>372</v>
      </c>
      <c r="AQ719" s="1">
        <f t="shared" si="291"/>
        <v>100</v>
      </c>
      <c r="AR719" s="1">
        <f t="shared" si="273"/>
        <v>0.4118</v>
      </c>
      <c r="AS719" s="1">
        <f t="shared" si="292"/>
        <v>0</v>
      </c>
      <c r="AT719" s="1">
        <f t="shared" si="292"/>
        <v>0.1961</v>
      </c>
      <c r="AU719" s="1">
        <f t="shared" si="274"/>
        <v>0.3921</v>
      </c>
      <c r="AV719" s="1">
        <f t="shared" si="285"/>
        <v>0.439</v>
      </c>
      <c r="AX719" s="1">
        <f t="shared" si="286"/>
        <v>1.9994900560938298</v>
      </c>
      <c r="AY719" s="1">
        <f t="shared" si="275"/>
        <v>2.0999490056093828</v>
      </c>
      <c r="AZ719" s="1">
        <f t="shared" si="276"/>
        <v>0.62496812850586436</v>
      </c>
      <c r="BA719" s="1">
        <f t="shared" si="277"/>
        <v>0.99987251402345745</v>
      </c>
      <c r="BB719" s="1">
        <f t="shared" si="278"/>
        <v>0.3957679933162217</v>
      </c>
      <c r="BC719" s="1">
        <f t="shared" si="279"/>
        <v>0.3957679933162217</v>
      </c>
      <c r="BD719" s="1">
        <f t="shared" si="287"/>
        <v>4.3232006683778301E-2</v>
      </c>
      <c r="BF719">
        <f t="shared" si="280"/>
        <v>19.61</v>
      </c>
      <c r="BG719">
        <f t="shared" si="281"/>
        <v>41.18</v>
      </c>
      <c r="BH719" s="1">
        <f t="shared" si="282"/>
        <v>1.9994900560938298</v>
      </c>
      <c r="BI719" s="1">
        <f t="shared" si="283"/>
        <v>2.0999490056093828</v>
      </c>
      <c r="BJ719" s="1">
        <f t="shared" si="288"/>
        <v>0.54996940336562972</v>
      </c>
      <c r="BK719" s="1">
        <f t="shared" si="289"/>
        <v>0.41624384953049554</v>
      </c>
      <c r="BL719" s="22">
        <f t="shared" si="290"/>
        <v>0.41624384953049554</v>
      </c>
      <c r="BM719" s="1">
        <f t="shared" si="284"/>
        <v>5.178423841907283E-4</v>
      </c>
      <c r="BN719" s="1">
        <f t="shared" si="293"/>
        <v>9.8339158965907755E-4</v>
      </c>
    </row>
    <row r="720" spans="3:66" x14ac:dyDescent="0.25">
      <c r="C720" t="s">
        <v>750</v>
      </c>
      <c r="G720">
        <v>0</v>
      </c>
      <c r="H720">
        <v>19.61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20.59</v>
      </c>
      <c r="P720">
        <v>0</v>
      </c>
      <c r="Q720">
        <v>39.21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20.59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40.6</v>
      </c>
      <c r="AK720" t="s">
        <v>1</v>
      </c>
      <c r="AL720" t="s">
        <v>372</v>
      </c>
      <c r="AQ720" s="1">
        <f t="shared" si="291"/>
        <v>100</v>
      </c>
      <c r="AR720" s="1">
        <f t="shared" si="273"/>
        <v>0.2059</v>
      </c>
      <c r="AS720" s="1">
        <f t="shared" si="292"/>
        <v>0</v>
      </c>
      <c r="AT720" s="1">
        <f t="shared" si="292"/>
        <v>0.1961</v>
      </c>
      <c r="AU720" s="1">
        <f t="shared" si="274"/>
        <v>0.3921</v>
      </c>
      <c r="AV720" s="1">
        <f t="shared" si="285"/>
        <v>0.40600000000000003</v>
      </c>
      <c r="AX720" s="1">
        <f t="shared" si="286"/>
        <v>1.9994900560938298</v>
      </c>
      <c r="AY720" s="1">
        <f t="shared" si="275"/>
        <v>1.0499745028046914</v>
      </c>
      <c r="AZ720" s="1">
        <f t="shared" si="276"/>
        <v>0.62496812850586436</v>
      </c>
      <c r="BA720" s="1">
        <f t="shared" si="277"/>
        <v>0.99987251402345745</v>
      </c>
      <c r="BB720" s="1">
        <f t="shared" si="278"/>
        <v>0.61452941566202046</v>
      </c>
      <c r="BC720" s="1">
        <f t="shared" si="279"/>
        <v>0.61452941566202046</v>
      </c>
      <c r="BD720" s="1">
        <f t="shared" si="287"/>
        <v>0.20852941566202043</v>
      </c>
      <c r="BF720">
        <f t="shared" si="280"/>
        <v>19.61</v>
      </c>
      <c r="BG720">
        <f t="shared" si="281"/>
        <v>41.18</v>
      </c>
      <c r="BH720" s="1">
        <f t="shared" si="282"/>
        <v>1.9994900560938298</v>
      </c>
      <c r="BI720" s="1">
        <f t="shared" si="283"/>
        <v>2.0999490056093828</v>
      </c>
      <c r="BJ720" s="1">
        <f t="shared" si="288"/>
        <v>0.54996940336562972</v>
      </c>
      <c r="BK720" s="1">
        <f t="shared" si="289"/>
        <v>0.41624384953049554</v>
      </c>
      <c r="BL720" s="22">
        <f t="shared" si="290"/>
        <v>0.41624384953049554</v>
      </c>
      <c r="BM720" s="1">
        <f t="shared" si="284"/>
        <v>1.0493645320343303E-4</v>
      </c>
      <c r="BN720" s="1">
        <f t="shared" si="293"/>
        <v>2.6926346042748656E-6</v>
      </c>
    </row>
    <row r="721" spans="3:66" x14ac:dyDescent="0.25">
      <c r="C721" t="s">
        <v>751</v>
      </c>
      <c r="G721">
        <v>0</v>
      </c>
      <c r="H721">
        <v>19.61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20.59</v>
      </c>
      <c r="O721">
        <v>20.59</v>
      </c>
      <c r="P721">
        <v>0</v>
      </c>
      <c r="Q721">
        <v>39.21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40.200000000000003</v>
      </c>
      <c r="AK721" t="s">
        <v>1</v>
      </c>
      <c r="AL721" t="s">
        <v>372</v>
      </c>
      <c r="AQ721" s="1">
        <f t="shared" si="291"/>
        <v>100</v>
      </c>
      <c r="AR721" s="1">
        <f t="shared" si="273"/>
        <v>0.2059</v>
      </c>
      <c r="AS721" s="1">
        <f t="shared" si="292"/>
        <v>0</v>
      </c>
      <c r="AT721" s="1">
        <f t="shared" si="292"/>
        <v>0.1961</v>
      </c>
      <c r="AU721" s="1">
        <f t="shared" si="274"/>
        <v>0.3921</v>
      </c>
      <c r="AV721" s="1">
        <f t="shared" si="285"/>
        <v>0.40200000000000002</v>
      </c>
      <c r="AX721" s="1">
        <f t="shared" si="286"/>
        <v>1.9994900560938298</v>
      </c>
      <c r="AY721" s="1">
        <f t="shared" si="275"/>
        <v>1.0499745028046914</v>
      </c>
      <c r="AZ721" s="1">
        <f t="shared" si="276"/>
        <v>0.62496812850586436</v>
      </c>
      <c r="BA721" s="1">
        <f t="shared" si="277"/>
        <v>0.99987251402345745</v>
      </c>
      <c r="BB721" s="1">
        <f t="shared" si="278"/>
        <v>0.61452941566202046</v>
      </c>
      <c r="BC721" s="1">
        <f t="shared" si="279"/>
        <v>0.61452941566202046</v>
      </c>
      <c r="BD721" s="1">
        <f t="shared" si="287"/>
        <v>0.21252941566202044</v>
      </c>
      <c r="BF721">
        <f t="shared" si="280"/>
        <v>19.61</v>
      </c>
      <c r="BG721">
        <f t="shared" si="281"/>
        <v>30.884999999999998</v>
      </c>
      <c r="BH721" s="1">
        <f t="shared" si="282"/>
        <v>1.9994900560938298</v>
      </c>
      <c r="BI721" s="1">
        <f t="shared" si="283"/>
        <v>1.5749617542070371</v>
      </c>
      <c r="BJ721" s="1">
        <f t="shared" si="288"/>
        <v>0.54996940336562972</v>
      </c>
      <c r="BK721" s="1">
        <f t="shared" si="289"/>
        <v>0.51724302714220094</v>
      </c>
      <c r="BL721" s="22">
        <f t="shared" si="290"/>
        <v>0.51724302714220094</v>
      </c>
      <c r="BM721" s="1">
        <f t="shared" si="284"/>
        <v>1.3280955304898057E-2</v>
      </c>
      <c r="BN721" s="1">
        <f t="shared" si="293"/>
        <v>3.1820033991571361E-5</v>
      </c>
    </row>
    <row r="722" spans="3:66" x14ac:dyDescent="0.25">
      <c r="C722" t="s">
        <v>752</v>
      </c>
      <c r="G722">
        <v>0</v>
      </c>
      <c r="H722">
        <v>19.61</v>
      </c>
      <c r="I722">
        <v>20.59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20.59</v>
      </c>
      <c r="P722">
        <v>0</v>
      </c>
      <c r="Q722">
        <v>39.21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45.3</v>
      </c>
      <c r="AK722" t="s">
        <v>1</v>
      </c>
      <c r="AL722" t="s">
        <v>372</v>
      </c>
      <c r="AQ722" s="1">
        <f t="shared" si="291"/>
        <v>100</v>
      </c>
      <c r="AR722" s="1">
        <f t="shared" si="273"/>
        <v>0.2059</v>
      </c>
      <c r="AS722" s="1">
        <f t="shared" si="292"/>
        <v>0</v>
      </c>
      <c r="AT722" s="1">
        <f t="shared" si="292"/>
        <v>0.1961</v>
      </c>
      <c r="AU722" s="1">
        <f t="shared" si="274"/>
        <v>0.3921</v>
      </c>
      <c r="AV722" s="1">
        <f t="shared" si="285"/>
        <v>0.45299999999999996</v>
      </c>
      <c r="AX722" s="1">
        <f t="shared" si="286"/>
        <v>1.9994900560938298</v>
      </c>
      <c r="AY722" s="1">
        <f t="shared" si="275"/>
        <v>1.0499745028046914</v>
      </c>
      <c r="AZ722" s="1">
        <f t="shared" si="276"/>
        <v>0.62496812850586436</v>
      </c>
      <c r="BA722" s="1">
        <f t="shared" si="277"/>
        <v>0.99987251402345745</v>
      </c>
      <c r="BB722" s="1">
        <f t="shared" si="278"/>
        <v>0.61452941566202046</v>
      </c>
      <c r="BC722" s="1">
        <f t="shared" si="279"/>
        <v>0.61452941566202046</v>
      </c>
      <c r="BD722" s="1">
        <f t="shared" si="287"/>
        <v>0.1615294156620205</v>
      </c>
      <c r="BF722">
        <f t="shared" si="280"/>
        <v>19.61</v>
      </c>
      <c r="BG722">
        <f t="shared" si="281"/>
        <v>30.884999999999998</v>
      </c>
      <c r="BH722" s="1">
        <f t="shared" si="282"/>
        <v>1.9994900560938298</v>
      </c>
      <c r="BI722" s="1">
        <f t="shared" si="283"/>
        <v>1.5749617542070371</v>
      </c>
      <c r="BJ722" s="1">
        <f t="shared" si="288"/>
        <v>0.54996940336562972</v>
      </c>
      <c r="BK722" s="1">
        <f t="shared" si="289"/>
        <v>0.51724302714220094</v>
      </c>
      <c r="BL722" s="22">
        <f t="shared" si="290"/>
        <v>0.51724302714220094</v>
      </c>
      <c r="BM722" s="1">
        <f t="shared" si="284"/>
        <v>4.1271665363935717E-3</v>
      </c>
      <c r="BN722" s="1">
        <f t="shared" si="293"/>
        <v>2.0574456918035352E-3</v>
      </c>
    </row>
    <row r="723" spans="3:66" x14ac:dyDescent="0.25">
      <c r="C723" t="s">
        <v>753</v>
      </c>
      <c r="G723">
        <v>0</v>
      </c>
      <c r="H723">
        <v>19.61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20.59</v>
      </c>
      <c r="P723">
        <v>0</v>
      </c>
      <c r="Q723">
        <v>39.21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20.59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50.1</v>
      </c>
      <c r="AK723" t="s">
        <v>1</v>
      </c>
      <c r="AL723" t="s">
        <v>372</v>
      </c>
      <c r="AQ723" s="1">
        <f t="shared" si="291"/>
        <v>100</v>
      </c>
      <c r="AR723" s="1">
        <f t="shared" si="273"/>
        <v>0.2059</v>
      </c>
      <c r="AS723" s="1">
        <f t="shared" si="292"/>
        <v>0</v>
      </c>
      <c r="AT723" s="1">
        <f t="shared" si="292"/>
        <v>0.1961</v>
      </c>
      <c r="AU723" s="1">
        <f t="shared" si="274"/>
        <v>0.3921</v>
      </c>
      <c r="AV723" s="1">
        <f t="shared" si="285"/>
        <v>0.501</v>
      </c>
      <c r="AX723" s="1">
        <f t="shared" si="286"/>
        <v>1.9994900560938298</v>
      </c>
      <c r="AY723" s="1">
        <f t="shared" si="275"/>
        <v>1.0499745028046914</v>
      </c>
      <c r="AZ723" s="1">
        <f t="shared" si="276"/>
        <v>0.62496812850586436</v>
      </c>
      <c r="BA723" s="1">
        <f t="shared" si="277"/>
        <v>0.99987251402345745</v>
      </c>
      <c r="BB723" s="1">
        <f t="shared" si="278"/>
        <v>0.61452941566202046</v>
      </c>
      <c r="BC723" s="1">
        <f t="shared" si="279"/>
        <v>0.61452941566202046</v>
      </c>
      <c r="BD723" s="1">
        <f t="shared" si="287"/>
        <v>0.11352941566202046</v>
      </c>
      <c r="BF723">
        <f t="shared" si="280"/>
        <v>19.61</v>
      </c>
      <c r="BG723">
        <f t="shared" si="281"/>
        <v>30.884999999999998</v>
      </c>
      <c r="BH723" s="1">
        <f t="shared" si="282"/>
        <v>1.9994900560938298</v>
      </c>
      <c r="BI723" s="1">
        <f t="shared" si="283"/>
        <v>1.5749617542070371</v>
      </c>
      <c r="BJ723" s="1">
        <f t="shared" si="288"/>
        <v>0.54996940336562972</v>
      </c>
      <c r="BK723" s="1">
        <f t="shared" si="289"/>
        <v>0.51724302714220094</v>
      </c>
      <c r="BL723" s="22">
        <f t="shared" si="290"/>
        <v>0.51724302714220094</v>
      </c>
      <c r="BM723" s="1">
        <f t="shared" si="284"/>
        <v>2.6383593074227641E-4</v>
      </c>
      <c r="BN723" s="1">
        <f t="shared" si="293"/>
        <v>8.7159168991559795E-3</v>
      </c>
    </row>
    <row r="724" spans="3:66" x14ac:dyDescent="0.25">
      <c r="C724" t="s">
        <v>754</v>
      </c>
      <c r="G724">
        <v>0</v>
      </c>
      <c r="H724">
        <v>19.61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20.59</v>
      </c>
      <c r="P724">
        <v>0</v>
      </c>
      <c r="Q724">
        <v>39.21</v>
      </c>
      <c r="R724">
        <v>0</v>
      </c>
      <c r="S724">
        <v>0</v>
      </c>
      <c r="T724">
        <v>0</v>
      </c>
      <c r="U724">
        <v>0</v>
      </c>
      <c r="V724">
        <v>20.59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51.7</v>
      </c>
      <c r="AK724" t="s">
        <v>1</v>
      </c>
      <c r="AL724" t="s">
        <v>372</v>
      </c>
      <c r="AQ724" s="1">
        <f t="shared" si="291"/>
        <v>100</v>
      </c>
      <c r="AR724" s="1">
        <f t="shared" si="273"/>
        <v>0.2059</v>
      </c>
      <c r="AS724" s="1">
        <f t="shared" si="292"/>
        <v>0</v>
      </c>
      <c r="AT724" s="1">
        <f t="shared" si="292"/>
        <v>0.1961</v>
      </c>
      <c r="AU724" s="1">
        <f t="shared" si="274"/>
        <v>0.3921</v>
      </c>
      <c r="AV724" s="1">
        <f t="shared" si="285"/>
        <v>0.51700000000000002</v>
      </c>
      <c r="AX724" s="1">
        <f t="shared" si="286"/>
        <v>1.9994900560938298</v>
      </c>
      <c r="AY724" s="1">
        <f t="shared" si="275"/>
        <v>1.0499745028046914</v>
      </c>
      <c r="AZ724" s="1">
        <f t="shared" si="276"/>
        <v>0.62496812850586436</v>
      </c>
      <c r="BA724" s="1">
        <f t="shared" si="277"/>
        <v>0.99987251402345745</v>
      </c>
      <c r="BB724" s="1">
        <f t="shared" si="278"/>
        <v>0.61452941566202046</v>
      </c>
      <c r="BC724" s="1">
        <f t="shared" si="279"/>
        <v>0.61452941566202046</v>
      </c>
      <c r="BD724" s="1">
        <f t="shared" si="287"/>
        <v>9.7529415662020447E-2</v>
      </c>
      <c r="BF724">
        <f t="shared" si="280"/>
        <v>19.61</v>
      </c>
      <c r="BG724">
        <f t="shared" si="281"/>
        <v>30.884999999999998</v>
      </c>
      <c r="BH724" s="1">
        <f t="shared" si="282"/>
        <v>1.9994900560938298</v>
      </c>
      <c r="BI724" s="1">
        <f t="shared" si="283"/>
        <v>1.5749617542070371</v>
      </c>
      <c r="BJ724" s="1">
        <f t="shared" si="288"/>
        <v>0.54996940336562972</v>
      </c>
      <c r="BK724" s="1">
        <f t="shared" si="289"/>
        <v>0.51724302714220094</v>
      </c>
      <c r="BL724" s="22">
        <f t="shared" si="290"/>
        <v>0.51724302714220094</v>
      </c>
      <c r="BM724" s="1">
        <f t="shared" si="284"/>
        <v>5.9062191846348367E-8</v>
      </c>
      <c r="BN724" s="1">
        <f t="shared" si="293"/>
        <v>1.1959407301606795E-2</v>
      </c>
    </row>
    <row r="725" spans="3:66" x14ac:dyDescent="0.25">
      <c r="C725" t="s">
        <v>755</v>
      </c>
      <c r="G725">
        <v>0</v>
      </c>
      <c r="H725">
        <v>14.08</v>
      </c>
      <c r="I725">
        <v>0</v>
      </c>
      <c r="J725">
        <v>0</v>
      </c>
      <c r="K725">
        <v>0</v>
      </c>
      <c r="L725">
        <v>0</v>
      </c>
      <c r="M725">
        <v>14.79</v>
      </c>
      <c r="N725">
        <v>0</v>
      </c>
      <c r="O725">
        <v>14.79</v>
      </c>
      <c r="P725">
        <v>0</v>
      </c>
      <c r="Q725">
        <v>56.34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69</v>
      </c>
      <c r="AK725" t="s">
        <v>1</v>
      </c>
      <c r="AL725" t="s">
        <v>372</v>
      </c>
      <c r="AQ725" s="1">
        <f t="shared" si="291"/>
        <v>100</v>
      </c>
      <c r="AR725" s="1">
        <f t="shared" si="273"/>
        <v>0.29580000000000001</v>
      </c>
      <c r="AS725" s="1">
        <f t="shared" si="292"/>
        <v>0</v>
      </c>
      <c r="AT725" s="1">
        <f t="shared" si="292"/>
        <v>0.14080000000000001</v>
      </c>
      <c r="AU725" s="1">
        <f t="shared" si="274"/>
        <v>0.56340000000000001</v>
      </c>
      <c r="AV725" s="1">
        <f t="shared" si="285"/>
        <v>0.69</v>
      </c>
      <c r="AX725" s="1">
        <f t="shared" si="286"/>
        <v>4.0014204545454541</v>
      </c>
      <c r="AY725" s="1">
        <f t="shared" si="275"/>
        <v>2.1008522727272725</v>
      </c>
      <c r="AZ725" s="1">
        <f t="shared" si="276"/>
        <v>0.75008877840909083</v>
      </c>
      <c r="BA725" s="1">
        <f t="shared" si="277"/>
        <v>1.5003551136363635</v>
      </c>
      <c r="BB725" s="1">
        <f t="shared" si="278"/>
        <v>0.65001776268603184</v>
      </c>
      <c r="BC725" s="1">
        <f t="shared" si="279"/>
        <v>0.65001776268603184</v>
      </c>
      <c r="BD725" s="1">
        <f t="shared" si="287"/>
        <v>3.9982237313968105E-2</v>
      </c>
      <c r="BF725">
        <f t="shared" si="280"/>
        <v>14.08</v>
      </c>
      <c r="BG725">
        <f t="shared" si="281"/>
        <v>29.58</v>
      </c>
      <c r="BH725" s="1">
        <f t="shared" si="282"/>
        <v>4.001420454545455</v>
      </c>
      <c r="BI725" s="1">
        <f t="shared" si="283"/>
        <v>2.1008522727272725</v>
      </c>
      <c r="BJ725" s="1">
        <f t="shared" si="288"/>
        <v>0.67008522727272735</v>
      </c>
      <c r="BK725" s="1">
        <f t="shared" si="289"/>
        <v>0.6778459578426147</v>
      </c>
      <c r="BL725" s="22">
        <f t="shared" si="290"/>
        <v>0.6778459578426147</v>
      </c>
      <c r="BM725" s="1">
        <f t="shared" si="284"/>
        <v>1.4772074076349785E-4</v>
      </c>
      <c r="BN725" s="1">
        <f t="shared" si="293"/>
        <v>7.9726647278106175E-2</v>
      </c>
    </row>
    <row r="726" spans="3:66" x14ac:dyDescent="0.25">
      <c r="C726" t="s">
        <v>756</v>
      </c>
      <c r="G726">
        <v>0</v>
      </c>
      <c r="H726">
        <v>14.08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29.58</v>
      </c>
      <c r="P726">
        <v>0</v>
      </c>
      <c r="Q726">
        <v>56.34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69.7</v>
      </c>
      <c r="AK726" t="s">
        <v>1</v>
      </c>
      <c r="AL726" t="s">
        <v>372</v>
      </c>
      <c r="AQ726" s="1">
        <f t="shared" si="291"/>
        <v>100</v>
      </c>
      <c r="AR726" s="1">
        <f t="shared" si="273"/>
        <v>0.29580000000000001</v>
      </c>
      <c r="AS726" s="1">
        <f t="shared" si="292"/>
        <v>0</v>
      </c>
      <c r="AT726" s="1">
        <f t="shared" si="292"/>
        <v>0.14080000000000001</v>
      </c>
      <c r="AU726" s="1">
        <f t="shared" si="274"/>
        <v>0.56340000000000001</v>
      </c>
      <c r="AV726" s="1">
        <f t="shared" si="285"/>
        <v>0.69700000000000006</v>
      </c>
      <c r="AX726" s="1">
        <f t="shared" si="286"/>
        <v>4.0014204545454541</v>
      </c>
      <c r="AY726" s="1">
        <f t="shared" si="275"/>
        <v>2.1008522727272725</v>
      </c>
      <c r="AZ726" s="1">
        <f t="shared" si="276"/>
        <v>0.75008877840909083</v>
      </c>
      <c r="BA726" s="1">
        <f t="shared" si="277"/>
        <v>1.5003551136363635</v>
      </c>
      <c r="BB726" s="1">
        <f t="shared" si="278"/>
        <v>0.65001776268603184</v>
      </c>
      <c r="BC726" s="1">
        <f t="shared" si="279"/>
        <v>0.65001776268603184</v>
      </c>
      <c r="BD726" s="1">
        <f t="shared" si="287"/>
        <v>4.6982237313968223E-2</v>
      </c>
      <c r="BF726">
        <f t="shared" si="280"/>
        <v>14.08</v>
      </c>
      <c r="BG726">
        <f t="shared" si="281"/>
        <v>29.58</v>
      </c>
      <c r="BH726" s="1">
        <f t="shared" si="282"/>
        <v>4.001420454545455</v>
      </c>
      <c r="BI726" s="1">
        <f t="shared" si="283"/>
        <v>2.1008522727272725</v>
      </c>
      <c r="BJ726" s="1">
        <f t="shared" si="288"/>
        <v>0.67008522727272735</v>
      </c>
      <c r="BK726" s="1">
        <f t="shared" si="289"/>
        <v>0.6778459578426147</v>
      </c>
      <c r="BL726" s="22">
        <f t="shared" si="290"/>
        <v>0.6778459578426147</v>
      </c>
      <c r="BM726" s="1">
        <f t="shared" si="284"/>
        <v>3.6687733096689581E-4</v>
      </c>
      <c r="BN726" s="1">
        <f t="shared" si="293"/>
        <v>8.3728674329178479E-2</v>
      </c>
    </row>
    <row r="727" spans="3:66" x14ac:dyDescent="0.25">
      <c r="C727" t="s">
        <v>757</v>
      </c>
      <c r="G727">
        <v>0</v>
      </c>
      <c r="H727">
        <v>14.08</v>
      </c>
      <c r="I727">
        <v>0</v>
      </c>
      <c r="J727">
        <v>0</v>
      </c>
      <c r="K727">
        <v>0</v>
      </c>
      <c r="L727">
        <v>14.79</v>
      </c>
      <c r="M727">
        <v>0</v>
      </c>
      <c r="N727">
        <v>0</v>
      </c>
      <c r="O727">
        <v>14.79</v>
      </c>
      <c r="P727">
        <v>0</v>
      </c>
      <c r="Q727">
        <v>56.34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69</v>
      </c>
      <c r="AK727" t="s">
        <v>1</v>
      </c>
      <c r="AL727" t="s">
        <v>372</v>
      </c>
      <c r="AQ727" s="1">
        <f t="shared" si="291"/>
        <v>100</v>
      </c>
      <c r="AR727" s="1">
        <f t="shared" si="273"/>
        <v>0.29580000000000001</v>
      </c>
      <c r="AS727" s="1">
        <f t="shared" si="292"/>
        <v>0</v>
      </c>
      <c r="AT727" s="1">
        <f t="shared" si="292"/>
        <v>0.14080000000000001</v>
      </c>
      <c r="AU727" s="1">
        <f t="shared" si="274"/>
        <v>0.56340000000000001</v>
      </c>
      <c r="AV727" s="1">
        <f t="shared" si="285"/>
        <v>0.69</v>
      </c>
      <c r="AX727" s="1">
        <f t="shared" si="286"/>
        <v>4.0014204545454541</v>
      </c>
      <c r="AY727" s="1">
        <f t="shared" si="275"/>
        <v>2.1008522727272725</v>
      </c>
      <c r="AZ727" s="1">
        <f t="shared" si="276"/>
        <v>0.75008877840909083</v>
      </c>
      <c r="BA727" s="1">
        <f t="shared" si="277"/>
        <v>1.5003551136363635</v>
      </c>
      <c r="BB727" s="1">
        <f t="shared" si="278"/>
        <v>0.65001776268603184</v>
      </c>
      <c r="BC727" s="1">
        <f t="shared" si="279"/>
        <v>0.65001776268603184</v>
      </c>
      <c r="BD727" s="1">
        <f t="shared" si="287"/>
        <v>3.9982237313968105E-2</v>
      </c>
      <c r="BF727">
        <f t="shared" si="280"/>
        <v>14.08</v>
      </c>
      <c r="BG727">
        <f t="shared" si="281"/>
        <v>29.58</v>
      </c>
      <c r="BH727" s="1">
        <f t="shared" si="282"/>
        <v>4.001420454545455</v>
      </c>
      <c r="BI727" s="1">
        <f t="shared" si="283"/>
        <v>2.1008522727272725</v>
      </c>
      <c r="BJ727" s="1">
        <f t="shared" si="288"/>
        <v>0.67008522727272735</v>
      </c>
      <c r="BK727" s="1">
        <f t="shared" si="289"/>
        <v>0.6778459578426147</v>
      </c>
      <c r="BL727" s="22">
        <f t="shared" si="290"/>
        <v>0.6778459578426147</v>
      </c>
      <c r="BM727" s="1">
        <f t="shared" si="284"/>
        <v>1.4772074076349785E-4</v>
      </c>
      <c r="BN727" s="1">
        <f t="shared" si="293"/>
        <v>7.9726647278106175E-2</v>
      </c>
    </row>
    <row r="728" spans="3:66" x14ac:dyDescent="0.25">
      <c r="C728" t="s">
        <v>758</v>
      </c>
      <c r="G728">
        <v>0</v>
      </c>
      <c r="H728">
        <v>14.08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14.79</v>
      </c>
      <c r="P728">
        <v>0</v>
      </c>
      <c r="Q728">
        <v>56.34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14.79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66.2</v>
      </c>
      <c r="AK728" t="s">
        <v>1</v>
      </c>
      <c r="AL728" t="s">
        <v>372</v>
      </c>
      <c r="AQ728" s="1">
        <f t="shared" si="291"/>
        <v>100</v>
      </c>
      <c r="AR728" s="1">
        <f t="shared" si="273"/>
        <v>0.1479</v>
      </c>
      <c r="AS728" s="1">
        <f t="shared" si="292"/>
        <v>0</v>
      </c>
      <c r="AT728" s="1">
        <f t="shared" si="292"/>
        <v>0.14080000000000001</v>
      </c>
      <c r="AU728" s="1">
        <f t="shared" si="274"/>
        <v>0.56340000000000001</v>
      </c>
      <c r="AV728" s="1">
        <f t="shared" si="285"/>
        <v>0.66200000000000003</v>
      </c>
      <c r="AX728" s="1">
        <f t="shared" si="286"/>
        <v>4.0014204545454541</v>
      </c>
      <c r="AY728" s="1">
        <f t="shared" si="275"/>
        <v>1.0504261363636362</v>
      </c>
      <c r="AZ728" s="1">
        <f t="shared" si="276"/>
        <v>0.75008877840909083</v>
      </c>
      <c r="BA728" s="1">
        <f t="shared" si="277"/>
        <v>1.5003551136363635</v>
      </c>
      <c r="BB728" s="1">
        <f t="shared" si="278"/>
        <v>0.75008877840909083</v>
      </c>
      <c r="BC728" s="1">
        <f t="shared" si="279"/>
        <v>0.75008877840909083</v>
      </c>
      <c r="BD728" s="1">
        <f t="shared" si="287"/>
        <v>8.8088778409090795E-2</v>
      </c>
      <c r="BF728">
        <f t="shared" si="280"/>
        <v>14.08</v>
      </c>
      <c r="BG728">
        <f t="shared" si="281"/>
        <v>29.58</v>
      </c>
      <c r="BH728" s="1">
        <f t="shared" si="282"/>
        <v>4.001420454545455</v>
      </c>
      <c r="BI728" s="1">
        <f t="shared" si="283"/>
        <v>2.1008522727272725</v>
      </c>
      <c r="BJ728" s="1">
        <f t="shared" si="288"/>
        <v>0.67008522727272735</v>
      </c>
      <c r="BK728" s="1">
        <f t="shared" si="289"/>
        <v>0.6778459578426147</v>
      </c>
      <c r="BL728" s="22">
        <f t="shared" si="290"/>
        <v>0.6778459578426147</v>
      </c>
      <c r="BM728" s="1">
        <f t="shared" si="284"/>
        <v>2.5109437994992123E-4</v>
      </c>
      <c r="BN728" s="1">
        <f t="shared" si="293"/>
        <v>6.4698539073817299E-2</v>
      </c>
    </row>
    <row r="729" spans="3:66" x14ac:dyDescent="0.25">
      <c r="C729" t="s">
        <v>759</v>
      </c>
      <c r="G729">
        <v>0</v>
      </c>
      <c r="H729">
        <v>14.08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14.79</v>
      </c>
      <c r="O729">
        <v>14.79</v>
      </c>
      <c r="P729">
        <v>0</v>
      </c>
      <c r="Q729">
        <v>56.34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45.9</v>
      </c>
      <c r="AK729" t="s">
        <v>1</v>
      </c>
      <c r="AL729" t="s">
        <v>372</v>
      </c>
      <c r="AQ729" s="1">
        <f t="shared" si="291"/>
        <v>100</v>
      </c>
      <c r="AR729" s="1">
        <f t="shared" si="273"/>
        <v>0.1479</v>
      </c>
      <c r="AS729" s="1">
        <f t="shared" si="292"/>
        <v>0</v>
      </c>
      <c r="AT729" s="1">
        <f t="shared" si="292"/>
        <v>0.14080000000000001</v>
      </c>
      <c r="AU729" s="1">
        <f t="shared" si="274"/>
        <v>0.56340000000000001</v>
      </c>
      <c r="AV729" s="1">
        <f t="shared" si="285"/>
        <v>0.45899999999999996</v>
      </c>
      <c r="AX729" s="1">
        <f t="shared" si="286"/>
        <v>4.0014204545454541</v>
      </c>
      <c r="AY729" s="1">
        <f t="shared" si="275"/>
        <v>1.0504261363636362</v>
      </c>
      <c r="AZ729" s="1">
        <f t="shared" si="276"/>
        <v>0.75008877840909083</v>
      </c>
      <c r="BA729" s="1">
        <f t="shared" si="277"/>
        <v>1.5003551136363635</v>
      </c>
      <c r="BB729" s="1">
        <f t="shared" si="278"/>
        <v>0.75008877840909083</v>
      </c>
      <c r="BC729" s="1">
        <f t="shared" si="279"/>
        <v>0.75008877840909083</v>
      </c>
      <c r="BD729" s="1">
        <f t="shared" si="287"/>
        <v>0.29108877840909086</v>
      </c>
      <c r="BF729">
        <f t="shared" si="280"/>
        <v>14.08</v>
      </c>
      <c r="BG729">
        <f t="shared" si="281"/>
        <v>22.184999999999999</v>
      </c>
      <c r="BH729" s="1">
        <f t="shared" si="282"/>
        <v>4.001420454545455</v>
      </c>
      <c r="BI729" s="1">
        <f t="shared" si="283"/>
        <v>1.5756392045454544</v>
      </c>
      <c r="BJ729" s="1">
        <f t="shared" si="288"/>
        <v>0.67008522727272735</v>
      </c>
      <c r="BK729" s="1">
        <f t="shared" si="289"/>
        <v>0.72538306734732816</v>
      </c>
      <c r="BL729" s="22">
        <f t="shared" si="290"/>
        <v>0.72538306734732816</v>
      </c>
      <c r="BM729" s="1">
        <f t="shared" si="284"/>
        <v>7.0959938569371189E-2</v>
      </c>
      <c r="BN729" s="1">
        <f t="shared" si="293"/>
        <v>2.6377545927225902E-3</v>
      </c>
    </row>
    <row r="730" spans="3:66" x14ac:dyDescent="0.25">
      <c r="C730" t="s">
        <v>760</v>
      </c>
      <c r="G730">
        <v>0</v>
      </c>
      <c r="H730">
        <v>14.08</v>
      </c>
      <c r="I730">
        <v>14.79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14.79</v>
      </c>
      <c r="P730">
        <v>0</v>
      </c>
      <c r="Q730">
        <v>56.34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58.2</v>
      </c>
      <c r="AK730" t="s">
        <v>1</v>
      </c>
      <c r="AL730" t="s">
        <v>372</v>
      </c>
      <c r="AQ730" s="1">
        <f t="shared" si="291"/>
        <v>100</v>
      </c>
      <c r="AR730" s="1">
        <f t="shared" si="273"/>
        <v>0.1479</v>
      </c>
      <c r="AS730" s="1">
        <f t="shared" si="292"/>
        <v>0</v>
      </c>
      <c r="AT730" s="1">
        <f t="shared" si="292"/>
        <v>0.14080000000000001</v>
      </c>
      <c r="AU730" s="1">
        <f t="shared" si="274"/>
        <v>0.56340000000000001</v>
      </c>
      <c r="AV730" s="1">
        <f t="shared" si="285"/>
        <v>0.58200000000000007</v>
      </c>
      <c r="AX730" s="1">
        <f t="shared" si="286"/>
        <v>4.0014204545454541</v>
      </c>
      <c r="AY730" s="1">
        <f t="shared" si="275"/>
        <v>1.0504261363636362</v>
      </c>
      <c r="AZ730" s="1">
        <f t="shared" si="276"/>
        <v>0.75008877840909083</v>
      </c>
      <c r="BA730" s="1">
        <f t="shared" si="277"/>
        <v>1.5003551136363635</v>
      </c>
      <c r="BB730" s="1">
        <f t="shared" si="278"/>
        <v>0.75008877840909083</v>
      </c>
      <c r="BC730" s="1">
        <f t="shared" si="279"/>
        <v>0.75008877840909083</v>
      </c>
      <c r="BD730" s="1">
        <f t="shared" si="287"/>
        <v>0.16808877840909076</v>
      </c>
      <c r="BF730">
        <f t="shared" si="280"/>
        <v>14.08</v>
      </c>
      <c r="BG730">
        <f t="shared" si="281"/>
        <v>22.184999999999999</v>
      </c>
      <c r="BH730" s="1">
        <f t="shared" si="282"/>
        <v>4.001420454545455</v>
      </c>
      <c r="BI730" s="1">
        <f t="shared" si="283"/>
        <v>1.5756392045454544</v>
      </c>
      <c r="BJ730" s="1">
        <f t="shared" si="288"/>
        <v>0.67008522727272735</v>
      </c>
      <c r="BK730" s="1">
        <f t="shared" si="289"/>
        <v>0.72538306734732816</v>
      </c>
      <c r="BL730" s="22">
        <f t="shared" si="290"/>
        <v>0.72538306734732816</v>
      </c>
      <c r="BM730" s="1">
        <f t="shared" si="284"/>
        <v>2.0558704001928423E-2</v>
      </c>
      <c r="BN730" s="1">
        <f t="shared" si="293"/>
        <v>3.0401087061563248E-2</v>
      </c>
    </row>
    <row r="731" spans="3:66" x14ac:dyDescent="0.25">
      <c r="C731" t="s">
        <v>761</v>
      </c>
      <c r="G731">
        <v>0</v>
      </c>
      <c r="H731">
        <v>14.08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14.79</v>
      </c>
      <c r="P731">
        <v>0</v>
      </c>
      <c r="Q731">
        <v>56.34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14.79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65.900000000000006</v>
      </c>
      <c r="AK731" t="s">
        <v>1</v>
      </c>
      <c r="AL731" t="s">
        <v>372</v>
      </c>
      <c r="AQ731" s="1">
        <f t="shared" si="291"/>
        <v>100</v>
      </c>
      <c r="AR731" s="1">
        <f t="shared" si="273"/>
        <v>0.1479</v>
      </c>
      <c r="AS731" s="1">
        <f t="shared" si="292"/>
        <v>0</v>
      </c>
      <c r="AT731" s="1">
        <f t="shared" si="292"/>
        <v>0.14080000000000001</v>
      </c>
      <c r="AU731" s="1">
        <f t="shared" si="274"/>
        <v>0.56340000000000001</v>
      </c>
      <c r="AV731" s="1">
        <f t="shared" si="285"/>
        <v>0.65900000000000003</v>
      </c>
      <c r="AX731" s="1">
        <f t="shared" si="286"/>
        <v>4.0014204545454541</v>
      </c>
      <c r="AY731" s="1">
        <f t="shared" si="275"/>
        <v>1.0504261363636362</v>
      </c>
      <c r="AZ731" s="1">
        <f t="shared" si="276"/>
        <v>0.75008877840909083</v>
      </c>
      <c r="BA731" s="1">
        <f t="shared" si="277"/>
        <v>1.5003551136363635</v>
      </c>
      <c r="BB731" s="1">
        <f t="shared" si="278"/>
        <v>0.75008877840909083</v>
      </c>
      <c r="BC731" s="1">
        <f t="shared" si="279"/>
        <v>0.75008877840909083</v>
      </c>
      <c r="BD731" s="1">
        <f t="shared" si="287"/>
        <v>9.1088778409090798E-2</v>
      </c>
      <c r="BF731">
        <f t="shared" si="280"/>
        <v>14.08</v>
      </c>
      <c r="BG731">
        <f t="shared" si="281"/>
        <v>22.184999999999999</v>
      </c>
      <c r="BH731" s="1">
        <f t="shared" si="282"/>
        <v>4.001420454545455</v>
      </c>
      <c r="BI731" s="1">
        <f t="shared" si="283"/>
        <v>1.5756392045454544</v>
      </c>
      <c r="BJ731" s="1">
        <f t="shared" si="288"/>
        <v>0.67008522727272735</v>
      </c>
      <c r="BK731" s="1">
        <f t="shared" si="289"/>
        <v>0.72538306734732816</v>
      </c>
      <c r="BL731" s="22">
        <f t="shared" si="290"/>
        <v>0.72538306734732816</v>
      </c>
      <c r="BM731" s="1">
        <f t="shared" si="284"/>
        <v>4.4067116304399023E-3</v>
      </c>
      <c r="BN731" s="1">
        <f t="shared" si="293"/>
        <v>6.3181384623357775E-2</v>
      </c>
    </row>
    <row r="732" spans="3:66" x14ac:dyDescent="0.25">
      <c r="C732" t="s">
        <v>762</v>
      </c>
      <c r="G732">
        <v>0</v>
      </c>
      <c r="H732">
        <v>14.08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14.79</v>
      </c>
      <c r="P732">
        <v>0</v>
      </c>
      <c r="Q732">
        <v>56.34</v>
      </c>
      <c r="R732">
        <v>0</v>
      </c>
      <c r="S732">
        <v>0</v>
      </c>
      <c r="T732">
        <v>0</v>
      </c>
      <c r="U732">
        <v>0</v>
      </c>
      <c r="V732">
        <v>14.79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68.900000000000006</v>
      </c>
      <c r="AK732" t="s">
        <v>1</v>
      </c>
      <c r="AL732" t="s">
        <v>372</v>
      </c>
      <c r="AQ732" s="1">
        <f t="shared" si="291"/>
        <v>100</v>
      </c>
      <c r="AR732" s="1">
        <f t="shared" si="273"/>
        <v>0.1479</v>
      </c>
      <c r="AS732" s="1">
        <f t="shared" si="292"/>
        <v>0</v>
      </c>
      <c r="AT732" s="1">
        <f t="shared" si="292"/>
        <v>0.14080000000000001</v>
      </c>
      <c r="AU732" s="1">
        <f t="shared" si="274"/>
        <v>0.56340000000000001</v>
      </c>
      <c r="AV732" s="1">
        <f t="shared" si="285"/>
        <v>0.68900000000000006</v>
      </c>
      <c r="AX732" s="1">
        <f t="shared" si="286"/>
        <v>4.0014204545454541</v>
      </c>
      <c r="AY732" s="1">
        <f t="shared" si="275"/>
        <v>1.0504261363636362</v>
      </c>
      <c r="AZ732" s="1">
        <f t="shared" si="276"/>
        <v>0.75008877840909083</v>
      </c>
      <c r="BA732" s="1">
        <f t="shared" si="277"/>
        <v>1.5003551136363635</v>
      </c>
      <c r="BB732" s="1">
        <f t="shared" si="278"/>
        <v>0.75008877840909083</v>
      </c>
      <c r="BC732" s="1">
        <f t="shared" si="279"/>
        <v>0.75008877840909083</v>
      </c>
      <c r="BD732" s="1">
        <f t="shared" si="287"/>
        <v>6.1088778409090772E-2</v>
      </c>
      <c r="BF732">
        <f t="shared" si="280"/>
        <v>14.08</v>
      </c>
      <c r="BG732">
        <f t="shared" si="281"/>
        <v>22.184999999999999</v>
      </c>
      <c r="BH732" s="1">
        <f t="shared" si="282"/>
        <v>4.001420454545455</v>
      </c>
      <c r="BI732" s="1">
        <f t="shared" si="283"/>
        <v>1.5756392045454544</v>
      </c>
      <c r="BJ732" s="1">
        <f t="shared" si="288"/>
        <v>0.67008522727272735</v>
      </c>
      <c r="BK732" s="1">
        <f t="shared" si="289"/>
        <v>0.72538306734732816</v>
      </c>
      <c r="BL732" s="22">
        <f t="shared" si="290"/>
        <v>0.72538306734732816</v>
      </c>
      <c r="BM732" s="1">
        <f t="shared" si="284"/>
        <v>1.3237275896002124E-3</v>
      </c>
      <c r="BN732" s="1">
        <f t="shared" si="293"/>
        <v>7.9162929127953072E-2</v>
      </c>
    </row>
    <row r="733" spans="3:66" x14ac:dyDescent="0.25">
      <c r="C733" t="s">
        <v>763</v>
      </c>
      <c r="G733">
        <v>0</v>
      </c>
      <c r="H733">
        <v>17.27</v>
      </c>
      <c r="I733">
        <v>0</v>
      </c>
      <c r="J733">
        <v>0</v>
      </c>
      <c r="K733">
        <v>0</v>
      </c>
      <c r="L733">
        <v>0</v>
      </c>
      <c r="M733">
        <v>12.96</v>
      </c>
      <c r="N733">
        <v>0</v>
      </c>
      <c r="O733">
        <v>0</v>
      </c>
      <c r="P733">
        <v>0</v>
      </c>
      <c r="Q733">
        <v>69.77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29.5</v>
      </c>
      <c r="AK733" t="s">
        <v>1</v>
      </c>
      <c r="AL733" t="s">
        <v>372</v>
      </c>
      <c r="AQ733" s="1">
        <f t="shared" si="291"/>
        <v>100</v>
      </c>
      <c r="AR733" s="1">
        <f t="shared" ref="AR733:AR787" si="294">(L733+M733+O733+X733)/100</f>
        <v>0.12960000000000002</v>
      </c>
      <c r="AS733" s="1">
        <f t="shared" si="292"/>
        <v>0</v>
      </c>
      <c r="AT733" s="1">
        <f t="shared" si="292"/>
        <v>0.17269999999999999</v>
      </c>
      <c r="AU733" s="1">
        <f t="shared" ref="AU733:AU787" si="295">Q733/100</f>
        <v>0.69769999999999999</v>
      </c>
      <c r="AV733" s="1">
        <f t="shared" si="285"/>
        <v>0.29499999999999998</v>
      </c>
      <c r="AX733" s="1">
        <f t="shared" si="286"/>
        <v>4.039953676896352</v>
      </c>
      <c r="AY733" s="1">
        <f t="shared" ref="AY733:AY787" si="296">AR733/(AS733+AT733)</f>
        <v>0.75043427909669969</v>
      </c>
      <c r="AZ733" s="1">
        <f t="shared" ref="AZ733:AZ787" si="297">0.5+AX733/16</f>
        <v>0.75249710480602205</v>
      </c>
      <c r="BA733" s="1">
        <f t="shared" ref="BA733:BA787" si="298">0.5+AX733/4</f>
        <v>1.509988419224088</v>
      </c>
      <c r="BB733" s="1">
        <f t="shared" ref="BB733:BB787" si="299">IF(AY733&lt;=AZ733,AY733,IF(AY733&lt;=BA733,AZ733,AZ733-(AY733-BA733)*(8+AX733)/(12*(2+AX733))))</f>
        <v>0.75043427909669969</v>
      </c>
      <c r="BC733" s="1">
        <f t="shared" ref="BC733:BC787" si="300">IF(BB733&lt;1,BB733,1)</f>
        <v>0.75043427909669969</v>
      </c>
      <c r="BD733" s="1">
        <f t="shared" si="287"/>
        <v>0.4554342790966997</v>
      </c>
      <c r="BF733">
        <f t="shared" ref="BF733:BF787" si="301">$BQ$3*H733+$BQ$4*G733+$BQ$5*P733+$BQ$6*K733+$BQ$7*S733+$BQ$8*U733+$BQ$9*Y733+$BQ$10*J733+$BQ$11*AC733+$BQ$12*AG733+$BQ$13*AH733+$BQ$14*R733+$BQ$15*AE733</f>
        <v>17.27</v>
      </c>
      <c r="BG733">
        <f t="shared" ref="BG733:BG787" si="302">O733+$BQ$17*M733+$BQ$18*L733+$BQ$19*X733+$BQ$20*AD733+$BQ$21*I733+$BQ$22*N733+$BQ$23*AB733+$BQ$24*V733+$BQ$25*T733+$BQ$26*AA733+$BQ$28*Z733+$BQ$29*AF733+$BQ$30*W733+$BQ$27*AI733</f>
        <v>12.96</v>
      </c>
      <c r="BH733" s="1">
        <f t="shared" ref="BH733:BH787" si="303">(Q733)/BF733</f>
        <v>4.039953676896352</v>
      </c>
      <c r="BI733" s="1">
        <f t="shared" ref="BI733:BI787" si="304">BG733/BF733</f>
        <v>0.75043427909669957</v>
      </c>
      <c r="BJ733" s="1">
        <f t="shared" si="288"/>
        <v>0.67239722061378115</v>
      </c>
      <c r="BK733" s="1">
        <f t="shared" si="289"/>
        <v>0.63628626573093094</v>
      </c>
      <c r="BL733" s="22">
        <f t="shared" si="290"/>
        <v>0.63628626573093094</v>
      </c>
      <c r="BM733" s="1">
        <f t="shared" ref="BM733:BM787" si="305">(BL733-AV733)^2</f>
        <v>0.11647631517656362</v>
      </c>
      <c r="BN733" s="1">
        <f t="shared" si="293"/>
        <v>1.268797796760176E-2</v>
      </c>
    </row>
    <row r="734" spans="3:66" x14ac:dyDescent="0.25">
      <c r="C734" t="s">
        <v>764</v>
      </c>
      <c r="G734">
        <v>0</v>
      </c>
      <c r="H734">
        <v>17.27</v>
      </c>
      <c r="I734">
        <v>0</v>
      </c>
      <c r="J734">
        <v>0</v>
      </c>
      <c r="K734">
        <v>0</v>
      </c>
      <c r="L734">
        <v>12.96</v>
      </c>
      <c r="M734">
        <v>0</v>
      </c>
      <c r="N734">
        <v>0</v>
      </c>
      <c r="O734">
        <v>0</v>
      </c>
      <c r="P734">
        <v>0</v>
      </c>
      <c r="Q734">
        <v>69.77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68.099999999999994</v>
      </c>
      <c r="AK734" t="s">
        <v>1</v>
      </c>
      <c r="AL734" t="s">
        <v>372</v>
      </c>
      <c r="AQ734" s="1">
        <f t="shared" si="291"/>
        <v>100</v>
      </c>
      <c r="AR734" s="1">
        <f t="shared" si="294"/>
        <v>0.12960000000000002</v>
      </c>
      <c r="AS734" s="1">
        <f t="shared" si="292"/>
        <v>0</v>
      </c>
      <c r="AT734" s="1">
        <f t="shared" si="292"/>
        <v>0.17269999999999999</v>
      </c>
      <c r="AU734" s="1">
        <f t="shared" si="295"/>
        <v>0.69769999999999999</v>
      </c>
      <c r="AV734" s="1">
        <f t="shared" ref="AV734:AV787" si="306">AJ734/100</f>
        <v>0.68099999999999994</v>
      </c>
      <c r="AX734" s="1">
        <f t="shared" ref="AX734:AX787" si="307">AU734/(AT734+AS734)</f>
        <v>4.039953676896352</v>
      </c>
      <c r="AY734" s="1">
        <f t="shared" si="296"/>
        <v>0.75043427909669969</v>
      </c>
      <c r="AZ734" s="1">
        <f t="shared" si="297"/>
        <v>0.75249710480602205</v>
      </c>
      <c r="BA734" s="1">
        <f t="shared" si="298"/>
        <v>1.509988419224088</v>
      </c>
      <c r="BB734" s="1">
        <f t="shared" si="299"/>
        <v>0.75043427909669969</v>
      </c>
      <c r="BC734" s="1">
        <f t="shared" si="300"/>
        <v>0.75043427909669969</v>
      </c>
      <c r="BD734" s="1">
        <f t="shared" ref="BD734:BD787" si="308">ABS(BC734-AV734)</f>
        <v>6.9434279096699747E-2</v>
      </c>
      <c r="BF734">
        <f t="shared" si="301"/>
        <v>17.27</v>
      </c>
      <c r="BG734">
        <f t="shared" si="302"/>
        <v>12.96</v>
      </c>
      <c r="BH734" s="1">
        <f t="shared" si="303"/>
        <v>4.039953676896352</v>
      </c>
      <c r="BI734" s="1">
        <f t="shared" si="304"/>
        <v>0.75043427909669957</v>
      </c>
      <c r="BJ734" s="1">
        <f t="shared" ref="BJ734:BJ787" si="309">$BQ$32+BH734*$BQ$33</f>
        <v>0.67239722061378115</v>
      </c>
      <c r="BK734" s="1">
        <f t="shared" ref="BK734:BK787" si="310">IF(BI734&lt;BJ734,BI734,$BQ$35*($BQ$36+BI734)*($BQ$37-BI734/($BQ$38+BH734)*$BQ$39)^5)</f>
        <v>0.63628626573093094</v>
      </c>
      <c r="BL734" s="22">
        <f t="shared" ref="BL734:BL787" si="311">IF(BK734&lt;1,IF(BK734&gt;0,BK734,0),1)</f>
        <v>0.63628626573093094</v>
      </c>
      <c r="BM734" s="1">
        <f t="shared" si="305"/>
        <v>1.9993180322849151E-3</v>
      </c>
      <c r="BN734" s="1">
        <f t="shared" si="293"/>
        <v>7.4725183926727598E-2</v>
      </c>
    </row>
    <row r="735" spans="3:66" x14ac:dyDescent="0.25">
      <c r="C735" t="s">
        <v>765</v>
      </c>
      <c r="G735">
        <v>0</v>
      </c>
      <c r="H735">
        <v>17.27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69.77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12.96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67.099999999999994</v>
      </c>
      <c r="AK735" t="s">
        <v>1</v>
      </c>
      <c r="AL735" t="s">
        <v>372</v>
      </c>
      <c r="AQ735" s="1">
        <f t="shared" si="291"/>
        <v>100</v>
      </c>
      <c r="AR735" s="1">
        <f t="shared" si="294"/>
        <v>0</v>
      </c>
      <c r="AS735" s="1">
        <f t="shared" si="292"/>
        <v>0</v>
      </c>
      <c r="AT735" s="1">
        <f t="shared" si="292"/>
        <v>0.17269999999999999</v>
      </c>
      <c r="AU735" s="1">
        <f t="shared" si="295"/>
        <v>0.69769999999999999</v>
      </c>
      <c r="AV735" s="1">
        <f t="shared" si="306"/>
        <v>0.67099999999999993</v>
      </c>
      <c r="AX735" s="1">
        <f t="shared" si="307"/>
        <v>4.039953676896352</v>
      </c>
      <c r="AY735" s="1">
        <f t="shared" si="296"/>
        <v>0</v>
      </c>
      <c r="AZ735" s="1">
        <f t="shared" si="297"/>
        <v>0.75249710480602205</v>
      </c>
      <c r="BA735" s="1">
        <f t="shared" si="298"/>
        <v>1.509988419224088</v>
      </c>
      <c r="BB735" s="1">
        <f t="shared" si="299"/>
        <v>0</v>
      </c>
      <c r="BC735" s="1">
        <f t="shared" si="300"/>
        <v>0</v>
      </c>
      <c r="BD735" s="1">
        <f t="shared" si="308"/>
        <v>0.67099999999999993</v>
      </c>
      <c r="BF735">
        <f t="shared" si="301"/>
        <v>17.27</v>
      </c>
      <c r="BG735">
        <f t="shared" si="302"/>
        <v>12.96</v>
      </c>
      <c r="BH735" s="1">
        <f t="shared" si="303"/>
        <v>4.039953676896352</v>
      </c>
      <c r="BI735" s="1">
        <f t="shared" si="304"/>
        <v>0.75043427909669957</v>
      </c>
      <c r="BJ735" s="1">
        <f t="shared" si="309"/>
        <v>0.67239722061378115</v>
      </c>
      <c r="BK735" s="1">
        <f t="shared" si="310"/>
        <v>0.63628626573093094</v>
      </c>
      <c r="BL735" s="22">
        <f t="shared" si="311"/>
        <v>0.63628626573093094</v>
      </c>
      <c r="BM735" s="1">
        <f t="shared" si="305"/>
        <v>1.2050433469035344E-3</v>
      </c>
      <c r="BN735" s="1">
        <f t="shared" si="293"/>
        <v>6.9358002425195839E-2</v>
      </c>
    </row>
    <row r="736" spans="3:66" x14ac:dyDescent="0.25">
      <c r="C736" t="s">
        <v>766</v>
      </c>
      <c r="G736">
        <v>0</v>
      </c>
      <c r="H736">
        <v>19.61</v>
      </c>
      <c r="I736">
        <v>0</v>
      </c>
      <c r="J736">
        <v>0</v>
      </c>
      <c r="K736">
        <v>0</v>
      </c>
      <c r="L736">
        <v>0</v>
      </c>
      <c r="M736">
        <v>41.18</v>
      </c>
      <c r="N736">
        <v>0</v>
      </c>
      <c r="O736">
        <v>0</v>
      </c>
      <c r="P736">
        <v>0</v>
      </c>
      <c r="Q736">
        <v>39.21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51.7</v>
      </c>
      <c r="AK736" t="s">
        <v>1</v>
      </c>
      <c r="AL736" t="s">
        <v>372</v>
      </c>
      <c r="AQ736" s="1">
        <f t="shared" si="291"/>
        <v>100</v>
      </c>
      <c r="AR736" s="1">
        <f t="shared" si="294"/>
        <v>0.4118</v>
      </c>
      <c r="AS736" s="1">
        <f t="shared" si="292"/>
        <v>0</v>
      </c>
      <c r="AT736" s="1">
        <f t="shared" si="292"/>
        <v>0.1961</v>
      </c>
      <c r="AU736" s="1">
        <f t="shared" si="295"/>
        <v>0.3921</v>
      </c>
      <c r="AV736" s="1">
        <f t="shared" si="306"/>
        <v>0.51700000000000002</v>
      </c>
      <c r="AX736" s="1">
        <f t="shared" si="307"/>
        <v>1.9994900560938298</v>
      </c>
      <c r="AY736" s="1">
        <f t="shared" si="296"/>
        <v>2.0999490056093828</v>
      </c>
      <c r="AZ736" s="1">
        <f t="shared" si="297"/>
        <v>0.62496812850586436</v>
      </c>
      <c r="BA736" s="1">
        <f t="shared" si="298"/>
        <v>0.99987251402345745</v>
      </c>
      <c r="BB736" s="1">
        <f t="shared" si="299"/>
        <v>0.3957679933162217</v>
      </c>
      <c r="BC736" s="1">
        <f t="shared" si="300"/>
        <v>0.3957679933162217</v>
      </c>
      <c r="BD736" s="1">
        <f t="shared" si="308"/>
        <v>0.12123200668377832</v>
      </c>
      <c r="BF736">
        <f t="shared" si="301"/>
        <v>19.61</v>
      </c>
      <c r="BG736">
        <f t="shared" si="302"/>
        <v>41.18</v>
      </c>
      <c r="BH736" s="1">
        <f t="shared" si="303"/>
        <v>1.9994900560938298</v>
      </c>
      <c r="BI736" s="1">
        <f t="shared" si="304"/>
        <v>2.0999490056093828</v>
      </c>
      <c r="BJ736" s="1">
        <f t="shared" si="309"/>
        <v>0.54996940336562972</v>
      </c>
      <c r="BK736" s="1">
        <f t="shared" si="310"/>
        <v>0.41624384953049554</v>
      </c>
      <c r="BL736" s="22">
        <f t="shared" si="311"/>
        <v>0.41624384953049554</v>
      </c>
      <c r="BM736" s="1">
        <f t="shared" si="305"/>
        <v>1.0151801857433428E-2</v>
      </c>
      <c r="BN736" s="1">
        <f t="shared" si="293"/>
        <v>1.1959407301606795E-2</v>
      </c>
    </row>
    <row r="737" spans="3:66" x14ac:dyDescent="0.25">
      <c r="C737" t="s">
        <v>767</v>
      </c>
      <c r="G737">
        <v>0</v>
      </c>
      <c r="H737">
        <v>19.61</v>
      </c>
      <c r="I737">
        <v>0</v>
      </c>
      <c r="J737">
        <v>0</v>
      </c>
      <c r="K737">
        <v>0</v>
      </c>
      <c r="L737">
        <v>41.18</v>
      </c>
      <c r="M737">
        <v>0</v>
      </c>
      <c r="N737">
        <v>0</v>
      </c>
      <c r="O737">
        <v>0</v>
      </c>
      <c r="P737">
        <v>0</v>
      </c>
      <c r="Q737">
        <v>39.21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38.9</v>
      </c>
      <c r="AK737" t="s">
        <v>1</v>
      </c>
      <c r="AL737" t="s">
        <v>372</v>
      </c>
      <c r="AQ737" s="1">
        <f t="shared" si="291"/>
        <v>100</v>
      </c>
      <c r="AR737" s="1">
        <f t="shared" si="294"/>
        <v>0.4118</v>
      </c>
      <c r="AS737" s="1">
        <f t="shared" si="292"/>
        <v>0</v>
      </c>
      <c r="AT737" s="1">
        <f t="shared" si="292"/>
        <v>0.1961</v>
      </c>
      <c r="AU737" s="1">
        <f t="shared" si="295"/>
        <v>0.3921</v>
      </c>
      <c r="AV737" s="1">
        <f t="shared" si="306"/>
        <v>0.38900000000000001</v>
      </c>
      <c r="AX737" s="1">
        <f t="shared" si="307"/>
        <v>1.9994900560938298</v>
      </c>
      <c r="AY737" s="1">
        <f t="shared" si="296"/>
        <v>2.0999490056093828</v>
      </c>
      <c r="AZ737" s="1">
        <f t="shared" si="297"/>
        <v>0.62496812850586436</v>
      </c>
      <c r="BA737" s="1">
        <f t="shared" si="298"/>
        <v>0.99987251402345745</v>
      </c>
      <c r="BB737" s="1">
        <f t="shared" si="299"/>
        <v>0.3957679933162217</v>
      </c>
      <c r="BC737" s="1">
        <f t="shared" si="300"/>
        <v>0.3957679933162217</v>
      </c>
      <c r="BD737" s="1">
        <f t="shared" si="308"/>
        <v>6.7679933162216876E-3</v>
      </c>
      <c r="BF737">
        <f t="shared" si="301"/>
        <v>19.61</v>
      </c>
      <c r="BG737">
        <f t="shared" si="302"/>
        <v>41.18</v>
      </c>
      <c r="BH737" s="1">
        <f t="shared" si="303"/>
        <v>1.9994900560938298</v>
      </c>
      <c r="BI737" s="1">
        <f t="shared" si="304"/>
        <v>2.0999490056093828</v>
      </c>
      <c r="BJ737" s="1">
        <f t="shared" si="309"/>
        <v>0.54996940336562972</v>
      </c>
      <c r="BK737" s="1">
        <f t="shared" si="310"/>
        <v>0.41624384953049554</v>
      </c>
      <c r="BL737" s="22">
        <f t="shared" si="311"/>
        <v>0.41624384953049554</v>
      </c>
      <c r="BM737" s="1">
        <f t="shared" si="305"/>
        <v>7.4222733724028109E-4</v>
      </c>
      <c r="BN737" s="1">
        <f t="shared" si="293"/>
        <v>3.4748408200028537E-4</v>
      </c>
    </row>
    <row r="738" spans="3:66" x14ac:dyDescent="0.25">
      <c r="C738" t="s">
        <v>768</v>
      </c>
      <c r="G738">
        <v>0</v>
      </c>
      <c r="H738">
        <v>19.61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39.21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41.18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31.8</v>
      </c>
      <c r="AK738" t="s">
        <v>1</v>
      </c>
      <c r="AL738" t="s">
        <v>372</v>
      </c>
      <c r="AQ738" s="1">
        <f t="shared" si="291"/>
        <v>100</v>
      </c>
      <c r="AR738" s="1">
        <f t="shared" si="294"/>
        <v>0</v>
      </c>
      <c r="AS738" s="1">
        <f t="shared" si="292"/>
        <v>0</v>
      </c>
      <c r="AT738" s="1">
        <f t="shared" si="292"/>
        <v>0.1961</v>
      </c>
      <c r="AU738" s="1">
        <f t="shared" si="295"/>
        <v>0.3921</v>
      </c>
      <c r="AV738" s="1">
        <f t="shared" si="306"/>
        <v>0.318</v>
      </c>
      <c r="AX738" s="1">
        <f t="shared" si="307"/>
        <v>1.9994900560938298</v>
      </c>
      <c r="AY738" s="1">
        <f t="shared" si="296"/>
        <v>0</v>
      </c>
      <c r="AZ738" s="1">
        <f t="shared" si="297"/>
        <v>0.62496812850586436</v>
      </c>
      <c r="BA738" s="1">
        <f t="shared" si="298"/>
        <v>0.99987251402345745</v>
      </c>
      <c r="BB738" s="1">
        <f t="shared" si="299"/>
        <v>0</v>
      </c>
      <c r="BC738" s="1">
        <f t="shared" si="300"/>
        <v>0</v>
      </c>
      <c r="BD738" s="1">
        <f t="shared" si="308"/>
        <v>0.318</v>
      </c>
      <c r="BF738">
        <f t="shared" si="301"/>
        <v>19.61</v>
      </c>
      <c r="BG738">
        <f t="shared" si="302"/>
        <v>41.18</v>
      </c>
      <c r="BH738" s="1">
        <f t="shared" si="303"/>
        <v>1.9994900560938298</v>
      </c>
      <c r="BI738" s="1">
        <f t="shared" si="304"/>
        <v>2.0999490056093828</v>
      </c>
      <c r="BJ738" s="1">
        <f t="shared" si="309"/>
        <v>0.54996940336562972</v>
      </c>
      <c r="BK738" s="1">
        <f t="shared" si="310"/>
        <v>0.41624384953049554</v>
      </c>
      <c r="BL738" s="22">
        <f t="shared" si="311"/>
        <v>0.41624384953049554</v>
      </c>
      <c r="BM738" s="1">
        <f t="shared" si="305"/>
        <v>9.6518539705706466E-3</v>
      </c>
      <c r="BN738" s="1">
        <f t="shared" si="293"/>
        <v>8.0354954211248018E-3</v>
      </c>
    </row>
    <row r="739" spans="3:66" x14ac:dyDescent="0.25">
      <c r="C739" t="s">
        <v>347</v>
      </c>
      <c r="G739">
        <v>0</v>
      </c>
      <c r="H739">
        <v>17.27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69.78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12.95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67.2</v>
      </c>
      <c r="AK739" t="s">
        <v>1</v>
      </c>
      <c r="AL739" t="s">
        <v>372</v>
      </c>
      <c r="AO739" t="s">
        <v>378</v>
      </c>
      <c r="AQ739" s="1">
        <f t="shared" si="291"/>
        <v>100</v>
      </c>
      <c r="AR739" s="1">
        <f t="shared" si="294"/>
        <v>0</v>
      </c>
      <c r="AS739" s="1">
        <f t="shared" si="292"/>
        <v>0</v>
      </c>
      <c r="AT739" s="1">
        <f t="shared" si="292"/>
        <v>0.17269999999999999</v>
      </c>
      <c r="AU739" s="1">
        <f t="shared" si="295"/>
        <v>0.69779999999999998</v>
      </c>
      <c r="AV739" s="1">
        <f t="shared" si="306"/>
        <v>0.67200000000000004</v>
      </c>
      <c r="AX739" s="1">
        <f t="shared" si="307"/>
        <v>4.0405327156919517</v>
      </c>
      <c r="AY739" s="1">
        <f t="shared" si="296"/>
        <v>0</v>
      </c>
      <c r="AZ739" s="1">
        <f t="shared" si="297"/>
        <v>0.75253329473074704</v>
      </c>
      <c r="BA739" s="1">
        <f t="shared" si="298"/>
        <v>1.5101331789229879</v>
      </c>
      <c r="BB739" s="1">
        <f t="shared" si="299"/>
        <v>0</v>
      </c>
      <c r="BC739" s="1">
        <f t="shared" si="300"/>
        <v>0</v>
      </c>
      <c r="BD739" s="1">
        <f t="shared" si="308"/>
        <v>0.67200000000000004</v>
      </c>
      <c r="BF739">
        <f t="shared" si="301"/>
        <v>17.27</v>
      </c>
      <c r="BG739">
        <f t="shared" si="302"/>
        <v>12.95</v>
      </c>
      <c r="BH739" s="1">
        <f t="shared" si="303"/>
        <v>4.0405327156919517</v>
      </c>
      <c r="BI739" s="1">
        <f t="shared" si="304"/>
        <v>0.74985524030110018</v>
      </c>
      <c r="BJ739" s="1">
        <f t="shared" si="309"/>
        <v>0.67243196294151708</v>
      </c>
      <c r="BK739" s="1">
        <f t="shared" si="310"/>
        <v>0.63613740785212414</v>
      </c>
      <c r="BL739" s="22">
        <f t="shared" si="311"/>
        <v>0.63613740785212414</v>
      </c>
      <c r="BM739" s="1">
        <f t="shared" si="305"/>
        <v>1.2861255155648904E-3</v>
      </c>
      <c r="BN739" s="1">
        <f t="shared" si="293"/>
        <v>6.9885720575349072E-2</v>
      </c>
    </row>
    <row r="740" spans="3:66" x14ac:dyDescent="0.25">
      <c r="C740" t="s">
        <v>139</v>
      </c>
      <c r="G740">
        <v>0</v>
      </c>
      <c r="H740">
        <v>17.27</v>
      </c>
      <c r="I740">
        <v>0</v>
      </c>
      <c r="J740">
        <v>0</v>
      </c>
      <c r="K740">
        <v>0</v>
      </c>
      <c r="L740">
        <v>12.95</v>
      </c>
      <c r="M740">
        <v>0</v>
      </c>
      <c r="N740">
        <v>0</v>
      </c>
      <c r="O740">
        <v>0</v>
      </c>
      <c r="P740">
        <v>0</v>
      </c>
      <c r="Q740">
        <v>69.78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68.400000000000006</v>
      </c>
      <c r="AK740" t="s">
        <v>1</v>
      </c>
      <c r="AL740" t="s">
        <v>372</v>
      </c>
      <c r="AQ740" s="1">
        <f t="shared" ref="AQ740:AQ787" si="312">SUM(G740:AF740)</f>
        <v>100</v>
      </c>
      <c r="AR740" s="1">
        <f t="shared" si="294"/>
        <v>0.1295</v>
      </c>
      <c r="AS740" s="1">
        <f t="shared" si="292"/>
        <v>0</v>
      </c>
      <c r="AT740" s="1">
        <f t="shared" si="292"/>
        <v>0.17269999999999999</v>
      </c>
      <c r="AU740" s="1">
        <f t="shared" si="295"/>
        <v>0.69779999999999998</v>
      </c>
      <c r="AV740" s="1">
        <f t="shared" si="306"/>
        <v>0.68400000000000005</v>
      </c>
      <c r="AX740" s="1">
        <f t="shared" si="307"/>
        <v>4.0405327156919517</v>
      </c>
      <c r="AY740" s="1">
        <f t="shared" si="296"/>
        <v>0.74985524030110018</v>
      </c>
      <c r="AZ740" s="1">
        <f t="shared" si="297"/>
        <v>0.75253329473074704</v>
      </c>
      <c r="BA740" s="1">
        <f t="shared" si="298"/>
        <v>1.5101331789229879</v>
      </c>
      <c r="BB740" s="1">
        <f t="shared" si="299"/>
        <v>0.74985524030110018</v>
      </c>
      <c r="BC740" s="1">
        <f t="shared" si="300"/>
        <v>0.74985524030110018</v>
      </c>
      <c r="BD740" s="1">
        <f t="shared" si="308"/>
        <v>6.5855240301100126E-2</v>
      </c>
      <c r="BF740">
        <f t="shared" si="301"/>
        <v>17.27</v>
      </c>
      <c r="BG740">
        <f t="shared" si="302"/>
        <v>12.95</v>
      </c>
      <c r="BH740" s="1">
        <f t="shared" si="303"/>
        <v>4.0405327156919517</v>
      </c>
      <c r="BI740" s="1">
        <f t="shared" si="304"/>
        <v>0.74985524030110018</v>
      </c>
      <c r="BJ740" s="1">
        <f t="shared" si="309"/>
        <v>0.67243196294151708</v>
      </c>
      <c r="BK740" s="1">
        <f t="shared" si="310"/>
        <v>0.63613740785212414</v>
      </c>
      <c r="BL740" s="22">
        <f t="shared" si="311"/>
        <v>0.63613740785212414</v>
      </c>
      <c r="BM740" s="1">
        <f t="shared" si="305"/>
        <v>2.2908277271139134E-3</v>
      </c>
      <c r="BN740" s="1">
        <f t="shared" si="293"/>
        <v>7.6374338377187184E-2</v>
      </c>
    </row>
    <row r="741" spans="3:66" x14ac:dyDescent="0.25">
      <c r="C741" t="s">
        <v>769</v>
      </c>
      <c r="G741">
        <v>0</v>
      </c>
      <c r="H741">
        <v>17.27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6.48</v>
      </c>
      <c r="P741">
        <v>0</v>
      </c>
      <c r="Q741">
        <v>69.78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6.48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67</v>
      </c>
      <c r="AK741" t="s">
        <v>1</v>
      </c>
      <c r="AL741" t="s">
        <v>372</v>
      </c>
      <c r="AQ741" s="1">
        <f t="shared" si="312"/>
        <v>100.01</v>
      </c>
      <c r="AR741" s="1">
        <f t="shared" si="294"/>
        <v>6.480000000000001E-2</v>
      </c>
      <c r="AS741" s="1">
        <f t="shared" si="292"/>
        <v>0</v>
      </c>
      <c r="AT741" s="1">
        <f t="shared" si="292"/>
        <v>0.17269999999999999</v>
      </c>
      <c r="AU741" s="1">
        <f t="shared" si="295"/>
        <v>0.69779999999999998</v>
      </c>
      <c r="AV741" s="1">
        <f t="shared" si="306"/>
        <v>0.67</v>
      </c>
      <c r="AX741" s="1">
        <f t="shared" si="307"/>
        <v>4.0405327156919517</v>
      </c>
      <c r="AY741" s="1">
        <f t="shared" si="296"/>
        <v>0.37521713954834984</v>
      </c>
      <c r="AZ741" s="1">
        <f t="shared" si="297"/>
        <v>0.75253329473074704</v>
      </c>
      <c r="BA741" s="1">
        <f t="shared" si="298"/>
        <v>1.5101331789229879</v>
      </c>
      <c r="BB741" s="1">
        <f t="shared" si="299"/>
        <v>0.37521713954834984</v>
      </c>
      <c r="BC741" s="1">
        <f t="shared" si="300"/>
        <v>0.37521713954834984</v>
      </c>
      <c r="BD741" s="1">
        <f t="shared" si="308"/>
        <v>0.2947828604516502</v>
      </c>
      <c r="BF741">
        <f t="shared" si="301"/>
        <v>17.27</v>
      </c>
      <c r="BG741">
        <f t="shared" si="302"/>
        <v>12.96</v>
      </c>
      <c r="BH741" s="1">
        <f t="shared" si="303"/>
        <v>4.0405327156919517</v>
      </c>
      <c r="BI741" s="1">
        <f t="shared" si="304"/>
        <v>0.75043427909669957</v>
      </c>
      <c r="BJ741" s="1">
        <f t="shared" si="309"/>
        <v>0.67243196294151708</v>
      </c>
      <c r="BK741" s="1">
        <f t="shared" si="310"/>
        <v>0.63630539064497738</v>
      </c>
      <c r="BL741" s="22">
        <f t="shared" si="311"/>
        <v>0.63630539064497738</v>
      </c>
      <c r="BM741" s="1">
        <f t="shared" si="305"/>
        <v>1.1353266995875809E-3</v>
      </c>
      <c r="BN741" s="1">
        <f t="shared" si="293"/>
        <v>6.8832284275042718E-2</v>
      </c>
    </row>
    <row r="742" spans="3:66" x14ac:dyDescent="0.25">
      <c r="C742" t="s">
        <v>770</v>
      </c>
      <c r="G742">
        <v>0</v>
      </c>
      <c r="H742">
        <v>17.27</v>
      </c>
      <c r="I742">
        <v>0</v>
      </c>
      <c r="J742">
        <v>0</v>
      </c>
      <c r="K742">
        <v>0</v>
      </c>
      <c r="L742">
        <v>6.48</v>
      </c>
      <c r="M742">
        <v>0</v>
      </c>
      <c r="N742">
        <v>0</v>
      </c>
      <c r="O742">
        <v>0</v>
      </c>
      <c r="P742">
        <v>0</v>
      </c>
      <c r="Q742">
        <v>69.78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6.48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67.099999999999994</v>
      </c>
      <c r="AK742" t="s">
        <v>1</v>
      </c>
      <c r="AL742" t="s">
        <v>372</v>
      </c>
      <c r="AQ742" s="1">
        <f t="shared" si="312"/>
        <v>100.01</v>
      </c>
      <c r="AR742" s="1">
        <f t="shared" si="294"/>
        <v>6.480000000000001E-2</v>
      </c>
      <c r="AS742" s="1">
        <f t="shared" si="292"/>
        <v>0</v>
      </c>
      <c r="AT742" s="1">
        <f t="shared" si="292"/>
        <v>0.17269999999999999</v>
      </c>
      <c r="AU742" s="1">
        <f t="shared" si="295"/>
        <v>0.69779999999999998</v>
      </c>
      <c r="AV742" s="1">
        <f t="shared" si="306"/>
        <v>0.67099999999999993</v>
      </c>
      <c r="AX742" s="1">
        <f t="shared" si="307"/>
        <v>4.0405327156919517</v>
      </c>
      <c r="AY742" s="1">
        <f t="shared" si="296"/>
        <v>0.37521713954834984</v>
      </c>
      <c r="AZ742" s="1">
        <f t="shared" si="297"/>
        <v>0.75253329473074704</v>
      </c>
      <c r="BA742" s="1">
        <f t="shared" si="298"/>
        <v>1.5101331789229879</v>
      </c>
      <c r="BB742" s="1">
        <f t="shared" si="299"/>
        <v>0.37521713954834984</v>
      </c>
      <c r="BC742" s="1">
        <f t="shared" si="300"/>
        <v>0.37521713954834984</v>
      </c>
      <c r="BD742" s="1">
        <f t="shared" si="308"/>
        <v>0.29578286045165009</v>
      </c>
      <c r="BF742">
        <f t="shared" si="301"/>
        <v>17.27</v>
      </c>
      <c r="BG742">
        <f t="shared" si="302"/>
        <v>12.96</v>
      </c>
      <c r="BH742" s="1">
        <f t="shared" si="303"/>
        <v>4.0405327156919517</v>
      </c>
      <c r="BI742" s="1">
        <f t="shared" si="304"/>
        <v>0.75043427909669957</v>
      </c>
      <c r="BJ742" s="1">
        <f t="shared" si="309"/>
        <v>0.67243196294151708</v>
      </c>
      <c r="BK742" s="1">
        <f t="shared" si="310"/>
        <v>0.63630539064497738</v>
      </c>
      <c r="BL742" s="22">
        <f t="shared" si="311"/>
        <v>0.63630539064497738</v>
      </c>
      <c r="BM742" s="1">
        <f t="shared" si="305"/>
        <v>1.2037159182976185E-3</v>
      </c>
      <c r="BN742" s="1">
        <f t="shared" si="293"/>
        <v>6.9358002425195839E-2</v>
      </c>
    </row>
    <row r="743" spans="3:66" x14ac:dyDescent="0.25">
      <c r="C743" t="s">
        <v>346</v>
      </c>
      <c r="G743">
        <v>0</v>
      </c>
      <c r="H743">
        <v>17.27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12.95</v>
      </c>
      <c r="P743">
        <v>0</v>
      </c>
      <c r="Q743">
        <v>69.78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63.6</v>
      </c>
      <c r="AK743" t="s">
        <v>1</v>
      </c>
      <c r="AL743" t="s">
        <v>372</v>
      </c>
      <c r="AQ743" s="1">
        <f t="shared" si="312"/>
        <v>100</v>
      </c>
      <c r="AR743" s="1">
        <f t="shared" si="294"/>
        <v>0.1295</v>
      </c>
      <c r="AS743" s="1">
        <f t="shared" si="292"/>
        <v>0</v>
      </c>
      <c r="AT743" s="1">
        <f t="shared" si="292"/>
        <v>0.17269999999999999</v>
      </c>
      <c r="AU743" s="1">
        <f t="shared" si="295"/>
        <v>0.69779999999999998</v>
      </c>
      <c r="AV743" s="1">
        <f t="shared" si="306"/>
        <v>0.63600000000000001</v>
      </c>
      <c r="AX743" s="1">
        <f t="shared" si="307"/>
        <v>4.0405327156919517</v>
      </c>
      <c r="AY743" s="1">
        <f t="shared" si="296"/>
        <v>0.74985524030110018</v>
      </c>
      <c r="AZ743" s="1">
        <f t="shared" si="297"/>
        <v>0.75253329473074704</v>
      </c>
      <c r="BA743" s="1">
        <f t="shared" si="298"/>
        <v>1.5101331789229879</v>
      </c>
      <c r="BB743" s="1">
        <f t="shared" si="299"/>
        <v>0.74985524030110018</v>
      </c>
      <c r="BC743" s="1">
        <f t="shared" si="300"/>
        <v>0.74985524030110018</v>
      </c>
      <c r="BD743" s="1">
        <f t="shared" si="308"/>
        <v>0.11385524030110017</v>
      </c>
      <c r="BF743">
        <f t="shared" si="301"/>
        <v>17.27</v>
      </c>
      <c r="BG743">
        <f t="shared" si="302"/>
        <v>12.95</v>
      </c>
      <c r="BH743" s="1">
        <f t="shared" si="303"/>
        <v>4.0405327156919517</v>
      </c>
      <c r="BI743" s="1">
        <f t="shared" si="304"/>
        <v>0.74985524030110018</v>
      </c>
      <c r="BJ743" s="1">
        <f t="shared" si="309"/>
        <v>0.67243196294151708</v>
      </c>
      <c r="BK743" s="1">
        <f t="shared" si="310"/>
        <v>0.63613740785212414</v>
      </c>
      <c r="BL743" s="22">
        <f t="shared" si="311"/>
        <v>0.63613740785212414</v>
      </c>
      <c r="BM743" s="1">
        <f t="shared" si="305"/>
        <v>1.8880917825366038E-8</v>
      </c>
      <c r="BN743" s="1">
        <f t="shared" si="293"/>
        <v>5.2147867169834723E-2</v>
      </c>
    </row>
    <row r="744" spans="3:66" x14ac:dyDescent="0.25">
      <c r="C744" t="s">
        <v>771</v>
      </c>
      <c r="G744">
        <v>0</v>
      </c>
      <c r="H744">
        <v>17.27</v>
      </c>
      <c r="I744">
        <v>0</v>
      </c>
      <c r="J744">
        <v>0</v>
      </c>
      <c r="K744">
        <v>0</v>
      </c>
      <c r="L744">
        <v>0</v>
      </c>
      <c r="M744">
        <v>6.48</v>
      </c>
      <c r="N744">
        <v>0</v>
      </c>
      <c r="O744">
        <v>6.48</v>
      </c>
      <c r="P744">
        <v>0</v>
      </c>
      <c r="Q744">
        <v>69.78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55.2</v>
      </c>
      <c r="AK744" t="s">
        <v>1</v>
      </c>
      <c r="AL744" t="s">
        <v>372</v>
      </c>
      <c r="AQ744" s="1">
        <f t="shared" si="312"/>
        <v>100.01</v>
      </c>
      <c r="AR744" s="1">
        <f t="shared" si="294"/>
        <v>0.12960000000000002</v>
      </c>
      <c r="AS744" s="1">
        <f t="shared" si="292"/>
        <v>0</v>
      </c>
      <c r="AT744" s="1">
        <f t="shared" si="292"/>
        <v>0.17269999999999999</v>
      </c>
      <c r="AU744" s="1">
        <f t="shared" si="295"/>
        <v>0.69779999999999998</v>
      </c>
      <c r="AV744" s="1">
        <f t="shared" si="306"/>
        <v>0.55200000000000005</v>
      </c>
      <c r="AX744" s="1">
        <f t="shared" si="307"/>
        <v>4.0405327156919517</v>
      </c>
      <c r="AY744" s="1">
        <f t="shared" si="296"/>
        <v>0.75043427909669969</v>
      </c>
      <c r="AZ744" s="1">
        <f t="shared" si="297"/>
        <v>0.75253329473074704</v>
      </c>
      <c r="BA744" s="1">
        <f t="shared" si="298"/>
        <v>1.5101331789229879</v>
      </c>
      <c r="BB744" s="1">
        <f t="shared" si="299"/>
        <v>0.75043427909669969</v>
      </c>
      <c r="BC744" s="1">
        <f t="shared" si="300"/>
        <v>0.75043427909669969</v>
      </c>
      <c r="BD744" s="1">
        <f t="shared" si="308"/>
        <v>0.19843427909669964</v>
      </c>
      <c r="BF744">
        <f t="shared" si="301"/>
        <v>17.27</v>
      </c>
      <c r="BG744">
        <f t="shared" si="302"/>
        <v>12.96</v>
      </c>
      <c r="BH744" s="1">
        <f t="shared" si="303"/>
        <v>4.0405327156919517</v>
      </c>
      <c r="BI744" s="1">
        <f t="shared" si="304"/>
        <v>0.75043427909669957</v>
      </c>
      <c r="BJ744" s="1">
        <f t="shared" si="309"/>
        <v>0.67243196294151708</v>
      </c>
      <c r="BK744" s="1">
        <f t="shared" si="310"/>
        <v>0.63630539064497738</v>
      </c>
      <c r="BL744" s="22">
        <f t="shared" si="311"/>
        <v>0.63630539064497738</v>
      </c>
      <c r="BM744" s="1">
        <f t="shared" si="305"/>
        <v>7.107398891802231E-3</v>
      </c>
      <c r="BN744" s="1">
        <f t="shared" si="293"/>
        <v>2.083954255696796E-2</v>
      </c>
    </row>
    <row r="745" spans="3:66" x14ac:dyDescent="0.25">
      <c r="C745" t="s">
        <v>772</v>
      </c>
      <c r="G745">
        <v>0</v>
      </c>
      <c r="H745">
        <v>17.27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6.48</v>
      </c>
      <c r="P745">
        <v>0</v>
      </c>
      <c r="Q745">
        <v>69.78</v>
      </c>
      <c r="R745">
        <v>0</v>
      </c>
      <c r="S745">
        <v>0</v>
      </c>
      <c r="T745">
        <v>0</v>
      </c>
      <c r="U745">
        <v>0</v>
      </c>
      <c r="V745">
        <v>6.48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56.8</v>
      </c>
      <c r="AK745" t="s">
        <v>1</v>
      </c>
      <c r="AL745" t="s">
        <v>372</v>
      </c>
      <c r="AQ745" s="1">
        <f t="shared" si="312"/>
        <v>100.01</v>
      </c>
      <c r="AR745" s="1">
        <f t="shared" si="294"/>
        <v>6.480000000000001E-2</v>
      </c>
      <c r="AS745" s="1">
        <f t="shared" si="292"/>
        <v>0</v>
      </c>
      <c r="AT745" s="1">
        <f t="shared" si="292"/>
        <v>0.17269999999999999</v>
      </c>
      <c r="AU745" s="1">
        <f t="shared" si="295"/>
        <v>0.69779999999999998</v>
      </c>
      <c r="AV745" s="1">
        <f t="shared" si="306"/>
        <v>0.56799999999999995</v>
      </c>
      <c r="AX745" s="1">
        <f t="shared" si="307"/>
        <v>4.0405327156919517</v>
      </c>
      <c r="AY745" s="1">
        <f t="shared" si="296"/>
        <v>0.37521713954834984</v>
      </c>
      <c r="AZ745" s="1">
        <f t="shared" si="297"/>
        <v>0.75253329473074704</v>
      </c>
      <c r="BA745" s="1">
        <f t="shared" si="298"/>
        <v>1.5101331789229879</v>
      </c>
      <c r="BB745" s="1">
        <f t="shared" si="299"/>
        <v>0.37521713954834984</v>
      </c>
      <c r="BC745" s="1">
        <f t="shared" si="300"/>
        <v>0.37521713954834984</v>
      </c>
      <c r="BD745" s="1">
        <f t="shared" si="308"/>
        <v>0.19278286045165011</v>
      </c>
      <c r="BF745">
        <f t="shared" si="301"/>
        <v>17.27</v>
      </c>
      <c r="BG745">
        <f t="shared" si="302"/>
        <v>9.7200000000000006</v>
      </c>
      <c r="BH745" s="1">
        <f t="shared" si="303"/>
        <v>4.0405327156919517</v>
      </c>
      <c r="BI745" s="1">
        <f t="shared" si="304"/>
        <v>0.56282570932252463</v>
      </c>
      <c r="BJ745" s="1">
        <f t="shared" si="309"/>
        <v>0.67243196294151708</v>
      </c>
      <c r="BK745" s="1">
        <f t="shared" si="310"/>
        <v>0.56282570932252463</v>
      </c>
      <c r="BL745" s="22">
        <f t="shared" si="311"/>
        <v>0.56282570932252463</v>
      </c>
      <c r="BM745" s="1">
        <f t="shared" si="305"/>
        <v>2.6773284015008048E-5</v>
      </c>
      <c r="BN745" s="1">
        <f t="shared" si="293"/>
        <v>2.5715032959418745E-2</v>
      </c>
    </row>
    <row r="746" spans="3:66" x14ac:dyDescent="0.25">
      <c r="C746" t="s">
        <v>773</v>
      </c>
      <c r="G746">
        <v>0</v>
      </c>
      <c r="H746">
        <v>17.27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6.48</v>
      </c>
      <c r="P746">
        <v>0</v>
      </c>
      <c r="Q746">
        <v>69.78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6.48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52.1</v>
      </c>
      <c r="AK746" t="s">
        <v>1</v>
      </c>
      <c r="AL746" t="s">
        <v>372</v>
      </c>
      <c r="AQ746" s="1">
        <f t="shared" si="312"/>
        <v>100.01</v>
      </c>
      <c r="AR746" s="1">
        <f t="shared" si="294"/>
        <v>6.480000000000001E-2</v>
      </c>
      <c r="AS746" s="1">
        <f t="shared" si="292"/>
        <v>0</v>
      </c>
      <c r="AT746" s="1">
        <f t="shared" si="292"/>
        <v>0.17269999999999999</v>
      </c>
      <c r="AU746" s="1">
        <f t="shared" si="295"/>
        <v>0.69779999999999998</v>
      </c>
      <c r="AV746" s="1">
        <f t="shared" si="306"/>
        <v>0.52100000000000002</v>
      </c>
      <c r="AX746" s="1">
        <f t="shared" si="307"/>
        <v>4.0405327156919517</v>
      </c>
      <c r="AY746" s="1">
        <f t="shared" si="296"/>
        <v>0.37521713954834984</v>
      </c>
      <c r="AZ746" s="1">
        <f t="shared" si="297"/>
        <v>0.75253329473074704</v>
      </c>
      <c r="BA746" s="1">
        <f t="shared" si="298"/>
        <v>1.5101331789229879</v>
      </c>
      <c r="BB746" s="1">
        <f t="shared" si="299"/>
        <v>0.37521713954834984</v>
      </c>
      <c r="BC746" s="1">
        <f t="shared" si="300"/>
        <v>0.37521713954834984</v>
      </c>
      <c r="BD746" s="1">
        <f t="shared" si="308"/>
        <v>0.14578286045165018</v>
      </c>
      <c r="BF746">
        <f t="shared" si="301"/>
        <v>17.27</v>
      </c>
      <c r="BG746">
        <f t="shared" si="302"/>
        <v>9.7200000000000006</v>
      </c>
      <c r="BH746" s="1">
        <f t="shared" si="303"/>
        <v>4.0405327156919517</v>
      </c>
      <c r="BI746" s="1">
        <f t="shared" si="304"/>
        <v>0.56282570932252463</v>
      </c>
      <c r="BJ746" s="1">
        <f t="shared" si="309"/>
        <v>0.67243196294151708</v>
      </c>
      <c r="BK746" s="1">
        <f t="shared" si="310"/>
        <v>0.56282570932252463</v>
      </c>
      <c r="BL746" s="22">
        <f t="shared" si="311"/>
        <v>0.56282570932252463</v>
      </c>
      <c r="BM746" s="1">
        <f t="shared" si="305"/>
        <v>1.7493899603323218E-3</v>
      </c>
      <c r="BN746" s="1">
        <f t="shared" si="293"/>
        <v>1.28502799022195E-2</v>
      </c>
    </row>
    <row r="747" spans="3:66" x14ac:dyDescent="0.25">
      <c r="C747" t="s">
        <v>774</v>
      </c>
      <c r="G747">
        <v>0</v>
      </c>
      <c r="H747">
        <v>17.27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6.48</v>
      </c>
      <c r="O747">
        <v>6.48</v>
      </c>
      <c r="P747">
        <v>0</v>
      </c>
      <c r="Q747">
        <v>69.78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30.2</v>
      </c>
      <c r="AK747" t="s">
        <v>1</v>
      </c>
      <c r="AL747" t="s">
        <v>372</v>
      </c>
      <c r="AQ747" s="1">
        <f t="shared" si="312"/>
        <v>100.01</v>
      </c>
      <c r="AR747" s="1">
        <f t="shared" si="294"/>
        <v>6.480000000000001E-2</v>
      </c>
      <c r="AS747" s="1">
        <f t="shared" si="292"/>
        <v>0</v>
      </c>
      <c r="AT747" s="1">
        <f t="shared" si="292"/>
        <v>0.17269999999999999</v>
      </c>
      <c r="AU747" s="1">
        <f t="shared" si="295"/>
        <v>0.69779999999999998</v>
      </c>
      <c r="AV747" s="1">
        <f t="shared" si="306"/>
        <v>0.30199999999999999</v>
      </c>
      <c r="AX747" s="1">
        <f t="shared" si="307"/>
        <v>4.0405327156919517</v>
      </c>
      <c r="AY747" s="1">
        <f t="shared" si="296"/>
        <v>0.37521713954834984</v>
      </c>
      <c r="AZ747" s="1">
        <f t="shared" si="297"/>
        <v>0.75253329473074704</v>
      </c>
      <c r="BA747" s="1">
        <f t="shared" si="298"/>
        <v>1.5101331789229879</v>
      </c>
      <c r="BB747" s="1">
        <f t="shared" si="299"/>
        <v>0.37521713954834984</v>
      </c>
      <c r="BC747" s="1">
        <f t="shared" si="300"/>
        <v>0.37521713954834984</v>
      </c>
      <c r="BD747" s="1">
        <f t="shared" si="308"/>
        <v>7.3217139548349852E-2</v>
      </c>
      <c r="BF747">
        <f t="shared" si="301"/>
        <v>17.27</v>
      </c>
      <c r="BG747">
        <f t="shared" si="302"/>
        <v>9.7200000000000006</v>
      </c>
      <c r="BH747" s="1">
        <f t="shared" si="303"/>
        <v>4.0405327156919517</v>
      </c>
      <c r="BI747" s="1">
        <f t="shared" si="304"/>
        <v>0.56282570932252463</v>
      </c>
      <c r="BJ747" s="1">
        <f t="shared" si="309"/>
        <v>0.67243196294151708</v>
      </c>
      <c r="BK747" s="1">
        <f t="shared" si="310"/>
        <v>0.56282570932252463</v>
      </c>
      <c r="BL747" s="22">
        <f t="shared" si="311"/>
        <v>0.56282570932252463</v>
      </c>
      <c r="BM747" s="1">
        <f t="shared" si="305"/>
        <v>6.8030050643598114E-2</v>
      </c>
      <c r="BN747" s="1">
        <f t="shared" si="293"/>
        <v>1.116000501867399E-2</v>
      </c>
    </row>
    <row r="748" spans="3:66" x14ac:dyDescent="0.25">
      <c r="C748" t="s">
        <v>732</v>
      </c>
      <c r="G748">
        <v>0</v>
      </c>
      <c r="H748">
        <v>26.7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20</v>
      </c>
      <c r="P748">
        <v>0</v>
      </c>
      <c r="Q748">
        <v>53.3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60.4</v>
      </c>
      <c r="AK748" t="s">
        <v>1</v>
      </c>
      <c r="AL748" t="s">
        <v>372</v>
      </c>
      <c r="AO748" t="s">
        <v>378</v>
      </c>
      <c r="AP748" t="s">
        <v>844</v>
      </c>
      <c r="AQ748" s="1">
        <f t="shared" si="312"/>
        <v>100</v>
      </c>
      <c r="AR748" s="1">
        <f t="shared" si="294"/>
        <v>0.2</v>
      </c>
      <c r="AS748" s="1">
        <f t="shared" si="292"/>
        <v>0</v>
      </c>
      <c r="AT748" s="1">
        <f t="shared" si="292"/>
        <v>0.26700000000000002</v>
      </c>
      <c r="AU748" s="1">
        <f t="shared" si="295"/>
        <v>0.53299999999999992</v>
      </c>
      <c r="AV748" s="1">
        <f t="shared" si="306"/>
        <v>0.60399999999999998</v>
      </c>
      <c r="AX748" s="1">
        <f t="shared" si="307"/>
        <v>1.9962546816479396</v>
      </c>
      <c r="AY748" s="1">
        <f t="shared" si="296"/>
        <v>0.74906367041198507</v>
      </c>
      <c r="AZ748" s="1">
        <f t="shared" si="297"/>
        <v>0.62476591760299627</v>
      </c>
      <c r="BA748" s="1">
        <f t="shared" si="298"/>
        <v>0.99906367041198485</v>
      </c>
      <c r="BB748" s="1">
        <f t="shared" si="299"/>
        <v>0.62476591760299627</v>
      </c>
      <c r="BC748" s="1">
        <f t="shared" si="300"/>
        <v>0.62476591760299627</v>
      </c>
      <c r="BD748" s="1">
        <f t="shared" si="308"/>
        <v>2.0765917602996287E-2</v>
      </c>
      <c r="BF748">
        <f t="shared" si="301"/>
        <v>26.7</v>
      </c>
      <c r="BG748">
        <f t="shared" si="302"/>
        <v>20</v>
      </c>
      <c r="BH748" s="1">
        <f t="shared" si="303"/>
        <v>1.9962546816479401</v>
      </c>
      <c r="BI748" s="1">
        <f t="shared" si="304"/>
        <v>0.74906367041198507</v>
      </c>
      <c r="BJ748" s="1">
        <f t="shared" si="309"/>
        <v>0.5497752808988764</v>
      </c>
      <c r="BK748" s="1">
        <f t="shared" si="310"/>
        <v>0.54944198891805596</v>
      </c>
      <c r="BL748" s="22">
        <f t="shared" si="311"/>
        <v>0.54944198891805596</v>
      </c>
      <c r="BM748" s="1">
        <f t="shared" si="305"/>
        <v>2.9765765732175271E-3</v>
      </c>
      <c r="BN748" s="1">
        <f t="shared" si="293"/>
        <v>3.8556886364933082E-2</v>
      </c>
    </row>
    <row r="749" spans="3:66" x14ac:dyDescent="0.25">
      <c r="C749" t="s">
        <v>740</v>
      </c>
      <c r="G749">
        <v>0</v>
      </c>
      <c r="H749">
        <v>17.399999999999999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13</v>
      </c>
      <c r="P749">
        <v>0</v>
      </c>
      <c r="Q749">
        <v>69.599999999999994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61.8</v>
      </c>
      <c r="AK749" t="s">
        <v>1</v>
      </c>
      <c r="AL749" t="s">
        <v>372</v>
      </c>
      <c r="AQ749" s="1">
        <f t="shared" si="312"/>
        <v>100</v>
      </c>
      <c r="AR749" s="1">
        <f t="shared" si="294"/>
        <v>0.13</v>
      </c>
      <c r="AS749" s="1">
        <f t="shared" si="292"/>
        <v>0</v>
      </c>
      <c r="AT749" s="1">
        <f t="shared" si="292"/>
        <v>0.17399999999999999</v>
      </c>
      <c r="AU749" s="1">
        <f t="shared" si="295"/>
        <v>0.69599999999999995</v>
      </c>
      <c r="AV749" s="1">
        <f t="shared" si="306"/>
        <v>0.61799999999999999</v>
      </c>
      <c r="AX749" s="1">
        <f t="shared" si="307"/>
        <v>4</v>
      </c>
      <c r="AY749" s="1">
        <f t="shared" si="296"/>
        <v>0.74712643678160928</v>
      </c>
      <c r="AZ749" s="1">
        <f t="shared" si="297"/>
        <v>0.75</v>
      </c>
      <c r="BA749" s="1">
        <f t="shared" si="298"/>
        <v>1.5</v>
      </c>
      <c r="BB749" s="1">
        <f t="shared" si="299"/>
        <v>0.74712643678160928</v>
      </c>
      <c r="BC749" s="1">
        <f t="shared" si="300"/>
        <v>0.74712643678160928</v>
      </c>
      <c r="BD749" s="1">
        <f t="shared" si="308"/>
        <v>0.12912643678160929</v>
      </c>
      <c r="BF749">
        <f t="shared" si="301"/>
        <v>17.399999999999999</v>
      </c>
      <c r="BG749">
        <f t="shared" si="302"/>
        <v>13</v>
      </c>
      <c r="BH749" s="1">
        <f t="shared" si="303"/>
        <v>4</v>
      </c>
      <c r="BI749" s="1">
        <f t="shared" si="304"/>
        <v>0.74712643678160928</v>
      </c>
      <c r="BJ749" s="1">
        <f t="shared" si="309"/>
        <v>0.66999999999999993</v>
      </c>
      <c r="BK749" s="1">
        <f t="shared" si="310"/>
        <v>0.63400721288396622</v>
      </c>
      <c r="BL749" s="22">
        <f t="shared" si="311"/>
        <v>0.63400721288396622</v>
      </c>
      <c r="BM749" s="1">
        <f t="shared" si="305"/>
        <v>2.5623086431261435E-4</v>
      </c>
      <c r="BN749" s="1">
        <f t="shared" si="293"/>
        <v>4.4250940467077546E-2</v>
      </c>
    </row>
    <row r="750" spans="3:66" x14ac:dyDescent="0.25">
      <c r="C750" t="s">
        <v>775</v>
      </c>
      <c r="G750">
        <v>0</v>
      </c>
      <c r="H750">
        <v>17.399999999999999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6.5</v>
      </c>
      <c r="O750">
        <v>6.5</v>
      </c>
      <c r="P750">
        <v>0</v>
      </c>
      <c r="Q750">
        <v>69.599999999999994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31</v>
      </c>
      <c r="AK750" t="s">
        <v>1</v>
      </c>
      <c r="AL750" t="s">
        <v>372</v>
      </c>
      <c r="AQ750" s="1">
        <f t="shared" si="312"/>
        <v>100</v>
      </c>
      <c r="AR750" s="1">
        <f t="shared" si="294"/>
        <v>6.5000000000000002E-2</v>
      </c>
      <c r="AS750" s="1">
        <f t="shared" si="292"/>
        <v>0</v>
      </c>
      <c r="AT750" s="1">
        <f t="shared" si="292"/>
        <v>0.17399999999999999</v>
      </c>
      <c r="AU750" s="1">
        <f t="shared" si="295"/>
        <v>0.69599999999999995</v>
      </c>
      <c r="AV750" s="1">
        <f t="shared" si="306"/>
        <v>0.31</v>
      </c>
      <c r="AX750" s="1">
        <f t="shared" si="307"/>
        <v>4</v>
      </c>
      <c r="AY750" s="1">
        <f t="shared" si="296"/>
        <v>0.37356321839080464</v>
      </c>
      <c r="AZ750" s="1">
        <f t="shared" si="297"/>
        <v>0.75</v>
      </c>
      <c r="BA750" s="1">
        <f t="shared" si="298"/>
        <v>1.5</v>
      </c>
      <c r="BB750" s="1">
        <f t="shared" si="299"/>
        <v>0.37356321839080464</v>
      </c>
      <c r="BC750" s="1">
        <f t="shared" si="300"/>
        <v>0.37356321839080464</v>
      </c>
      <c r="BD750" s="1">
        <f t="shared" si="308"/>
        <v>6.3563218390804643E-2</v>
      </c>
      <c r="BF750">
        <f t="shared" si="301"/>
        <v>17.399999999999999</v>
      </c>
      <c r="BG750">
        <f t="shared" si="302"/>
        <v>9.75</v>
      </c>
      <c r="BH750" s="1">
        <f t="shared" si="303"/>
        <v>4</v>
      </c>
      <c r="BI750" s="1">
        <f t="shared" si="304"/>
        <v>0.56034482758620696</v>
      </c>
      <c r="BJ750" s="1">
        <f t="shared" si="309"/>
        <v>0.66999999999999993</v>
      </c>
      <c r="BK750" s="1">
        <f t="shared" si="310"/>
        <v>0.56034482758620696</v>
      </c>
      <c r="BL750" s="22">
        <f t="shared" si="311"/>
        <v>0.56034482758620696</v>
      </c>
      <c r="BM750" s="1">
        <f t="shared" si="305"/>
        <v>6.2672532699167685E-2</v>
      </c>
      <c r="BN750" s="1">
        <f t="shared" si="293"/>
        <v>9.5337502198993961E-3</v>
      </c>
    </row>
    <row r="751" spans="3:66" x14ac:dyDescent="0.25">
      <c r="C751" t="s">
        <v>776</v>
      </c>
      <c r="G751">
        <v>0</v>
      </c>
      <c r="H751">
        <v>14.1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14.8</v>
      </c>
      <c r="O751">
        <v>14.8</v>
      </c>
      <c r="P751">
        <v>0</v>
      </c>
      <c r="Q751">
        <v>56.3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44.5</v>
      </c>
      <c r="AK751" t="s">
        <v>1</v>
      </c>
      <c r="AL751" t="s">
        <v>372</v>
      </c>
      <c r="AQ751" s="1">
        <f t="shared" si="312"/>
        <v>100</v>
      </c>
      <c r="AR751" s="1">
        <f t="shared" si="294"/>
        <v>0.14800000000000002</v>
      </c>
      <c r="AS751" s="1">
        <f t="shared" si="292"/>
        <v>0</v>
      </c>
      <c r="AT751" s="1">
        <f t="shared" si="292"/>
        <v>0.14099999999999999</v>
      </c>
      <c r="AU751" s="1">
        <f t="shared" si="295"/>
        <v>0.56299999999999994</v>
      </c>
      <c r="AV751" s="1">
        <f t="shared" si="306"/>
        <v>0.44500000000000001</v>
      </c>
      <c r="AX751" s="1">
        <f t="shared" si="307"/>
        <v>3.9929078014184398</v>
      </c>
      <c r="AY751" s="1">
        <f t="shared" si="296"/>
        <v>1.0496453900709222</v>
      </c>
      <c r="AZ751" s="1">
        <f t="shared" si="297"/>
        <v>0.74955673758865249</v>
      </c>
      <c r="BA751" s="1">
        <f t="shared" si="298"/>
        <v>1.49822695035461</v>
      </c>
      <c r="BB751" s="1">
        <f t="shared" si="299"/>
        <v>0.74955673758865249</v>
      </c>
      <c r="BC751" s="1">
        <f t="shared" si="300"/>
        <v>0.74955673758865249</v>
      </c>
      <c r="BD751" s="1">
        <f t="shared" si="308"/>
        <v>0.30455673758865248</v>
      </c>
      <c r="BF751">
        <f t="shared" si="301"/>
        <v>14.1</v>
      </c>
      <c r="BG751">
        <f t="shared" si="302"/>
        <v>22.200000000000003</v>
      </c>
      <c r="BH751" s="1">
        <f t="shared" si="303"/>
        <v>3.9929078014184398</v>
      </c>
      <c r="BI751" s="1">
        <f t="shared" si="304"/>
        <v>1.5744680851063833</v>
      </c>
      <c r="BJ751" s="1">
        <f t="shared" si="309"/>
        <v>0.66957446808510634</v>
      </c>
      <c r="BK751" s="1">
        <f t="shared" si="310"/>
        <v>0.72467446182954043</v>
      </c>
      <c r="BL751" s="22">
        <f t="shared" si="311"/>
        <v>0.72467446182954043</v>
      </c>
      <c r="BM751" s="1">
        <f t="shared" si="305"/>
        <v>7.8217804599643059E-2</v>
      </c>
      <c r="BN751" s="1">
        <f t="shared" si="293"/>
        <v>1.395700490578133E-3</v>
      </c>
    </row>
    <row r="752" spans="3:66" x14ac:dyDescent="0.25">
      <c r="C752" t="s">
        <v>777</v>
      </c>
      <c r="G752">
        <v>3.84</v>
      </c>
      <c r="H752">
        <v>15.96</v>
      </c>
      <c r="I752">
        <v>5.73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12.65</v>
      </c>
      <c r="P752">
        <v>0</v>
      </c>
      <c r="Q752">
        <v>60.09</v>
      </c>
      <c r="R752">
        <v>0</v>
      </c>
      <c r="S752">
        <v>0</v>
      </c>
      <c r="T752">
        <v>0</v>
      </c>
      <c r="U752">
        <v>1.72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50</v>
      </c>
      <c r="AK752" t="s">
        <v>1</v>
      </c>
      <c r="AL752" t="s">
        <v>374</v>
      </c>
      <c r="AM752" t="s">
        <v>845</v>
      </c>
      <c r="AO752" t="s">
        <v>378</v>
      </c>
      <c r="AP752" t="s">
        <v>846</v>
      </c>
      <c r="AQ752" s="1">
        <f t="shared" si="312"/>
        <v>99.990000000000009</v>
      </c>
      <c r="AR752" s="1">
        <f t="shared" si="294"/>
        <v>0.1265</v>
      </c>
      <c r="AS752" s="1">
        <f t="shared" si="292"/>
        <v>3.8399999999999997E-2</v>
      </c>
      <c r="AT752" s="1">
        <f t="shared" si="292"/>
        <v>0.15960000000000002</v>
      </c>
      <c r="AU752" s="1">
        <f t="shared" si="295"/>
        <v>0.60089999999999999</v>
      </c>
      <c r="AV752" s="1">
        <f t="shared" si="306"/>
        <v>0.5</v>
      </c>
      <c r="AX752" s="1">
        <f t="shared" si="307"/>
        <v>3.0348484848484847</v>
      </c>
      <c r="AY752" s="1">
        <f t="shared" si="296"/>
        <v>0.63888888888888884</v>
      </c>
      <c r="AZ752" s="1">
        <f t="shared" si="297"/>
        <v>0.68967803030303032</v>
      </c>
      <c r="BA752" s="1">
        <f t="shared" si="298"/>
        <v>1.2587121212121213</v>
      </c>
      <c r="BB752" s="1">
        <f t="shared" si="299"/>
        <v>0.63888888888888884</v>
      </c>
      <c r="BC752" s="1">
        <f t="shared" si="300"/>
        <v>0.63888888888888884</v>
      </c>
      <c r="BD752" s="1">
        <f t="shared" si="308"/>
        <v>0.13888888888888884</v>
      </c>
      <c r="BF752">
        <f t="shared" si="301"/>
        <v>34.76</v>
      </c>
      <c r="BG752">
        <f t="shared" si="302"/>
        <v>15.515000000000001</v>
      </c>
      <c r="BH752" s="1">
        <f t="shared" si="303"/>
        <v>1.7287111622554663</v>
      </c>
      <c r="BI752" s="1">
        <f t="shared" si="304"/>
        <v>0.44634637514384357</v>
      </c>
      <c r="BJ752" s="1">
        <f t="shared" si="309"/>
        <v>0.533722669735328</v>
      </c>
      <c r="BK752" s="1">
        <f t="shared" si="310"/>
        <v>0.44634637514384357</v>
      </c>
      <c r="BL752" s="22">
        <f t="shared" si="311"/>
        <v>0.44634637514384357</v>
      </c>
      <c r="BM752" s="1">
        <f t="shared" si="305"/>
        <v>2.8787114602051678E-3</v>
      </c>
      <c r="BN752" s="1">
        <f t="shared" si="293"/>
        <v>8.5301987490028035E-3</v>
      </c>
    </row>
    <row r="753" spans="3:66" x14ac:dyDescent="0.25">
      <c r="C753" t="s">
        <v>778</v>
      </c>
      <c r="G753">
        <v>0</v>
      </c>
      <c r="H753">
        <v>15.37</v>
      </c>
      <c r="I753">
        <v>5.52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12.18</v>
      </c>
      <c r="P753">
        <v>0</v>
      </c>
      <c r="Q753">
        <v>65.28</v>
      </c>
      <c r="R753">
        <v>0</v>
      </c>
      <c r="S753">
        <v>0</v>
      </c>
      <c r="T753">
        <v>0</v>
      </c>
      <c r="U753">
        <v>1.66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64</v>
      </c>
      <c r="AK753" t="s">
        <v>1</v>
      </c>
      <c r="AL753" t="s">
        <v>374</v>
      </c>
      <c r="AP753" t="s">
        <v>847</v>
      </c>
      <c r="AQ753" s="1">
        <f t="shared" si="312"/>
        <v>100.00999999999999</v>
      </c>
      <c r="AR753" s="1">
        <f t="shared" si="294"/>
        <v>0.12179999999999999</v>
      </c>
      <c r="AS753" s="1">
        <f t="shared" si="292"/>
        <v>0</v>
      </c>
      <c r="AT753" s="1">
        <f t="shared" si="292"/>
        <v>0.1537</v>
      </c>
      <c r="AU753" s="1">
        <f t="shared" si="295"/>
        <v>0.65280000000000005</v>
      </c>
      <c r="AV753" s="1">
        <f t="shared" si="306"/>
        <v>0.64</v>
      </c>
      <c r="AX753" s="1">
        <f t="shared" si="307"/>
        <v>4.2472348731294733</v>
      </c>
      <c r="AY753" s="1">
        <f t="shared" si="296"/>
        <v>0.79245283018867918</v>
      </c>
      <c r="AZ753" s="1">
        <f t="shared" si="297"/>
        <v>0.76545217957059208</v>
      </c>
      <c r="BA753" s="1">
        <f t="shared" si="298"/>
        <v>1.5618087182823683</v>
      </c>
      <c r="BB753" s="1">
        <f t="shared" si="299"/>
        <v>0.76545217957059208</v>
      </c>
      <c r="BC753" s="1">
        <f t="shared" si="300"/>
        <v>0.76545217957059208</v>
      </c>
      <c r="BD753" s="1">
        <f t="shared" si="308"/>
        <v>0.12545217957059207</v>
      </c>
      <c r="BF753">
        <f t="shared" si="301"/>
        <v>18.689999999999998</v>
      </c>
      <c r="BG753">
        <f t="shared" si="302"/>
        <v>14.94</v>
      </c>
      <c r="BH753" s="1">
        <f t="shared" si="303"/>
        <v>3.4927768860353137</v>
      </c>
      <c r="BI753" s="1">
        <f t="shared" si="304"/>
        <v>0.7993579454253612</v>
      </c>
      <c r="BJ753" s="1">
        <f t="shared" si="309"/>
        <v>0.63956661316211882</v>
      </c>
      <c r="BK753" s="1">
        <f t="shared" si="310"/>
        <v>0.62884973905421637</v>
      </c>
      <c r="BL753" s="22">
        <f t="shared" si="311"/>
        <v>0.62884973905421637</v>
      </c>
      <c r="BM753" s="1">
        <f t="shared" si="305"/>
        <v>1.243283191590679E-4</v>
      </c>
      <c r="BN753" s="1">
        <f t="shared" si="293"/>
        <v>5.3990739770447424E-2</v>
      </c>
    </row>
    <row r="754" spans="3:66" x14ac:dyDescent="0.25">
      <c r="C754" t="s">
        <v>779</v>
      </c>
      <c r="G754">
        <v>11.98</v>
      </c>
      <c r="H754">
        <v>17.21</v>
      </c>
      <c r="I754">
        <v>6.18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13.64</v>
      </c>
      <c r="P754">
        <v>0</v>
      </c>
      <c r="Q754">
        <v>49.13</v>
      </c>
      <c r="R754">
        <v>0</v>
      </c>
      <c r="S754">
        <v>0</v>
      </c>
      <c r="T754">
        <v>0</v>
      </c>
      <c r="U754">
        <v>1.85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23</v>
      </c>
      <c r="AK754" t="s">
        <v>1</v>
      </c>
      <c r="AL754" t="s">
        <v>374</v>
      </c>
      <c r="AQ754" s="1">
        <f t="shared" si="312"/>
        <v>99.990000000000009</v>
      </c>
      <c r="AR754" s="1">
        <f t="shared" si="294"/>
        <v>0.13639999999999999</v>
      </c>
      <c r="AS754" s="1">
        <f t="shared" si="292"/>
        <v>0.1198</v>
      </c>
      <c r="AT754" s="1">
        <f t="shared" si="292"/>
        <v>0.1721</v>
      </c>
      <c r="AU754" s="1">
        <f t="shared" si="295"/>
        <v>0.49130000000000001</v>
      </c>
      <c r="AV754" s="1">
        <f t="shared" si="306"/>
        <v>0.23</v>
      </c>
      <c r="AX754" s="1">
        <f t="shared" si="307"/>
        <v>1.683110654333676</v>
      </c>
      <c r="AY754" s="1">
        <f t="shared" si="296"/>
        <v>0.46728331620417951</v>
      </c>
      <c r="AZ754" s="1">
        <f t="shared" si="297"/>
        <v>0.60519441589585476</v>
      </c>
      <c r="BA754" s="1">
        <f t="shared" si="298"/>
        <v>0.92077766358341906</v>
      </c>
      <c r="BB754" s="1">
        <f t="shared" si="299"/>
        <v>0.46728331620417951</v>
      </c>
      <c r="BC754" s="1">
        <f t="shared" si="300"/>
        <v>0.46728331620417951</v>
      </c>
      <c r="BD754" s="1">
        <f t="shared" si="308"/>
        <v>0.2372833162041795</v>
      </c>
      <c r="BF754">
        <f t="shared" si="301"/>
        <v>68.83</v>
      </c>
      <c r="BG754">
        <f t="shared" si="302"/>
        <v>16.73</v>
      </c>
      <c r="BH754" s="1">
        <f t="shared" si="303"/>
        <v>0.71378759261949731</v>
      </c>
      <c r="BI754" s="1">
        <f t="shared" si="304"/>
        <v>0.24306261804445736</v>
      </c>
      <c r="BJ754" s="1">
        <f t="shared" si="309"/>
        <v>0.47282725555716981</v>
      </c>
      <c r="BK754" s="1">
        <f t="shared" si="310"/>
        <v>0.24306261804445736</v>
      </c>
      <c r="BL754" s="22">
        <f t="shared" si="311"/>
        <v>0.24306261804445736</v>
      </c>
      <c r="BM754" s="1">
        <f t="shared" si="305"/>
        <v>1.7063199017538282E-4</v>
      </c>
      <c r="BN754" s="1">
        <f t="shared" si="293"/>
        <v>3.1556298207645328E-2</v>
      </c>
    </row>
    <row r="755" spans="3:66" x14ac:dyDescent="0.25">
      <c r="C755" t="s">
        <v>780</v>
      </c>
      <c r="G755">
        <v>21.51</v>
      </c>
      <c r="H755">
        <v>18.68</v>
      </c>
      <c r="I755">
        <v>6.71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14.8</v>
      </c>
      <c r="P755">
        <v>0</v>
      </c>
      <c r="Q755">
        <v>36.29</v>
      </c>
      <c r="R755">
        <v>0</v>
      </c>
      <c r="S755">
        <v>0</v>
      </c>
      <c r="T755">
        <v>0</v>
      </c>
      <c r="U755">
        <v>2.0099999999999998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7</v>
      </c>
      <c r="AK755" t="s">
        <v>1</v>
      </c>
      <c r="AL755" t="s">
        <v>374</v>
      </c>
      <c r="AQ755" s="1">
        <f t="shared" si="312"/>
        <v>100.00000000000001</v>
      </c>
      <c r="AR755" s="1">
        <f t="shared" si="294"/>
        <v>0.14800000000000002</v>
      </c>
      <c r="AS755" s="1">
        <f t="shared" si="292"/>
        <v>0.21510000000000001</v>
      </c>
      <c r="AT755" s="1">
        <f t="shared" si="292"/>
        <v>0.18679999999999999</v>
      </c>
      <c r="AU755" s="1">
        <f t="shared" si="295"/>
        <v>0.3629</v>
      </c>
      <c r="AV755" s="1">
        <f t="shared" si="306"/>
        <v>7.0000000000000007E-2</v>
      </c>
      <c r="AX755" s="1">
        <f t="shared" si="307"/>
        <v>0.90296093555610846</v>
      </c>
      <c r="AY755" s="1">
        <f t="shared" si="296"/>
        <v>0.36825080865887039</v>
      </c>
      <c r="AZ755" s="1">
        <f t="shared" si="297"/>
        <v>0.55643505847225683</v>
      </c>
      <c r="BA755" s="1">
        <f t="shared" si="298"/>
        <v>0.72574023388902709</v>
      </c>
      <c r="BB755" s="1">
        <f t="shared" si="299"/>
        <v>0.36825080865887039</v>
      </c>
      <c r="BC755" s="1">
        <f t="shared" si="300"/>
        <v>0.36825080865887039</v>
      </c>
      <c r="BD755" s="1">
        <f t="shared" si="308"/>
        <v>0.29825080865887038</v>
      </c>
      <c r="BF755">
        <f t="shared" si="301"/>
        <v>108.74</v>
      </c>
      <c r="BG755">
        <f t="shared" si="302"/>
        <v>18.155000000000001</v>
      </c>
      <c r="BH755" s="1">
        <f t="shared" si="303"/>
        <v>0.33373183741033657</v>
      </c>
      <c r="BI755" s="1">
        <f t="shared" si="304"/>
        <v>0.16695788118447674</v>
      </c>
      <c r="BJ755" s="1">
        <f t="shared" si="309"/>
        <v>0.45002391024462018</v>
      </c>
      <c r="BK755" s="1">
        <f t="shared" si="310"/>
        <v>0.16695788118447674</v>
      </c>
      <c r="BL755" s="22">
        <f t="shared" si="311"/>
        <v>0.16695788118447674</v>
      </c>
      <c r="BM755" s="1">
        <f t="shared" si="305"/>
        <v>9.400830723783107E-3</v>
      </c>
      <c r="BN755" s="1">
        <f t="shared" si="293"/>
        <v>0.11400139418313719</v>
      </c>
    </row>
    <row r="756" spans="3:66" x14ac:dyDescent="0.25">
      <c r="C756" t="s">
        <v>781</v>
      </c>
      <c r="G756">
        <v>0</v>
      </c>
      <c r="H756">
        <v>15.96</v>
      </c>
      <c r="I756">
        <v>5.73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8.81</v>
      </c>
      <c r="P756">
        <v>0</v>
      </c>
      <c r="Q756">
        <v>67.78</v>
      </c>
      <c r="R756">
        <v>0</v>
      </c>
      <c r="S756">
        <v>0</v>
      </c>
      <c r="T756">
        <v>0</v>
      </c>
      <c r="U756">
        <v>1.72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56</v>
      </c>
      <c r="AK756" t="s">
        <v>1</v>
      </c>
      <c r="AL756" t="s">
        <v>374</v>
      </c>
      <c r="AQ756" s="1">
        <f t="shared" si="312"/>
        <v>100</v>
      </c>
      <c r="AR756" s="1">
        <f t="shared" si="294"/>
        <v>8.8100000000000012E-2</v>
      </c>
      <c r="AS756" s="1">
        <f t="shared" ref="AS756:AT787" si="313">G756/100</f>
        <v>0</v>
      </c>
      <c r="AT756" s="1">
        <f t="shared" si="313"/>
        <v>0.15960000000000002</v>
      </c>
      <c r="AU756" s="1">
        <f t="shared" si="295"/>
        <v>0.67779999999999996</v>
      </c>
      <c r="AV756" s="1">
        <f t="shared" si="306"/>
        <v>0.56000000000000005</v>
      </c>
      <c r="AX756" s="1">
        <f t="shared" si="307"/>
        <v>4.2468671679197989</v>
      </c>
      <c r="AY756" s="1">
        <f t="shared" si="296"/>
        <v>0.55200501253132828</v>
      </c>
      <c r="AZ756" s="1">
        <f t="shared" si="297"/>
        <v>0.76542919799498743</v>
      </c>
      <c r="BA756" s="1">
        <f t="shared" si="298"/>
        <v>1.5617167919799497</v>
      </c>
      <c r="BB756" s="1">
        <f t="shared" si="299"/>
        <v>0.55200501253132828</v>
      </c>
      <c r="BC756" s="1">
        <f t="shared" si="300"/>
        <v>0.55200501253132828</v>
      </c>
      <c r="BD756" s="1">
        <f t="shared" si="308"/>
        <v>7.994987468671777E-3</v>
      </c>
      <c r="BF756">
        <f t="shared" si="301"/>
        <v>19.400000000000002</v>
      </c>
      <c r="BG756">
        <f t="shared" si="302"/>
        <v>11.675000000000001</v>
      </c>
      <c r="BH756" s="1">
        <f t="shared" si="303"/>
        <v>3.4938144329896903</v>
      </c>
      <c r="BI756" s="1">
        <f t="shared" si="304"/>
        <v>0.60180412371134018</v>
      </c>
      <c r="BJ756" s="1">
        <f t="shared" si="309"/>
        <v>0.6396288659793814</v>
      </c>
      <c r="BK756" s="1">
        <f t="shared" si="310"/>
        <v>0.60180412371134018</v>
      </c>
      <c r="BL756" s="22">
        <f t="shared" si="311"/>
        <v>0.60180412371134018</v>
      </c>
      <c r="BM756" s="1">
        <f t="shared" si="305"/>
        <v>1.7475847592730296E-3</v>
      </c>
      <c r="BN756" s="1">
        <f t="shared" si="293"/>
        <v>2.3213287758193368E-2</v>
      </c>
    </row>
    <row r="757" spans="3:66" x14ac:dyDescent="0.25">
      <c r="C757" t="s">
        <v>782</v>
      </c>
      <c r="G757">
        <v>11.11</v>
      </c>
      <c r="H757">
        <v>15.96</v>
      </c>
      <c r="I757">
        <v>5.73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19.920000000000002</v>
      </c>
      <c r="P757">
        <v>0</v>
      </c>
      <c r="Q757">
        <v>45.56</v>
      </c>
      <c r="R757">
        <v>0</v>
      </c>
      <c r="S757">
        <v>0</v>
      </c>
      <c r="T757">
        <v>0</v>
      </c>
      <c r="U757">
        <v>1.72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37</v>
      </c>
      <c r="AK757" t="s">
        <v>1</v>
      </c>
      <c r="AL757" t="s">
        <v>374</v>
      </c>
      <c r="AQ757" s="1">
        <f t="shared" si="312"/>
        <v>100</v>
      </c>
      <c r="AR757" s="1">
        <f t="shared" si="294"/>
        <v>0.19920000000000002</v>
      </c>
      <c r="AS757" s="1">
        <f t="shared" si="313"/>
        <v>0.11109999999999999</v>
      </c>
      <c r="AT757" s="1">
        <f t="shared" si="313"/>
        <v>0.15960000000000002</v>
      </c>
      <c r="AU757" s="1">
        <f t="shared" si="295"/>
        <v>0.4556</v>
      </c>
      <c r="AV757" s="1">
        <f t="shared" si="306"/>
        <v>0.37</v>
      </c>
      <c r="AX757" s="1">
        <f t="shared" si="307"/>
        <v>1.6830439601034355</v>
      </c>
      <c r="AY757" s="1">
        <f t="shared" si="296"/>
        <v>0.73586996675286298</v>
      </c>
      <c r="AZ757" s="1">
        <f t="shared" si="297"/>
        <v>0.60519024750646477</v>
      </c>
      <c r="BA757" s="1">
        <f t="shared" si="298"/>
        <v>0.92076099002585887</v>
      </c>
      <c r="BB757" s="1">
        <f t="shared" si="299"/>
        <v>0.60519024750646477</v>
      </c>
      <c r="BC757" s="1">
        <f t="shared" si="300"/>
        <v>0.60519024750646477</v>
      </c>
      <c r="BD757" s="1">
        <f t="shared" si="308"/>
        <v>0.23519024750646478</v>
      </c>
      <c r="BF757">
        <f t="shared" si="301"/>
        <v>63.839999999999996</v>
      </c>
      <c r="BG757">
        <f t="shared" si="302"/>
        <v>22.785000000000004</v>
      </c>
      <c r="BH757" s="1">
        <f t="shared" si="303"/>
        <v>0.71365914786967422</v>
      </c>
      <c r="BI757" s="1">
        <f t="shared" si="304"/>
        <v>0.3569078947368422</v>
      </c>
      <c r="BJ757" s="1">
        <f t="shared" si="309"/>
        <v>0.47281954887218047</v>
      </c>
      <c r="BK757" s="1">
        <f t="shared" si="310"/>
        <v>0.3569078947368422</v>
      </c>
      <c r="BL757" s="22">
        <f t="shared" si="311"/>
        <v>0.3569078947368422</v>
      </c>
      <c r="BM757" s="1">
        <f t="shared" si="305"/>
        <v>1.7140322022160401E-4</v>
      </c>
      <c r="BN757" s="1">
        <f t="shared" si="293"/>
        <v>1.4168392290899454E-3</v>
      </c>
    </row>
    <row r="758" spans="3:66" x14ac:dyDescent="0.25">
      <c r="C758" t="s">
        <v>783</v>
      </c>
      <c r="G758">
        <v>18.38</v>
      </c>
      <c r="H758">
        <v>15.96</v>
      </c>
      <c r="I758">
        <v>5.73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27.19</v>
      </c>
      <c r="P758">
        <v>0</v>
      </c>
      <c r="Q758">
        <v>31.01</v>
      </c>
      <c r="R758">
        <v>0</v>
      </c>
      <c r="S758">
        <v>0</v>
      </c>
      <c r="T758">
        <v>0</v>
      </c>
      <c r="U758">
        <v>1.72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13</v>
      </c>
      <c r="AK758" t="s">
        <v>1</v>
      </c>
      <c r="AL758" t="s">
        <v>374</v>
      </c>
      <c r="AQ758" s="1">
        <f t="shared" si="312"/>
        <v>99.990000000000009</v>
      </c>
      <c r="AR758" s="1">
        <f t="shared" si="294"/>
        <v>0.27190000000000003</v>
      </c>
      <c r="AS758" s="1">
        <f t="shared" si="313"/>
        <v>0.18379999999999999</v>
      </c>
      <c r="AT758" s="1">
        <f t="shared" si="313"/>
        <v>0.15960000000000002</v>
      </c>
      <c r="AU758" s="1">
        <f t="shared" si="295"/>
        <v>0.31010000000000004</v>
      </c>
      <c r="AV758" s="1">
        <f t="shared" si="306"/>
        <v>0.13</v>
      </c>
      <c r="AX758" s="1">
        <f t="shared" si="307"/>
        <v>0.90302853814793249</v>
      </c>
      <c r="AY758" s="1">
        <f t="shared" si="296"/>
        <v>0.79178800232964475</v>
      </c>
      <c r="AZ758" s="1">
        <f t="shared" si="297"/>
        <v>0.55643928363424577</v>
      </c>
      <c r="BA758" s="1">
        <f t="shared" si="298"/>
        <v>0.7257571345369831</v>
      </c>
      <c r="BB758" s="1">
        <f t="shared" si="299"/>
        <v>0.53956395577600991</v>
      </c>
      <c r="BC758" s="1">
        <f t="shared" si="300"/>
        <v>0.53956395577600991</v>
      </c>
      <c r="BD758" s="1">
        <f t="shared" si="308"/>
        <v>0.4095639557760099</v>
      </c>
      <c r="BF758">
        <f t="shared" si="301"/>
        <v>92.919999999999987</v>
      </c>
      <c r="BG758">
        <f t="shared" si="302"/>
        <v>30.055</v>
      </c>
      <c r="BH758" s="1">
        <f t="shared" si="303"/>
        <v>0.33372793801119249</v>
      </c>
      <c r="BI758" s="1">
        <f t="shared" si="304"/>
        <v>0.32345027981058977</v>
      </c>
      <c r="BJ758" s="1">
        <f t="shared" si="309"/>
        <v>0.45002367628067153</v>
      </c>
      <c r="BK758" s="1">
        <f t="shared" si="310"/>
        <v>0.32345027981058977</v>
      </c>
      <c r="BL758" s="22">
        <f t="shared" si="311"/>
        <v>0.32345027981058977</v>
      </c>
      <c r="BM758" s="1">
        <f t="shared" si="305"/>
        <v>3.7423010758795471E-2</v>
      </c>
      <c r="BN758" s="1">
        <f t="shared" si="293"/>
        <v>7.7084483192327746E-2</v>
      </c>
    </row>
    <row r="759" spans="3:66" x14ac:dyDescent="0.25">
      <c r="C759" t="s">
        <v>784</v>
      </c>
      <c r="G759">
        <v>23</v>
      </c>
      <c r="H759">
        <v>15.96</v>
      </c>
      <c r="I759">
        <v>5.73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31.81</v>
      </c>
      <c r="P759">
        <v>0</v>
      </c>
      <c r="Q759">
        <v>21.77</v>
      </c>
      <c r="R759">
        <v>0</v>
      </c>
      <c r="S759">
        <v>0</v>
      </c>
      <c r="T759">
        <v>0</v>
      </c>
      <c r="U759">
        <v>1.72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3</v>
      </c>
      <c r="AK759" t="s">
        <v>1</v>
      </c>
      <c r="AL759" t="s">
        <v>374</v>
      </c>
      <c r="AQ759" s="1">
        <f t="shared" si="312"/>
        <v>99.99</v>
      </c>
      <c r="AR759" s="1">
        <f t="shared" si="294"/>
        <v>0.31809999999999999</v>
      </c>
      <c r="AS759" s="1">
        <f t="shared" si="313"/>
        <v>0.23</v>
      </c>
      <c r="AT759" s="1">
        <f t="shared" si="313"/>
        <v>0.15960000000000002</v>
      </c>
      <c r="AU759" s="1">
        <f t="shared" si="295"/>
        <v>0.2177</v>
      </c>
      <c r="AV759" s="1">
        <f t="shared" si="306"/>
        <v>0.03</v>
      </c>
      <c r="AX759" s="1">
        <f t="shared" si="307"/>
        <v>0.55877823408624228</v>
      </c>
      <c r="AY759" s="1">
        <f t="shared" si="296"/>
        <v>0.81647843942505116</v>
      </c>
      <c r="AZ759" s="1">
        <f t="shared" si="297"/>
        <v>0.53492363963039014</v>
      </c>
      <c r="BA759" s="1">
        <f t="shared" si="298"/>
        <v>0.63969455852156054</v>
      </c>
      <c r="BB759" s="1">
        <f t="shared" si="299"/>
        <v>0.48564706133160646</v>
      </c>
      <c r="BC759" s="1">
        <f t="shared" si="300"/>
        <v>0.48564706133160646</v>
      </c>
      <c r="BD759" s="1">
        <f t="shared" si="308"/>
        <v>0.45564706133160648</v>
      </c>
      <c r="BF759">
        <f t="shared" si="301"/>
        <v>111.4</v>
      </c>
      <c r="BG759">
        <f t="shared" si="302"/>
        <v>34.674999999999997</v>
      </c>
      <c r="BH759" s="1">
        <f t="shared" si="303"/>
        <v>0.19542190305206461</v>
      </c>
      <c r="BI759" s="1">
        <f t="shared" si="304"/>
        <v>0.31126570915619384</v>
      </c>
      <c r="BJ759" s="1">
        <f t="shared" si="309"/>
        <v>0.44172531418312388</v>
      </c>
      <c r="BK759" s="1">
        <f t="shared" si="310"/>
        <v>0.31126570915619384</v>
      </c>
      <c r="BL759" s="22">
        <f t="shared" si="311"/>
        <v>0.31126570915619384</v>
      </c>
      <c r="BM759" s="1">
        <f t="shared" si="305"/>
        <v>7.9110399147136634E-2</v>
      </c>
      <c r="BN759" s="1">
        <f t="shared" si="293"/>
        <v>0.14261266817701015</v>
      </c>
    </row>
    <row r="760" spans="3:66" x14ac:dyDescent="0.25">
      <c r="C760" t="s">
        <v>785</v>
      </c>
      <c r="G760">
        <v>0</v>
      </c>
      <c r="H760">
        <v>10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20</v>
      </c>
      <c r="P760">
        <v>0</v>
      </c>
      <c r="Q760">
        <v>70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95.4</v>
      </c>
      <c r="AK760" t="s">
        <v>1</v>
      </c>
      <c r="AL760" t="s">
        <v>374</v>
      </c>
      <c r="AM760" t="s">
        <v>848</v>
      </c>
      <c r="AO760" t="s">
        <v>378</v>
      </c>
      <c r="AP760" t="s">
        <v>849</v>
      </c>
      <c r="AQ760" s="1">
        <f t="shared" si="312"/>
        <v>100</v>
      </c>
      <c r="AR760" s="1">
        <f t="shared" si="294"/>
        <v>0.2</v>
      </c>
      <c r="AS760" s="1">
        <f t="shared" si="313"/>
        <v>0</v>
      </c>
      <c r="AT760" s="1">
        <f t="shared" si="313"/>
        <v>0.1</v>
      </c>
      <c r="AU760" s="1">
        <f t="shared" si="295"/>
        <v>0.7</v>
      </c>
      <c r="AV760" s="1">
        <f t="shared" si="306"/>
        <v>0.95400000000000007</v>
      </c>
      <c r="AX760" s="1">
        <f t="shared" si="307"/>
        <v>6.9999999999999991</v>
      </c>
      <c r="AY760" s="1">
        <f t="shared" si="296"/>
        <v>2</v>
      </c>
      <c r="AZ760" s="1">
        <f t="shared" si="297"/>
        <v>0.9375</v>
      </c>
      <c r="BA760" s="1">
        <f t="shared" si="298"/>
        <v>2.25</v>
      </c>
      <c r="BB760" s="1">
        <f t="shared" si="299"/>
        <v>0.9375</v>
      </c>
      <c r="BC760" s="1">
        <f t="shared" si="300"/>
        <v>0.9375</v>
      </c>
      <c r="BD760" s="1">
        <f t="shared" si="308"/>
        <v>1.650000000000007E-2</v>
      </c>
      <c r="BF760">
        <f t="shared" si="301"/>
        <v>10</v>
      </c>
      <c r="BG760">
        <f t="shared" si="302"/>
        <v>20</v>
      </c>
      <c r="BH760" s="1">
        <f t="shared" si="303"/>
        <v>7</v>
      </c>
      <c r="BI760" s="1">
        <f t="shared" si="304"/>
        <v>2</v>
      </c>
      <c r="BJ760" s="1">
        <f t="shared" si="309"/>
        <v>0.85</v>
      </c>
      <c r="BK760" s="1">
        <f t="shared" si="310"/>
        <v>0.96761861258506165</v>
      </c>
      <c r="BL760" s="22">
        <f t="shared" si="311"/>
        <v>0.96761861258506165</v>
      </c>
      <c r="BM760" s="1">
        <f t="shared" si="305"/>
        <v>1.8546660874199777E-4</v>
      </c>
      <c r="BN760" s="1">
        <f t="shared" si="293"/>
        <v>0.29850823891854472</v>
      </c>
    </row>
    <row r="761" spans="3:66" x14ac:dyDescent="0.25">
      <c r="C761" t="s">
        <v>786</v>
      </c>
      <c r="G761">
        <v>0</v>
      </c>
      <c r="H761">
        <v>17.5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20</v>
      </c>
      <c r="P761">
        <v>0</v>
      </c>
      <c r="Q761">
        <v>62.5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87.9</v>
      </c>
      <c r="AK761" t="s">
        <v>1</v>
      </c>
      <c r="AL761" t="s">
        <v>374</v>
      </c>
      <c r="AQ761" s="1">
        <f t="shared" si="312"/>
        <v>100</v>
      </c>
      <c r="AR761" s="1">
        <f t="shared" si="294"/>
        <v>0.2</v>
      </c>
      <c r="AS761" s="1">
        <f t="shared" si="313"/>
        <v>0</v>
      </c>
      <c r="AT761" s="1">
        <f t="shared" si="313"/>
        <v>0.17499999999999999</v>
      </c>
      <c r="AU761" s="1">
        <f t="shared" si="295"/>
        <v>0.625</v>
      </c>
      <c r="AV761" s="1">
        <f t="shared" si="306"/>
        <v>0.879</v>
      </c>
      <c r="AX761" s="1">
        <f t="shared" si="307"/>
        <v>3.5714285714285716</v>
      </c>
      <c r="AY761" s="1">
        <f t="shared" si="296"/>
        <v>1.142857142857143</v>
      </c>
      <c r="AZ761" s="1">
        <f t="shared" si="297"/>
        <v>0.7232142857142857</v>
      </c>
      <c r="BA761" s="1">
        <f t="shared" si="298"/>
        <v>1.3928571428571428</v>
      </c>
      <c r="BB761" s="1">
        <f t="shared" si="299"/>
        <v>0.7232142857142857</v>
      </c>
      <c r="BC761" s="1">
        <f t="shared" si="300"/>
        <v>0.7232142857142857</v>
      </c>
      <c r="BD761" s="1">
        <f t="shared" si="308"/>
        <v>0.15578571428571431</v>
      </c>
      <c r="BF761">
        <f t="shared" si="301"/>
        <v>17.5</v>
      </c>
      <c r="BG761">
        <f t="shared" si="302"/>
        <v>20</v>
      </c>
      <c r="BH761" s="1">
        <f t="shared" si="303"/>
        <v>3.5714285714285716</v>
      </c>
      <c r="BI761" s="1">
        <f t="shared" si="304"/>
        <v>1.1428571428571428</v>
      </c>
      <c r="BJ761" s="1">
        <f t="shared" si="309"/>
        <v>0.64428571428571435</v>
      </c>
      <c r="BK761" s="1">
        <f t="shared" si="310"/>
        <v>0.68427807068043367</v>
      </c>
      <c r="BL761" s="22">
        <f t="shared" si="311"/>
        <v>0.68427807068043367</v>
      </c>
      <c r="BM761" s="1">
        <f t="shared" si="305"/>
        <v>3.7916629757934188E-2</v>
      </c>
      <c r="BN761" s="1">
        <f t="shared" si="293"/>
        <v>0.22217937765705645</v>
      </c>
    </row>
    <row r="762" spans="3:66" x14ac:dyDescent="0.25">
      <c r="C762" t="s">
        <v>787</v>
      </c>
      <c r="G762">
        <v>0</v>
      </c>
      <c r="H762">
        <v>25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20</v>
      </c>
      <c r="P762">
        <v>0</v>
      </c>
      <c r="Q762">
        <v>55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53.1</v>
      </c>
      <c r="AK762" t="s">
        <v>1</v>
      </c>
      <c r="AL762" t="s">
        <v>374</v>
      </c>
      <c r="AQ762" s="1">
        <f t="shared" si="312"/>
        <v>100</v>
      </c>
      <c r="AR762" s="1">
        <f t="shared" si="294"/>
        <v>0.2</v>
      </c>
      <c r="AS762" s="1">
        <f t="shared" si="313"/>
        <v>0</v>
      </c>
      <c r="AT762" s="1">
        <f t="shared" si="313"/>
        <v>0.25</v>
      </c>
      <c r="AU762" s="1">
        <f t="shared" si="295"/>
        <v>0.55000000000000004</v>
      </c>
      <c r="AV762" s="1">
        <f t="shared" si="306"/>
        <v>0.53100000000000003</v>
      </c>
      <c r="AX762" s="1">
        <f t="shared" si="307"/>
        <v>2.2000000000000002</v>
      </c>
      <c r="AY762" s="1">
        <f t="shared" si="296"/>
        <v>0.8</v>
      </c>
      <c r="AZ762" s="1">
        <f t="shared" si="297"/>
        <v>0.63749999999999996</v>
      </c>
      <c r="BA762" s="1">
        <f t="shared" si="298"/>
        <v>1.05</v>
      </c>
      <c r="BB762" s="1">
        <f t="shared" si="299"/>
        <v>0.63749999999999996</v>
      </c>
      <c r="BC762" s="1">
        <f t="shared" si="300"/>
        <v>0.63749999999999996</v>
      </c>
      <c r="BD762" s="1">
        <f t="shared" si="308"/>
        <v>0.10649999999999993</v>
      </c>
      <c r="BF762">
        <f t="shared" si="301"/>
        <v>25</v>
      </c>
      <c r="BG762">
        <f t="shared" si="302"/>
        <v>20</v>
      </c>
      <c r="BH762" s="1">
        <f t="shared" si="303"/>
        <v>2.2000000000000002</v>
      </c>
      <c r="BI762" s="1">
        <f t="shared" si="304"/>
        <v>0.8</v>
      </c>
      <c r="BJ762" s="1">
        <f t="shared" si="309"/>
        <v>0.56200000000000006</v>
      </c>
      <c r="BK762" s="1">
        <f t="shared" si="310"/>
        <v>0.56722704397600943</v>
      </c>
      <c r="BL762" s="22">
        <f t="shared" si="311"/>
        <v>0.56722704397600943</v>
      </c>
      <c r="BM762" s="1">
        <f t="shared" si="305"/>
        <v>1.3123987152397188E-3</v>
      </c>
      <c r="BN762" s="1">
        <f t="shared" si="293"/>
        <v>1.5217461403751261E-2</v>
      </c>
    </row>
    <row r="763" spans="3:66" x14ac:dyDescent="0.25">
      <c r="C763" t="s">
        <v>788</v>
      </c>
      <c r="G763">
        <v>0</v>
      </c>
      <c r="H763">
        <v>32.5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20</v>
      </c>
      <c r="P763">
        <v>0</v>
      </c>
      <c r="Q763">
        <v>47.5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18.2</v>
      </c>
      <c r="AK763" t="s">
        <v>1</v>
      </c>
      <c r="AL763" t="s">
        <v>374</v>
      </c>
      <c r="AQ763" s="1">
        <f t="shared" si="312"/>
        <v>100</v>
      </c>
      <c r="AR763" s="1">
        <f t="shared" si="294"/>
        <v>0.2</v>
      </c>
      <c r="AS763" s="1">
        <f t="shared" si="313"/>
        <v>0</v>
      </c>
      <c r="AT763" s="1">
        <f t="shared" si="313"/>
        <v>0.32500000000000001</v>
      </c>
      <c r="AU763" s="1">
        <f t="shared" si="295"/>
        <v>0.47499999999999998</v>
      </c>
      <c r="AV763" s="1">
        <f t="shared" si="306"/>
        <v>0.182</v>
      </c>
      <c r="AX763" s="1">
        <f t="shared" si="307"/>
        <v>1.4615384615384615</v>
      </c>
      <c r="AY763" s="1">
        <f t="shared" si="296"/>
        <v>0.61538461538461542</v>
      </c>
      <c r="AZ763" s="1">
        <f t="shared" si="297"/>
        <v>0.59134615384615385</v>
      </c>
      <c r="BA763" s="1">
        <f t="shared" si="298"/>
        <v>0.86538461538461542</v>
      </c>
      <c r="BB763" s="1">
        <f t="shared" si="299"/>
        <v>0.59134615384615385</v>
      </c>
      <c r="BC763" s="1">
        <f t="shared" si="300"/>
        <v>0.59134615384615385</v>
      </c>
      <c r="BD763" s="1">
        <f t="shared" si="308"/>
        <v>0.40934615384615386</v>
      </c>
      <c r="BF763">
        <f t="shared" si="301"/>
        <v>32.5</v>
      </c>
      <c r="BG763">
        <f t="shared" si="302"/>
        <v>20</v>
      </c>
      <c r="BH763" s="1">
        <f t="shared" si="303"/>
        <v>1.4615384615384615</v>
      </c>
      <c r="BI763" s="1">
        <f t="shared" si="304"/>
        <v>0.61538461538461542</v>
      </c>
      <c r="BJ763" s="1">
        <f t="shared" si="309"/>
        <v>0.51769230769230767</v>
      </c>
      <c r="BK763" s="1">
        <f t="shared" si="310"/>
        <v>0.5020104238254971</v>
      </c>
      <c r="BL763" s="22">
        <f t="shared" si="311"/>
        <v>0.5020104238254971</v>
      </c>
      <c r="BM763" s="1">
        <f t="shared" si="305"/>
        <v>0.10240667135697429</v>
      </c>
      <c r="BN763" s="1">
        <f t="shared" si="293"/>
        <v>5.0913827000292892E-2</v>
      </c>
    </row>
    <row r="764" spans="3:66" x14ac:dyDescent="0.25">
      <c r="C764" t="s">
        <v>789</v>
      </c>
      <c r="G764">
        <v>0</v>
      </c>
      <c r="H764">
        <v>40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20</v>
      </c>
      <c r="P764">
        <v>0</v>
      </c>
      <c r="Q764">
        <v>40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20.2</v>
      </c>
      <c r="AK764" t="s">
        <v>1</v>
      </c>
      <c r="AL764" t="s">
        <v>374</v>
      </c>
      <c r="AQ764" s="1">
        <f t="shared" si="312"/>
        <v>100</v>
      </c>
      <c r="AR764" s="1">
        <f t="shared" si="294"/>
        <v>0.2</v>
      </c>
      <c r="AS764" s="1">
        <f t="shared" si="313"/>
        <v>0</v>
      </c>
      <c r="AT764" s="1">
        <f t="shared" si="313"/>
        <v>0.4</v>
      </c>
      <c r="AU764" s="1">
        <f t="shared" si="295"/>
        <v>0.4</v>
      </c>
      <c r="AV764" s="1">
        <f t="shared" si="306"/>
        <v>0.20199999999999999</v>
      </c>
      <c r="AX764" s="1">
        <f t="shared" si="307"/>
        <v>1</v>
      </c>
      <c r="AY764" s="1">
        <f t="shared" si="296"/>
        <v>0.5</v>
      </c>
      <c r="AZ764" s="1">
        <f t="shared" si="297"/>
        <v>0.5625</v>
      </c>
      <c r="BA764" s="1">
        <f t="shared" si="298"/>
        <v>0.75</v>
      </c>
      <c r="BB764" s="1">
        <f t="shared" si="299"/>
        <v>0.5</v>
      </c>
      <c r="BC764" s="1">
        <f t="shared" si="300"/>
        <v>0.5</v>
      </c>
      <c r="BD764" s="1">
        <f t="shared" si="308"/>
        <v>0.29800000000000004</v>
      </c>
      <c r="BF764">
        <f t="shared" si="301"/>
        <v>40</v>
      </c>
      <c r="BG764">
        <f t="shared" si="302"/>
        <v>20</v>
      </c>
      <c r="BH764" s="1">
        <f t="shared" si="303"/>
        <v>1</v>
      </c>
      <c r="BI764" s="1">
        <f t="shared" si="304"/>
        <v>0.5</v>
      </c>
      <c r="BJ764" s="1">
        <f t="shared" si="309"/>
        <v>0.49</v>
      </c>
      <c r="BK764" s="1">
        <f t="shared" si="310"/>
        <v>0.45988164727714359</v>
      </c>
      <c r="BL764" s="22">
        <f t="shared" si="311"/>
        <v>0.45988164727714359</v>
      </c>
      <c r="BM764" s="1">
        <f t="shared" si="305"/>
        <v>6.6502944002373096E-2</v>
      </c>
      <c r="BN764" s="1">
        <f t="shared" si="293"/>
        <v>4.2288190003356409E-2</v>
      </c>
    </row>
    <row r="765" spans="3:66" x14ac:dyDescent="0.25">
      <c r="C765" t="s">
        <v>790</v>
      </c>
      <c r="G765">
        <v>0</v>
      </c>
      <c r="H765">
        <v>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</v>
      </c>
      <c r="P765">
        <v>0</v>
      </c>
      <c r="Q765">
        <v>75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15.2</v>
      </c>
      <c r="AK765" t="s">
        <v>1</v>
      </c>
      <c r="AL765" t="s">
        <v>374</v>
      </c>
      <c r="AQ765" s="1">
        <f t="shared" si="312"/>
        <v>100</v>
      </c>
      <c r="AR765" s="1">
        <f t="shared" si="294"/>
        <v>0.05</v>
      </c>
      <c r="AS765" s="1">
        <f t="shared" si="313"/>
        <v>0</v>
      </c>
      <c r="AT765" s="1">
        <f t="shared" si="313"/>
        <v>0.2</v>
      </c>
      <c r="AU765" s="1">
        <f t="shared" si="295"/>
        <v>0.75</v>
      </c>
      <c r="AV765" s="1">
        <f t="shared" si="306"/>
        <v>0.152</v>
      </c>
      <c r="AX765" s="1">
        <f t="shared" si="307"/>
        <v>3.75</v>
      </c>
      <c r="AY765" s="1">
        <f t="shared" si="296"/>
        <v>0.25</v>
      </c>
      <c r="AZ765" s="1">
        <f t="shared" si="297"/>
        <v>0.734375</v>
      </c>
      <c r="BA765" s="1">
        <f t="shared" si="298"/>
        <v>1.4375</v>
      </c>
      <c r="BB765" s="1">
        <f t="shared" si="299"/>
        <v>0.25</v>
      </c>
      <c r="BC765" s="1">
        <f t="shared" si="300"/>
        <v>0.25</v>
      </c>
      <c r="BD765" s="1">
        <f t="shared" si="308"/>
        <v>9.8000000000000004E-2</v>
      </c>
      <c r="BF765">
        <f t="shared" si="301"/>
        <v>20</v>
      </c>
      <c r="BG765">
        <f t="shared" si="302"/>
        <v>5</v>
      </c>
      <c r="BH765" s="1">
        <f t="shared" si="303"/>
        <v>3.75</v>
      </c>
      <c r="BI765" s="1">
        <f t="shared" si="304"/>
        <v>0.25</v>
      </c>
      <c r="BJ765" s="1">
        <f t="shared" si="309"/>
        <v>0.65500000000000003</v>
      </c>
      <c r="BK765" s="1">
        <f t="shared" si="310"/>
        <v>0.25</v>
      </c>
      <c r="BL765" s="22">
        <f t="shared" si="311"/>
        <v>0.25</v>
      </c>
      <c r="BM765" s="1">
        <f t="shared" si="305"/>
        <v>9.6040000000000014E-3</v>
      </c>
      <c r="BN765" s="1">
        <f t="shared" si="293"/>
        <v>6.5352282495697606E-2</v>
      </c>
    </row>
    <row r="766" spans="3:66" x14ac:dyDescent="0.25">
      <c r="C766" t="s">
        <v>791</v>
      </c>
      <c r="G766">
        <v>0</v>
      </c>
      <c r="H766">
        <v>20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10</v>
      </c>
      <c r="P766">
        <v>0</v>
      </c>
      <c r="Q766">
        <v>70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21.2</v>
      </c>
      <c r="AK766" t="s">
        <v>1</v>
      </c>
      <c r="AL766" t="s">
        <v>374</v>
      </c>
      <c r="AQ766" s="1">
        <f t="shared" si="312"/>
        <v>100</v>
      </c>
      <c r="AR766" s="1">
        <f t="shared" si="294"/>
        <v>0.1</v>
      </c>
      <c r="AS766" s="1">
        <f t="shared" si="313"/>
        <v>0</v>
      </c>
      <c r="AT766" s="1">
        <f t="shared" si="313"/>
        <v>0.2</v>
      </c>
      <c r="AU766" s="1">
        <f t="shared" si="295"/>
        <v>0.7</v>
      </c>
      <c r="AV766" s="1">
        <f t="shared" si="306"/>
        <v>0.21199999999999999</v>
      </c>
      <c r="AX766" s="1">
        <f t="shared" si="307"/>
        <v>3.4999999999999996</v>
      </c>
      <c r="AY766" s="1">
        <f t="shared" si="296"/>
        <v>0.5</v>
      </c>
      <c r="AZ766" s="1">
        <f t="shared" si="297"/>
        <v>0.71875</v>
      </c>
      <c r="BA766" s="1">
        <f t="shared" si="298"/>
        <v>1.375</v>
      </c>
      <c r="BB766" s="1">
        <f t="shared" si="299"/>
        <v>0.5</v>
      </c>
      <c r="BC766" s="1">
        <f t="shared" si="300"/>
        <v>0.5</v>
      </c>
      <c r="BD766" s="1">
        <f t="shared" si="308"/>
        <v>0.28800000000000003</v>
      </c>
      <c r="BF766">
        <f t="shared" si="301"/>
        <v>20</v>
      </c>
      <c r="BG766">
        <f t="shared" si="302"/>
        <v>10</v>
      </c>
      <c r="BH766" s="1">
        <f t="shared" si="303"/>
        <v>3.5</v>
      </c>
      <c r="BI766" s="1">
        <f t="shared" si="304"/>
        <v>0.5</v>
      </c>
      <c r="BJ766" s="1">
        <f t="shared" si="309"/>
        <v>0.64</v>
      </c>
      <c r="BK766" s="1">
        <f t="shared" si="310"/>
        <v>0.5</v>
      </c>
      <c r="BL766" s="22">
        <f t="shared" si="311"/>
        <v>0.5</v>
      </c>
      <c r="BM766" s="1">
        <f t="shared" si="305"/>
        <v>8.2944000000000018E-2</v>
      </c>
      <c r="BN766" s="1">
        <f t="shared" si="293"/>
        <v>3.8275371504888168E-2</v>
      </c>
    </row>
    <row r="767" spans="3:66" x14ac:dyDescent="0.25">
      <c r="C767" t="s">
        <v>792</v>
      </c>
      <c r="G767">
        <v>0</v>
      </c>
      <c r="H767">
        <v>20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15</v>
      </c>
      <c r="P767">
        <v>0</v>
      </c>
      <c r="Q767">
        <v>65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55.3</v>
      </c>
      <c r="AK767" t="s">
        <v>1</v>
      </c>
      <c r="AL767" t="s">
        <v>374</v>
      </c>
      <c r="AQ767" s="1">
        <f t="shared" si="312"/>
        <v>100</v>
      </c>
      <c r="AR767" s="1">
        <f t="shared" si="294"/>
        <v>0.15</v>
      </c>
      <c r="AS767" s="1">
        <f t="shared" si="313"/>
        <v>0</v>
      </c>
      <c r="AT767" s="1">
        <f t="shared" si="313"/>
        <v>0.2</v>
      </c>
      <c r="AU767" s="1">
        <f t="shared" si="295"/>
        <v>0.65</v>
      </c>
      <c r="AV767" s="1">
        <f t="shared" si="306"/>
        <v>0.55299999999999994</v>
      </c>
      <c r="AX767" s="1">
        <f t="shared" si="307"/>
        <v>3.25</v>
      </c>
      <c r="AY767" s="1">
        <f t="shared" si="296"/>
        <v>0.74999999999999989</v>
      </c>
      <c r="AZ767" s="1">
        <f t="shared" si="297"/>
        <v>0.703125</v>
      </c>
      <c r="BA767" s="1">
        <f t="shared" si="298"/>
        <v>1.3125</v>
      </c>
      <c r="BB767" s="1">
        <f t="shared" si="299"/>
        <v>0.703125</v>
      </c>
      <c r="BC767" s="1">
        <f t="shared" si="300"/>
        <v>0.703125</v>
      </c>
      <c r="BD767" s="1">
        <f t="shared" si="308"/>
        <v>0.15012500000000006</v>
      </c>
      <c r="BF767">
        <f t="shared" si="301"/>
        <v>20</v>
      </c>
      <c r="BG767">
        <f t="shared" si="302"/>
        <v>15</v>
      </c>
      <c r="BH767" s="1">
        <f t="shared" si="303"/>
        <v>3.25</v>
      </c>
      <c r="BI767" s="1">
        <f t="shared" si="304"/>
        <v>0.75</v>
      </c>
      <c r="BJ767" s="1">
        <f t="shared" si="309"/>
        <v>0.625</v>
      </c>
      <c r="BK767" s="1">
        <f t="shared" si="310"/>
        <v>0.60764264654513012</v>
      </c>
      <c r="BL767" s="22">
        <f t="shared" si="311"/>
        <v>0.60764264654513012</v>
      </c>
      <c r="BM767" s="1">
        <f t="shared" si="305"/>
        <v>2.9858188214560272E-3</v>
      </c>
      <c r="BN767" s="1">
        <f t="shared" si="293"/>
        <v>2.1129260707121105E-2</v>
      </c>
    </row>
    <row r="768" spans="3:66" x14ac:dyDescent="0.25">
      <c r="C768" t="s">
        <v>793</v>
      </c>
      <c r="G768">
        <v>0</v>
      </c>
      <c r="H768">
        <v>20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20</v>
      </c>
      <c r="P768">
        <v>0</v>
      </c>
      <c r="Q768">
        <v>60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80.5</v>
      </c>
      <c r="AK768" t="s">
        <v>1</v>
      </c>
      <c r="AL768" t="s">
        <v>374</v>
      </c>
      <c r="AQ768" s="1">
        <f t="shared" si="312"/>
        <v>100</v>
      </c>
      <c r="AR768" s="1">
        <f t="shared" si="294"/>
        <v>0.2</v>
      </c>
      <c r="AS768" s="1">
        <f t="shared" si="313"/>
        <v>0</v>
      </c>
      <c r="AT768" s="1">
        <f t="shared" si="313"/>
        <v>0.2</v>
      </c>
      <c r="AU768" s="1">
        <f t="shared" si="295"/>
        <v>0.6</v>
      </c>
      <c r="AV768" s="1">
        <f t="shared" si="306"/>
        <v>0.80500000000000005</v>
      </c>
      <c r="AX768" s="1">
        <f t="shared" si="307"/>
        <v>2.9999999999999996</v>
      </c>
      <c r="AY768" s="1">
        <f t="shared" si="296"/>
        <v>1</v>
      </c>
      <c r="AZ768" s="1">
        <f t="shared" si="297"/>
        <v>0.6875</v>
      </c>
      <c r="BA768" s="1">
        <f t="shared" si="298"/>
        <v>1.25</v>
      </c>
      <c r="BB768" s="1">
        <f t="shared" si="299"/>
        <v>0.6875</v>
      </c>
      <c r="BC768" s="1">
        <f t="shared" si="300"/>
        <v>0.6875</v>
      </c>
      <c r="BD768" s="1">
        <f t="shared" si="308"/>
        <v>0.11750000000000005</v>
      </c>
      <c r="BF768">
        <f t="shared" si="301"/>
        <v>20</v>
      </c>
      <c r="BG768">
        <f t="shared" si="302"/>
        <v>20</v>
      </c>
      <c r="BH768" s="1">
        <f t="shared" si="303"/>
        <v>3</v>
      </c>
      <c r="BI768" s="1">
        <f t="shared" si="304"/>
        <v>1</v>
      </c>
      <c r="BJ768" s="1">
        <f t="shared" si="309"/>
        <v>0.61</v>
      </c>
      <c r="BK768" s="1">
        <f t="shared" si="310"/>
        <v>0.63596340716708433</v>
      </c>
      <c r="BL768" s="22">
        <f t="shared" si="311"/>
        <v>0.63596340716708433</v>
      </c>
      <c r="BM768" s="1">
        <f t="shared" si="305"/>
        <v>2.8573369716560933E-2</v>
      </c>
      <c r="BN768" s="1">
        <f t="shared" si="293"/>
        <v>0.15789423454572146</v>
      </c>
    </row>
    <row r="769" spans="3:66" x14ac:dyDescent="0.25">
      <c r="C769" t="s">
        <v>794</v>
      </c>
      <c r="G769">
        <v>0</v>
      </c>
      <c r="H769">
        <v>20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25</v>
      </c>
      <c r="P769">
        <v>0</v>
      </c>
      <c r="Q769">
        <v>55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92.1</v>
      </c>
      <c r="AK769" t="s">
        <v>1</v>
      </c>
      <c r="AL769" t="s">
        <v>374</v>
      </c>
      <c r="AQ769" s="1">
        <f t="shared" si="312"/>
        <v>100</v>
      </c>
      <c r="AR769" s="1">
        <f t="shared" si="294"/>
        <v>0.25</v>
      </c>
      <c r="AS769" s="1">
        <f t="shared" si="313"/>
        <v>0</v>
      </c>
      <c r="AT769" s="1">
        <f t="shared" si="313"/>
        <v>0.2</v>
      </c>
      <c r="AU769" s="1">
        <f t="shared" si="295"/>
        <v>0.55000000000000004</v>
      </c>
      <c r="AV769" s="1">
        <f t="shared" si="306"/>
        <v>0.92099999999999993</v>
      </c>
      <c r="AX769" s="1">
        <f t="shared" si="307"/>
        <v>2.75</v>
      </c>
      <c r="AY769" s="1">
        <f t="shared" si="296"/>
        <v>1.25</v>
      </c>
      <c r="AZ769" s="1">
        <f t="shared" si="297"/>
        <v>0.671875</v>
      </c>
      <c r="BA769" s="1">
        <f t="shared" si="298"/>
        <v>1.1875</v>
      </c>
      <c r="BB769" s="1">
        <f t="shared" si="299"/>
        <v>0.66008771929824561</v>
      </c>
      <c r="BC769" s="1">
        <f t="shared" si="300"/>
        <v>0.66008771929824561</v>
      </c>
      <c r="BD769" s="1">
        <f t="shared" si="308"/>
        <v>0.26091228070175432</v>
      </c>
      <c r="BF769">
        <f t="shared" si="301"/>
        <v>20</v>
      </c>
      <c r="BG769">
        <f t="shared" si="302"/>
        <v>25</v>
      </c>
      <c r="BH769" s="1">
        <f t="shared" si="303"/>
        <v>2.75</v>
      </c>
      <c r="BI769" s="1">
        <f t="shared" si="304"/>
        <v>1.25</v>
      </c>
      <c r="BJ769" s="1">
        <f t="shared" si="309"/>
        <v>0.59499999999999997</v>
      </c>
      <c r="BK769" s="1">
        <f t="shared" si="310"/>
        <v>0.62622196303608457</v>
      </c>
      <c r="BL769" s="22">
        <f t="shared" si="311"/>
        <v>0.62622196303608457</v>
      </c>
      <c r="BM769" s="1">
        <f t="shared" si="305"/>
        <v>8.6894091076299446E-2</v>
      </c>
      <c r="BN769" s="1">
        <f t="shared" si="293"/>
        <v>0.26353753996348978</v>
      </c>
    </row>
    <row r="770" spans="3:66" x14ac:dyDescent="0.25">
      <c r="C770" t="s">
        <v>795</v>
      </c>
      <c r="G770">
        <v>0</v>
      </c>
      <c r="H770">
        <v>77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22.7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0.3</v>
      </c>
      <c r="AJ770">
        <v>46.82</v>
      </c>
      <c r="AK770" t="s">
        <v>816</v>
      </c>
      <c r="AL770" t="s">
        <v>374</v>
      </c>
      <c r="AM770" t="s">
        <v>850</v>
      </c>
      <c r="AO770" t="s">
        <v>378</v>
      </c>
      <c r="AP770" t="s">
        <v>851</v>
      </c>
      <c r="AQ770" s="1">
        <f t="shared" si="312"/>
        <v>99.7</v>
      </c>
      <c r="AR770" s="1">
        <f t="shared" si="294"/>
        <v>0.22699999999999998</v>
      </c>
      <c r="AS770" s="1">
        <f t="shared" si="313"/>
        <v>0</v>
      </c>
      <c r="AT770" s="1">
        <f t="shared" si="313"/>
        <v>0.77</v>
      </c>
      <c r="AU770" s="1">
        <f t="shared" si="295"/>
        <v>0</v>
      </c>
      <c r="AV770" s="1">
        <f t="shared" si="306"/>
        <v>0.46820000000000001</v>
      </c>
      <c r="AX770" s="1">
        <f t="shared" si="307"/>
        <v>0</v>
      </c>
      <c r="AY770" s="1">
        <f t="shared" si="296"/>
        <v>0.29480519480519479</v>
      </c>
      <c r="AZ770" s="1">
        <f t="shared" si="297"/>
        <v>0.5</v>
      </c>
      <c r="BA770" s="1">
        <f t="shared" si="298"/>
        <v>0.5</v>
      </c>
      <c r="BB770" s="1">
        <f t="shared" si="299"/>
        <v>0.29480519480519479</v>
      </c>
      <c r="BC770" s="1">
        <f t="shared" si="300"/>
        <v>0.29480519480519479</v>
      </c>
      <c r="BD770" s="1">
        <f t="shared" si="308"/>
        <v>0.17339480519480521</v>
      </c>
      <c r="BF770">
        <f t="shared" si="301"/>
        <v>77</v>
      </c>
      <c r="BG770">
        <f t="shared" si="302"/>
        <v>22.849999999999998</v>
      </c>
      <c r="BH770" s="1">
        <f t="shared" si="303"/>
        <v>0</v>
      </c>
      <c r="BI770" s="1">
        <f t="shared" si="304"/>
        <v>0.29675324675324671</v>
      </c>
      <c r="BJ770" s="1">
        <f t="shared" si="309"/>
        <v>0.43</v>
      </c>
      <c r="BK770" s="1">
        <f t="shared" si="310"/>
        <v>0.29675324675324671</v>
      </c>
      <c r="BL770" s="22">
        <f t="shared" si="311"/>
        <v>0.29675324675324671</v>
      </c>
      <c r="BM770" s="1">
        <f t="shared" si="305"/>
        <v>2.939398919885311E-2</v>
      </c>
      <c r="BN770" s="1">
        <f t="shared" ref="BN770:BN787" si="314">(AV770-AVERAGE($AV$2:$AV$638))^2</f>
        <v>3.6674015741318122E-3</v>
      </c>
    </row>
    <row r="771" spans="3:66" x14ac:dyDescent="0.25">
      <c r="C771" t="s">
        <v>796</v>
      </c>
      <c r="G771">
        <v>0</v>
      </c>
      <c r="H771">
        <v>72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22.7</v>
      </c>
      <c r="P771">
        <v>0</v>
      </c>
      <c r="Q771">
        <v>0</v>
      </c>
      <c r="R771">
        <v>0</v>
      </c>
      <c r="S771">
        <v>0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0.3</v>
      </c>
      <c r="AJ771">
        <v>46.83</v>
      </c>
      <c r="AK771" t="s">
        <v>816</v>
      </c>
      <c r="AL771" t="s">
        <v>374</v>
      </c>
      <c r="AP771" t="s">
        <v>852</v>
      </c>
      <c r="AQ771" s="1">
        <f t="shared" si="312"/>
        <v>99.7</v>
      </c>
      <c r="AR771" s="1">
        <f t="shared" si="294"/>
        <v>0.22699999999999998</v>
      </c>
      <c r="AS771" s="1">
        <f t="shared" si="313"/>
        <v>0</v>
      </c>
      <c r="AT771" s="1">
        <f t="shared" si="313"/>
        <v>0.72</v>
      </c>
      <c r="AU771" s="1">
        <f t="shared" si="295"/>
        <v>0</v>
      </c>
      <c r="AV771" s="1">
        <f t="shared" si="306"/>
        <v>0.46829999999999999</v>
      </c>
      <c r="AX771" s="1">
        <f t="shared" si="307"/>
        <v>0</v>
      </c>
      <c r="AY771" s="1">
        <f t="shared" si="296"/>
        <v>0.31527777777777777</v>
      </c>
      <c r="AZ771" s="1">
        <f t="shared" si="297"/>
        <v>0.5</v>
      </c>
      <c r="BA771" s="1">
        <f t="shared" si="298"/>
        <v>0.5</v>
      </c>
      <c r="BB771" s="1">
        <f t="shared" si="299"/>
        <v>0.31527777777777777</v>
      </c>
      <c r="BC771" s="1">
        <f t="shared" si="300"/>
        <v>0.31527777777777777</v>
      </c>
      <c r="BD771" s="1">
        <f t="shared" si="308"/>
        <v>0.15302222222222223</v>
      </c>
      <c r="BF771">
        <f t="shared" si="301"/>
        <v>72</v>
      </c>
      <c r="BG771">
        <f t="shared" si="302"/>
        <v>25.349999999999998</v>
      </c>
      <c r="BH771" s="1">
        <f t="shared" si="303"/>
        <v>0</v>
      </c>
      <c r="BI771" s="1">
        <f t="shared" si="304"/>
        <v>0.3520833333333333</v>
      </c>
      <c r="BJ771" s="1">
        <f t="shared" si="309"/>
        <v>0.43</v>
      </c>
      <c r="BK771" s="1">
        <f t="shared" si="310"/>
        <v>0.3520833333333333</v>
      </c>
      <c r="BL771" s="22">
        <f t="shared" si="311"/>
        <v>0.3520833333333333</v>
      </c>
      <c r="BM771" s="1">
        <f t="shared" si="305"/>
        <v>1.3506313611111117E-2</v>
      </c>
      <c r="BN771" s="1">
        <f t="shared" si="314"/>
        <v>3.6795233891471287E-3</v>
      </c>
    </row>
    <row r="772" spans="3:66" x14ac:dyDescent="0.25">
      <c r="C772" t="s">
        <v>797</v>
      </c>
      <c r="G772">
        <v>0</v>
      </c>
      <c r="H772">
        <v>67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22.7</v>
      </c>
      <c r="P772">
        <v>0</v>
      </c>
      <c r="Q772">
        <v>0</v>
      </c>
      <c r="R772">
        <v>0</v>
      </c>
      <c r="S772">
        <v>0</v>
      </c>
      <c r="T772">
        <v>10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0.3</v>
      </c>
      <c r="AJ772">
        <v>46.44</v>
      </c>
      <c r="AK772" t="s">
        <v>816</v>
      </c>
      <c r="AL772" t="s">
        <v>374</v>
      </c>
      <c r="AQ772" s="1">
        <f t="shared" si="312"/>
        <v>99.7</v>
      </c>
      <c r="AR772" s="1">
        <f t="shared" si="294"/>
        <v>0.22699999999999998</v>
      </c>
      <c r="AS772" s="1">
        <f t="shared" si="313"/>
        <v>0</v>
      </c>
      <c r="AT772" s="1">
        <f t="shared" si="313"/>
        <v>0.67</v>
      </c>
      <c r="AU772" s="1">
        <f t="shared" si="295"/>
        <v>0</v>
      </c>
      <c r="AV772" s="1">
        <f t="shared" si="306"/>
        <v>0.46439999999999998</v>
      </c>
      <c r="AX772" s="1">
        <f t="shared" si="307"/>
        <v>0</v>
      </c>
      <c r="AY772" s="1">
        <f t="shared" si="296"/>
        <v>0.33880597014925368</v>
      </c>
      <c r="AZ772" s="1">
        <f t="shared" si="297"/>
        <v>0.5</v>
      </c>
      <c r="BA772" s="1">
        <f t="shared" si="298"/>
        <v>0.5</v>
      </c>
      <c r="BB772" s="1">
        <f t="shared" si="299"/>
        <v>0.33880597014925368</v>
      </c>
      <c r="BC772" s="1">
        <f t="shared" si="300"/>
        <v>0.33880597014925368</v>
      </c>
      <c r="BD772" s="1">
        <f t="shared" si="308"/>
        <v>0.1255940298507463</v>
      </c>
      <c r="BF772">
        <f t="shared" si="301"/>
        <v>67</v>
      </c>
      <c r="BG772">
        <f t="shared" si="302"/>
        <v>27.849999999999998</v>
      </c>
      <c r="BH772" s="1">
        <f t="shared" si="303"/>
        <v>0</v>
      </c>
      <c r="BI772" s="1">
        <f t="shared" si="304"/>
        <v>0.41567164179104477</v>
      </c>
      <c r="BJ772" s="1">
        <f t="shared" si="309"/>
        <v>0.43</v>
      </c>
      <c r="BK772" s="1">
        <f t="shared" si="310"/>
        <v>0.41567164179104477</v>
      </c>
      <c r="BL772" s="22">
        <f t="shared" si="311"/>
        <v>0.41567164179104477</v>
      </c>
      <c r="BM772" s="1">
        <f t="shared" si="305"/>
        <v>2.3744528937402528E-3</v>
      </c>
      <c r="BN772" s="1">
        <f t="shared" si="314"/>
        <v>3.2215926035497411E-3</v>
      </c>
    </row>
    <row r="773" spans="3:66" x14ac:dyDescent="0.25">
      <c r="C773" t="s">
        <v>798</v>
      </c>
      <c r="G773">
        <v>0</v>
      </c>
      <c r="H773">
        <v>62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22.7</v>
      </c>
      <c r="P773">
        <v>0</v>
      </c>
      <c r="Q773">
        <v>0</v>
      </c>
      <c r="R773">
        <v>0</v>
      </c>
      <c r="S773">
        <v>0</v>
      </c>
      <c r="T773">
        <v>15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0.3</v>
      </c>
      <c r="AJ773">
        <v>45.7</v>
      </c>
      <c r="AK773" t="s">
        <v>816</v>
      </c>
      <c r="AL773" t="s">
        <v>374</v>
      </c>
      <c r="AQ773" s="1">
        <f t="shared" si="312"/>
        <v>99.7</v>
      </c>
      <c r="AR773" s="1">
        <f t="shared" si="294"/>
        <v>0.22699999999999998</v>
      </c>
      <c r="AS773" s="1">
        <f t="shared" si="313"/>
        <v>0</v>
      </c>
      <c r="AT773" s="1">
        <f t="shared" si="313"/>
        <v>0.62</v>
      </c>
      <c r="AU773" s="1">
        <f t="shared" si="295"/>
        <v>0</v>
      </c>
      <c r="AV773" s="1">
        <f t="shared" si="306"/>
        <v>0.45700000000000002</v>
      </c>
      <c r="AX773" s="1">
        <f t="shared" si="307"/>
        <v>0</v>
      </c>
      <c r="AY773" s="1">
        <f t="shared" si="296"/>
        <v>0.36612903225806448</v>
      </c>
      <c r="AZ773" s="1">
        <f t="shared" si="297"/>
        <v>0.5</v>
      </c>
      <c r="BA773" s="1">
        <f t="shared" si="298"/>
        <v>0.5</v>
      </c>
      <c r="BB773" s="1">
        <f t="shared" si="299"/>
        <v>0.36612903225806448</v>
      </c>
      <c r="BC773" s="1">
        <f t="shared" si="300"/>
        <v>0.36612903225806448</v>
      </c>
      <c r="BD773" s="1">
        <f t="shared" si="308"/>
        <v>9.0870967741935538E-2</v>
      </c>
      <c r="BF773">
        <f t="shared" si="301"/>
        <v>62</v>
      </c>
      <c r="BG773">
        <f t="shared" si="302"/>
        <v>30.349999999999998</v>
      </c>
      <c r="BH773" s="1">
        <f t="shared" si="303"/>
        <v>0</v>
      </c>
      <c r="BI773" s="1">
        <f t="shared" si="304"/>
        <v>0.48951612903225805</v>
      </c>
      <c r="BJ773" s="1">
        <f t="shared" si="309"/>
        <v>0.43</v>
      </c>
      <c r="BK773" s="1">
        <f t="shared" si="310"/>
        <v>0.40629022364887563</v>
      </c>
      <c r="BL773" s="22">
        <f t="shared" si="311"/>
        <v>0.40629022364887563</v>
      </c>
      <c r="BM773" s="1">
        <f t="shared" si="305"/>
        <v>2.5714814175810544E-3</v>
      </c>
      <c r="BN773" s="1">
        <f t="shared" si="314"/>
        <v>2.4363182924162442E-3</v>
      </c>
    </row>
    <row r="774" spans="3:66" x14ac:dyDescent="0.25">
      <c r="C774" t="s">
        <v>799</v>
      </c>
      <c r="G774">
        <v>0</v>
      </c>
      <c r="H774">
        <v>57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22.7</v>
      </c>
      <c r="P774">
        <v>0</v>
      </c>
      <c r="Q774">
        <v>0</v>
      </c>
      <c r="R774">
        <v>0</v>
      </c>
      <c r="S774">
        <v>0</v>
      </c>
      <c r="T774">
        <v>20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0.3</v>
      </c>
      <c r="AJ774">
        <v>45.03</v>
      </c>
      <c r="AK774" t="s">
        <v>816</v>
      </c>
      <c r="AL774" t="s">
        <v>374</v>
      </c>
      <c r="AQ774" s="1">
        <f t="shared" si="312"/>
        <v>99.7</v>
      </c>
      <c r="AR774" s="1">
        <f t="shared" si="294"/>
        <v>0.22699999999999998</v>
      </c>
      <c r="AS774" s="1">
        <f t="shared" si="313"/>
        <v>0</v>
      </c>
      <c r="AT774" s="1">
        <f t="shared" si="313"/>
        <v>0.56999999999999995</v>
      </c>
      <c r="AU774" s="1">
        <f t="shared" si="295"/>
        <v>0</v>
      </c>
      <c r="AV774" s="1">
        <f t="shared" si="306"/>
        <v>0.45030000000000003</v>
      </c>
      <c r="AX774" s="1">
        <f t="shared" si="307"/>
        <v>0</v>
      </c>
      <c r="AY774" s="1">
        <f t="shared" si="296"/>
        <v>0.39824561403508774</v>
      </c>
      <c r="AZ774" s="1">
        <f t="shared" si="297"/>
        <v>0.5</v>
      </c>
      <c r="BA774" s="1">
        <f t="shared" si="298"/>
        <v>0.5</v>
      </c>
      <c r="BB774" s="1">
        <f t="shared" si="299"/>
        <v>0.39824561403508774</v>
      </c>
      <c r="BC774" s="1">
        <f t="shared" si="300"/>
        <v>0.39824561403508774</v>
      </c>
      <c r="BD774" s="1">
        <f t="shared" si="308"/>
        <v>5.2054385964912298E-2</v>
      </c>
      <c r="BF774">
        <f t="shared" si="301"/>
        <v>57</v>
      </c>
      <c r="BG774">
        <f t="shared" si="302"/>
        <v>32.85</v>
      </c>
      <c r="BH774" s="1">
        <f t="shared" si="303"/>
        <v>0</v>
      </c>
      <c r="BI774" s="1">
        <f t="shared" si="304"/>
        <v>0.57631578947368423</v>
      </c>
      <c r="BJ774" s="1">
        <f t="shared" si="309"/>
        <v>0.43</v>
      </c>
      <c r="BK774" s="1">
        <f t="shared" si="310"/>
        <v>0.4097010305156516</v>
      </c>
      <c r="BL774" s="22">
        <f t="shared" si="311"/>
        <v>0.4097010305156516</v>
      </c>
      <c r="BM774" s="1">
        <f t="shared" si="305"/>
        <v>1.6482763231910555E-3</v>
      </c>
      <c r="BN774" s="1">
        <f t="shared" si="314"/>
        <v>1.819796686389967E-3</v>
      </c>
    </row>
    <row r="775" spans="3:66" x14ac:dyDescent="0.25">
      <c r="C775" t="s">
        <v>48</v>
      </c>
      <c r="G775">
        <v>0</v>
      </c>
      <c r="H775">
        <v>10</v>
      </c>
      <c r="I775">
        <v>0</v>
      </c>
      <c r="J775">
        <v>0</v>
      </c>
      <c r="K775">
        <v>0</v>
      </c>
      <c r="L775">
        <v>0</v>
      </c>
      <c r="M775">
        <v>16</v>
      </c>
      <c r="N775">
        <v>0</v>
      </c>
      <c r="O775">
        <v>0</v>
      </c>
      <c r="P775">
        <v>0</v>
      </c>
      <c r="Q775">
        <v>74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57</v>
      </c>
      <c r="AK775" t="s">
        <v>1</v>
      </c>
      <c r="AL775" t="s">
        <v>380</v>
      </c>
      <c r="AM775" t="s">
        <v>853</v>
      </c>
      <c r="AO775" t="s">
        <v>378</v>
      </c>
      <c r="AP775" t="s">
        <v>854</v>
      </c>
      <c r="AQ775" s="1">
        <f t="shared" si="312"/>
        <v>100</v>
      </c>
      <c r="AR775" s="1">
        <f t="shared" si="294"/>
        <v>0.16</v>
      </c>
      <c r="AS775" s="1">
        <f t="shared" si="313"/>
        <v>0</v>
      </c>
      <c r="AT775" s="1">
        <f t="shared" si="313"/>
        <v>0.1</v>
      </c>
      <c r="AU775" s="1">
        <f t="shared" si="295"/>
        <v>0.74</v>
      </c>
      <c r="AV775" s="1">
        <f t="shared" si="306"/>
        <v>0.56999999999999995</v>
      </c>
      <c r="AX775" s="1">
        <f t="shared" si="307"/>
        <v>7.3999999999999995</v>
      </c>
      <c r="AY775" s="1">
        <f t="shared" si="296"/>
        <v>1.5999999999999999</v>
      </c>
      <c r="AZ775" s="1">
        <f t="shared" si="297"/>
        <v>0.96249999999999991</v>
      </c>
      <c r="BA775" s="1">
        <f t="shared" si="298"/>
        <v>2.3499999999999996</v>
      </c>
      <c r="BB775" s="1">
        <f t="shared" si="299"/>
        <v>0.96249999999999991</v>
      </c>
      <c r="BC775" s="1">
        <f t="shared" si="300"/>
        <v>0.96249999999999991</v>
      </c>
      <c r="BD775" s="1">
        <f t="shared" si="308"/>
        <v>0.39249999999999996</v>
      </c>
      <c r="BF775">
        <f t="shared" si="301"/>
        <v>10</v>
      </c>
      <c r="BG775">
        <f t="shared" si="302"/>
        <v>16</v>
      </c>
      <c r="BH775" s="1">
        <f t="shared" si="303"/>
        <v>7.4</v>
      </c>
      <c r="BI775" s="1">
        <f t="shared" si="304"/>
        <v>1.6</v>
      </c>
      <c r="BJ775" s="1">
        <f t="shared" si="309"/>
        <v>0.874</v>
      </c>
      <c r="BK775" s="1">
        <f t="shared" si="310"/>
        <v>0.96042578028452652</v>
      </c>
      <c r="BL775" s="22">
        <f t="shared" si="311"/>
        <v>0.96042578028452652</v>
      </c>
      <c r="BM775" s="1">
        <f t="shared" si="305"/>
        <v>0.15243228991078142</v>
      </c>
      <c r="BN775" s="1">
        <f t="shared" si="314"/>
        <v>2.6360469259725097E-2</v>
      </c>
    </row>
    <row r="776" spans="3:66" x14ac:dyDescent="0.25">
      <c r="C776" t="s">
        <v>49</v>
      </c>
      <c r="G776">
        <v>0</v>
      </c>
      <c r="H776">
        <v>10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16</v>
      </c>
      <c r="P776">
        <v>0</v>
      </c>
      <c r="Q776">
        <v>74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88</v>
      </c>
      <c r="AK776" t="s">
        <v>1</v>
      </c>
      <c r="AL776" t="s">
        <v>380</v>
      </c>
      <c r="AQ776" s="1">
        <f t="shared" si="312"/>
        <v>100</v>
      </c>
      <c r="AR776" s="1">
        <f t="shared" si="294"/>
        <v>0.16</v>
      </c>
      <c r="AS776" s="1">
        <f t="shared" si="313"/>
        <v>0</v>
      </c>
      <c r="AT776" s="1">
        <f t="shared" si="313"/>
        <v>0.1</v>
      </c>
      <c r="AU776" s="1">
        <f t="shared" si="295"/>
        <v>0.74</v>
      </c>
      <c r="AV776" s="1">
        <f t="shared" si="306"/>
        <v>0.88</v>
      </c>
      <c r="AX776" s="1">
        <f t="shared" si="307"/>
        <v>7.3999999999999995</v>
      </c>
      <c r="AY776" s="1">
        <f t="shared" si="296"/>
        <v>1.5999999999999999</v>
      </c>
      <c r="AZ776" s="1">
        <f t="shared" si="297"/>
        <v>0.96249999999999991</v>
      </c>
      <c r="BA776" s="1">
        <f t="shared" si="298"/>
        <v>2.3499999999999996</v>
      </c>
      <c r="BB776" s="1">
        <f t="shared" si="299"/>
        <v>0.96249999999999991</v>
      </c>
      <c r="BC776" s="1">
        <f t="shared" si="300"/>
        <v>0.96249999999999991</v>
      </c>
      <c r="BD776" s="1">
        <f t="shared" si="308"/>
        <v>8.2499999999999907E-2</v>
      </c>
      <c r="BF776">
        <f t="shared" si="301"/>
        <v>10</v>
      </c>
      <c r="BG776">
        <f t="shared" si="302"/>
        <v>16</v>
      </c>
      <c r="BH776" s="1">
        <f t="shared" si="303"/>
        <v>7.4</v>
      </c>
      <c r="BI776" s="1">
        <f t="shared" si="304"/>
        <v>1.6</v>
      </c>
      <c r="BJ776" s="1">
        <f t="shared" si="309"/>
        <v>0.874</v>
      </c>
      <c r="BK776" s="1">
        <f t="shared" si="310"/>
        <v>0.96042578028452652</v>
      </c>
      <c r="BL776" s="22">
        <f t="shared" si="311"/>
        <v>0.96042578028452652</v>
      </c>
      <c r="BM776" s="1">
        <f t="shared" si="305"/>
        <v>6.468306134374934E-3</v>
      </c>
      <c r="BN776" s="1">
        <f t="shared" si="314"/>
        <v>0.22312309580720963</v>
      </c>
    </row>
    <row r="777" spans="3:66" x14ac:dyDescent="0.25">
      <c r="C777" t="s">
        <v>204</v>
      </c>
      <c r="G777">
        <v>0</v>
      </c>
      <c r="H777">
        <v>10</v>
      </c>
      <c r="I777">
        <v>0</v>
      </c>
      <c r="J777">
        <v>0</v>
      </c>
      <c r="K777">
        <v>0</v>
      </c>
      <c r="L777">
        <v>16</v>
      </c>
      <c r="M777">
        <v>0</v>
      </c>
      <c r="N777">
        <v>0</v>
      </c>
      <c r="O777">
        <v>0</v>
      </c>
      <c r="P777">
        <v>0</v>
      </c>
      <c r="Q777">
        <v>74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92</v>
      </c>
      <c r="AK777" t="s">
        <v>1</v>
      </c>
      <c r="AL777" t="s">
        <v>380</v>
      </c>
      <c r="AQ777" s="1">
        <f t="shared" si="312"/>
        <v>100</v>
      </c>
      <c r="AR777" s="1">
        <f t="shared" si="294"/>
        <v>0.16</v>
      </c>
      <c r="AS777" s="1">
        <f t="shared" si="313"/>
        <v>0</v>
      </c>
      <c r="AT777" s="1">
        <f t="shared" si="313"/>
        <v>0.1</v>
      </c>
      <c r="AU777" s="1">
        <f t="shared" si="295"/>
        <v>0.74</v>
      </c>
      <c r="AV777" s="1">
        <f t="shared" si="306"/>
        <v>0.92</v>
      </c>
      <c r="AX777" s="1">
        <f t="shared" si="307"/>
        <v>7.3999999999999995</v>
      </c>
      <c r="AY777" s="1">
        <f t="shared" si="296"/>
        <v>1.5999999999999999</v>
      </c>
      <c r="AZ777" s="1">
        <f t="shared" si="297"/>
        <v>0.96249999999999991</v>
      </c>
      <c r="BA777" s="1">
        <f t="shared" si="298"/>
        <v>2.3499999999999996</v>
      </c>
      <c r="BB777" s="1">
        <f t="shared" si="299"/>
        <v>0.96249999999999991</v>
      </c>
      <c r="BC777" s="1">
        <f t="shared" si="300"/>
        <v>0.96249999999999991</v>
      </c>
      <c r="BD777" s="1">
        <f t="shared" si="308"/>
        <v>4.2499999999999871E-2</v>
      </c>
      <c r="BF777">
        <f t="shared" si="301"/>
        <v>10</v>
      </c>
      <c r="BG777">
        <f t="shared" si="302"/>
        <v>16</v>
      </c>
      <c r="BH777" s="1">
        <f t="shared" si="303"/>
        <v>7.4</v>
      </c>
      <c r="BI777" s="1">
        <f t="shared" si="304"/>
        <v>1.6</v>
      </c>
      <c r="BJ777" s="1">
        <f t="shared" si="309"/>
        <v>0.874</v>
      </c>
      <c r="BK777" s="1">
        <f t="shared" si="310"/>
        <v>0.96042578028452652</v>
      </c>
      <c r="BL777" s="22">
        <f t="shared" si="311"/>
        <v>0.96042578028452652</v>
      </c>
      <c r="BM777" s="1">
        <f t="shared" si="305"/>
        <v>1.6342437116128098E-3</v>
      </c>
      <c r="BN777" s="1">
        <f t="shared" si="314"/>
        <v>0.26251182181333671</v>
      </c>
    </row>
    <row r="778" spans="3:66" x14ac:dyDescent="0.25">
      <c r="C778" t="s">
        <v>800</v>
      </c>
      <c r="G778">
        <v>0</v>
      </c>
      <c r="H778">
        <v>10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74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93</v>
      </c>
      <c r="AK778" t="s">
        <v>1</v>
      </c>
      <c r="AL778" t="s">
        <v>380</v>
      </c>
      <c r="AQ778" s="1">
        <f t="shared" si="312"/>
        <v>100</v>
      </c>
      <c r="AR778" s="1">
        <f t="shared" si="294"/>
        <v>0</v>
      </c>
      <c r="AS778" s="1">
        <f t="shared" si="313"/>
        <v>0</v>
      </c>
      <c r="AT778" s="1">
        <f t="shared" si="313"/>
        <v>0.1</v>
      </c>
      <c r="AU778" s="1">
        <f t="shared" si="295"/>
        <v>0.74</v>
      </c>
      <c r="AV778" s="1">
        <f t="shared" si="306"/>
        <v>0.93</v>
      </c>
      <c r="AX778" s="1">
        <f t="shared" si="307"/>
        <v>7.3999999999999995</v>
      </c>
      <c r="AY778" s="1">
        <f t="shared" si="296"/>
        <v>0</v>
      </c>
      <c r="AZ778" s="1">
        <f t="shared" si="297"/>
        <v>0.96249999999999991</v>
      </c>
      <c r="BA778" s="1">
        <f t="shared" si="298"/>
        <v>2.3499999999999996</v>
      </c>
      <c r="BB778" s="1">
        <f t="shared" si="299"/>
        <v>0</v>
      </c>
      <c r="BC778" s="1">
        <f t="shared" si="300"/>
        <v>0</v>
      </c>
      <c r="BD778" s="1">
        <f t="shared" si="308"/>
        <v>0.93</v>
      </c>
      <c r="BF778">
        <f t="shared" si="301"/>
        <v>10</v>
      </c>
      <c r="BG778">
        <f t="shared" si="302"/>
        <v>16</v>
      </c>
      <c r="BH778" s="1">
        <f t="shared" si="303"/>
        <v>7.4</v>
      </c>
      <c r="BI778" s="1">
        <f t="shared" si="304"/>
        <v>1.6</v>
      </c>
      <c r="BJ778" s="1">
        <f t="shared" si="309"/>
        <v>0.874</v>
      </c>
      <c r="BK778" s="1">
        <f t="shared" si="310"/>
        <v>0.96042578028452652</v>
      </c>
      <c r="BL778" s="22">
        <f t="shared" si="311"/>
        <v>0.96042578028452652</v>
      </c>
      <c r="BM778" s="1">
        <f t="shared" si="305"/>
        <v>9.2572810592227975E-4</v>
      </c>
      <c r="BN778" s="1">
        <f t="shared" si="314"/>
        <v>0.27285900331486845</v>
      </c>
    </row>
    <row r="779" spans="3:66" x14ac:dyDescent="0.25">
      <c r="C779" t="s">
        <v>801</v>
      </c>
      <c r="G779">
        <v>0</v>
      </c>
      <c r="H779">
        <v>10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74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16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97</v>
      </c>
      <c r="AK779" t="s">
        <v>1</v>
      </c>
      <c r="AL779" t="s">
        <v>380</v>
      </c>
      <c r="AQ779" s="1">
        <f t="shared" si="312"/>
        <v>100</v>
      </c>
      <c r="AR779" s="1">
        <f t="shared" si="294"/>
        <v>0.16</v>
      </c>
      <c r="AS779" s="1">
        <f t="shared" si="313"/>
        <v>0</v>
      </c>
      <c r="AT779" s="1">
        <f t="shared" si="313"/>
        <v>0.1</v>
      </c>
      <c r="AU779" s="1">
        <f t="shared" si="295"/>
        <v>0.74</v>
      </c>
      <c r="AV779" s="1">
        <f t="shared" si="306"/>
        <v>0.97</v>
      </c>
      <c r="AX779" s="1">
        <f t="shared" si="307"/>
        <v>7.3999999999999995</v>
      </c>
      <c r="AY779" s="1">
        <f t="shared" si="296"/>
        <v>1.5999999999999999</v>
      </c>
      <c r="AZ779" s="1">
        <f t="shared" si="297"/>
        <v>0.96249999999999991</v>
      </c>
      <c r="BA779" s="1">
        <f t="shared" si="298"/>
        <v>2.3499999999999996</v>
      </c>
      <c r="BB779" s="1">
        <f t="shared" si="299"/>
        <v>0.96249999999999991</v>
      </c>
      <c r="BC779" s="1">
        <f t="shared" si="300"/>
        <v>0.96249999999999991</v>
      </c>
      <c r="BD779" s="1">
        <f t="shared" si="308"/>
        <v>7.5000000000000622E-3</v>
      </c>
      <c r="BF779">
        <f t="shared" si="301"/>
        <v>10</v>
      </c>
      <c r="BG779">
        <f t="shared" si="302"/>
        <v>16</v>
      </c>
      <c r="BH779" s="1">
        <f t="shared" si="303"/>
        <v>7.4</v>
      </c>
      <c r="BI779" s="1">
        <f t="shared" si="304"/>
        <v>1.6</v>
      </c>
      <c r="BJ779" s="1">
        <f t="shared" si="309"/>
        <v>0.874</v>
      </c>
      <c r="BK779" s="1">
        <f t="shared" si="310"/>
        <v>0.96042578028452652</v>
      </c>
      <c r="BL779" s="22">
        <f t="shared" si="311"/>
        <v>0.96042578028452652</v>
      </c>
      <c r="BM779" s="1">
        <f t="shared" si="305"/>
        <v>9.1665683160160573E-5</v>
      </c>
      <c r="BN779" s="1">
        <f t="shared" si="314"/>
        <v>0.31624772932099543</v>
      </c>
    </row>
    <row r="780" spans="3:66" x14ac:dyDescent="0.25">
      <c r="C780" t="s">
        <v>802</v>
      </c>
      <c r="G780">
        <v>0</v>
      </c>
      <c r="H780">
        <v>10</v>
      </c>
      <c r="I780">
        <v>0</v>
      </c>
      <c r="J780">
        <v>0</v>
      </c>
      <c r="K780">
        <v>0</v>
      </c>
      <c r="L780">
        <v>0</v>
      </c>
      <c r="M780">
        <v>8</v>
      </c>
      <c r="N780">
        <v>0</v>
      </c>
      <c r="O780">
        <v>8</v>
      </c>
      <c r="P780">
        <v>0</v>
      </c>
      <c r="Q780">
        <v>74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70</v>
      </c>
      <c r="AK780" t="s">
        <v>1</v>
      </c>
      <c r="AL780" t="s">
        <v>380</v>
      </c>
      <c r="AQ780" s="1">
        <f t="shared" si="312"/>
        <v>100</v>
      </c>
      <c r="AR780" s="1">
        <f t="shared" si="294"/>
        <v>0.16</v>
      </c>
      <c r="AS780" s="1">
        <f t="shared" si="313"/>
        <v>0</v>
      </c>
      <c r="AT780" s="1">
        <f t="shared" si="313"/>
        <v>0.1</v>
      </c>
      <c r="AU780" s="1">
        <f t="shared" si="295"/>
        <v>0.74</v>
      </c>
      <c r="AV780" s="1">
        <f t="shared" si="306"/>
        <v>0.7</v>
      </c>
      <c r="AX780" s="1">
        <f t="shared" si="307"/>
        <v>7.3999999999999995</v>
      </c>
      <c r="AY780" s="1">
        <f t="shared" si="296"/>
        <v>1.5999999999999999</v>
      </c>
      <c r="AZ780" s="1">
        <f t="shared" si="297"/>
        <v>0.96249999999999991</v>
      </c>
      <c r="BA780" s="1">
        <f t="shared" si="298"/>
        <v>2.3499999999999996</v>
      </c>
      <c r="BB780" s="1">
        <f t="shared" si="299"/>
        <v>0.96249999999999991</v>
      </c>
      <c r="BC780" s="1">
        <f t="shared" si="300"/>
        <v>0.96249999999999991</v>
      </c>
      <c r="BD780" s="1">
        <f t="shared" si="308"/>
        <v>0.26249999999999996</v>
      </c>
      <c r="BF780">
        <f t="shared" si="301"/>
        <v>10</v>
      </c>
      <c r="BG780">
        <f t="shared" si="302"/>
        <v>16</v>
      </c>
      <c r="BH780" s="1">
        <f t="shared" si="303"/>
        <v>7.4</v>
      </c>
      <c r="BI780" s="1">
        <f t="shared" si="304"/>
        <v>1.6</v>
      </c>
      <c r="BJ780" s="1">
        <f t="shared" si="309"/>
        <v>0.874</v>
      </c>
      <c r="BK780" s="1">
        <f t="shared" si="310"/>
        <v>0.96042578028452652</v>
      </c>
      <c r="BL780" s="22">
        <f t="shared" si="311"/>
        <v>0.96042578028452652</v>
      </c>
      <c r="BM780" s="1">
        <f t="shared" si="305"/>
        <v>6.7821587036804507E-2</v>
      </c>
      <c r="BN780" s="1">
        <f t="shared" si="314"/>
        <v>8.5473828779637939E-2</v>
      </c>
    </row>
    <row r="781" spans="3:66" x14ac:dyDescent="0.25">
      <c r="C781" t="s">
        <v>803</v>
      </c>
      <c r="G781">
        <v>0</v>
      </c>
      <c r="H781">
        <v>10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74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8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8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97</v>
      </c>
      <c r="AK781" t="s">
        <v>1</v>
      </c>
      <c r="AL781" t="s">
        <v>380</v>
      </c>
      <c r="AQ781" s="1">
        <f t="shared" si="312"/>
        <v>100</v>
      </c>
      <c r="AR781" s="1">
        <f t="shared" si="294"/>
        <v>0.08</v>
      </c>
      <c r="AS781" s="1">
        <f t="shared" si="313"/>
        <v>0</v>
      </c>
      <c r="AT781" s="1">
        <f t="shared" si="313"/>
        <v>0.1</v>
      </c>
      <c r="AU781" s="1">
        <f t="shared" si="295"/>
        <v>0.74</v>
      </c>
      <c r="AV781" s="1">
        <f t="shared" si="306"/>
        <v>0.97</v>
      </c>
      <c r="AX781" s="1">
        <f t="shared" si="307"/>
        <v>7.3999999999999995</v>
      </c>
      <c r="AY781" s="1">
        <f t="shared" si="296"/>
        <v>0.79999999999999993</v>
      </c>
      <c r="AZ781" s="1">
        <f t="shared" si="297"/>
        <v>0.96249999999999991</v>
      </c>
      <c r="BA781" s="1">
        <f t="shared" si="298"/>
        <v>2.3499999999999996</v>
      </c>
      <c r="BB781" s="1">
        <f t="shared" si="299"/>
        <v>0.79999999999999993</v>
      </c>
      <c r="BC781" s="1">
        <f t="shared" si="300"/>
        <v>0.79999999999999993</v>
      </c>
      <c r="BD781" s="1">
        <f t="shared" si="308"/>
        <v>0.17000000000000004</v>
      </c>
      <c r="BF781">
        <f t="shared" si="301"/>
        <v>10</v>
      </c>
      <c r="BG781">
        <f t="shared" si="302"/>
        <v>16</v>
      </c>
      <c r="BH781" s="1">
        <f t="shared" si="303"/>
        <v>7.4</v>
      </c>
      <c r="BI781" s="1">
        <f t="shared" si="304"/>
        <v>1.6</v>
      </c>
      <c r="BJ781" s="1">
        <f t="shared" si="309"/>
        <v>0.874</v>
      </c>
      <c r="BK781" s="1">
        <f t="shared" si="310"/>
        <v>0.96042578028452652</v>
      </c>
      <c r="BL781" s="22">
        <f t="shared" si="311"/>
        <v>0.96042578028452652</v>
      </c>
      <c r="BM781" s="1">
        <f t="shared" si="305"/>
        <v>9.1665683160160573E-5</v>
      </c>
      <c r="BN781" s="1">
        <f t="shared" si="314"/>
        <v>0.31624772932099543</v>
      </c>
    </row>
    <row r="782" spans="3:66" x14ac:dyDescent="0.25">
      <c r="C782" t="s">
        <v>804</v>
      </c>
      <c r="G782">
        <v>7.7</v>
      </c>
      <c r="H782">
        <v>14.9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26.1</v>
      </c>
      <c r="P782">
        <v>0</v>
      </c>
      <c r="Q782">
        <v>51.3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57</v>
      </c>
      <c r="AK782" t="s">
        <v>1</v>
      </c>
      <c r="AL782" t="s">
        <v>380</v>
      </c>
      <c r="AM782" t="s">
        <v>855</v>
      </c>
      <c r="AO782" t="s">
        <v>378</v>
      </c>
      <c r="AP782" t="s">
        <v>856</v>
      </c>
      <c r="AQ782" s="1">
        <f t="shared" si="312"/>
        <v>100</v>
      </c>
      <c r="AR782" s="1">
        <f t="shared" si="294"/>
        <v>0.26100000000000001</v>
      </c>
      <c r="AS782" s="1">
        <f t="shared" si="313"/>
        <v>7.6999999999999999E-2</v>
      </c>
      <c r="AT782" s="1">
        <f t="shared" si="313"/>
        <v>0.14899999999999999</v>
      </c>
      <c r="AU782" s="1">
        <f t="shared" si="295"/>
        <v>0.51300000000000001</v>
      </c>
      <c r="AV782" s="1">
        <f t="shared" si="306"/>
        <v>0.56999999999999995</v>
      </c>
      <c r="AX782" s="1">
        <f t="shared" si="307"/>
        <v>2.2699115044247788</v>
      </c>
      <c r="AY782" s="1">
        <f t="shared" si="296"/>
        <v>1.1548672566371683</v>
      </c>
      <c r="AZ782" s="1">
        <f t="shared" si="297"/>
        <v>0.64186946902654873</v>
      </c>
      <c r="BA782" s="1">
        <f t="shared" si="298"/>
        <v>1.0674778761061947</v>
      </c>
      <c r="BB782" s="1">
        <f t="shared" si="299"/>
        <v>0.62435386002720594</v>
      </c>
      <c r="BC782" s="1">
        <f t="shared" si="300"/>
        <v>0.62435386002720594</v>
      </c>
      <c r="BD782" s="1">
        <f t="shared" si="308"/>
        <v>5.4353860027205991E-2</v>
      </c>
      <c r="BF782">
        <f t="shared" si="301"/>
        <v>45.7</v>
      </c>
      <c r="BG782">
        <f t="shared" si="302"/>
        <v>26.1</v>
      </c>
      <c r="BH782" s="1">
        <f t="shared" si="303"/>
        <v>1.1225382932166301</v>
      </c>
      <c r="BI782" s="1">
        <f t="shared" si="304"/>
        <v>0.57111597374179435</v>
      </c>
      <c r="BJ782" s="1">
        <f t="shared" si="309"/>
        <v>0.49735229759299782</v>
      </c>
      <c r="BK782" s="1">
        <f t="shared" si="310"/>
        <v>0.47816550862757157</v>
      </c>
      <c r="BL782" s="22">
        <f t="shared" si="311"/>
        <v>0.47816550862757157</v>
      </c>
      <c r="BM782" s="1">
        <f t="shared" si="305"/>
        <v>8.4335738056326229E-3</v>
      </c>
      <c r="BN782" s="1">
        <f t="shared" si="314"/>
        <v>2.6360469259725097E-2</v>
      </c>
    </row>
    <row r="783" spans="3:66" x14ac:dyDescent="0.25">
      <c r="C783" t="s">
        <v>805</v>
      </c>
      <c r="G783">
        <v>7.7</v>
      </c>
      <c r="H783">
        <v>14.9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7.5</v>
      </c>
      <c r="O783">
        <v>18.7</v>
      </c>
      <c r="P783">
        <v>0</v>
      </c>
      <c r="Q783">
        <v>51.2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37</v>
      </c>
      <c r="AK783" t="s">
        <v>1</v>
      </c>
      <c r="AL783" t="s">
        <v>380</v>
      </c>
      <c r="AQ783" s="1">
        <f t="shared" si="312"/>
        <v>100</v>
      </c>
      <c r="AR783" s="1">
        <f t="shared" si="294"/>
        <v>0.187</v>
      </c>
      <c r="AS783" s="1">
        <f t="shared" si="313"/>
        <v>7.6999999999999999E-2</v>
      </c>
      <c r="AT783" s="1">
        <f t="shared" si="313"/>
        <v>0.14899999999999999</v>
      </c>
      <c r="AU783" s="1">
        <f t="shared" si="295"/>
        <v>0.51200000000000001</v>
      </c>
      <c r="AV783" s="1">
        <f t="shared" si="306"/>
        <v>0.37</v>
      </c>
      <c r="AX783" s="1">
        <f t="shared" si="307"/>
        <v>2.2654867256637172</v>
      </c>
      <c r="AY783" s="1">
        <f t="shared" si="296"/>
        <v>0.82743362831858414</v>
      </c>
      <c r="AZ783" s="1">
        <f t="shared" si="297"/>
        <v>0.6415929203539823</v>
      </c>
      <c r="BA783" s="1">
        <f t="shared" si="298"/>
        <v>1.0663716814159292</v>
      </c>
      <c r="BB783" s="1">
        <f t="shared" si="299"/>
        <v>0.6415929203539823</v>
      </c>
      <c r="BC783" s="1">
        <f t="shared" si="300"/>
        <v>0.6415929203539823</v>
      </c>
      <c r="BD783" s="1">
        <f t="shared" si="308"/>
        <v>0.2715929203539823</v>
      </c>
      <c r="BF783">
        <f t="shared" si="301"/>
        <v>45.7</v>
      </c>
      <c r="BG783">
        <f t="shared" si="302"/>
        <v>22.45</v>
      </c>
      <c r="BH783" s="1">
        <f t="shared" si="303"/>
        <v>1.1203501094091903</v>
      </c>
      <c r="BI783" s="1">
        <f t="shared" si="304"/>
        <v>0.49124726477024067</v>
      </c>
      <c r="BJ783" s="1">
        <f t="shared" si="309"/>
        <v>0.49722100656455143</v>
      </c>
      <c r="BK783" s="1">
        <f t="shared" si="310"/>
        <v>0.49124726477024067</v>
      </c>
      <c r="BL783" s="22">
        <f t="shared" si="311"/>
        <v>0.49124726477024067</v>
      </c>
      <c r="BM783" s="1">
        <f t="shared" si="305"/>
        <v>1.4700899214264844E-2</v>
      </c>
      <c r="BN783" s="1">
        <f t="shared" si="314"/>
        <v>1.4168392290899454E-3</v>
      </c>
    </row>
    <row r="784" spans="3:66" x14ac:dyDescent="0.25">
      <c r="C784" t="s">
        <v>806</v>
      </c>
      <c r="G784">
        <v>7.7</v>
      </c>
      <c r="H784">
        <v>14.9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13.1</v>
      </c>
      <c r="O784">
        <v>13.1</v>
      </c>
      <c r="P784">
        <v>0</v>
      </c>
      <c r="Q784">
        <v>51.2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24</v>
      </c>
      <c r="AK784" t="s">
        <v>1</v>
      </c>
      <c r="AL784" t="s">
        <v>380</v>
      </c>
      <c r="AQ784" s="1">
        <f t="shared" si="312"/>
        <v>100</v>
      </c>
      <c r="AR784" s="1">
        <f t="shared" si="294"/>
        <v>0.13100000000000001</v>
      </c>
      <c r="AS784" s="1">
        <f t="shared" si="313"/>
        <v>7.6999999999999999E-2</v>
      </c>
      <c r="AT784" s="1">
        <f t="shared" si="313"/>
        <v>0.14899999999999999</v>
      </c>
      <c r="AU784" s="1">
        <f t="shared" si="295"/>
        <v>0.51200000000000001</v>
      </c>
      <c r="AV784" s="1">
        <f t="shared" si="306"/>
        <v>0.24</v>
      </c>
      <c r="AX784" s="1">
        <f t="shared" si="307"/>
        <v>2.2654867256637172</v>
      </c>
      <c r="AY784" s="1">
        <f t="shared" si="296"/>
        <v>0.57964601769911517</v>
      </c>
      <c r="AZ784" s="1">
        <f t="shared" si="297"/>
        <v>0.6415929203539823</v>
      </c>
      <c r="BA784" s="1">
        <f t="shared" si="298"/>
        <v>1.0663716814159292</v>
      </c>
      <c r="BB784" s="1">
        <f t="shared" si="299"/>
        <v>0.57964601769911517</v>
      </c>
      <c r="BC784" s="1">
        <f t="shared" si="300"/>
        <v>0.57964601769911517</v>
      </c>
      <c r="BD784" s="1">
        <f t="shared" si="308"/>
        <v>0.33964601769911518</v>
      </c>
      <c r="BF784">
        <f t="shared" si="301"/>
        <v>45.7</v>
      </c>
      <c r="BG784">
        <f t="shared" si="302"/>
        <v>19.649999999999999</v>
      </c>
      <c r="BH784" s="1">
        <f t="shared" si="303"/>
        <v>1.1203501094091903</v>
      </c>
      <c r="BI784" s="1">
        <f t="shared" si="304"/>
        <v>0.42997811816192555</v>
      </c>
      <c r="BJ784" s="1">
        <f t="shared" si="309"/>
        <v>0.49722100656455143</v>
      </c>
      <c r="BK784" s="1">
        <f t="shared" si="310"/>
        <v>0.42997811816192555</v>
      </c>
      <c r="BL784" s="22">
        <f t="shared" si="311"/>
        <v>0.42997811816192555</v>
      </c>
      <c r="BM784" s="1">
        <f t="shared" si="305"/>
        <v>3.6091685380346551E-2</v>
      </c>
      <c r="BN784" s="1">
        <f t="shared" si="314"/>
        <v>2.8103479709177089E-2</v>
      </c>
    </row>
    <row r="785" spans="3:66" x14ac:dyDescent="0.25">
      <c r="C785" t="s">
        <v>807</v>
      </c>
      <c r="G785">
        <v>7.7</v>
      </c>
      <c r="H785">
        <v>14.9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18.7</v>
      </c>
      <c r="O785">
        <v>7.5</v>
      </c>
      <c r="P785">
        <v>0</v>
      </c>
      <c r="Q785">
        <v>51.2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7</v>
      </c>
      <c r="AK785" t="s">
        <v>1</v>
      </c>
      <c r="AL785" t="s">
        <v>380</v>
      </c>
      <c r="AQ785" s="1">
        <f t="shared" si="312"/>
        <v>100</v>
      </c>
      <c r="AR785" s="1">
        <f t="shared" si="294"/>
        <v>7.4999999999999997E-2</v>
      </c>
      <c r="AS785" s="1">
        <f t="shared" si="313"/>
        <v>7.6999999999999999E-2</v>
      </c>
      <c r="AT785" s="1">
        <f t="shared" si="313"/>
        <v>0.14899999999999999</v>
      </c>
      <c r="AU785" s="1">
        <f t="shared" si="295"/>
        <v>0.51200000000000001</v>
      </c>
      <c r="AV785" s="1">
        <f t="shared" si="306"/>
        <v>7.0000000000000007E-2</v>
      </c>
      <c r="AX785" s="1">
        <f t="shared" si="307"/>
        <v>2.2654867256637172</v>
      </c>
      <c r="AY785" s="1">
        <f t="shared" si="296"/>
        <v>0.33185840707964603</v>
      </c>
      <c r="AZ785" s="1">
        <f t="shared" si="297"/>
        <v>0.6415929203539823</v>
      </c>
      <c r="BA785" s="1">
        <f t="shared" si="298"/>
        <v>1.0663716814159292</v>
      </c>
      <c r="BB785" s="1">
        <f t="shared" si="299"/>
        <v>0.33185840707964603</v>
      </c>
      <c r="BC785" s="1">
        <f t="shared" si="300"/>
        <v>0.33185840707964603</v>
      </c>
      <c r="BD785" s="1">
        <f t="shared" si="308"/>
        <v>0.26185840707964603</v>
      </c>
      <c r="BF785">
        <f t="shared" si="301"/>
        <v>45.7</v>
      </c>
      <c r="BG785">
        <f t="shared" si="302"/>
        <v>16.850000000000001</v>
      </c>
      <c r="BH785" s="1">
        <f t="shared" si="303"/>
        <v>1.1203501094091903</v>
      </c>
      <c r="BI785" s="1">
        <f t="shared" si="304"/>
        <v>0.36870897155361049</v>
      </c>
      <c r="BJ785" s="1">
        <f t="shared" si="309"/>
        <v>0.49722100656455143</v>
      </c>
      <c r="BK785" s="1">
        <f t="shared" si="310"/>
        <v>0.36870897155361049</v>
      </c>
      <c r="BL785" s="22">
        <f t="shared" si="311"/>
        <v>0.36870897155361049</v>
      </c>
      <c r="BM785" s="1">
        <f t="shared" si="305"/>
        <v>8.922704968661567E-2</v>
      </c>
      <c r="BN785" s="1">
        <f t="shared" si="314"/>
        <v>0.11400139418313719</v>
      </c>
    </row>
    <row r="786" spans="3:66" x14ac:dyDescent="0.25">
      <c r="C786" t="s">
        <v>808</v>
      </c>
      <c r="G786">
        <v>12.4</v>
      </c>
      <c r="H786">
        <v>24.2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12.1</v>
      </c>
      <c r="O786">
        <v>0</v>
      </c>
      <c r="P786">
        <v>0</v>
      </c>
      <c r="Q786">
        <v>51.3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2</v>
      </c>
      <c r="AK786" t="s">
        <v>1</v>
      </c>
      <c r="AL786" t="s">
        <v>380</v>
      </c>
      <c r="AQ786" s="1">
        <f t="shared" si="312"/>
        <v>100</v>
      </c>
      <c r="AR786" s="1">
        <f t="shared" si="294"/>
        <v>0</v>
      </c>
      <c r="AS786" s="1">
        <f t="shared" si="313"/>
        <v>0.124</v>
      </c>
      <c r="AT786" s="1">
        <f t="shared" si="313"/>
        <v>0.24199999999999999</v>
      </c>
      <c r="AU786" s="1">
        <f t="shared" si="295"/>
        <v>0.51300000000000001</v>
      </c>
      <c r="AV786" s="1">
        <f t="shared" si="306"/>
        <v>0.02</v>
      </c>
      <c r="AX786" s="1">
        <f t="shared" si="307"/>
        <v>1.4016393442622952</v>
      </c>
      <c r="AY786" s="1">
        <f t="shared" si="296"/>
        <v>0</v>
      </c>
      <c r="AZ786" s="1">
        <f t="shared" si="297"/>
        <v>0.58760245901639341</v>
      </c>
      <c r="BA786" s="1">
        <f t="shared" si="298"/>
        <v>0.85040983606557385</v>
      </c>
      <c r="BB786" s="1">
        <f t="shared" si="299"/>
        <v>0</v>
      </c>
      <c r="BC786" s="1">
        <f t="shared" si="300"/>
        <v>0</v>
      </c>
      <c r="BD786" s="1">
        <f t="shared" si="308"/>
        <v>0.02</v>
      </c>
      <c r="BF786">
        <f t="shared" si="301"/>
        <v>73.8</v>
      </c>
      <c r="BG786">
        <f t="shared" si="302"/>
        <v>6.05</v>
      </c>
      <c r="BH786" s="1">
        <f t="shared" si="303"/>
        <v>0.69512195121951215</v>
      </c>
      <c r="BI786" s="1">
        <f t="shared" si="304"/>
        <v>8.1978319783197834E-2</v>
      </c>
      <c r="BJ786" s="1">
        <f t="shared" si="309"/>
        <v>0.47170731707317071</v>
      </c>
      <c r="BK786" s="1">
        <f t="shared" si="310"/>
        <v>8.1978319783197834E-2</v>
      </c>
      <c r="BL786" s="22">
        <f t="shared" si="311"/>
        <v>8.1978319783197834E-2</v>
      </c>
      <c r="BM786" s="1">
        <f t="shared" si="305"/>
        <v>3.8413121231483313E-3</v>
      </c>
      <c r="BN786" s="1">
        <f t="shared" si="314"/>
        <v>0.1502654866754784</v>
      </c>
    </row>
    <row r="787" spans="3:66" x14ac:dyDescent="0.25">
      <c r="C787" t="s">
        <v>809</v>
      </c>
      <c r="G787">
        <v>7.7</v>
      </c>
      <c r="H787">
        <v>14.9</v>
      </c>
      <c r="I787">
        <v>7.5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18.7</v>
      </c>
      <c r="P787">
        <v>0</v>
      </c>
      <c r="Q787">
        <v>51.2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46</v>
      </c>
      <c r="AK787" t="s">
        <v>1</v>
      </c>
      <c r="AL787" t="s">
        <v>380</v>
      </c>
      <c r="AQ787" s="1">
        <f t="shared" si="312"/>
        <v>100</v>
      </c>
      <c r="AR787" s="1">
        <f t="shared" si="294"/>
        <v>0.187</v>
      </c>
      <c r="AS787" s="1">
        <f t="shared" si="313"/>
        <v>7.6999999999999999E-2</v>
      </c>
      <c r="AT787" s="1">
        <f t="shared" si="313"/>
        <v>0.14899999999999999</v>
      </c>
      <c r="AU787" s="1">
        <f t="shared" si="295"/>
        <v>0.51200000000000001</v>
      </c>
      <c r="AV787" s="1">
        <f t="shared" si="306"/>
        <v>0.46</v>
      </c>
      <c r="AX787" s="1">
        <f t="shared" si="307"/>
        <v>2.2654867256637172</v>
      </c>
      <c r="AY787" s="1">
        <f t="shared" si="296"/>
        <v>0.82743362831858414</v>
      </c>
      <c r="AZ787" s="1">
        <f t="shared" si="297"/>
        <v>0.6415929203539823</v>
      </c>
      <c r="BA787" s="1">
        <f t="shared" si="298"/>
        <v>1.0663716814159292</v>
      </c>
      <c r="BB787" s="1">
        <f t="shared" si="299"/>
        <v>0.6415929203539823</v>
      </c>
      <c r="BC787" s="1">
        <f t="shared" si="300"/>
        <v>0.6415929203539823</v>
      </c>
      <c r="BD787" s="1">
        <f t="shared" si="308"/>
        <v>0.18159292035398228</v>
      </c>
      <c r="BF787">
        <f t="shared" si="301"/>
        <v>45.7</v>
      </c>
      <c r="BG787">
        <f t="shared" si="302"/>
        <v>22.45</v>
      </c>
      <c r="BH787" s="1">
        <f t="shared" si="303"/>
        <v>1.1203501094091903</v>
      </c>
      <c r="BI787" s="1">
        <f t="shared" si="304"/>
        <v>0.49124726477024067</v>
      </c>
      <c r="BJ787" s="1">
        <f t="shared" si="309"/>
        <v>0.49722100656455143</v>
      </c>
      <c r="BK787" s="1">
        <f t="shared" si="310"/>
        <v>0.49124726477024067</v>
      </c>
      <c r="BL787" s="22">
        <f t="shared" si="311"/>
        <v>0.49124726477024067</v>
      </c>
      <c r="BM787" s="1">
        <f t="shared" si="305"/>
        <v>9.7639155562152216E-4</v>
      </c>
      <c r="BN787" s="1">
        <f t="shared" si="314"/>
        <v>2.7414727428757718E-3</v>
      </c>
    </row>
    <row r="789" spans="3:66" x14ac:dyDescent="0.25">
      <c r="F789" s="9" t="s">
        <v>859</v>
      </c>
      <c r="G789">
        <f>MAX(G2:G787)</f>
        <v>30</v>
      </c>
      <c r="H789">
        <f t="shared" ref="H789:AI789" si="315">MAX(H2:H787)</f>
        <v>100</v>
      </c>
      <c r="I789">
        <f t="shared" si="315"/>
        <v>50</v>
      </c>
      <c r="J789">
        <f t="shared" si="315"/>
        <v>0</v>
      </c>
      <c r="K789">
        <f t="shared" si="315"/>
        <v>9.9424025292217255</v>
      </c>
      <c r="L789">
        <f t="shared" si="315"/>
        <v>44.994499449944989</v>
      </c>
      <c r="M789">
        <f t="shared" si="315"/>
        <v>60</v>
      </c>
      <c r="N789">
        <f t="shared" si="315"/>
        <v>40</v>
      </c>
      <c r="O789">
        <f t="shared" si="315"/>
        <v>69.969969969969966</v>
      </c>
      <c r="P789">
        <f t="shared" si="315"/>
        <v>4</v>
      </c>
      <c r="Q789">
        <f t="shared" si="315"/>
        <v>87.3</v>
      </c>
      <c r="R789">
        <f t="shared" si="315"/>
        <v>0</v>
      </c>
      <c r="S789">
        <f t="shared" si="315"/>
        <v>0</v>
      </c>
      <c r="T789">
        <f t="shared" si="315"/>
        <v>20</v>
      </c>
      <c r="U789">
        <f t="shared" si="315"/>
        <v>8</v>
      </c>
      <c r="V789">
        <f t="shared" si="315"/>
        <v>50.4</v>
      </c>
      <c r="W789">
        <f t="shared" si="315"/>
        <v>50</v>
      </c>
      <c r="X789">
        <f t="shared" si="315"/>
        <v>58.333333333333343</v>
      </c>
      <c r="Y789">
        <f t="shared" si="315"/>
        <v>45.1</v>
      </c>
      <c r="Z789">
        <f t="shared" si="315"/>
        <v>47</v>
      </c>
      <c r="AA789">
        <f t="shared" si="315"/>
        <v>80</v>
      </c>
      <c r="AB789">
        <f t="shared" si="315"/>
        <v>20.59</v>
      </c>
      <c r="AC789">
        <f t="shared" si="315"/>
        <v>0</v>
      </c>
      <c r="AD789">
        <f t="shared" si="315"/>
        <v>44.994499449944989</v>
      </c>
      <c r="AE789">
        <f t="shared" si="315"/>
        <v>4.83</v>
      </c>
      <c r="AF789">
        <f t="shared" si="315"/>
        <v>43</v>
      </c>
      <c r="AG789">
        <f t="shared" si="315"/>
        <v>0</v>
      </c>
      <c r="AH789">
        <f t="shared" si="315"/>
        <v>0</v>
      </c>
      <c r="AI789">
        <f t="shared" si="315"/>
        <v>0.3</v>
      </c>
    </row>
    <row r="791" spans="3:66" x14ac:dyDescent="0.25">
      <c r="G791">
        <v>6.1611304951871659</v>
      </c>
      <c r="H791">
        <v>6.449689303028368</v>
      </c>
      <c r="I791">
        <v>1.5430771245394286</v>
      </c>
      <c r="J791">
        <v>0.34517902210129919</v>
      </c>
      <c r="K791">
        <v>0.43946894149827437</v>
      </c>
      <c r="L791">
        <v>1.2440740405738484</v>
      </c>
      <c r="M791">
        <v>0</v>
      </c>
      <c r="N791">
        <v>1.8933833616939071</v>
      </c>
      <c r="O791">
        <v>25.834019396088852</v>
      </c>
      <c r="P791">
        <v>0.27840569066501664</v>
      </c>
      <c r="Q791">
        <v>45.110937568005824</v>
      </c>
      <c r="R791">
        <v>0.73189966663787487</v>
      </c>
      <c r="S791">
        <v>0</v>
      </c>
      <c r="T791">
        <v>4.0355559536552095</v>
      </c>
      <c r="U791">
        <v>0.8792080440578085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s="24">
        <v>69.5</v>
      </c>
      <c r="AQ791" s="1">
        <f t="shared" ref="AQ791:AQ795" si="316">SUM(G791:AF791)</f>
        <v>94.94602860773287</v>
      </c>
      <c r="AR791" s="1">
        <f t="shared" ref="AR791:AR795" si="317">(L791+M791+O791+X791)/100</f>
        <v>0.27078093436662704</v>
      </c>
      <c r="AS791" s="1">
        <f t="shared" ref="AS791:AS795" si="318">G791/100</f>
        <v>6.1611304951871657E-2</v>
      </c>
      <c r="AT791" s="1">
        <f t="shared" ref="AT791:AT795" si="319">H791/100</f>
        <v>6.4496893030283678E-2</v>
      </c>
      <c r="AU791" s="1">
        <f t="shared" ref="AU791:AU795" si="320">Q791/100</f>
        <v>0.45110937568005821</v>
      </c>
      <c r="AV791" s="1">
        <f t="shared" ref="AV791:AV795" si="321">AJ791/100</f>
        <v>0.69499999999999995</v>
      </c>
      <c r="BF791">
        <f t="shared" ref="BF791:BF795" si="322">$BQ$3*H791+$BQ$4*G791+$BQ$5*P791+$BQ$6*K791+$BQ$7*S791+$BQ$8*U791+$BQ$9*Y791+$BQ$10*J791+$BQ$11*AC791+$BQ$12*AG791+$BQ$13*AH791+$BQ$14*R791+$BQ$15*AE791</f>
        <v>33.13103306255767</v>
      </c>
      <c r="BG791">
        <f t="shared" ref="BG791:BG795" si="323">O791+$BQ$17*M791+$BQ$18*L791+$BQ$19*X791+$BQ$20*AD791+$BQ$21*I791+$BQ$22*N791+$BQ$23*AB791+$BQ$24*V791+$BQ$25*T791+$BQ$26*AA791+$BQ$28*Z791+$BQ$29*AF791+$BQ$30*W791+$BQ$27*AI791</f>
        <v>30.814101656606976</v>
      </c>
      <c r="BH791" s="1">
        <f t="shared" ref="BH791:BH795" si="324">(Q791)/BF791</f>
        <v>1.3615916377502575</v>
      </c>
      <c r="BI791" s="1">
        <f t="shared" ref="BI791:BI795" si="325">BG791/BF791</f>
        <v>0.93006763774688561</v>
      </c>
      <c r="BJ791" s="1">
        <f t="shared" ref="BJ791:BJ795" si="326">$BQ$32+BH791*$BQ$33</f>
        <v>0.51169549826501548</v>
      </c>
      <c r="BK791" s="1">
        <f t="shared" ref="BK791:BK795" si="327">IF(BI791&lt;BJ791,BI791,$BQ$35*($BQ$36+BI791)*($BQ$37-BI791/($BQ$38+BH791)*$BQ$39)^5)</f>
        <v>0.51588268952775107</v>
      </c>
      <c r="BL791" s="22">
        <f t="shared" ref="BL791:BL795" si="328">IF(BK791&lt;1,IF(BK791&gt;0,BK791,0),1)</f>
        <v>0.51588268952775107</v>
      </c>
      <c r="BM791" s="1">
        <f t="shared" ref="BM791:BM795" si="329">(BL791-AV791)^2</f>
        <v>3.2083010910811997E-2</v>
      </c>
      <c r="BN791" s="1">
        <f t="shared" ref="BN791:BN795" si="330">(AV791-AVERAGE($AV$2:$AV$638))^2</f>
        <v>8.2575238028872067E-2</v>
      </c>
    </row>
    <row r="792" spans="3:66" x14ac:dyDescent="0.25">
      <c r="G792">
        <v>7.4275810865367937</v>
      </c>
      <c r="H792">
        <v>15.424380120222281</v>
      </c>
      <c r="I792">
        <v>2.1208566501992685</v>
      </c>
      <c r="J792">
        <v>0.22035753411968254</v>
      </c>
      <c r="K792">
        <v>0.2782162384396919</v>
      </c>
      <c r="L792">
        <v>0.7909015632355626</v>
      </c>
      <c r="M792">
        <v>0</v>
      </c>
      <c r="N792">
        <v>1.2040846983184881</v>
      </c>
      <c r="O792">
        <v>20.170468208700594</v>
      </c>
      <c r="P792">
        <v>0.17816811839601152</v>
      </c>
      <c r="Q792">
        <v>44.150829988485654</v>
      </c>
      <c r="R792">
        <v>0.46956307988314389</v>
      </c>
      <c r="S792">
        <v>0</v>
      </c>
      <c r="T792">
        <v>2.5617357512403962</v>
      </c>
      <c r="U792">
        <v>2.5683468532830651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 s="24">
        <v>69.7</v>
      </c>
      <c r="AQ792" s="1">
        <f t="shared" si="316"/>
        <v>97.565489891060622</v>
      </c>
      <c r="AR792" s="1">
        <f t="shared" si="317"/>
        <v>0.20961369771936156</v>
      </c>
      <c r="AS792" s="1">
        <f t="shared" si="318"/>
        <v>7.4275810865367942E-2</v>
      </c>
      <c r="AT792" s="1">
        <f t="shared" si="319"/>
        <v>0.15424380120222281</v>
      </c>
      <c r="AU792" s="1">
        <f t="shared" si="320"/>
        <v>0.44150829988485651</v>
      </c>
      <c r="AV792" s="1">
        <f t="shared" si="321"/>
        <v>0.69700000000000006</v>
      </c>
      <c r="BF792">
        <f t="shared" si="322"/>
        <v>50.449566291331593</v>
      </c>
      <c r="BG792">
        <f t="shared" si="323"/>
        <v>23.904708321815235</v>
      </c>
      <c r="BH792" s="1">
        <f t="shared" si="324"/>
        <v>0.8751478602120667</v>
      </c>
      <c r="BI792" s="1">
        <f t="shared" si="325"/>
        <v>0.47383377259920306</v>
      </c>
      <c r="BJ792" s="1">
        <f t="shared" si="326"/>
        <v>0.48250887161272399</v>
      </c>
      <c r="BK792" s="1">
        <f t="shared" si="327"/>
        <v>0.47383377259920306</v>
      </c>
      <c r="BL792" s="22">
        <f t="shared" si="328"/>
        <v>0.47383377259920306</v>
      </c>
      <c r="BM792" s="1">
        <f t="shared" si="329"/>
        <v>4.9803165052304241E-2</v>
      </c>
      <c r="BN792" s="1">
        <f t="shared" si="330"/>
        <v>8.3728674329178479E-2</v>
      </c>
    </row>
    <row r="793" spans="3:66" x14ac:dyDescent="0.25">
      <c r="G793">
        <v>7.5120489436544826</v>
      </c>
      <c r="H793">
        <v>9.6100671956990311</v>
      </c>
      <c r="I793">
        <v>8.0056464469594353</v>
      </c>
      <c r="J793">
        <v>0.36755168805402522</v>
      </c>
      <c r="K793">
        <v>0.46784350239385297</v>
      </c>
      <c r="L793">
        <v>1.3218317214662842</v>
      </c>
      <c r="M793">
        <v>0</v>
      </c>
      <c r="N793">
        <v>2.0206568361019763</v>
      </c>
      <c r="O793">
        <v>18.135404662411553</v>
      </c>
      <c r="P793">
        <v>0.29635809352333453</v>
      </c>
      <c r="Q793">
        <v>42.568400470886544</v>
      </c>
      <c r="R793">
        <v>0.78184867964415405</v>
      </c>
      <c r="S793">
        <v>0</v>
      </c>
      <c r="T793">
        <v>4.2925004887802158</v>
      </c>
      <c r="U793">
        <v>0.89036646323725988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 s="24">
        <v>57.2</v>
      </c>
      <c r="AQ793" s="1">
        <f t="shared" si="316"/>
        <v>96.270525192812158</v>
      </c>
      <c r="AR793" s="1">
        <f t="shared" si="317"/>
        <v>0.19457236383877838</v>
      </c>
      <c r="AS793" s="1">
        <f t="shared" si="318"/>
        <v>7.5120489436544827E-2</v>
      </c>
      <c r="AT793" s="1">
        <f t="shared" si="319"/>
        <v>9.6100671956990305E-2</v>
      </c>
      <c r="AU793" s="1">
        <f t="shared" si="320"/>
        <v>0.42568400470886547</v>
      </c>
      <c r="AV793" s="1">
        <f t="shared" si="321"/>
        <v>0.57200000000000006</v>
      </c>
      <c r="BF793">
        <f t="shared" si="322"/>
        <v>41.735353990314813</v>
      </c>
      <c r="BG793">
        <f t="shared" si="323"/>
        <v>26.616638269798653</v>
      </c>
      <c r="BH793" s="1">
        <f t="shared" si="324"/>
        <v>1.0199602112100223</v>
      </c>
      <c r="BI793" s="1">
        <f t="shared" si="325"/>
        <v>0.63774799360693957</v>
      </c>
      <c r="BJ793" s="1">
        <f t="shared" si="326"/>
        <v>0.49119761267260131</v>
      </c>
      <c r="BK793" s="1">
        <f t="shared" si="327"/>
        <v>0.48114435189670268</v>
      </c>
      <c r="BL793" s="22">
        <f t="shared" si="328"/>
        <v>0.48114435189670268</v>
      </c>
      <c r="BM793" s="1">
        <f t="shared" si="329"/>
        <v>8.2547487922702053E-3</v>
      </c>
      <c r="BN793" s="1">
        <f t="shared" si="330"/>
        <v>2.7013905560031484E-2</v>
      </c>
    </row>
    <row r="794" spans="3:66" x14ac:dyDescent="0.25">
      <c r="G794">
        <v>5.7543129700832738</v>
      </c>
      <c r="H794">
        <v>13.523105210758251</v>
      </c>
      <c r="I794">
        <v>3.1328611200125311</v>
      </c>
      <c r="J794">
        <v>0.29999811171366003</v>
      </c>
      <c r="K794">
        <v>0.3821099043865952</v>
      </c>
      <c r="L794">
        <v>1.0819752054300293</v>
      </c>
      <c r="M794">
        <v>0</v>
      </c>
      <c r="N794">
        <v>1.6470685244117349</v>
      </c>
      <c r="O794">
        <v>19.235869196886572</v>
      </c>
      <c r="P794">
        <v>0.24328385177336273</v>
      </c>
      <c r="Q794">
        <v>46.326100771467111</v>
      </c>
      <c r="R794">
        <v>0.6365355005715011</v>
      </c>
      <c r="S794">
        <v>0</v>
      </c>
      <c r="T794">
        <v>3.5018795542584074</v>
      </c>
      <c r="U794">
        <v>0.58772507978814115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 s="24">
        <v>69.400000000000006</v>
      </c>
      <c r="AQ794" s="1">
        <f t="shared" si="316"/>
        <v>96.352825001541163</v>
      </c>
      <c r="AR794" s="1">
        <f t="shared" si="317"/>
        <v>0.20317844402316601</v>
      </c>
      <c r="AS794" s="1">
        <f t="shared" si="318"/>
        <v>5.7543129700832737E-2</v>
      </c>
      <c r="AT794" s="1">
        <f t="shared" si="319"/>
        <v>0.13523105210758252</v>
      </c>
      <c r="AU794" s="1">
        <f t="shared" si="320"/>
        <v>0.4632610077146711</v>
      </c>
      <c r="AV794" s="1">
        <f t="shared" si="321"/>
        <v>0.69400000000000006</v>
      </c>
      <c r="BF794">
        <f t="shared" si="322"/>
        <v>37.959091102440986</v>
      </c>
      <c r="BG794">
        <f t="shared" si="323"/>
        <v>24.458749001657939</v>
      </c>
      <c r="BH794" s="1">
        <f t="shared" si="324"/>
        <v>1.220421760005947</v>
      </c>
      <c r="BI794" s="1">
        <f t="shared" si="325"/>
        <v>0.64434495904157996</v>
      </c>
      <c r="BJ794" s="1">
        <f t="shared" si="326"/>
        <v>0.50322530560035683</v>
      </c>
      <c r="BK794" s="1">
        <f t="shared" si="327"/>
        <v>0.49341920257455935</v>
      </c>
      <c r="BL794" s="22">
        <f t="shared" si="328"/>
        <v>0.49341920257455935</v>
      </c>
      <c r="BM794" s="1">
        <f t="shared" si="329"/>
        <v>4.0232656295825682E-2</v>
      </c>
      <c r="BN794" s="1">
        <f t="shared" si="330"/>
        <v>8.2001519878718954E-2</v>
      </c>
    </row>
    <row r="795" spans="3:66" x14ac:dyDescent="0.25">
      <c r="G795">
        <v>4.6586619763205208</v>
      </c>
      <c r="H795">
        <v>11.233480449823881</v>
      </c>
      <c r="I795">
        <v>3.8793022439691045</v>
      </c>
      <c r="J795">
        <v>0.38952446793249162</v>
      </c>
      <c r="K795">
        <v>0.49144897908598867</v>
      </c>
      <c r="L795">
        <v>1.3885259637339264</v>
      </c>
      <c r="M795">
        <v>0</v>
      </c>
      <c r="N795">
        <v>2.1179945672341849</v>
      </c>
      <c r="O795">
        <v>17.671642682192338</v>
      </c>
      <c r="P795">
        <v>0.31039356672795565</v>
      </c>
      <c r="Q795">
        <v>44.685261577324169</v>
      </c>
      <c r="R795">
        <v>0.81688199964861286</v>
      </c>
      <c r="S795">
        <v>0</v>
      </c>
      <c r="T795">
        <v>4.5003945513518291</v>
      </c>
      <c r="U795">
        <v>2.6929245756028766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 s="24">
        <v>56.7</v>
      </c>
      <c r="AQ795" s="1">
        <f t="shared" si="316"/>
        <v>94.836437600947875</v>
      </c>
      <c r="AR795" s="1">
        <f t="shared" si="317"/>
        <v>0.19060168645926265</v>
      </c>
      <c r="AS795" s="1">
        <f t="shared" si="318"/>
        <v>4.658661976320521E-2</v>
      </c>
      <c r="AT795" s="1">
        <f t="shared" si="319"/>
        <v>0.11233480449823881</v>
      </c>
      <c r="AU795" s="1">
        <f t="shared" si="320"/>
        <v>0.4468526157732417</v>
      </c>
      <c r="AV795" s="1">
        <f t="shared" si="321"/>
        <v>0.56700000000000006</v>
      </c>
      <c r="BF795">
        <f t="shared" si="322"/>
        <v>35.564371073039673</v>
      </c>
      <c r="BG795">
        <f t="shared" si="323"/>
        <v>24.309014327203826</v>
      </c>
      <c r="BH795" s="1">
        <f t="shared" si="324"/>
        <v>1.256461459294546</v>
      </c>
      <c r="BI795" s="1">
        <f t="shared" si="325"/>
        <v>0.68352155805819359</v>
      </c>
      <c r="BJ795" s="1">
        <f t="shared" si="326"/>
        <v>0.50538768755767272</v>
      </c>
      <c r="BK795" s="1">
        <f t="shared" si="327"/>
        <v>0.49973699705391345</v>
      </c>
      <c r="BL795" s="22">
        <f t="shared" si="328"/>
        <v>0.49973699705391345</v>
      </c>
      <c r="BM795" s="1">
        <f t="shared" si="329"/>
        <v>4.5243115653252567E-3</v>
      </c>
      <c r="BN795" s="1">
        <f t="shared" si="330"/>
        <v>2.5395314809265601E-2</v>
      </c>
    </row>
    <row r="797" spans="3:66" x14ac:dyDescent="0.25">
      <c r="C797" t="s">
        <v>810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9.6999999999999993</v>
      </c>
      <c r="O797">
        <v>24.2</v>
      </c>
      <c r="P797">
        <v>0</v>
      </c>
      <c r="Q797">
        <v>66.099999999999994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 t="s">
        <v>1</v>
      </c>
      <c r="AL797" t="s">
        <v>380</v>
      </c>
      <c r="AQ797" s="1">
        <f t="shared" ref="AQ797:AQ825" si="331">SUM(G797:AF797)</f>
        <v>100</v>
      </c>
      <c r="AR797" s="1">
        <f t="shared" ref="AR797:AR834" si="332">(L797+M797+O797+X797)/100</f>
        <v>0.24199999999999999</v>
      </c>
      <c r="AS797" s="1">
        <f t="shared" ref="AS797:AS825" si="333">G797/100</f>
        <v>0</v>
      </c>
      <c r="AT797" s="1">
        <f t="shared" ref="AT797:AT825" si="334">H797/100</f>
        <v>0</v>
      </c>
      <c r="AU797" s="1">
        <f t="shared" ref="AU797:AU834" si="335">Q797/100</f>
        <v>0.66099999999999992</v>
      </c>
      <c r="AV797" s="1">
        <f t="shared" ref="AV797:AV834" si="336">AJ797/100</f>
        <v>0</v>
      </c>
      <c r="AX797" s="1" t="e">
        <f t="shared" ref="AX797:AX834" si="337">AU797/(AT797+AS797)</f>
        <v>#DIV/0!</v>
      </c>
      <c r="AY797" s="1" t="e">
        <f t="shared" ref="AY797:AY834" si="338">AR797/(AS797+AT797)</f>
        <v>#DIV/0!</v>
      </c>
      <c r="AZ797" s="1" t="e">
        <f t="shared" ref="AZ797:AZ834" si="339">0.5+AX797/16</f>
        <v>#DIV/0!</v>
      </c>
      <c r="BA797" s="1" t="e">
        <f t="shared" ref="BA797:BA834" si="340">0.5+AX797/4</f>
        <v>#DIV/0!</v>
      </c>
      <c r="BB797" s="1" t="e">
        <f t="shared" ref="BB797:BB834" si="341">IF(AY797&lt;=AZ797,AY797,IF(AY797&lt;=BA797,AZ797,AZ797-(AY797-BA797)*(8+AX797)/(12*(2+AX797))))</f>
        <v>#DIV/0!</v>
      </c>
      <c r="BC797" s="1" t="e">
        <f t="shared" ref="BC797:BC834" si="342">IF(BB797&lt;1,BB797,1)</f>
        <v>#DIV/0!</v>
      </c>
      <c r="BD797" s="1" t="e">
        <f t="shared" ref="BD797:BD834" si="343">ABS(BC797-AV797)</f>
        <v>#DIV/0!</v>
      </c>
      <c r="BH797" s="1" t="e">
        <f>(Q797)/($BQ$3*H797+$BQ$4*G797+$BQ$5*P797+$BQ$6*K797+$BQ$7*S797+$BQ$8*U797+$BQ$9*Y797)</f>
        <v>#DIV/0!</v>
      </c>
      <c r="BI797" s="1" t="e">
        <f>(O797+$BQ$17*M797+$BQ$18*L797+$BQ$19*X797+$BQ$20*AD797+$BQ$21*I797+$BQ$22*N797+$BQ$23*AB797+$BQ$24*V797+$BQ$25*T797+$BQ$26*AA797+$BQ$28*Z797+$BQ$29*AF797+$BQ$30*W797)/($BQ$3*$H797+$BQ$4*$G797+$BQ$5*$P797+$BQ$6*$K797+$BQ$7*$S797+$BQ$8*$U797+$BQ$9*$Y797)</f>
        <v>#DIV/0!</v>
      </c>
      <c r="BJ797" s="1" t="e">
        <f t="shared" ref="BJ797:BJ834" si="344">$BQ$32+BH797*$BQ$33</f>
        <v>#DIV/0!</v>
      </c>
      <c r="BK797" s="1" t="e">
        <f>IF(BI797&lt;=BJ797,BI797,IF(BI797&lt;=#REF!,BJ797,BJ797-(BI797-#REF!)*(8+BH797)/(12*(2+BH797))))</f>
        <v>#DIV/0!</v>
      </c>
      <c r="BL797" s="22" t="e">
        <f t="shared" ref="BL797:BL834" si="345">IF(BK797&lt;1,IF(BK797&gt;0,BK797,0),1)</f>
        <v>#DIV/0!</v>
      </c>
      <c r="BM797" s="1" t="e">
        <f t="shared" ref="BM797:BM834" si="346">(BL797-AV797)^2</f>
        <v>#DIV/0!</v>
      </c>
      <c r="BN797" s="1">
        <f t="shared" ref="BN797:BN834" si="347">(AV797-AVERAGE($AV$2:$AV$638))^2</f>
        <v>0.16617112367241488</v>
      </c>
    </row>
    <row r="798" spans="3:66" x14ac:dyDescent="0.25">
      <c r="C798" t="s">
        <v>726</v>
      </c>
      <c r="G798">
        <v>14.318373933221279</v>
      </c>
      <c r="H798">
        <v>0</v>
      </c>
      <c r="I798">
        <v>6.9265923007507793</v>
      </c>
      <c r="J798">
        <v>0</v>
      </c>
      <c r="K798">
        <v>0</v>
      </c>
      <c r="L798">
        <v>0</v>
      </c>
      <c r="M798">
        <v>0</v>
      </c>
      <c r="N798">
        <v>7.809551834126359</v>
      </c>
      <c r="O798">
        <v>0</v>
      </c>
      <c r="P798">
        <v>0</v>
      </c>
      <c r="Q798">
        <v>64.732594153692759</v>
      </c>
      <c r="R798">
        <v>0</v>
      </c>
      <c r="S798">
        <v>0</v>
      </c>
      <c r="T798">
        <v>0.69949236878831589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5.1704139871717736</v>
      </c>
      <c r="AC798">
        <v>0</v>
      </c>
      <c r="AD798">
        <v>0</v>
      </c>
      <c r="AE798">
        <v>0</v>
      </c>
      <c r="AF798">
        <v>0</v>
      </c>
      <c r="AG798">
        <v>8.8872579952588515E-2</v>
      </c>
      <c r="AH798">
        <v>0.1161232251789539</v>
      </c>
      <c r="AI798">
        <v>0</v>
      </c>
      <c r="AJ798">
        <v>0</v>
      </c>
      <c r="AK798" t="s">
        <v>1</v>
      </c>
      <c r="AL798" t="s">
        <v>374</v>
      </c>
      <c r="AM798" t="s">
        <v>842</v>
      </c>
      <c r="AO798" t="s">
        <v>378</v>
      </c>
      <c r="AQ798" s="1">
        <f t="shared" si="331"/>
        <v>99.657018577751259</v>
      </c>
      <c r="AR798" s="1">
        <f t="shared" si="332"/>
        <v>0</v>
      </c>
      <c r="AS798" s="1">
        <f t="shared" si="333"/>
        <v>0.14318373933221279</v>
      </c>
      <c r="AT798" s="1">
        <f t="shared" si="334"/>
        <v>0</v>
      </c>
      <c r="AU798" s="1">
        <f t="shared" si="335"/>
        <v>0.64732594153692757</v>
      </c>
      <c r="AV798" s="1">
        <f t="shared" si="336"/>
        <v>0</v>
      </c>
      <c r="AX798" s="1">
        <f t="shared" si="337"/>
        <v>4.5209459157580145</v>
      </c>
      <c r="AY798" s="1">
        <f t="shared" si="338"/>
        <v>0</v>
      </c>
      <c r="AZ798" s="1">
        <f t="shared" si="339"/>
        <v>0.78255911973487591</v>
      </c>
      <c r="BA798" s="1">
        <f t="shared" si="340"/>
        <v>1.6302364789395036</v>
      </c>
      <c r="BB798" s="1">
        <f t="shared" si="341"/>
        <v>0</v>
      </c>
      <c r="BC798" s="1">
        <f t="shared" si="342"/>
        <v>0</v>
      </c>
      <c r="BD798" s="1">
        <f t="shared" si="343"/>
        <v>0</v>
      </c>
      <c r="BF798">
        <f t="shared" ref="BF798:BF834" si="348">$BQ$3*H798+$BQ$4*G798+$BQ$5*P798+$BQ$6*K798+$BQ$7*S798+$BQ$8*U798+$BQ$9*Y798+$BQ$10*J798+$BQ$11*AC798+$BQ$12*AG798+$BQ$13*AH798+$BQ$14*R798+$BQ$15*AE798</f>
        <v>57.273495732885117</v>
      </c>
      <c r="BG798">
        <f t="shared" ref="BG798:BG834" si="349">O798+$BQ$17*M798+$BQ$18*L798+$BQ$19*X798+$BQ$20*AD798+$BQ$21*I798+$BQ$22*N798+$BQ$23*AB798+$BQ$24*V798+$BQ$25*T798+$BQ$26*AA798+$BQ$28*Z798+$BQ$29*AF798+$BQ$30*W798+$BQ$27*AI798</f>
        <v>10.303025245418615</v>
      </c>
      <c r="BH798" s="1">
        <f t="shared" ref="BH798:BH834" si="350">(Q798)/BF798</f>
        <v>1.1302364789395036</v>
      </c>
      <c r="BI798" s="1">
        <f t="shared" ref="BI798:BI834" si="351">BG798/BF798</f>
        <v>0.17989167787959651</v>
      </c>
      <c r="BJ798" s="1">
        <f t="shared" si="344"/>
        <v>0.49781418873637018</v>
      </c>
      <c r="BK798" s="1">
        <f t="shared" ref="BK798:BK834" si="352">IF(BI798&lt;BJ798,BI798,$BQ$35*($BQ$36+BI798)*($BQ$37-BI798/($BQ$38+BH798)*$BQ$39)^5)</f>
        <v>0.17989167787959651</v>
      </c>
      <c r="BL798" s="22">
        <f t="shared" si="345"/>
        <v>0.17989167787959651</v>
      </c>
      <c r="BM798" s="1">
        <f t="shared" si="346"/>
        <v>3.236101577033651E-2</v>
      </c>
      <c r="BN798" s="1">
        <f t="shared" si="347"/>
        <v>0.16617112367241488</v>
      </c>
    </row>
    <row r="799" spans="3:66" x14ac:dyDescent="0.25">
      <c r="C799" s="23" t="s">
        <v>727</v>
      </c>
      <c r="G799">
        <v>12.92587171407583</v>
      </c>
      <c r="H799">
        <v>1.912267041596776</v>
      </c>
      <c r="I799">
        <v>6.884573968668863</v>
      </c>
      <c r="J799">
        <v>0</v>
      </c>
      <c r="K799">
        <v>0</v>
      </c>
      <c r="L799">
        <v>0</v>
      </c>
      <c r="M799">
        <v>0</v>
      </c>
      <c r="N799">
        <v>7.7621772626012397</v>
      </c>
      <c r="O799">
        <v>0</v>
      </c>
      <c r="P799">
        <v>0</v>
      </c>
      <c r="Q799">
        <v>64.340741284400778</v>
      </c>
      <c r="R799">
        <v>0</v>
      </c>
      <c r="S799">
        <v>0</v>
      </c>
      <c r="T799">
        <v>0.69524908415940434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5.139049044284862</v>
      </c>
      <c r="AC799">
        <v>0</v>
      </c>
      <c r="AD799">
        <v>0</v>
      </c>
      <c r="AE799">
        <v>0</v>
      </c>
      <c r="AF799">
        <v>0</v>
      </c>
      <c r="AG799">
        <v>8.8333458056094091E-2</v>
      </c>
      <c r="AH799">
        <v>0.115418794482569</v>
      </c>
      <c r="AI799">
        <v>0</v>
      </c>
      <c r="AJ799">
        <v>0</v>
      </c>
      <c r="AK799" t="s">
        <v>1</v>
      </c>
      <c r="AL799" t="s">
        <v>374</v>
      </c>
      <c r="AQ799" s="1">
        <f>SUM(G799:AF799)</f>
        <v>99.659929399787757</v>
      </c>
      <c r="AR799" s="1">
        <f t="shared" si="332"/>
        <v>0</v>
      </c>
      <c r="AS799" s="1">
        <f t="shared" si="333"/>
        <v>0.12925871714075832</v>
      </c>
      <c r="AT799" s="1">
        <f t="shared" si="334"/>
        <v>1.9122670415967758E-2</v>
      </c>
      <c r="AU799" s="1">
        <f t="shared" si="335"/>
        <v>0.64340741284400782</v>
      </c>
      <c r="AV799" s="1">
        <f>AJ799/100</f>
        <v>0</v>
      </c>
      <c r="AX799" s="1">
        <f>AU799/(AT799+AS799)</f>
        <v>4.3361733128289668</v>
      </c>
      <c r="AY799" s="1">
        <f>AR799/(AS799+AT799)</f>
        <v>0</v>
      </c>
      <c r="AZ799" s="1">
        <f>0.5+AX799/16</f>
        <v>0.77101083205181042</v>
      </c>
      <c r="BA799" s="1">
        <f>0.5+AX799/4</f>
        <v>1.5840433282072417</v>
      </c>
      <c r="BB799" s="1">
        <f>IF(AY799&lt;=AZ799,AY799,IF(AY799&lt;=BA799,AZ799,AZ799-(AY799-BA799)*(8+AX799)/(12*(2+AX799))))</f>
        <v>0</v>
      </c>
      <c r="BC799" s="1">
        <f>IF(BB799&lt;1,BB799,1)</f>
        <v>0</v>
      </c>
      <c r="BD799" s="1">
        <f>ABS(BC799-AV799)</f>
        <v>0</v>
      </c>
      <c r="BF799">
        <f t="shared" si="348"/>
        <v>53.615753897900099</v>
      </c>
      <c r="BG799">
        <f t="shared" si="349"/>
        <v>10.240524679857183</v>
      </c>
      <c r="BH799" s="1">
        <f t="shared" si="350"/>
        <v>1.2000342549864011</v>
      </c>
      <c r="BI799" s="1">
        <f>BG799/BF799</f>
        <v>0.19099842742784337</v>
      </c>
      <c r="BJ799" s="1">
        <f>$BQ$32+BH799*$BQ$33</f>
        <v>0.50200205529918407</v>
      </c>
      <c r="BK799" s="1">
        <f>IF(BI799&lt;BJ799,BI799,$BQ$35*($BQ$36+BI799)*($BQ$37-BI799/($BQ$38+BH799)*$BQ$39)^5)</f>
        <v>0.19099842742784337</v>
      </c>
      <c r="BL799" s="22">
        <f>IF(BK799&lt;1,IF(BK799&gt;0,BK799,0),1)</f>
        <v>0.19099842742784337</v>
      </c>
      <c r="BM799" s="1">
        <f>(BL799-AV799)^2</f>
        <v>3.6480399279909148E-2</v>
      </c>
      <c r="BN799" s="1">
        <f>(AV799-AVERAGE($AV$2:$AV$638))^2</f>
        <v>0.16617112367241488</v>
      </c>
    </row>
    <row r="800" spans="3:66" x14ac:dyDescent="0.25">
      <c r="C800" s="23" t="s">
        <v>728</v>
      </c>
      <c r="G800">
        <v>11.550162116516439</v>
      </c>
      <c r="H800">
        <v>3.8014734543776592</v>
      </c>
      <c r="I800">
        <v>6.843062348849684</v>
      </c>
      <c r="J800">
        <v>0</v>
      </c>
      <c r="K800">
        <v>0</v>
      </c>
      <c r="L800">
        <v>0</v>
      </c>
      <c r="M800">
        <v>0</v>
      </c>
      <c r="N800">
        <v>7.7153739959124694</v>
      </c>
      <c r="O800">
        <v>0</v>
      </c>
      <c r="P800">
        <v>0</v>
      </c>
      <c r="Q800">
        <v>63.953603961364976</v>
      </c>
      <c r="R800">
        <v>0</v>
      </c>
      <c r="S800">
        <v>0</v>
      </c>
      <c r="T800">
        <v>0.69105697063246696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5.1080623410946124</v>
      </c>
      <c r="AC800">
        <v>0</v>
      </c>
      <c r="AD800">
        <v>0</v>
      </c>
      <c r="AE800">
        <v>0</v>
      </c>
      <c r="AF800">
        <v>0</v>
      </c>
      <c r="AG800">
        <v>8.7800837599864623E-2</v>
      </c>
      <c r="AH800">
        <v>0.1147228587371833</v>
      </c>
      <c r="AI800">
        <v>0</v>
      </c>
      <c r="AJ800">
        <v>0</v>
      </c>
      <c r="AK800" t="s">
        <v>1</v>
      </c>
      <c r="AL800" t="s">
        <v>374</v>
      </c>
      <c r="AQ800" s="1">
        <f>SUM(G800:AF800)</f>
        <v>99.662795188748305</v>
      </c>
      <c r="AR800" s="1">
        <f t="shared" si="332"/>
        <v>0</v>
      </c>
      <c r="AS800" s="1">
        <f t="shared" si="333"/>
        <v>0.11550162116516439</v>
      </c>
      <c r="AT800" s="1">
        <f t="shared" si="334"/>
        <v>3.8014734543776595E-2</v>
      </c>
      <c r="AU800" s="1">
        <f t="shared" si="335"/>
        <v>0.6395360396136498</v>
      </c>
      <c r="AV800" s="1">
        <f>AJ800/100</f>
        <v>0</v>
      </c>
      <c r="AX800" s="1">
        <f>AU800/(AT800+AS800)</f>
        <v>4.1659146783433085</v>
      </c>
      <c r="AY800" s="1">
        <f>AR800/(AS800+AT800)</f>
        <v>0</v>
      </c>
      <c r="AZ800" s="1">
        <f>0.5+AX800/16</f>
        <v>0.76036966739645684</v>
      </c>
      <c r="BA800" s="1">
        <f>0.5+AX800/4</f>
        <v>1.5414786695858271</v>
      </c>
      <c r="BB800" s="1">
        <f>IF(AY800&lt;=AZ800,AY800,IF(AY800&lt;=BA800,AZ800,AZ800-(AY800-BA800)*(8+AX800)/(12*(2+AX800))))</f>
        <v>0</v>
      </c>
      <c r="BC800" s="1">
        <f>IF(BB800&lt;1,BB800,1)</f>
        <v>0</v>
      </c>
      <c r="BD800" s="1">
        <f>ABS(BC800-AV800)</f>
        <v>0</v>
      </c>
      <c r="BF800">
        <f t="shared" si="348"/>
        <v>50.002121920443415</v>
      </c>
      <c r="BG800">
        <f t="shared" si="349"/>
        <v>10.178777828244616</v>
      </c>
      <c r="BH800" s="1">
        <f t="shared" si="350"/>
        <v>1.2790177997469641</v>
      </c>
      <c r="BI800" s="1">
        <f>BG800/BF800</f>
        <v>0.20356691750881503</v>
      </c>
      <c r="BJ800" s="1">
        <f>$BQ$32+BH800*$BQ$33</f>
        <v>0.50674106798481788</v>
      </c>
      <c r="BK800" s="1">
        <f>IF(BI800&lt;BJ800,BI800,$BQ$35*($BQ$36+BI800)*($BQ$37-BI800/($BQ$38+BH800)*$BQ$39)^5)</f>
        <v>0.20356691750881503</v>
      </c>
      <c r="BL800" s="22">
        <f>IF(BK800&lt;1,IF(BK800&gt;0,BK800,0),1)</f>
        <v>0.20356691750881503</v>
      </c>
      <c r="BM800" s="1">
        <f>(BL800-AV800)^2</f>
        <v>4.1439489904040706E-2</v>
      </c>
      <c r="BN800" s="1">
        <f>(AV800-AVERAGE($AV$2:$AV$638))^2</f>
        <v>0.16617112367241488</v>
      </c>
    </row>
    <row r="801" spans="1:66" x14ac:dyDescent="0.25">
      <c r="C801" s="23" t="s">
        <v>729</v>
      </c>
      <c r="G801">
        <v>10.190943199895321</v>
      </c>
      <c r="H801">
        <v>5.6680338812360862</v>
      </c>
      <c r="I801">
        <v>6.8020483303257802</v>
      </c>
      <c r="J801">
        <v>0</v>
      </c>
      <c r="K801">
        <v>0</v>
      </c>
      <c r="L801">
        <v>0</v>
      </c>
      <c r="M801">
        <v>0</v>
      </c>
      <c r="N801">
        <v>7.6691317616822952</v>
      </c>
      <c r="O801">
        <v>0</v>
      </c>
      <c r="P801">
        <v>0</v>
      </c>
      <c r="Q801">
        <v>63.571097573564863</v>
      </c>
      <c r="R801">
        <v>0</v>
      </c>
      <c r="S801">
        <v>0</v>
      </c>
      <c r="T801">
        <v>0.6869151081227155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5.0774470766415378</v>
      </c>
      <c r="AC801">
        <v>0</v>
      </c>
      <c r="AD801">
        <v>0</v>
      </c>
      <c r="AE801">
        <v>0</v>
      </c>
      <c r="AF801">
        <v>0</v>
      </c>
      <c r="AG801">
        <v>8.7274601684399017E-2</v>
      </c>
      <c r="AH801">
        <v>0.11403526519886741</v>
      </c>
      <c r="AI801">
        <v>0</v>
      </c>
      <c r="AJ801">
        <v>0</v>
      </c>
      <c r="AK801" t="s">
        <v>1</v>
      </c>
      <c r="AL801" t="s">
        <v>374</v>
      </c>
      <c r="AQ801" s="1">
        <f>SUM(G801:AF801)</f>
        <v>99.665616931468605</v>
      </c>
      <c r="AR801" s="1">
        <f t="shared" si="332"/>
        <v>0</v>
      </c>
      <c r="AS801" s="1">
        <f t="shared" si="333"/>
        <v>0.10190943199895321</v>
      </c>
      <c r="AT801" s="1">
        <f t="shared" si="334"/>
        <v>5.6680338812360863E-2</v>
      </c>
      <c r="AU801" s="1">
        <f t="shared" si="335"/>
        <v>0.63571097573564861</v>
      </c>
      <c r="AV801" s="1">
        <f>AJ801/100</f>
        <v>0</v>
      </c>
      <c r="AX801" s="1">
        <f>AU801/(AT801+AS801)</f>
        <v>4.0085244620978786</v>
      </c>
      <c r="AY801" s="1">
        <f>AR801/(AS801+AT801)</f>
        <v>0</v>
      </c>
      <c r="AZ801" s="1">
        <f>0.5+AX801/16</f>
        <v>0.75053277888111736</v>
      </c>
      <c r="BA801" s="1">
        <f>0.5+AX801/4</f>
        <v>1.5021311155244697</v>
      </c>
      <c r="BB801" s="1">
        <f>IF(AY801&lt;=AZ801,AY801,IF(AY801&lt;=BA801,AZ801,AZ801-(AY801-BA801)*(8+AX801)/(12*(2+AX801))))</f>
        <v>0</v>
      </c>
      <c r="BC801" s="1">
        <f>IF(BB801&lt;1,BB801,1)</f>
        <v>0</v>
      </c>
      <c r="BD801" s="1">
        <f>ABS(BC801-AV801)</f>
        <v>0</v>
      </c>
      <c r="BF801">
        <f t="shared" si="348"/>
        <v>46.431806680817367</v>
      </c>
      <c r="BG801">
        <f t="shared" si="349"/>
        <v>10.117771138386164</v>
      </c>
      <c r="BH801" s="1">
        <f t="shared" si="350"/>
        <v>1.3691282359647734</v>
      </c>
      <c r="BI801" s="1">
        <f>BG801/BF801</f>
        <v>0.21790604031279653</v>
      </c>
      <c r="BJ801" s="1">
        <f>$BQ$32+BH801*$BQ$33</f>
        <v>0.51214769415788641</v>
      </c>
      <c r="BK801" s="1">
        <f>IF(BI801&lt;BJ801,BI801,$BQ$35*($BQ$36+BI801)*($BQ$37-BI801/($BQ$38+BH801)*$BQ$39)^5)</f>
        <v>0.21790604031279653</v>
      </c>
      <c r="BL801" s="22">
        <f>IF(BK801&lt;1,IF(BK801&gt;0,BK801,0),1)</f>
        <v>0.21790604031279653</v>
      </c>
      <c r="BM801" s="1">
        <f>(BL801-AV801)^2</f>
        <v>4.7483042404802112E-2</v>
      </c>
      <c r="BN801" s="1">
        <f>(AV801-AVERAGE($AV$2:$AV$638))^2</f>
        <v>0.16617112367241488</v>
      </c>
    </row>
    <row r="802" spans="1:66" x14ac:dyDescent="0.25">
      <c r="C802" s="23" t="s">
        <v>730</v>
      </c>
      <c r="G802">
        <v>8.84792021918466</v>
      </c>
      <c r="H802">
        <v>7.5123530836113037</v>
      </c>
      <c r="I802">
        <v>6.7615230192553426</v>
      </c>
      <c r="J802">
        <v>0</v>
      </c>
      <c r="K802">
        <v>0</v>
      </c>
      <c r="L802">
        <v>0</v>
      </c>
      <c r="M802">
        <v>0</v>
      </c>
      <c r="N802">
        <v>7.6234405323364633</v>
      </c>
      <c r="O802">
        <v>0</v>
      </c>
      <c r="P802">
        <v>0</v>
      </c>
      <c r="Q802">
        <v>63.193139522178434</v>
      </c>
      <c r="R802">
        <v>0</v>
      </c>
      <c r="S802">
        <v>0</v>
      </c>
      <c r="T802">
        <v>0.68282259847212279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5.0471966120414544</v>
      </c>
      <c r="AC802">
        <v>0</v>
      </c>
      <c r="AD802">
        <v>0</v>
      </c>
      <c r="AE802">
        <v>0</v>
      </c>
      <c r="AF802">
        <v>0</v>
      </c>
      <c r="AG802">
        <v>8.6754636196056278E-2</v>
      </c>
      <c r="AH802">
        <v>0.1133558647637689</v>
      </c>
      <c r="AI802">
        <v>0</v>
      </c>
      <c r="AJ802">
        <v>17</v>
      </c>
      <c r="AK802" t="s">
        <v>1</v>
      </c>
      <c r="AL802" t="s">
        <v>374</v>
      </c>
      <c r="AQ802" s="1">
        <f>SUM(G802:AF802)</f>
        <v>99.668395587079786</v>
      </c>
      <c r="AR802" s="1">
        <f t="shared" si="332"/>
        <v>0</v>
      </c>
      <c r="AS802" s="1">
        <f t="shared" si="333"/>
        <v>8.8479202191846601E-2</v>
      </c>
      <c r="AT802" s="1">
        <f t="shared" si="334"/>
        <v>7.5123530836113034E-2</v>
      </c>
      <c r="AU802" s="1">
        <f t="shared" si="335"/>
        <v>0.63193139522178432</v>
      </c>
      <c r="AV802" s="1">
        <f>AJ802/100</f>
        <v>0.17</v>
      </c>
      <c r="AX802" s="1">
        <f>AU802/(AT802+AS802)</f>
        <v>3.8625968131827451</v>
      </c>
      <c r="AY802" s="1">
        <f>AR802/(AS802+AT802)</f>
        <v>0</v>
      </c>
      <c r="AZ802" s="1">
        <f>0.5+AX802/16</f>
        <v>0.74141230082392151</v>
      </c>
      <c r="BA802" s="1">
        <f>0.5+AX802/4</f>
        <v>1.4656492032956863</v>
      </c>
      <c r="BB802" s="1">
        <f>IF(AY802&lt;=AZ802,AY802,IF(AY802&lt;=BA802,AZ802,AZ802-(AY802-BA802)*(8+AX802)/(12*(2+AX802))))</f>
        <v>0</v>
      </c>
      <c r="BC802" s="1">
        <f>IF(BB802&lt;1,BB802,1)</f>
        <v>0</v>
      </c>
      <c r="BD802" s="1">
        <f>ABS(BC802-AV802)</f>
        <v>0.17</v>
      </c>
      <c r="BF802">
        <f t="shared" si="348"/>
        <v>42.904033960349942</v>
      </c>
      <c r="BG802">
        <f t="shared" si="349"/>
        <v>10.05749138105269</v>
      </c>
      <c r="BH802" s="1">
        <f t="shared" si="350"/>
        <v>1.4728950564550365</v>
      </c>
      <c r="BI802" s="1">
        <f>BG802/BF802</f>
        <v>0.23441831577765834</v>
      </c>
      <c r="BJ802" s="1">
        <f>$BQ$32+BH802*$BQ$33</f>
        <v>0.51837370338730215</v>
      </c>
      <c r="BK802" s="1">
        <f>IF(BI802&lt;BJ802,BI802,$BQ$35*($BQ$36+BI802)*($BQ$37-BI802/($BQ$38+BH802)*$BQ$39)^5)</f>
        <v>0.23441831577765834</v>
      </c>
      <c r="BL802" s="22">
        <f>IF(BK802&lt;1,IF(BK802&gt;0,BK802,0),1)</f>
        <v>0.23441831577765834</v>
      </c>
      <c r="BM802" s="1">
        <f>(BL802-AV802)^2</f>
        <v>4.1497194076301038E-3</v>
      </c>
      <c r="BN802" s="1">
        <f>(AV802-AVERAGE($AV$2:$AV$638))^2</f>
        <v>5.647320919845477E-2</v>
      </c>
    </row>
    <row r="803" spans="1:66" x14ac:dyDescent="0.25">
      <c r="A803" s="3"/>
      <c r="B803" s="3"/>
      <c r="C803" t="s">
        <v>653</v>
      </c>
      <c r="D803" s="6" t="s">
        <v>455</v>
      </c>
      <c r="E803" s="1"/>
      <c r="F803" s="1"/>
      <c r="G803">
        <v>1.5</v>
      </c>
      <c r="H803">
        <v>20.6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4.28</v>
      </c>
      <c r="P803">
        <v>0</v>
      </c>
      <c r="Q803">
        <v>73.62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11</v>
      </c>
      <c r="AK803" t="s">
        <v>1</v>
      </c>
      <c r="AL803" t="s">
        <v>381</v>
      </c>
      <c r="AQ803" s="1">
        <f t="shared" si="331"/>
        <v>100</v>
      </c>
      <c r="AR803" s="1">
        <f t="shared" si="332"/>
        <v>4.2800000000000005E-2</v>
      </c>
      <c r="AS803" s="1">
        <f t="shared" si="333"/>
        <v>1.4999999999999999E-2</v>
      </c>
      <c r="AT803" s="1">
        <f t="shared" si="334"/>
        <v>0.20600000000000002</v>
      </c>
      <c r="AU803" s="1">
        <f t="shared" si="335"/>
        <v>0.73620000000000008</v>
      </c>
      <c r="AV803" s="1">
        <f t="shared" si="336"/>
        <v>0.11</v>
      </c>
      <c r="AX803" s="1">
        <f t="shared" si="337"/>
        <v>3.3312217194570133</v>
      </c>
      <c r="AY803" s="1">
        <f t="shared" si="338"/>
        <v>0.19366515837104073</v>
      </c>
      <c r="AZ803" s="1">
        <f t="shared" si="339"/>
        <v>0.70820135746606327</v>
      </c>
      <c r="BA803" s="1">
        <f t="shared" si="340"/>
        <v>1.3328054298642533</v>
      </c>
      <c r="BB803" s="1">
        <f t="shared" si="341"/>
        <v>0.19366515837104073</v>
      </c>
      <c r="BC803" s="1">
        <f t="shared" si="342"/>
        <v>0.19366515837104073</v>
      </c>
      <c r="BD803" s="1">
        <f t="shared" si="343"/>
        <v>8.3665158371040729E-2</v>
      </c>
      <c r="BF803">
        <f t="shared" si="348"/>
        <v>26.6</v>
      </c>
      <c r="BG803">
        <f t="shared" si="349"/>
        <v>4.28</v>
      </c>
      <c r="BH803" s="1">
        <f t="shared" si="350"/>
        <v>2.7676691729323308</v>
      </c>
      <c r="BI803" s="1">
        <f t="shared" si="351"/>
        <v>0.16090225563909774</v>
      </c>
      <c r="BJ803" s="1">
        <f t="shared" si="344"/>
        <v>0.59606015037593985</v>
      </c>
      <c r="BK803" s="1">
        <f t="shared" si="352"/>
        <v>0.16090225563909774</v>
      </c>
      <c r="BL803" s="22">
        <f t="shared" si="345"/>
        <v>0.16090225563909774</v>
      </c>
      <c r="BM803" s="1">
        <f t="shared" si="346"/>
        <v>2.5910396291480577E-3</v>
      </c>
      <c r="BN803" s="1">
        <f t="shared" si="347"/>
        <v>8.8590120189264238E-2</v>
      </c>
    </row>
    <row r="804" spans="1:66" x14ac:dyDescent="0.25">
      <c r="A804" s="3"/>
      <c r="B804" s="3"/>
      <c r="C804" t="s">
        <v>654</v>
      </c>
      <c r="D804" s="6" t="s">
        <v>455</v>
      </c>
      <c r="E804" s="1"/>
      <c r="F804" s="1"/>
      <c r="G804">
        <v>2</v>
      </c>
      <c r="H804">
        <v>20.49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4.26</v>
      </c>
      <c r="P804">
        <v>0</v>
      </c>
      <c r="Q804">
        <v>73.25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7</v>
      </c>
      <c r="AK804" t="s">
        <v>1</v>
      </c>
      <c r="AL804" t="s">
        <v>381</v>
      </c>
      <c r="AQ804" s="1">
        <f t="shared" si="331"/>
        <v>100</v>
      </c>
      <c r="AR804" s="1">
        <f t="shared" si="332"/>
        <v>4.2599999999999999E-2</v>
      </c>
      <c r="AS804" s="1">
        <f t="shared" si="333"/>
        <v>0.02</v>
      </c>
      <c r="AT804" s="1">
        <f t="shared" si="334"/>
        <v>0.20489999999999997</v>
      </c>
      <c r="AU804" s="1">
        <f t="shared" si="335"/>
        <v>0.73250000000000004</v>
      </c>
      <c r="AV804" s="1">
        <f t="shared" si="336"/>
        <v>7.0000000000000007E-2</v>
      </c>
      <c r="AX804" s="1">
        <f t="shared" si="337"/>
        <v>3.2570031124944427</v>
      </c>
      <c r="AY804" s="1">
        <f t="shared" si="338"/>
        <v>0.18941751889728772</v>
      </c>
      <c r="AZ804" s="1">
        <f t="shared" si="339"/>
        <v>0.7035626945309027</v>
      </c>
      <c r="BA804" s="1">
        <f t="shared" si="340"/>
        <v>1.3142507781236108</v>
      </c>
      <c r="BB804" s="1">
        <f t="shared" si="341"/>
        <v>0.18941751889728772</v>
      </c>
      <c r="BC804" s="1">
        <f t="shared" si="342"/>
        <v>0.18941751889728772</v>
      </c>
      <c r="BD804" s="1">
        <f t="shared" si="343"/>
        <v>0.11941751889728772</v>
      </c>
      <c r="BF804">
        <f t="shared" si="348"/>
        <v>28.49</v>
      </c>
      <c r="BG804">
        <f t="shared" si="349"/>
        <v>4.26</v>
      </c>
      <c r="BH804" s="1">
        <f t="shared" si="350"/>
        <v>2.5710775710775713</v>
      </c>
      <c r="BI804" s="1">
        <f t="shared" si="351"/>
        <v>0.14952614952614954</v>
      </c>
      <c r="BJ804" s="1">
        <f t="shared" si="344"/>
        <v>0.58426465426465424</v>
      </c>
      <c r="BK804" s="1">
        <f t="shared" si="352"/>
        <v>0.14952614952614954</v>
      </c>
      <c r="BL804" s="22">
        <f t="shared" si="345"/>
        <v>0.14952614952614954</v>
      </c>
      <c r="BM804" s="1">
        <f t="shared" si="346"/>
        <v>6.3244084584554933E-3</v>
      </c>
      <c r="BN804" s="1">
        <f t="shared" si="347"/>
        <v>0.11400139418313719</v>
      </c>
    </row>
    <row r="805" spans="1:66" x14ac:dyDescent="0.25">
      <c r="A805" s="3"/>
      <c r="B805" s="3"/>
      <c r="C805" t="s">
        <v>655</v>
      </c>
      <c r="D805" s="6" t="s">
        <v>455</v>
      </c>
      <c r="E805" s="1"/>
      <c r="F805" s="1"/>
      <c r="G805">
        <v>4</v>
      </c>
      <c r="H805">
        <v>20.07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4.17</v>
      </c>
      <c r="P805">
        <v>0</v>
      </c>
      <c r="Q805">
        <v>71.760000000000005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2</v>
      </c>
      <c r="AK805" t="s">
        <v>1</v>
      </c>
      <c r="AL805" t="s">
        <v>381</v>
      </c>
      <c r="AQ805" s="1">
        <f t="shared" si="331"/>
        <v>100</v>
      </c>
      <c r="AR805" s="1">
        <f t="shared" si="332"/>
        <v>4.1700000000000001E-2</v>
      </c>
      <c r="AS805" s="1">
        <f t="shared" si="333"/>
        <v>0.04</v>
      </c>
      <c r="AT805" s="1">
        <f t="shared" si="334"/>
        <v>0.20069999999999999</v>
      </c>
      <c r="AU805" s="1">
        <f t="shared" si="335"/>
        <v>0.71760000000000002</v>
      </c>
      <c r="AV805" s="1">
        <f t="shared" si="336"/>
        <v>0.02</v>
      </c>
      <c r="AX805" s="1">
        <f t="shared" si="337"/>
        <v>2.9813045284586623</v>
      </c>
      <c r="AY805" s="1">
        <f t="shared" si="338"/>
        <v>0.17324470294972996</v>
      </c>
      <c r="AZ805" s="1">
        <f t="shared" si="339"/>
        <v>0.68633153302866634</v>
      </c>
      <c r="BA805" s="1">
        <f t="shared" si="340"/>
        <v>1.2453261321146656</v>
      </c>
      <c r="BB805" s="1">
        <f t="shared" si="341"/>
        <v>0.17324470294972996</v>
      </c>
      <c r="BC805" s="1">
        <f t="shared" si="342"/>
        <v>0.17324470294972996</v>
      </c>
      <c r="BD805" s="1">
        <f t="shared" si="343"/>
        <v>0.15324470294972997</v>
      </c>
      <c r="BF805">
        <f t="shared" si="348"/>
        <v>36.07</v>
      </c>
      <c r="BG805">
        <f t="shared" si="349"/>
        <v>4.17</v>
      </c>
      <c r="BH805" s="1">
        <f t="shared" si="350"/>
        <v>1.9894649293041309</v>
      </c>
      <c r="BI805" s="1">
        <f t="shared" si="351"/>
        <v>0.1156085389520377</v>
      </c>
      <c r="BJ805" s="1">
        <f t="shared" si="344"/>
        <v>0.54936789575824785</v>
      </c>
      <c r="BK805" s="1">
        <f t="shared" si="352"/>
        <v>0.1156085389520377</v>
      </c>
      <c r="BL805" s="22">
        <f t="shared" si="345"/>
        <v>0.1156085389520377</v>
      </c>
      <c r="BM805" s="1">
        <f t="shared" si="346"/>
        <v>9.1409927205433079E-3</v>
      </c>
      <c r="BN805" s="1">
        <f t="shared" si="347"/>
        <v>0.1502654866754784</v>
      </c>
    </row>
    <row r="806" spans="1:66" x14ac:dyDescent="0.25">
      <c r="A806" s="3"/>
      <c r="B806" s="3"/>
      <c r="C806" t="s">
        <v>656</v>
      </c>
      <c r="D806" s="6" t="s">
        <v>455</v>
      </c>
      <c r="E806" s="1"/>
      <c r="F806" s="1"/>
      <c r="G806">
        <v>25.009156875721651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24.983640870731978</v>
      </c>
      <c r="P806">
        <v>0</v>
      </c>
      <c r="Q806">
        <v>50.007202253546353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 t="s">
        <v>1</v>
      </c>
      <c r="AL806" t="s">
        <v>372</v>
      </c>
      <c r="AP806" t="s">
        <v>820</v>
      </c>
      <c r="AQ806" s="1">
        <f t="shared" si="331"/>
        <v>99.999999999999986</v>
      </c>
      <c r="AR806" s="1">
        <f t="shared" si="332"/>
        <v>0.2498364087073198</v>
      </c>
      <c r="AS806" s="1">
        <f t="shared" si="333"/>
        <v>0.2500915687572165</v>
      </c>
      <c r="AT806" s="1">
        <f t="shared" si="334"/>
        <v>0</v>
      </c>
      <c r="AU806" s="1">
        <f t="shared" si="335"/>
        <v>0.50007202253546357</v>
      </c>
      <c r="AV806" s="1">
        <f t="shared" si="336"/>
        <v>0</v>
      </c>
      <c r="AX806" s="1">
        <f t="shared" si="337"/>
        <v>1.9995557028190851</v>
      </c>
      <c r="AY806" s="1">
        <f t="shared" si="338"/>
        <v>0.99897973349855551</v>
      </c>
      <c r="AZ806" s="1">
        <f t="shared" si="339"/>
        <v>0.62497223142619285</v>
      </c>
      <c r="BA806" s="1">
        <f t="shared" si="340"/>
        <v>0.99988892570477128</v>
      </c>
      <c r="BB806" s="1">
        <f t="shared" si="341"/>
        <v>0.62497223142619285</v>
      </c>
      <c r="BC806" s="1">
        <f t="shared" si="342"/>
        <v>0.62497223142619285</v>
      </c>
      <c r="BD806" s="1">
        <f t="shared" si="343"/>
        <v>0.62497223142619285</v>
      </c>
      <c r="BF806">
        <f t="shared" si="348"/>
        <v>100.0366275028866</v>
      </c>
      <c r="BG806">
        <f t="shared" si="349"/>
        <v>24.983640870731978</v>
      </c>
      <c r="BH806" s="1">
        <f t="shared" si="350"/>
        <v>0.49988892570477123</v>
      </c>
      <c r="BI806" s="1">
        <f t="shared" si="351"/>
        <v>0.24974493337463885</v>
      </c>
      <c r="BJ806" s="1">
        <f t="shared" si="344"/>
        <v>0.45999333554228627</v>
      </c>
      <c r="BK806" s="1">
        <f t="shared" si="352"/>
        <v>0.24974493337463885</v>
      </c>
      <c r="BL806" s="22">
        <f t="shared" si="345"/>
        <v>0.24974493337463885</v>
      </c>
      <c r="BM806" s="1">
        <f t="shared" si="346"/>
        <v>6.2372531746302799E-2</v>
      </c>
      <c r="BN806" s="1">
        <f t="shared" si="347"/>
        <v>0.16617112367241488</v>
      </c>
    </row>
    <row r="807" spans="1:66" x14ac:dyDescent="0.25">
      <c r="A807" s="3"/>
      <c r="B807" s="3"/>
      <c r="C807" t="s">
        <v>657</v>
      </c>
      <c r="D807" s="6" t="s">
        <v>455</v>
      </c>
      <c r="E807" s="1"/>
      <c r="F807" s="1"/>
      <c r="G807">
        <v>18.746297866778381</v>
      </c>
      <c r="H807">
        <v>6.2445361911932844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25.050297913250741</v>
      </c>
      <c r="P807">
        <v>0</v>
      </c>
      <c r="Q807">
        <v>49.958868028777587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12</v>
      </c>
      <c r="AK807" t="s">
        <v>1</v>
      </c>
      <c r="AL807" t="s">
        <v>372</v>
      </c>
      <c r="AQ807" s="1">
        <f t="shared" si="331"/>
        <v>100</v>
      </c>
      <c r="AR807" s="1">
        <f t="shared" si="332"/>
        <v>0.25050297913250741</v>
      </c>
      <c r="AS807" s="1">
        <f t="shared" si="333"/>
        <v>0.1874629786677838</v>
      </c>
      <c r="AT807" s="1">
        <f t="shared" si="334"/>
        <v>6.2445361911932847E-2</v>
      </c>
      <c r="AU807" s="1">
        <f t="shared" si="335"/>
        <v>0.49958868028777587</v>
      </c>
      <c r="AV807" s="1">
        <f t="shared" si="336"/>
        <v>0.12</v>
      </c>
      <c r="AX807" s="1">
        <f t="shared" si="337"/>
        <v>1.9990876620158875</v>
      </c>
      <c r="AY807" s="1">
        <f t="shared" si="338"/>
        <v>1.0023794265986137</v>
      </c>
      <c r="AZ807" s="1">
        <f t="shared" si="339"/>
        <v>0.62494297887599293</v>
      </c>
      <c r="BA807" s="1">
        <f t="shared" si="340"/>
        <v>0.99977191550397193</v>
      </c>
      <c r="BB807" s="1">
        <f t="shared" si="341"/>
        <v>0.62439967303937582</v>
      </c>
      <c r="BC807" s="1">
        <f t="shared" si="342"/>
        <v>0.62439967303937582</v>
      </c>
      <c r="BD807" s="1">
        <f t="shared" si="343"/>
        <v>0.50439967303937583</v>
      </c>
      <c r="BF807">
        <f t="shared" si="348"/>
        <v>81.229727658306814</v>
      </c>
      <c r="BG807">
        <f t="shared" si="349"/>
        <v>25.050297913250741</v>
      </c>
      <c r="BH807" s="1">
        <f t="shared" si="350"/>
        <v>0.61503182971300574</v>
      </c>
      <c r="BI807" s="1">
        <f t="shared" si="351"/>
        <v>0.30838830358541791</v>
      </c>
      <c r="BJ807" s="1">
        <f t="shared" si="344"/>
        <v>0.46690190978278034</v>
      </c>
      <c r="BK807" s="1">
        <f t="shared" si="352"/>
        <v>0.30838830358541791</v>
      </c>
      <c r="BL807" s="22">
        <f t="shared" si="345"/>
        <v>0.30838830358541791</v>
      </c>
      <c r="BM807" s="1">
        <f t="shared" si="346"/>
        <v>3.5490152927791584E-2</v>
      </c>
      <c r="BN807" s="1">
        <f t="shared" si="347"/>
        <v>8.2737301690795989E-2</v>
      </c>
    </row>
    <row r="808" spans="1:66" x14ac:dyDescent="0.25">
      <c r="A808" s="3"/>
      <c r="B808" s="3"/>
      <c r="C808" t="s">
        <v>658</v>
      </c>
      <c r="D808" s="6" t="s">
        <v>455</v>
      </c>
      <c r="E808" s="1"/>
      <c r="F808" s="1"/>
      <c r="G808">
        <v>12.48043074779279</v>
      </c>
      <c r="H808">
        <v>12.50671401941584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24.96218436077163</v>
      </c>
      <c r="P808">
        <v>0</v>
      </c>
      <c r="Q808">
        <v>50.05067087201973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38</v>
      </c>
      <c r="AK808" t="s">
        <v>1</v>
      </c>
      <c r="AL808" t="s">
        <v>372</v>
      </c>
      <c r="AQ808" s="1">
        <f t="shared" si="331"/>
        <v>100</v>
      </c>
      <c r="AR808" s="1">
        <f t="shared" si="332"/>
        <v>0.2496218436077163</v>
      </c>
      <c r="AS808" s="1">
        <f t="shared" si="333"/>
        <v>0.12480430747792789</v>
      </c>
      <c r="AT808" s="1">
        <f t="shared" si="334"/>
        <v>0.1250671401941584</v>
      </c>
      <c r="AU808" s="1">
        <f t="shared" si="335"/>
        <v>0.50050670872019731</v>
      </c>
      <c r="AV808" s="1">
        <f t="shared" si="336"/>
        <v>0.38</v>
      </c>
      <c r="AX808" s="1">
        <f t="shared" si="337"/>
        <v>2.003056825352159</v>
      </c>
      <c r="AY808" s="1">
        <f t="shared" si="338"/>
        <v>0.99900107008345529</v>
      </c>
      <c r="AZ808" s="1">
        <f t="shared" si="339"/>
        <v>0.62519105158450994</v>
      </c>
      <c r="BA808" s="1">
        <f t="shared" si="340"/>
        <v>1.0007642063380398</v>
      </c>
      <c r="BB808" s="1">
        <f t="shared" si="341"/>
        <v>0.62519105158450994</v>
      </c>
      <c r="BC808" s="1">
        <f t="shared" si="342"/>
        <v>0.62519105158450994</v>
      </c>
      <c r="BD808" s="1">
        <f t="shared" si="343"/>
        <v>0.24519105158450993</v>
      </c>
      <c r="BF808">
        <f t="shared" si="348"/>
        <v>62.428437010586997</v>
      </c>
      <c r="BG808">
        <f t="shared" si="349"/>
        <v>24.96218436077163</v>
      </c>
      <c r="BH808" s="1">
        <f t="shared" si="350"/>
        <v>0.80172871961429737</v>
      </c>
      <c r="BI808" s="1">
        <f t="shared" si="351"/>
        <v>0.39985278434150756</v>
      </c>
      <c r="BJ808" s="1">
        <f t="shared" si="344"/>
        <v>0.47810372317685784</v>
      </c>
      <c r="BK808" s="1">
        <f t="shared" si="352"/>
        <v>0.39985278434150756</v>
      </c>
      <c r="BL808" s="22">
        <f t="shared" si="345"/>
        <v>0.39985278434150756</v>
      </c>
      <c r="BM808" s="1">
        <f t="shared" si="346"/>
        <v>3.9413304611040761E-4</v>
      </c>
      <c r="BN808" s="1">
        <f t="shared" si="347"/>
        <v>7.6402073062170313E-4</v>
      </c>
    </row>
    <row r="809" spans="1:66" x14ac:dyDescent="0.25">
      <c r="A809" s="3"/>
      <c r="B809" s="3"/>
      <c r="C809" t="s">
        <v>659</v>
      </c>
      <c r="D809" s="6" t="s">
        <v>455</v>
      </c>
      <c r="E809" s="1"/>
      <c r="F809" s="1"/>
      <c r="G809">
        <v>6.2436556841545459</v>
      </c>
      <c r="H809">
        <v>18.755680246611622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25.049865776482179</v>
      </c>
      <c r="P809">
        <v>0</v>
      </c>
      <c r="Q809">
        <v>49.950798292751657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51</v>
      </c>
      <c r="AK809" t="s">
        <v>1</v>
      </c>
      <c r="AL809" t="s">
        <v>372</v>
      </c>
      <c r="AQ809" s="1">
        <f t="shared" si="331"/>
        <v>100</v>
      </c>
      <c r="AR809" s="1">
        <f t="shared" si="332"/>
        <v>0.25049865776482177</v>
      </c>
      <c r="AS809" s="1">
        <f t="shared" si="333"/>
        <v>6.2436556841545456E-2</v>
      </c>
      <c r="AT809" s="1">
        <f t="shared" si="334"/>
        <v>0.18755680246611622</v>
      </c>
      <c r="AU809" s="1">
        <f t="shared" si="335"/>
        <v>0.49950798292751658</v>
      </c>
      <c r="AV809" s="1">
        <f t="shared" si="336"/>
        <v>0.51</v>
      </c>
      <c r="AX809" s="1">
        <f t="shared" si="337"/>
        <v>1.9980850063812392</v>
      </c>
      <c r="AY809" s="1">
        <f t="shared" si="338"/>
        <v>1.0020212475185721</v>
      </c>
      <c r="AZ809" s="1">
        <f t="shared" si="339"/>
        <v>0.62488031289882739</v>
      </c>
      <c r="BA809" s="1">
        <f t="shared" si="340"/>
        <v>0.9995212515953098</v>
      </c>
      <c r="BB809" s="1">
        <f t="shared" si="341"/>
        <v>0.62435933073452266</v>
      </c>
      <c r="BC809" s="1">
        <f t="shared" si="342"/>
        <v>0.62435933073452266</v>
      </c>
      <c r="BD809" s="1">
        <f t="shared" si="343"/>
        <v>0.11435933073452265</v>
      </c>
      <c r="BF809">
        <f t="shared" si="348"/>
        <v>43.730302983229805</v>
      </c>
      <c r="BG809">
        <f t="shared" si="349"/>
        <v>25.049865776482179</v>
      </c>
      <c r="BH809" s="1">
        <f t="shared" si="350"/>
        <v>1.1422467919306976</v>
      </c>
      <c r="BI809" s="1">
        <f t="shared" si="351"/>
        <v>0.57282625702567358</v>
      </c>
      <c r="BJ809" s="1">
        <f t="shared" si="344"/>
        <v>0.49853480751584184</v>
      </c>
      <c r="BK809" s="1">
        <f t="shared" si="352"/>
        <v>0.47941375891883009</v>
      </c>
      <c r="BL809" s="22">
        <f t="shared" si="345"/>
        <v>0.47941375891883009</v>
      </c>
      <c r="BM809" s="1">
        <f t="shared" si="346"/>
        <v>9.3551814347544635E-4</v>
      </c>
      <c r="BN809" s="1">
        <f t="shared" si="347"/>
        <v>1.0477380250534563E-2</v>
      </c>
    </row>
    <row r="810" spans="1:66" x14ac:dyDescent="0.25">
      <c r="A810" s="3"/>
      <c r="B810" s="3"/>
      <c r="C810" t="s">
        <v>660</v>
      </c>
      <c r="D810" s="6" t="s">
        <v>455</v>
      </c>
      <c r="E810" s="1"/>
      <c r="F810" s="1"/>
      <c r="G810">
        <v>0</v>
      </c>
      <c r="H810">
        <v>25.045061312491839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24.983206447319969</v>
      </c>
      <c r="P810">
        <v>0</v>
      </c>
      <c r="Q810">
        <v>49.971732240188203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57</v>
      </c>
      <c r="AK810" t="s">
        <v>1</v>
      </c>
      <c r="AL810" t="s">
        <v>372</v>
      </c>
      <c r="AQ810" s="1">
        <f t="shared" si="331"/>
        <v>100.00000000000001</v>
      </c>
      <c r="AR810" s="1">
        <f t="shared" si="332"/>
        <v>0.24983206447319969</v>
      </c>
      <c r="AS810" s="1">
        <f t="shared" si="333"/>
        <v>0</v>
      </c>
      <c r="AT810" s="1">
        <f t="shared" si="334"/>
        <v>0.2504506131249184</v>
      </c>
      <c r="AU810" s="1">
        <f t="shared" si="335"/>
        <v>0.49971732240188205</v>
      </c>
      <c r="AV810" s="1">
        <f t="shared" si="336"/>
        <v>0.56999999999999995</v>
      </c>
      <c r="AX810" s="1">
        <f t="shared" si="337"/>
        <v>1.9952729049724296</v>
      </c>
      <c r="AY810" s="1">
        <f t="shared" si="338"/>
        <v>0.99753025698759146</v>
      </c>
      <c r="AZ810" s="1">
        <f t="shared" si="339"/>
        <v>0.62470455656077684</v>
      </c>
      <c r="BA810" s="1">
        <f t="shared" si="340"/>
        <v>0.99881822624310734</v>
      </c>
      <c r="BB810" s="1">
        <f t="shared" si="341"/>
        <v>0.62470455656077684</v>
      </c>
      <c r="BC810" s="1">
        <f t="shared" si="342"/>
        <v>0.62470455656077684</v>
      </c>
      <c r="BD810" s="1">
        <f t="shared" si="343"/>
        <v>5.4704556560776885E-2</v>
      </c>
      <c r="BF810">
        <f t="shared" si="348"/>
        <v>25.045061312491839</v>
      </c>
      <c r="BG810">
        <f t="shared" si="349"/>
        <v>24.983206447319969</v>
      </c>
      <c r="BH810" s="1">
        <f t="shared" si="350"/>
        <v>1.9952729049724296</v>
      </c>
      <c r="BI810" s="1">
        <f t="shared" si="351"/>
        <v>0.99753025698759146</v>
      </c>
      <c r="BJ810" s="1">
        <f t="shared" si="344"/>
        <v>0.54971637429834574</v>
      </c>
      <c r="BK810" s="1">
        <f t="shared" si="352"/>
        <v>0.56655168944491174</v>
      </c>
      <c r="BL810" s="22">
        <f t="shared" si="345"/>
        <v>0.56655168944491174</v>
      </c>
      <c r="BM810" s="1">
        <f t="shared" si="346"/>
        <v>1.1890845684332742E-5</v>
      </c>
      <c r="BN810" s="1">
        <f t="shared" si="347"/>
        <v>2.6360469259725097E-2</v>
      </c>
    </row>
    <row r="811" spans="1:66" x14ac:dyDescent="0.25">
      <c r="A811" s="3"/>
      <c r="B811" s="3"/>
      <c r="C811" t="s">
        <v>661</v>
      </c>
      <c r="D811" s="6" t="s">
        <v>455</v>
      </c>
      <c r="E811" s="1"/>
      <c r="F811" s="1"/>
      <c r="G811">
        <v>11.24494655806239</v>
      </c>
      <c r="H811">
        <v>1.216499608348347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12.507955343301189</v>
      </c>
      <c r="P811">
        <v>0</v>
      </c>
      <c r="Q811">
        <v>75.030598490288085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 t="s">
        <v>1</v>
      </c>
      <c r="AL811" t="s">
        <v>372</v>
      </c>
      <c r="AQ811" s="1">
        <f t="shared" si="331"/>
        <v>100.00000000000001</v>
      </c>
      <c r="AR811" s="1">
        <f t="shared" si="332"/>
        <v>0.12507955343301189</v>
      </c>
      <c r="AS811" s="1">
        <f t="shared" si="333"/>
        <v>0.11244946558062389</v>
      </c>
      <c r="AT811" s="1">
        <f t="shared" si="334"/>
        <v>1.2164996083483471E-2</v>
      </c>
      <c r="AU811" s="1">
        <f t="shared" si="335"/>
        <v>0.75030598490288081</v>
      </c>
      <c r="AV811" s="1">
        <f t="shared" si="336"/>
        <v>0</v>
      </c>
      <c r="AX811" s="1">
        <f t="shared" si="337"/>
        <v>6.0210185469909314</v>
      </c>
      <c r="AY811" s="1">
        <f t="shared" si="338"/>
        <v>1.0037322455411166</v>
      </c>
      <c r="AZ811" s="1">
        <f t="shared" si="339"/>
        <v>0.87631365918693316</v>
      </c>
      <c r="BA811" s="1">
        <f t="shared" si="340"/>
        <v>2.0052546367477326</v>
      </c>
      <c r="BB811" s="1">
        <f t="shared" si="341"/>
        <v>0.87631365918693316</v>
      </c>
      <c r="BC811" s="1">
        <f t="shared" si="342"/>
        <v>0.87631365918693316</v>
      </c>
      <c r="BD811" s="1">
        <f t="shared" si="343"/>
        <v>0.87631365918693316</v>
      </c>
      <c r="BF811">
        <f t="shared" si="348"/>
        <v>46.196285840597909</v>
      </c>
      <c r="BG811">
        <f t="shared" si="349"/>
        <v>12.507955343301189</v>
      </c>
      <c r="BH811" s="1">
        <f t="shared" si="350"/>
        <v>1.6241695003183612</v>
      </c>
      <c r="BI811" s="1">
        <f t="shared" si="351"/>
        <v>0.27075673110302367</v>
      </c>
      <c r="BJ811" s="1">
        <f t="shared" si="344"/>
        <v>0.52745017001910166</v>
      </c>
      <c r="BK811" s="1">
        <f t="shared" si="352"/>
        <v>0.27075673110302367</v>
      </c>
      <c r="BL811" s="22">
        <f t="shared" si="345"/>
        <v>0.27075673110302367</v>
      </c>
      <c r="BM811" s="1">
        <f t="shared" si="346"/>
        <v>7.3309207437595073E-2</v>
      </c>
      <c r="BN811" s="1">
        <f t="shared" si="347"/>
        <v>0.16617112367241488</v>
      </c>
    </row>
    <row r="812" spans="1:66" x14ac:dyDescent="0.25">
      <c r="A812" s="3"/>
      <c r="B812" s="3"/>
      <c r="C812" t="s">
        <v>662</v>
      </c>
      <c r="D812" s="6" t="s">
        <v>455</v>
      </c>
      <c r="E812" s="1"/>
      <c r="F812" s="1"/>
      <c r="G812">
        <v>9.3686795719200084</v>
      </c>
      <c r="H812">
        <v>3.1522414850163529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12.496619564447361</v>
      </c>
      <c r="P812">
        <v>0</v>
      </c>
      <c r="Q812">
        <v>74.982459378616269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28</v>
      </c>
      <c r="AK812" t="s">
        <v>1</v>
      </c>
      <c r="AL812" t="s">
        <v>372</v>
      </c>
      <c r="AQ812" s="1">
        <f t="shared" si="331"/>
        <v>100</v>
      </c>
      <c r="AR812" s="1">
        <f t="shared" si="332"/>
        <v>0.1249661956444736</v>
      </c>
      <c r="AS812" s="1">
        <f t="shared" si="333"/>
        <v>9.3686795719200078E-2</v>
      </c>
      <c r="AT812" s="1">
        <f t="shared" si="334"/>
        <v>3.1522414850163528E-2</v>
      </c>
      <c r="AU812" s="1">
        <f t="shared" si="335"/>
        <v>0.74982459378616273</v>
      </c>
      <c r="AV812" s="1">
        <f t="shared" si="336"/>
        <v>0.28000000000000003</v>
      </c>
      <c r="AX812" s="1">
        <f t="shared" si="337"/>
        <v>5.9885737668697603</v>
      </c>
      <c r="AY812" s="1">
        <f t="shared" si="338"/>
        <v>0.99805912900668459</v>
      </c>
      <c r="AZ812" s="1">
        <f t="shared" si="339"/>
        <v>0.87428586042935996</v>
      </c>
      <c r="BA812" s="1">
        <f t="shared" si="340"/>
        <v>1.9971434417174401</v>
      </c>
      <c r="BB812" s="1">
        <f t="shared" si="341"/>
        <v>0.87428586042935996</v>
      </c>
      <c r="BC812" s="1">
        <f t="shared" si="342"/>
        <v>0.87428586042935996</v>
      </c>
      <c r="BD812" s="1">
        <f t="shared" si="343"/>
        <v>0.59428586042935994</v>
      </c>
      <c r="BF812">
        <f t="shared" si="348"/>
        <v>40.626959772696388</v>
      </c>
      <c r="BG812">
        <f t="shared" si="349"/>
        <v>12.496619564447361</v>
      </c>
      <c r="BH812" s="1">
        <f t="shared" si="350"/>
        <v>1.8456330426429968</v>
      </c>
      <c r="BI812" s="1">
        <f t="shared" si="351"/>
        <v>0.30759425845213739</v>
      </c>
      <c r="BJ812" s="1">
        <f t="shared" si="344"/>
        <v>0.54073798255857985</v>
      </c>
      <c r="BK812" s="1">
        <f t="shared" si="352"/>
        <v>0.30759425845213739</v>
      </c>
      <c r="BL812" s="22">
        <f t="shared" si="345"/>
        <v>0.30759425845213739</v>
      </c>
      <c r="BM812" s="1">
        <f t="shared" si="346"/>
        <v>7.614430995233544E-4</v>
      </c>
      <c r="BN812" s="1">
        <f t="shared" si="347"/>
        <v>1.6292205715304115E-2</v>
      </c>
    </row>
    <row r="813" spans="1:66" x14ac:dyDescent="0.25">
      <c r="A813" s="3"/>
      <c r="B813" s="3"/>
      <c r="C813" t="s">
        <v>663</v>
      </c>
      <c r="D813" s="6" t="s">
        <v>455</v>
      </c>
      <c r="E813" s="1"/>
      <c r="F813" s="1"/>
      <c r="G813">
        <v>6.2307208751985099</v>
      </c>
      <c r="H813">
        <v>6.2966750295847893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12.505260972036041</v>
      </c>
      <c r="P813">
        <v>0</v>
      </c>
      <c r="Q813">
        <v>74.967343123180669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48</v>
      </c>
      <c r="AK813" t="s">
        <v>1</v>
      </c>
      <c r="AL813" t="s">
        <v>372</v>
      </c>
      <c r="AQ813" s="1">
        <f t="shared" si="331"/>
        <v>100</v>
      </c>
      <c r="AR813" s="1">
        <f t="shared" si="332"/>
        <v>0.12505260972036042</v>
      </c>
      <c r="AS813" s="1">
        <f t="shared" si="333"/>
        <v>6.2307208751985102E-2</v>
      </c>
      <c r="AT813" s="1">
        <f t="shared" si="334"/>
        <v>6.296675029584789E-2</v>
      </c>
      <c r="AU813" s="1">
        <f t="shared" si="335"/>
        <v>0.74967343123180674</v>
      </c>
      <c r="AV813" s="1">
        <f t="shared" si="336"/>
        <v>0.48</v>
      </c>
      <c r="AX813" s="1">
        <f t="shared" si="337"/>
        <v>5.9842718864306113</v>
      </c>
      <c r="AY813" s="1">
        <f t="shared" si="338"/>
        <v>0.99823307789460003</v>
      </c>
      <c r="AZ813" s="1">
        <f t="shared" si="339"/>
        <v>0.87401699290191326</v>
      </c>
      <c r="BA813" s="1">
        <f t="shared" si="340"/>
        <v>1.9960679716076528</v>
      </c>
      <c r="BB813" s="1">
        <f t="shared" si="341"/>
        <v>0.87401699290191326</v>
      </c>
      <c r="BC813" s="1">
        <f t="shared" si="342"/>
        <v>0.87401699290191326</v>
      </c>
      <c r="BD813" s="1">
        <f t="shared" si="343"/>
        <v>0.39401699290191328</v>
      </c>
      <c r="BF813">
        <f t="shared" si="348"/>
        <v>31.21955853037883</v>
      </c>
      <c r="BG813">
        <f t="shared" si="349"/>
        <v>12.505260972036041</v>
      </c>
      <c r="BH813" s="1">
        <f t="shared" si="350"/>
        <v>2.4012941454707684</v>
      </c>
      <c r="BI813" s="1">
        <f t="shared" si="351"/>
        <v>0.40055854601106999</v>
      </c>
      <c r="BJ813" s="1">
        <f t="shared" si="344"/>
        <v>0.57407764872824607</v>
      </c>
      <c r="BK813" s="1">
        <f t="shared" si="352"/>
        <v>0.40055854601106999</v>
      </c>
      <c r="BL813" s="22">
        <f t="shared" si="345"/>
        <v>0.40055854601106999</v>
      </c>
      <c r="BM813" s="1">
        <f t="shared" si="346"/>
        <v>6.3109446118752802E-3</v>
      </c>
      <c r="BN813" s="1">
        <f t="shared" si="347"/>
        <v>5.2358357459392837E-3</v>
      </c>
    </row>
    <row r="814" spans="1:66" x14ac:dyDescent="0.25">
      <c r="A814" s="3"/>
      <c r="B814" s="3"/>
      <c r="C814" t="s">
        <v>664</v>
      </c>
      <c r="D814" s="6" t="s">
        <v>455</v>
      </c>
      <c r="E814" s="1"/>
      <c r="F814" s="1"/>
      <c r="G814">
        <v>3.127171413589346</v>
      </c>
      <c r="H814">
        <v>9.3398251044425074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12.508286760388559</v>
      </c>
      <c r="P814">
        <v>0</v>
      </c>
      <c r="Q814">
        <v>75.024716721579594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52</v>
      </c>
      <c r="AK814" t="s">
        <v>1</v>
      </c>
      <c r="AL814" t="s">
        <v>372</v>
      </c>
      <c r="AQ814" s="1">
        <f t="shared" si="331"/>
        <v>100</v>
      </c>
      <c r="AR814" s="1">
        <f t="shared" si="332"/>
        <v>0.12508286760388559</v>
      </c>
      <c r="AS814" s="1">
        <f t="shared" si="333"/>
        <v>3.1271714135893462E-2</v>
      </c>
      <c r="AT814" s="1">
        <f t="shared" si="334"/>
        <v>9.3398251044425076E-2</v>
      </c>
      <c r="AU814" s="1">
        <f t="shared" si="335"/>
        <v>0.75024716721579598</v>
      </c>
      <c r="AV814" s="1">
        <f t="shared" si="336"/>
        <v>0.52</v>
      </c>
      <c r="AX814" s="1">
        <f t="shared" si="337"/>
        <v>6.017866180765056</v>
      </c>
      <c r="AY814" s="1">
        <f t="shared" si="338"/>
        <v>1.0033119638957937</v>
      </c>
      <c r="AZ814" s="1">
        <f t="shared" si="339"/>
        <v>0.876116636297816</v>
      </c>
      <c r="BA814" s="1">
        <f t="shared" si="340"/>
        <v>2.004466545191264</v>
      </c>
      <c r="BB814" s="1">
        <f t="shared" si="341"/>
        <v>0.876116636297816</v>
      </c>
      <c r="BC814" s="1">
        <f t="shared" si="342"/>
        <v>0.876116636297816</v>
      </c>
      <c r="BD814" s="1">
        <f t="shared" si="343"/>
        <v>0.35611663629781598</v>
      </c>
      <c r="BF814">
        <f t="shared" si="348"/>
        <v>21.84851075879989</v>
      </c>
      <c r="BG814">
        <f t="shared" si="349"/>
        <v>12.508286760388559</v>
      </c>
      <c r="BH814" s="1">
        <f t="shared" si="350"/>
        <v>3.4338595225014141</v>
      </c>
      <c r="BI814" s="1">
        <f t="shared" si="351"/>
        <v>0.57250065683999152</v>
      </c>
      <c r="BJ814" s="1">
        <f t="shared" si="344"/>
        <v>0.63603157135008481</v>
      </c>
      <c r="BK814" s="1">
        <f t="shared" si="352"/>
        <v>0.57250065683999152</v>
      </c>
      <c r="BL814" s="22">
        <f t="shared" si="345"/>
        <v>0.57250065683999152</v>
      </c>
      <c r="BM814" s="1">
        <f t="shared" si="346"/>
        <v>2.7563189686305462E-3</v>
      </c>
      <c r="BN814" s="1">
        <f t="shared" si="347"/>
        <v>1.2624561752066324E-2</v>
      </c>
    </row>
    <row r="815" spans="1:66" x14ac:dyDescent="0.25">
      <c r="A815" s="3"/>
      <c r="B815" s="3"/>
      <c r="C815" t="s">
        <v>352</v>
      </c>
      <c r="D815" s="5" t="s">
        <v>458</v>
      </c>
      <c r="E815" s="9">
        <f>I815+L815+M815+N815+O815+V815+X815+AB815+AD815</f>
        <v>28.012502748014896</v>
      </c>
      <c r="F815" s="9">
        <f>Q815/(H815+P815+Q815+AC815)</f>
        <v>0.85273195089151577</v>
      </c>
      <c r="G815">
        <v>4.1257400063431131</v>
      </c>
      <c r="H815">
        <v>8.6740928506648203</v>
      </c>
      <c r="I815">
        <v>2.407784803017877</v>
      </c>
      <c r="J815">
        <v>8.9282676797017308E-3</v>
      </c>
      <c r="K815">
        <v>2.9657546841834028</v>
      </c>
      <c r="L815">
        <v>0.36015671648447012</v>
      </c>
      <c r="M815">
        <v>0</v>
      </c>
      <c r="N815">
        <v>3.3500731540004351</v>
      </c>
      <c r="O815">
        <v>21.894488074512111</v>
      </c>
      <c r="P815">
        <v>1.434024724400132E-2</v>
      </c>
      <c r="Q815">
        <v>50.308974354053383</v>
      </c>
      <c r="R815">
        <v>8.4752018959627917E-2</v>
      </c>
      <c r="S815">
        <v>1.6906197758571779</v>
      </c>
      <c r="T815">
        <v>2.467906640568053</v>
      </c>
      <c r="U815">
        <v>1.646388406431829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68</v>
      </c>
      <c r="AK815" t="s">
        <v>351</v>
      </c>
      <c r="AL815" t="s">
        <v>374</v>
      </c>
      <c r="AO815" t="s">
        <v>378</v>
      </c>
      <c r="AQ815" s="1">
        <f t="shared" si="331"/>
        <v>100.00000000000001</v>
      </c>
      <c r="AR815" s="1">
        <f t="shared" si="332"/>
        <v>0.22254644790996583</v>
      </c>
      <c r="AS815" s="1">
        <f t="shared" si="333"/>
        <v>4.1257400063431128E-2</v>
      </c>
      <c r="AT815" s="1">
        <f t="shared" si="334"/>
        <v>8.6740928506648204E-2</v>
      </c>
      <c r="AU815" s="1">
        <f t="shared" si="335"/>
        <v>0.50308974354053382</v>
      </c>
      <c r="AV815" s="1">
        <f t="shared" si="336"/>
        <v>0.68</v>
      </c>
      <c r="AX815" s="1">
        <f t="shared" si="337"/>
        <v>3.9304399452770289</v>
      </c>
      <c r="AY815" s="1">
        <f t="shared" si="338"/>
        <v>1.7386668278884689</v>
      </c>
      <c r="AZ815" s="1">
        <f t="shared" si="339"/>
        <v>0.74565249657981436</v>
      </c>
      <c r="BA815" s="1">
        <f t="shared" si="340"/>
        <v>1.4826099863192572</v>
      </c>
      <c r="BB815" s="1">
        <f t="shared" si="341"/>
        <v>0.70272607516887453</v>
      </c>
      <c r="BC815" s="1">
        <f t="shared" si="342"/>
        <v>0.70272607516887453</v>
      </c>
      <c r="BD815" s="1">
        <f t="shared" si="343"/>
        <v>2.2726075168874482E-2</v>
      </c>
      <c r="BF815">
        <f t="shared" si="348"/>
        <v>28.48416993614493</v>
      </c>
      <c r="BG815">
        <f t="shared" si="349"/>
        <v>26.367527089789764</v>
      </c>
      <c r="BH815" s="1">
        <f t="shared" si="350"/>
        <v>1.7662081944755537</v>
      </c>
      <c r="BI815" s="1">
        <f t="shared" si="351"/>
        <v>0.92569055545237233</v>
      </c>
      <c r="BJ815" s="1">
        <f t="shared" si="344"/>
        <v>0.53597249166853322</v>
      </c>
      <c r="BK815" s="1">
        <f t="shared" si="352"/>
        <v>0.54797974985734244</v>
      </c>
      <c r="BL815" s="22">
        <f t="shared" si="345"/>
        <v>0.54797974985734244</v>
      </c>
      <c r="BM815" s="1">
        <f t="shared" si="346"/>
        <v>1.7429346447729886E-2</v>
      </c>
      <c r="BN815" s="1">
        <f t="shared" si="347"/>
        <v>7.4179465776574485E-2</v>
      </c>
    </row>
    <row r="816" spans="1:66" x14ac:dyDescent="0.25">
      <c r="A816" s="3"/>
      <c r="B816" s="3"/>
      <c r="C816" t="s">
        <v>353</v>
      </c>
      <c r="D816" s="5" t="s">
        <v>458</v>
      </c>
      <c r="E816" s="9">
        <f>I816+L816+M816+N816+O816+V816+X816+AB816+AD816</f>
        <v>25.961735962321647</v>
      </c>
      <c r="F816" s="9">
        <f>Q816/(H816+P816+Q816+AC816)</f>
        <v>0.83935983159325356</v>
      </c>
      <c r="G816">
        <v>6.8657476751579569</v>
      </c>
      <c r="H816">
        <v>9.3015101524583255</v>
      </c>
      <c r="I816">
        <v>0</v>
      </c>
      <c r="J816">
        <v>9.2118079282578428E-3</v>
      </c>
      <c r="K816">
        <v>1.095967012975368</v>
      </c>
      <c r="L816">
        <v>1.635015470809257</v>
      </c>
      <c r="M816">
        <v>0</v>
      </c>
      <c r="N816">
        <v>1.7369162802798499</v>
      </c>
      <c r="O816">
        <v>22.58980421123254</v>
      </c>
      <c r="P816">
        <v>3.9455090429481733E-2</v>
      </c>
      <c r="Q816">
        <v>48.807412809332369</v>
      </c>
      <c r="R816">
        <v>8.7443538679189914E-2</v>
      </c>
      <c r="S816">
        <v>2.1825785721328961</v>
      </c>
      <c r="T816">
        <v>2.2365985300512121</v>
      </c>
      <c r="U816">
        <v>2.982621100469844</v>
      </c>
      <c r="V816">
        <v>0</v>
      </c>
      <c r="W816">
        <v>0</v>
      </c>
      <c r="X816">
        <v>0</v>
      </c>
      <c r="Y816">
        <v>0</v>
      </c>
      <c r="Z816">
        <v>0.42971774806347768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70</v>
      </c>
      <c r="AK816" t="s">
        <v>351</v>
      </c>
      <c r="AL816" t="s">
        <v>374</v>
      </c>
      <c r="AQ816" s="1">
        <f t="shared" si="331"/>
        <v>100.00000000000003</v>
      </c>
      <c r="AR816" s="1">
        <f t="shared" si="332"/>
        <v>0.24224819682041798</v>
      </c>
      <c r="AS816" s="1">
        <f t="shared" si="333"/>
        <v>6.8657476751579571E-2</v>
      </c>
      <c r="AT816" s="1">
        <f t="shared" si="334"/>
        <v>9.3015101524583255E-2</v>
      </c>
      <c r="AU816" s="1">
        <f t="shared" si="335"/>
        <v>0.48807412809332368</v>
      </c>
      <c r="AV816" s="1">
        <f t="shared" si="336"/>
        <v>0.7</v>
      </c>
      <c r="AX816" s="1">
        <f t="shared" si="337"/>
        <v>3.0189048340629192</v>
      </c>
      <c r="AY816" s="1">
        <f t="shared" si="338"/>
        <v>1.4983876635320246</v>
      </c>
      <c r="AZ816" s="1">
        <f t="shared" si="339"/>
        <v>0.68868155212893245</v>
      </c>
      <c r="BA816" s="1">
        <f t="shared" si="340"/>
        <v>1.2547262085157298</v>
      </c>
      <c r="BB816" s="1">
        <f t="shared" si="341"/>
        <v>0.64410206594415487</v>
      </c>
      <c r="BC816" s="1">
        <f t="shared" si="342"/>
        <v>0.64410206594415487</v>
      </c>
      <c r="BD816" s="1">
        <f t="shared" si="343"/>
        <v>5.5897934055845089E-2</v>
      </c>
      <c r="BF816">
        <f t="shared" si="348"/>
        <v>42.769198144459324</v>
      </c>
      <c r="BG816">
        <f t="shared" si="349"/>
        <v>26.354816336561822</v>
      </c>
      <c r="BH816" s="1">
        <f t="shared" si="350"/>
        <v>1.1411813858300097</v>
      </c>
      <c r="BI816" s="1">
        <f t="shared" si="351"/>
        <v>0.6162102045388953</v>
      </c>
      <c r="BJ816" s="1">
        <f t="shared" si="344"/>
        <v>0.49847088314980059</v>
      </c>
      <c r="BK816" s="1">
        <f t="shared" si="352"/>
        <v>0.48556819908891741</v>
      </c>
      <c r="BL816" s="22">
        <f t="shared" si="345"/>
        <v>0.48556819908891741</v>
      </c>
      <c r="BM816" s="1">
        <f t="shared" si="346"/>
        <v>4.5980997241970141E-2</v>
      </c>
      <c r="BN816" s="1">
        <f t="shared" si="347"/>
        <v>8.5473828779637939E-2</v>
      </c>
    </row>
    <row r="817" spans="1:66" x14ac:dyDescent="0.25">
      <c r="A817" s="3"/>
      <c r="B817" s="3"/>
      <c r="C817" t="s">
        <v>354</v>
      </c>
      <c r="D817" s="5" t="s">
        <v>458</v>
      </c>
      <c r="E817" s="9">
        <f>I817+L817+M817+N817+O817+V817+X817+AB817+AD817</f>
        <v>23.82045704185375</v>
      </c>
      <c r="F817" s="9">
        <f>Q817/(H817+P817+Q817+AC817)</f>
        <v>0.8221698278287477</v>
      </c>
      <c r="G817">
        <v>4.4825132559566212</v>
      </c>
      <c r="H817">
        <v>11.517828830034709</v>
      </c>
      <c r="I817">
        <v>1.191570949558236E-2</v>
      </c>
      <c r="J817">
        <v>3.0774468479208401E-2</v>
      </c>
      <c r="K817">
        <v>2.2512171677373201</v>
      </c>
      <c r="L817">
        <v>0.28375062004725188</v>
      </c>
      <c r="M817">
        <v>0</v>
      </c>
      <c r="N817">
        <v>2.4371028801958738</v>
      </c>
      <c r="O817">
        <v>21.087687832115041</v>
      </c>
      <c r="P817">
        <v>2.3537520039162631E-2</v>
      </c>
      <c r="Q817">
        <v>53.359691828958923</v>
      </c>
      <c r="R817">
        <v>5.8425630359448963E-2</v>
      </c>
      <c r="S817">
        <v>2.4514091495078612</v>
      </c>
      <c r="T817">
        <v>1.2070066538469939</v>
      </c>
      <c r="U817">
        <v>0.79713845322600274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66</v>
      </c>
      <c r="AK817" t="s">
        <v>351</v>
      </c>
      <c r="AL817" t="s">
        <v>374</v>
      </c>
      <c r="AQ817" s="1">
        <f t="shared" si="331"/>
        <v>100</v>
      </c>
      <c r="AR817" s="1">
        <f t="shared" si="332"/>
        <v>0.21371438452162292</v>
      </c>
      <c r="AS817" s="1">
        <f t="shared" si="333"/>
        <v>4.482513255956621E-2</v>
      </c>
      <c r="AT817" s="1">
        <f t="shared" si="334"/>
        <v>0.1151782883003471</v>
      </c>
      <c r="AU817" s="1">
        <f t="shared" si="335"/>
        <v>0.53359691828958922</v>
      </c>
      <c r="AV817" s="1">
        <f t="shared" si="336"/>
        <v>0.66</v>
      </c>
      <c r="AX817" s="1">
        <f t="shared" si="337"/>
        <v>3.3349094376973705</v>
      </c>
      <c r="AY817" s="1">
        <f t="shared" si="338"/>
        <v>1.3356863457859116</v>
      </c>
      <c r="AZ817" s="1">
        <f t="shared" si="339"/>
        <v>0.7084318398560856</v>
      </c>
      <c r="BA817" s="1">
        <f t="shared" si="340"/>
        <v>1.3337273594243426</v>
      </c>
      <c r="BB817" s="1">
        <f t="shared" si="341"/>
        <v>0.7080849902788281</v>
      </c>
      <c r="BC817" s="1">
        <f t="shared" si="342"/>
        <v>0.7080849902788281</v>
      </c>
      <c r="BD817" s="1">
        <f t="shared" si="343"/>
        <v>4.8084990278828066E-2</v>
      </c>
      <c r="BF817">
        <f t="shared" si="348"/>
        <v>31.065696280352363</v>
      </c>
      <c r="BG817">
        <f t="shared" si="349"/>
        <v>23.199451073931517</v>
      </c>
      <c r="BH817" s="1">
        <f t="shared" si="350"/>
        <v>1.7176402983990575</v>
      </c>
      <c r="BI817" s="1">
        <f t="shared" si="351"/>
        <v>0.74678677292689921</v>
      </c>
      <c r="BJ817" s="1">
        <f t="shared" si="344"/>
        <v>0.53305841790394348</v>
      </c>
      <c r="BK817" s="1">
        <f t="shared" si="352"/>
        <v>0.53349487072770319</v>
      </c>
      <c r="BL817" s="22">
        <f t="shared" si="345"/>
        <v>0.53349487072770319</v>
      </c>
      <c r="BM817" s="1">
        <f t="shared" si="346"/>
        <v>1.6003547732200536E-2</v>
      </c>
      <c r="BN817" s="1">
        <f t="shared" si="347"/>
        <v>6.3685102773510957E-2</v>
      </c>
    </row>
    <row r="818" spans="1:66" x14ac:dyDescent="0.25">
      <c r="A818" s="3"/>
      <c r="B818" s="3"/>
      <c r="C818" t="s">
        <v>361</v>
      </c>
      <c r="D818" s="5" t="s">
        <v>458</v>
      </c>
      <c r="E818" s="9">
        <f>I818+L818+M818+N818+O818+V818+X818+AB818+AD818</f>
        <v>28.725919914418519</v>
      </c>
      <c r="F818" s="9">
        <f>Q818/(H818+P818+Q818+AC818)</f>
        <v>0.83348596357870242</v>
      </c>
      <c r="G818">
        <v>4.0929581435630613</v>
      </c>
      <c r="H818">
        <v>9.8272354530327313</v>
      </c>
      <c r="I818">
        <v>2.476611767005318</v>
      </c>
      <c r="J818">
        <v>0</v>
      </c>
      <c r="K818">
        <v>2.356349970840323</v>
      </c>
      <c r="L818">
        <v>2.7091162869483498</v>
      </c>
      <c r="M818">
        <v>0</v>
      </c>
      <c r="N818">
        <v>2.5122348223253121</v>
      </c>
      <c r="O818">
        <v>21.02795703813954</v>
      </c>
      <c r="P818">
        <v>0</v>
      </c>
      <c r="Q818">
        <v>49.190224361398883</v>
      </c>
      <c r="R818">
        <v>0</v>
      </c>
      <c r="S818">
        <v>1.1992734123174</v>
      </c>
      <c r="T818">
        <v>2.9424044002362151</v>
      </c>
      <c r="U818">
        <v>1.66563434419287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67</v>
      </c>
      <c r="AK818" t="s">
        <v>1</v>
      </c>
      <c r="AL818" t="s">
        <v>374</v>
      </c>
      <c r="AO818" t="s">
        <v>378</v>
      </c>
      <c r="AQ818" s="1">
        <f t="shared" si="331"/>
        <v>99.999999999999986</v>
      </c>
      <c r="AR818" s="1">
        <f t="shared" si="332"/>
        <v>0.2373707332508789</v>
      </c>
      <c r="AS818" s="1">
        <f t="shared" si="333"/>
        <v>4.0929581435630615E-2</v>
      </c>
      <c r="AT818" s="1">
        <f t="shared" si="334"/>
        <v>9.8272354530327316E-2</v>
      </c>
      <c r="AU818" s="1">
        <f t="shared" si="335"/>
        <v>0.49190224361398882</v>
      </c>
      <c r="AV818" s="1">
        <f t="shared" si="336"/>
        <v>0.67</v>
      </c>
      <c r="AX818" s="1">
        <f t="shared" si="337"/>
        <v>3.5337313392989329</v>
      </c>
      <c r="AY818" s="1">
        <f t="shared" si="338"/>
        <v>1.7052258045385829</v>
      </c>
      <c r="AZ818" s="1">
        <f t="shared" si="339"/>
        <v>0.72085820870618333</v>
      </c>
      <c r="BA818" s="1">
        <f t="shared" si="340"/>
        <v>1.3834328348247333</v>
      </c>
      <c r="BB818" s="1">
        <f t="shared" si="341"/>
        <v>0.6649665412822382</v>
      </c>
      <c r="BC818" s="1">
        <f t="shared" si="342"/>
        <v>0.6649665412822382</v>
      </c>
      <c r="BD818" s="1">
        <f t="shared" si="343"/>
        <v>5.0334587177618406E-3</v>
      </c>
      <c r="BF818">
        <f t="shared" si="348"/>
        <v>29.530336715670717</v>
      </c>
      <c r="BG818">
        <f t="shared" si="349"/>
        <v>27.702698819871312</v>
      </c>
      <c r="BH818" s="1">
        <f t="shared" si="350"/>
        <v>1.6657522342200504</v>
      </c>
      <c r="BI818" s="1">
        <f t="shared" si="351"/>
        <v>0.93810981861139631</v>
      </c>
      <c r="BJ818" s="1">
        <f t="shared" si="344"/>
        <v>0.52994513405320298</v>
      </c>
      <c r="BK818" s="1">
        <f t="shared" si="352"/>
        <v>0.54044975627465275</v>
      </c>
      <c r="BL818" s="22">
        <f t="shared" si="345"/>
        <v>0.54044975627465275</v>
      </c>
      <c r="BM818" s="1">
        <f t="shared" si="346"/>
        <v>1.6783265649296886E-2</v>
      </c>
      <c r="BN818" s="1">
        <f t="shared" si="347"/>
        <v>6.8832284275042718E-2</v>
      </c>
    </row>
    <row r="819" spans="1:66" x14ac:dyDescent="0.25">
      <c r="A819" s="3"/>
      <c r="B819" s="3"/>
      <c r="C819" t="s">
        <v>362</v>
      </c>
      <c r="D819" s="5" t="s">
        <v>458</v>
      </c>
      <c r="E819" s="9">
        <f>I819+L819+M819+N819+O819+V819+X819+AB819+AD819</f>
        <v>28.922996003853953</v>
      </c>
      <c r="F819" s="9">
        <f>Q819/(H819+P819+Q819+AC819)</f>
        <v>0.84733009861073516</v>
      </c>
      <c r="G819">
        <v>3.7965701360148878</v>
      </c>
      <c r="H819">
        <v>9.1156047366981738</v>
      </c>
      <c r="I819">
        <v>7.853721349904121</v>
      </c>
      <c r="J819">
        <v>0</v>
      </c>
      <c r="K819">
        <v>2.1857169351612482</v>
      </c>
      <c r="L819">
        <v>0.1623640896481626</v>
      </c>
      <c r="M819">
        <v>8.8779156253914628</v>
      </c>
      <c r="N819">
        <v>4.0937940226336416</v>
      </c>
      <c r="O819">
        <v>7.9352009162765693</v>
      </c>
      <c r="P819">
        <v>0</v>
      </c>
      <c r="Q819">
        <v>50.592331495316373</v>
      </c>
      <c r="R819">
        <v>0</v>
      </c>
      <c r="S819">
        <v>1.1124290702267621</v>
      </c>
      <c r="T819">
        <v>2.729332742281803</v>
      </c>
      <c r="U819">
        <v>1.545018880446795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53</v>
      </c>
      <c r="AK819" t="s">
        <v>1</v>
      </c>
      <c r="AL819" t="s">
        <v>374</v>
      </c>
      <c r="AQ819" s="1">
        <f t="shared" si="331"/>
        <v>100</v>
      </c>
      <c r="AR819" s="1">
        <f t="shared" si="332"/>
        <v>0.16975480631316195</v>
      </c>
      <c r="AS819" s="1">
        <f t="shared" si="333"/>
        <v>3.796570136014888E-2</v>
      </c>
      <c r="AT819" s="1">
        <f t="shared" si="334"/>
        <v>9.1156047366981741E-2</v>
      </c>
      <c r="AU819" s="1">
        <f t="shared" si="335"/>
        <v>0.50592331495316367</v>
      </c>
      <c r="AV819" s="1">
        <f t="shared" si="336"/>
        <v>0.53</v>
      </c>
      <c r="AX819" s="1">
        <f t="shared" si="337"/>
        <v>3.9181882211208068</v>
      </c>
      <c r="AY819" s="1">
        <f t="shared" si="338"/>
        <v>1.3146879436391468</v>
      </c>
      <c r="AZ819" s="1">
        <f t="shared" si="339"/>
        <v>0.74488676382005048</v>
      </c>
      <c r="BA819" s="1">
        <f t="shared" si="340"/>
        <v>1.4795470552802017</v>
      </c>
      <c r="BB819" s="1">
        <f t="shared" si="341"/>
        <v>0.74488676382005048</v>
      </c>
      <c r="BC819" s="1">
        <f t="shared" si="342"/>
        <v>0.74488676382005048</v>
      </c>
      <c r="BD819" s="1">
        <f t="shared" si="343"/>
        <v>0.21488676382005045</v>
      </c>
      <c r="BF819">
        <f t="shared" si="348"/>
        <v>27.391923041651314</v>
      </c>
      <c r="BG819">
        <f t="shared" si="349"/>
        <v>24.313904688725973</v>
      </c>
      <c r="BH819" s="1">
        <f t="shared" si="350"/>
        <v>1.8469799078504723</v>
      </c>
      <c r="BI819" s="1">
        <f t="shared" si="351"/>
        <v>0.88763043951879539</v>
      </c>
      <c r="BJ819" s="1">
        <f t="shared" si="344"/>
        <v>0.54081879447102832</v>
      </c>
      <c r="BK819" s="1">
        <f t="shared" si="352"/>
        <v>0.55254815184147599</v>
      </c>
      <c r="BL819" s="22">
        <f t="shared" si="345"/>
        <v>0.55254815184147599</v>
      </c>
      <c r="BM819" s="1">
        <f t="shared" si="346"/>
        <v>5.0841915146625574E-4</v>
      </c>
      <c r="BN819" s="1">
        <f t="shared" si="347"/>
        <v>1.4971743253598084E-2</v>
      </c>
    </row>
    <row r="820" spans="1:66" x14ac:dyDescent="0.25">
      <c r="A820" s="3"/>
      <c r="B820" s="3"/>
      <c r="C820" t="s">
        <v>363</v>
      </c>
      <c r="D820" s="6" t="s">
        <v>458</v>
      </c>
      <c r="E820" s="1"/>
      <c r="F820" s="1"/>
      <c r="G820">
        <v>3.9061028193375029</v>
      </c>
      <c r="H820">
        <v>9.3785938587605759</v>
      </c>
      <c r="I820">
        <v>6.9043524835234331</v>
      </c>
      <c r="J820">
        <v>0</v>
      </c>
      <c r="K820">
        <v>2.2487758099653332</v>
      </c>
      <c r="L820">
        <v>6.0303766095741972E-2</v>
      </c>
      <c r="M820">
        <v>6.0092416541037892</v>
      </c>
      <c r="N820">
        <v>2.4137436912250618</v>
      </c>
      <c r="O820">
        <v>14.853458297457561</v>
      </c>
      <c r="P820">
        <v>0</v>
      </c>
      <c r="Q820">
        <v>48.683235983900623</v>
      </c>
      <c r="R820">
        <v>0</v>
      </c>
      <c r="S820">
        <v>1.1445231279427399</v>
      </c>
      <c r="T820">
        <v>2.8080751672159558</v>
      </c>
      <c r="U820">
        <v>1.5895933404716731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56</v>
      </c>
      <c r="AK820" t="s">
        <v>1</v>
      </c>
      <c r="AL820" t="s">
        <v>374</v>
      </c>
      <c r="AQ820" s="1">
        <f t="shared" si="331"/>
        <v>99.999999999999986</v>
      </c>
      <c r="AR820" s="1">
        <f t="shared" si="332"/>
        <v>0.20923003717657093</v>
      </c>
      <c r="AS820" s="1">
        <f t="shared" si="333"/>
        <v>3.9061028193375029E-2</v>
      </c>
      <c r="AT820" s="1">
        <f t="shared" si="334"/>
        <v>9.3785938587605755E-2</v>
      </c>
      <c r="AU820" s="1">
        <f t="shared" si="335"/>
        <v>0.48683235983900625</v>
      </c>
      <c r="AV820" s="1">
        <f t="shared" si="336"/>
        <v>0.56000000000000005</v>
      </c>
      <c r="AX820" s="1">
        <f t="shared" si="337"/>
        <v>3.6646102777914855</v>
      </c>
      <c r="AY820" s="1">
        <f t="shared" si="338"/>
        <v>1.5749703756617921</v>
      </c>
      <c r="AZ820" s="1">
        <f t="shared" si="339"/>
        <v>0.72903814236196784</v>
      </c>
      <c r="BA820" s="1">
        <f t="shared" si="340"/>
        <v>1.4161525694478714</v>
      </c>
      <c r="BB820" s="1">
        <f t="shared" si="341"/>
        <v>0.70178490215933875</v>
      </c>
      <c r="BC820" s="1">
        <f t="shared" si="342"/>
        <v>0.70178490215933875</v>
      </c>
      <c r="BD820" s="1">
        <f t="shared" si="343"/>
        <v>0.1417849021593387</v>
      </c>
      <c r="BF820">
        <f t="shared" si="348"/>
        <v>28.182191817053933</v>
      </c>
      <c r="BG820">
        <f t="shared" si="349"/>
        <v>26.986089388639318</v>
      </c>
      <c r="BH820" s="1">
        <f t="shared" si="350"/>
        <v>1.7274467614133853</v>
      </c>
      <c r="BI820" s="1">
        <f t="shared" si="351"/>
        <v>0.95755821846011224</v>
      </c>
      <c r="BJ820" s="1">
        <f t="shared" si="344"/>
        <v>0.53364680568480316</v>
      </c>
      <c r="BK820" s="1">
        <f t="shared" si="352"/>
        <v>0.5453741158208304</v>
      </c>
      <c r="BL820" s="22">
        <f t="shared" si="345"/>
        <v>0.5453741158208304</v>
      </c>
      <c r="BM820" s="1">
        <f t="shared" si="346"/>
        <v>2.1391648802248527E-4</v>
      </c>
      <c r="BN820" s="1">
        <f t="shared" si="347"/>
        <v>2.3213287758193368E-2</v>
      </c>
    </row>
    <row r="821" spans="1:66" x14ac:dyDescent="0.25">
      <c r="A821" s="3"/>
      <c r="B821" s="3"/>
      <c r="C821" t="s">
        <v>364</v>
      </c>
      <c r="D821" s="6" t="s">
        <v>458</v>
      </c>
      <c r="E821" s="1"/>
      <c r="F821" s="1"/>
      <c r="G821">
        <v>20</v>
      </c>
      <c r="H821">
        <v>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25</v>
      </c>
      <c r="P821">
        <v>0</v>
      </c>
      <c r="Q821">
        <v>50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12.7</v>
      </c>
      <c r="AK821" t="s">
        <v>1</v>
      </c>
      <c r="AL821" t="s">
        <v>374</v>
      </c>
      <c r="AM821" t="s">
        <v>415</v>
      </c>
      <c r="AO821" t="s">
        <v>378</v>
      </c>
      <c r="AQ821" s="1">
        <f t="shared" si="331"/>
        <v>100</v>
      </c>
      <c r="AR821" s="1">
        <f t="shared" si="332"/>
        <v>0.25</v>
      </c>
      <c r="AS821" s="1">
        <f t="shared" si="333"/>
        <v>0.2</v>
      </c>
      <c r="AT821" s="1">
        <f t="shared" si="334"/>
        <v>0.05</v>
      </c>
      <c r="AU821" s="1">
        <f t="shared" si="335"/>
        <v>0.5</v>
      </c>
      <c r="AV821" s="1">
        <f t="shared" si="336"/>
        <v>0.127</v>
      </c>
      <c r="AX821" s="1">
        <f t="shared" si="337"/>
        <v>2</v>
      </c>
      <c r="AY821" s="1">
        <f t="shared" si="338"/>
        <v>1</v>
      </c>
      <c r="AZ821" s="1">
        <f t="shared" si="339"/>
        <v>0.625</v>
      </c>
      <c r="BA821" s="1">
        <f t="shared" si="340"/>
        <v>1</v>
      </c>
      <c r="BB821" s="1">
        <f t="shared" si="341"/>
        <v>0.625</v>
      </c>
      <c r="BC821" s="1">
        <f t="shared" si="342"/>
        <v>0.625</v>
      </c>
      <c r="BD821" s="1">
        <f t="shared" si="343"/>
        <v>0.498</v>
      </c>
      <c r="BF821">
        <f t="shared" si="348"/>
        <v>85</v>
      </c>
      <c r="BG821">
        <f t="shared" si="349"/>
        <v>25</v>
      </c>
      <c r="BH821" s="1">
        <f t="shared" si="350"/>
        <v>0.58823529411764708</v>
      </c>
      <c r="BI821" s="1">
        <f t="shared" si="351"/>
        <v>0.29411764705882354</v>
      </c>
      <c r="BJ821" s="1">
        <f t="shared" si="344"/>
        <v>0.4652941176470588</v>
      </c>
      <c r="BK821" s="1">
        <f t="shared" si="352"/>
        <v>0.29411764705882354</v>
      </c>
      <c r="BL821" s="22">
        <f t="shared" si="345"/>
        <v>0.29411764705882354</v>
      </c>
      <c r="BM821" s="1">
        <f t="shared" si="346"/>
        <v>2.7928307958477512E-2</v>
      </c>
      <c r="BN821" s="1">
        <f t="shared" si="347"/>
        <v>7.8759328741868223E-2</v>
      </c>
    </row>
    <row r="822" spans="1:66" x14ac:dyDescent="0.25">
      <c r="A822" s="3"/>
      <c r="B822" s="3"/>
      <c r="C822" t="s">
        <v>365</v>
      </c>
      <c r="D822" s="5" t="s">
        <v>458</v>
      </c>
      <c r="E822" s="9">
        <f t="shared" ref="E822:E834" si="353">I822+L822+M822+N822+O822+V822+X822+AB822+AD822</f>
        <v>25</v>
      </c>
      <c r="F822" s="9">
        <f t="shared" ref="F822:F834" si="354">Q822/(H822+P822+Q822+AC822)</f>
        <v>0.83333333333333337</v>
      </c>
      <c r="G822">
        <v>15</v>
      </c>
      <c r="H822">
        <v>10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25</v>
      </c>
      <c r="P822">
        <v>0</v>
      </c>
      <c r="Q822">
        <v>50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39.700000000000003</v>
      </c>
      <c r="AK822" t="s">
        <v>1</v>
      </c>
      <c r="AL822" t="s">
        <v>374</v>
      </c>
      <c r="AQ822" s="1">
        <f t="shared" si="331"/>
        <v>100</v>
      </c>
      <c r="AR822" s="1">
        <f t="shared" si="332"/>
        <v>0.25</v>
      </c>
      <c r="AS822" s="1">
        <f t="shared" si="333"/>
        <v>0.15</v>
      </c>
      <c r="AT822" s="1">
        <f t="shared" si="334"/>
        <v>0.1</v>
      </c>
      <c r="AU822" s="1">
        <f t="shared" si="335"/>
        <v>0.5</v>
      </c>
      <c r="AV822" s="1">
        <f t="shared" si="336"/>
        <v>0.39700000000000002</v>
      </c>
      <c r="AX822" s="1">
        <f t="shared" si="337"/>
        <v>2</v>
      </c>
      <c r="AY822" s="1">
        <f t="shared" si="338"/>
        <v>1</v>
      </c>
      <c r="AZ822" s="1">
        <f t="shared" si="339"/>
        <v>0.625</v>
      </c>
      <c r="BA822" s="1">
        <f t="shared" si="340"/>
        <v>1</v>
      </c>
      <c r="BB822" s="1">
        <f t="shared" si="341"/>
        <v>0.625</v>
      </c>
      <c r="BC822" s="1">
        <f t="shared" si="342"/>
        <v>0.625</v>
      </c>
      <c r="BD822" s="1">
        <f t="shared" si="343"/>
        <v>0.22799999999999998</v>
      </c>
      <c r="BF822">
        <f t="shared" si="348"/>
        <v>70</v>
      </c>
      <c r="BG822">
        <f t="shared" si="349"/>
        <v>25</v>
      </c>
      <c r="BH822" s="1">
        <f t="shared" si="350"/>
        <v>0.7142857142857143</v>
      </c>
      <c r="BI822" s="1">
        <f t="shared" si="351"/>
        <v>0.35714285714285715</v>
      </c>
      <c r="BJ822" s="1">
        <f t="shared" si="344"/>
        <v>0.47285714285714286</v>
      </c>
      <c r="BK822" s="1">
        <f t="shared" si="352"/>
        <v>0.35714285714285715</v>
      </c>
      <c r="BL822" s="22">
        <f t="shared" si="345"/>
        <v>0.35714285714285715</v>
      </c>
      <c r="BM822" s="1">
        <f t="shared" si="346"/>
        <v>1.5885918367346949E-3</v>
      </c>
      <c r="BN822" s="1">
        <f t="shared" si="347"/>
        <v>1.1322928322569207E-4</v>
      </c>
    </row>
    <row r="823" spans="1:66" x14ac:dyDescent="0.25">
      <c r="A823" s="3"/>
      <c r="B823" s="3"/>
      <c r="C823" t="s">
        <v>366</v>
      </c>
      <c r="D823" s="5" t="s">
        <v>458</v>
      </c>
      <c r="E823" s="9">
        <f t="shared" si="353"/>
        <v>25</v>
      </c>
      <c r="F823" s="9">
        <f t="shared" si="354"/>
        <v>0.76923076923076927</v>
      </c>
      <c r="G823">
        <v>10</v>
      </c>
      <c r="H823">
        <v>15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25</v>
      </c>
      <c r="P823">
        <v>0</v>
      </c>
      <c r="Q823">
        <v>50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55.1</v>
      </c>
      <c r="AK823" t="s">
        <v>1</v>
      </c>
      <c r="AL823" t="s">
        <v>374</v>
      </c>
      <c r="AQ823" s="1">
        <f t="shared" si="331"/>
        <v>100</v>
      </c>
      <c r="AR823" s="1">
        <f t="shared" si="332"/>
        <v>0.25</v>
      </c>
      <c r="AS823" s="1">
        <f t="shared" si="333"/>
        <v>0.1</v>
      </c>
      <c r="AT823" s="1">
        <f t="shared" si="334"/>
        <v>0.15</v>
      </c>
      <c r="AU823" s="1">
        <f t="shared" si="335"/>
        <v>0.5</v>
      </c>
      <c r="AV823" s="1">
        <f t="shared" si="336"/>
        <v>0.55100000000000005</v>
      </c>
      <c r="AX823" s="1">
        <f t="shared" si="337"/>
        <v>2</v>
      </c>
      <c r="AY823" s="1">
        <f t="shared" si="338"/>
        <v>1</v>
      </c>
      <c r="AZ823" s="1">
        <f t="shared" si="339"/>
        <v>0.625</v>
      </c>
      <c r="BA823" s="1">
        <f t="shared" si="340"/>
        <v>1</v>
      </c>
      <c r="BB823" s="1">
        <f t="shared" si="341"/>
        <v>0.625</v>
      </c>
      <c r="BC823" s="1">
        <f t="shared" si="342"/>
        <v>0.625</v>
      </c>
      <c r="BD823" s="1">
        <f t="shared" si="343"/>
        <v>7.3999999999999955E-2</v>
      </c>
      <c r="BF823">
        <f t="shared" si="348"/>
        <v>55</v>
      </c>
      <c r="BG823">
        <f t="shared" si="349"/>
        <v>25</v>
      </c>
      <c r="BH823" s="1">
        <f t="shared" si="350"/>
        <v>0.90909090909090906</v>
      </c>
      <c r="BI823" s="1">
        <f t="shared" si="351"/>
        <v>0.45454545454545453</v>
      </c>
      <c r="BJ823" s="1">
        <f t="shared" si="344"/>
        <v>0.48454545454545456</v>
      </c>
      <c r="BK823" s="1">
        <f t="shared" si="352"/>
        <v>0.45454545454545453</v>
      </c>
      <c r="BL823" s="22">
        <f t="shared" si="345"/>
        <v>0.45454545454545453</v>
      </c>
      <c r="BM823" s="1">
        <f t="shared" si="346"/>
        <v>9.3034793388429866E-3</v>
      </c>
      <c r="BN823" s="1">
        <f t="shared" si="347"/>
        <v>2.0551824406814783E-2</v>
      </c>
    </row>
    <row r="824" spans="1:66" x14ac:dyDescent="0.25">
      <c r="A824" s="3"/>
      <c r="B824" s="3"/>
      <c r="C824" t="s">
        <v>367</v>
      </c>
      <c r="D824" s="5" t="s">
        <v>458</v>
      </c>
      <c r="E824" s="9">
        <f t="shared" si="353"/>
        <v>25</v>
      </c>
      <c r="F824" s="9">
        <f t="shared" si="354"/>
        <v>0.7142857142857143</v>
      </c>
      <c r="G824">
        <v>5</v>
      </c>
      <c r="H824">
        <v>20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25</v>
      </c>
      <c r="P824">
        <v>0</v>
      </c>
      <c r="Q824">
        <v>50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62.2</v>
      </c>
      <c r="AK824" t="s">
        <v>1</v>
      </c>
      <c r="AL824" t="s">
        <v>374</v>
      </c>
      <c r="AQ824" s="1">
        <f t="shared" si="331"/>
        <v>100</v>
      </c>
      <c r="AR824" s="1">
        <f t="shared" si="332"/>
        <v>0.25</v>
      </c>
      <c r="AS824" s="1">
        <f t="shared" si="333"/>
        <v>0.05</v>
      </c>
      <c r="AT824" s="1">
        <f t="shared" si="334"/>
        <v>0.2</v>
      </c>
      <c r="AU824" s="1">
        <f t="shared" si="335"/>
        <v>0.5</v>
      </c>
      <c r="AV824" s="1">
        <f t="shared" si="336"/>
        <v>0.622</v>
      </c>
      <c r="AX824" s="1">
        <f t="shared" si="337"/>
        <v>2</v>
      </c>
      <c r="AY824" s="1">
        <f t="shared" si="338"/>
        <v>1</v>
      </c>
      <c r="AZ824" s="1">
        <f t="shared" si="339"/>
        <v>0.625</v>
      </c>
      <c r="BA824" s="1">
        <f t="shared" si="340"/>
        <v>1</v>
      </c>
      <c r="BB824" s="1">
        <f t="shared" si="341"/>
        <v>0.625</v>
      </c>
      <c r="BC824" s="1">
        <f t="shared" si="342"/>
        <v>0.625</v>
      </c>
      <c r="BD824" s="1">
        <f t="shared" si="343"/>
        <v>3.0000000000000027E-3</v>
      </c>
      <c r="BF824">
        <f t="shared" si="348"/>
        <v>40</v>
      </c>
      <c r="BG824">
        <f t="shared" si="349"/>
        <v>25</v>
      </c>
      <c r="BH824" s="1">
        <f t="shared" si="350"/>
        <v>1.25</v>
      </c>
      <c r="BI824" s="1">
        <f t="shared" si="351"/>
        <v>0.625</v>
      </c>
      <c r="BJ824" s="1">
        <f t="shared" si="344"/>
        <v>0.505</v>
      </c>
      <c r="BK824" s="1">
        <f t="shared" si="352"/>
        <v>0.49259667653996542</v>
      </c>
      <c r="BL824" s="22">
        <f t="shared" si="345"/>
        <v>0.49259667653996542</v>
      </c>
      <c r="BM824" s="1">
        <f t="shared" si="346"/>
        <v>1.6745220122502336E-2</v>
      </c>
      <c r="BN824" s="1">
        <f t="shared" si="347"/>
        <v>4.5949813067690255E-2</v>
      </c>
    </row>
    <row r="825" spans="1:66" x14ac:dyDescent="0.25">
      <c r="A825" s="3"/>
      <c r="B825" s="3"/>
      <c r="C825" t="s">
        <v>652</v>
      </c>
      <c r="D825" s="5" t="s">
        <v>458</v>
      </c>
      <c r="E825" s="9">
        <f t="shared" si="353"/>
        <v>4.3</v>
      </c>
      <c r="F825" s="9">
        <f t="shared" si="354"/>
        <v>0.78141499472016895</v>
      </c>
      <c r="G825">
        <v>1</v>
      </c>
      <c r="H825">
        <v>20.7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4.3</v>
      </c>
      <c r="P825">
        <v>0</v>
      </c>
      <c r="Q825">
        <v>74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12</v>
      </c>
      <c r="AK825" t="s">
        <v>1</v>
      </c>
      <c r="AL825" t="s">
        <v>381</v>
      </c>
      <c r="AO825" t="s">
        <v>378</v>
      </c>
      <c r="AP825" t="s">
        <v>819</v>
      </c>
      <c r="AQ825" s="1">
        <f t="shared" si="331"/>
        <v>100</v>
      </c>
      <c r="AR825" s="1">
        <f t="shared" si="332"/>
        <v>4.2999999999999997E-2</v>
      </c>
      <c r="AS825" s="1">
        <f t="shared" si="333"/>
        <v>0.01</v>
      </c>
      <c r="AT825" s="1">
        <f t="shared" si="334"/>
        <v>0.20699999999999999</v>
      </c>
      <c r="AU825" s="1">
        <f t="shared" si="335"/>
        <v>0.74</v>
      </c>
      <c r="AV825" s="1">
        <f t="shared" si="336"/>
        <v>0.12</v>
      </c>
      <c r="AX825" s="1">
        <f t="shared" si="337"/>
        <v>3.4101382488479262</v>
      </c>
      <c r="AY825" s="1">
        <f t="shared" si="338"/>
        <v>0.19815668202764974</v>
      </c>
      <c r="AZ825" s="1">
        <f t="shared" si="339"/>
        <v>0.71313364055299533</v>
      </c>
      <c r="BA825" s="1">
        <f t="shared" si="340"/>
        <v>1.3525345622119815</v>
      </c>
      <c r="BB825" s="1">
        <f t="shared" si="341"/>
        <v>0.19815668202764974</v>
      </c>
      <c r="BC825" s="1">
        <f t="shared" si="342"/>
        <v>0.19815668202764974</v>
      </c>
      <c r="BD825" s="1">
        <f t="shared" si="343"/>
        <v>7.8156682027649749E-2</v>
      </c>
      <c r="BF825">
        <f t="shared" si="348"/>
        <v>24.7</v>
      </c>
      <c r="BG825">
        <f t="shared" si="349"/>
        <v>4.3</v>
      </c>
      <c r="BH825" s="1">
        <f t="shared" si="350"/>
        <v>2.9959514170040489</v>
      </c>
      <c r="BI825" s="1">
        <f t="shared" si="351"/>
        <v>0.17408906882591094</v>
      </c>
      <c r="BJ825" s="1">
        <f t="shared" si="344"/>
        <v>0.60975708502024295</v>
      </c>
      <c r="BK825" s="1">
        <f t="shared" si="352"/>
        <v>0.17408906882591094</v>
      </c>
      <c r="BL825" s="22">
        <f t="shared" si="345"/>
        <v>0.17408906882591094</v>
      </c>
      <c r="BM825" s="1">
        <f t="shared" si="346"/>
        <v>2.9256273664541306E-3</v>
      </c>
      <c r="BN825" s="1">
        <f t="shared" si="347"/>
        <v>8.2737301690795989E-2</v>
      </c>
    </row>
    <row r="826" spans="1:66" x14ac:dyDescent="0.25">
      <c r="A826" s="3"/>
      <c r="B826" s="3"/>
      <c r="C826" t="s">
        <v>588</v>
      </c>
      <c r="D826" s="5">
        <v>1</v>
      </c>
      <c r="E826" s="9">
        <f t="shared" si="353"/>
        <v>0</v>
      </c>
      <c r="F826" s="9">
        <f t="shared" si="354"/>
        <v>0</v>
      </c>
      <c r="G826">
        <v>0</v>
      </c>
      <c r="H826">
        <v>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36</v>
      </c>
      <c r="Q826">
        <v>0</v>
      </c>
      <c r="R826">
        <v>0</v>
      </c>
      <c r="S826">
        <v>0</v>
      </c>
      <c r="T826">
        <v>40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100</v>
      </c>
      <c r="AK826" t="s">
        <v>1</v>
      </c>
      <c r="AL826" t="s">
        <v>374</v>
      </c>
      <c r="AM826" t="s">
        <v>413</v>
      </c>
      <c r="AO826" t="s">
        <v>378</v>
      </c>
      <c r="AQ826" s="1">
        <f t="shared" ref="AQ826:AQ834" si="355">SUM(G826:AI826)</f>
        <v>100</v>
      </c>
      <c r="AR826" s="1">
        <f t="shared" si="332"/>
        <v>0</v>
      </c>
      <c r="AS826" s="1">
        <f t="shared" ref="AS826:AS834" si="356">G826/100</f>
        <v>0</v>
      </c>
      <c r="AT826" s="1">
        <f t="shared" ref="AT826:AT834" si="357">H826/100</f>
        <v>0.04</v>
      </c>
      <c r="AU826" s="1">
        <f t="shared" si="335"/>
        <v>0</v>
      </c>
      <c r="AV826" s="1">
        <f t="shared" si="336"/>
        <v>1</v>
      </c>
      <c r="AX826" s="1">
        <f t="shared" si="337"/>
        <v>0</v>
      </c>
      <c r="AY826" s="1">
        <f t="shared" si="338"/>
        <v>0</v>
      </c>
      <c r="AZ826" s="1">
        <f t="shared" si="339"/>
        <v>0.5</v>
      </c>
      <c r="BA826" s="1">
        <f t="shared" si="340"/>
        <v>0.5</v>
      </c>
      <c r="BB826" s="1">
        <f t="shared" si="341"/>
        <v>0</v>
      </c>
      <c r="BC826" s="1">
        <f t="shared" si="342"/>
        <v>0</v>
      </c>
      <c r="BD826" s="1">
        <f t="shared" si="343"/>
        <v>1</v>
      </c>
      <c r="BF826">
        <f t="shared" si="348"/>
        <v>40</v>
      </c>
      <c r="BG826">
        <f t="shared" si="349"/>
        <v>20</v>
      </c>
      <c r="BH826" s="1">
        <f t="shared" si="350"/>
        <v>0</v>
      </c>
      <c r="BI826" s="1">
        <f t="shared" si="351"/>
        <v>0.5</v>
      </c>
      <c r="BJ826" s="1">
        <f t="shared" si="344"/>
        <v>0.43</v>
      </c>
      <c r="BK826" s="1">
        <f t="shared" si="352"/>
        <v>0.40701138914924623</v>
      </c>
      <c r="BL826" s="22">
        <f t="shared" si="345"/>
        <v>0.40701138914924623</v>
      </c>
      <c r="BM826" s="1">
        <f t="shared" si="346"/>
        <v>0.35163549259870674</v>
      </c>
      <c r="BN826" s="1">
        <f t="shared" si="347"/>
        <v>0.35088927382559071</v>
      </c>
    </row>
    <row r="827" spans="1:66" x14ac:dyDescent="0.25">
      <c r="A827" s="3"/>
      <c r="B827" s="3"/>
      <c r="C827" t="s">
        <v>589</v>
      </c>
      <c r="D827" s="5">
        <v>1</v>
      </c>
      <c r="E827" s="9">
        <f t="shared" si="353"/>
        <v>0</v>
      </c>
      <c r="F827" s="9">
        <f t="shared" si="354"/>
        <v>0</v>
      </c>
      <c r="G827">
        <v>0</v>
      </c>
      <c r="H827">
        <v>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32</v>
      </c>
      <c r="Q827">
        <v>0</v>
      </c>
      <c r="R827">
        <v>0</v>
      </c>
      <c r="S827">
        <v>0</v>
      </c>
      <c r="T827">
        <v>40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94.1</v>
      </c>
      <c r="AK827" t="s">
        <v>1</v>
      </c>
      <c r="AL827" t="s">
        <v>374</v>
      </c>
      <c r="AQ827" s="1">
        <f t="shared" si="355"/>
        <v>100</v>
      </c>
      <c r="AR827" s="1">
        <f t="shared" si="332"/>
        <v>0</v>
      </c>
      <c r="AS827" s="1">
        <f t="shared" si="356"/>
        <v>0</v>
      </c>
      <c r="AT827" s="1">
        <f t="shared" si="357"/>
        <v>0.08</v>
      </c>
      <c r="AU827" s="1">
        <f t="shared" si="335"/>
        <v>0</v>
      </c>
      <c r="AV827" s="1">
        <f t="shared" si="336"/>
        <v>0.94099999999999995</v>
      </c>
      <c r="AX827" s="1">
        <f t="shared" si="337"/>
        <v>0</v>
      </c>
      <c r="AY827" s="1">
        <f t="shared" si="338"/>
        <v>0</v>
      </c>
      <c r="AZ827" s="1">
        <f t="shared" si="339"/>
        <v>0.5</v>
      </c>
      <c r="BA827" s="1">
        <f t="shared" si="340"/>
        <v>0.5</v>
      </c>
      <c r="BB827" s="1">
        <f t="shared" si="341"/>
        <v>0</v>
      </c>
      <c r="BC827" s="1">
        <f t="shared" si="342"/>
        <v>0</v>
      </c>
      <c r="BD827" s="1">
        <f t="shared" si="343"/>
        <v>0.94099999999999995</v>
      </c>
      <c r="BF827">
        <f t="shared" si="348"/>
        <v>40</v>
      </c>
      <c r="BG827">
        <f t="shared" si="349"/>
        <v>20</v>
      </c>
      <c r="BH827" s="1">
        <f t="shared" si="350"/>
        <v>0</v>
      </c>
      <c r="BI827" s="1">
        <f t="shared" si="351"/>
        <v>0.5</v>
      </c>
      <c r="BJ827" s="1">
        <f t="shared" si="344"/>
        <v>0.43</v>
      </c>
      <c r="BK827" s="1">
        <f t="shared" si="352"/>
        <v>0.40701138914924623</v>
      </c>
      <c r="BL827" s="22">
        <f t="shared" si="345"/>
        <v>0.40701138914924623</v>
      </c>
      <c r="BM827" s="1">
        <f t="shared" si="346"/>
        <v>0.28514383651831765</v>
      </c>
      <c r="BN827" s="1">
        <f t="shared" si="347"/>
        <v>0.28447190296655328</v>
      </c>
    </row>
    <row r="828" spans="1:66" x14ac:dyDescent="0.25">
      <c r="A828" s="3"/>
      <c r="B828" s="3"/>
      <c r="C828" t="s">
        <v>590</v>
      </c>
      <c r="D828" s="5">
        <v>1</v>
      </c>
      <c r="E828" s="9">
        <f t="shared" si="353"/>
        <v>0</v>
      </c>
      <c r="F828" s="9">
        <f t="shared" si="354"/>
        <v>0</v>
      </c>
      <c r="G828">
        <v>0</v>
      </c>
      <c r="H828">
        <v>12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28</v>
      </c>
      <c r="Q828">
        <v>0</v>
      </c>
      <c r="R828">
        <v>0</v>
      </c>
      <c r="S828">
        <v>0</v>
      </c>
      <c r="T828">
        <v>40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90.5</v>
      </c>
      <c r="AK828" t="s">
        <v>1</v>
      </c>
      <c r="AL828" t="s">
        <v>374</v>
      </c>
      <c r="AQ828" s="1">
        <f t="shared" si="355"/>
        <v>100</v>
      </c>
      <c r="AR828" s="1">
        <f t="shared" si="332"/>
        <v>0</v>
      </c>
      <c r="AS828" s="1">
        <f t="shared" si="356"/>
        <v>0</v>
      </c>
      <c r="AT828" s="1">
        <f t="shared" si="357"/>
        <v>0.12</v>
      </c>
      <c r="AU828" s="1">
        <f t="shared" si="335"/>
        <v>0</v>
      </c>
      <c r="AV828" s="1">
        <f t="shared" si="336"/>
        <v>0.90500000000000003</v>
      </c>
      <c r="AX828" s="1">
        <f t="shared" si="337"/>
        <v>0</v>
      </c>
      <c r="AY828" s="1">
        <f t="shared" si="338"/>
        <v>0</v>
      </c>
      <c r="AZ828" s="1">
        <f t="shared" si="339"/>
        <v>0.5</v>
      </c>
      <c r="BA828" s="1">
        <f t="shared" si="340"/>
        <v>0.5</v>
      </c>
      <c r="BB828" s="1">
        <f t="shared" si="341"/>
        <v>0</v>
      </c>
      <c r="BC828" s="1">
        <f t="shared" si="342"/>
        <v>0</v>
      </c>
      <c r="BD828" s="1">
        <f t="shared" si="343"/>
        <v>0.90500000000000003</v>
      </c>
      <c r="BF828">
        <f t="shared" si="348"/>
        <v>40</v>
      </c>
      <c r="BG828">
        <f t="shared" si="349"/>
        <v>20</v>
      </c>
      <c r="BH828" s="1">
        <f t="shared" si="350"/>
        <v>0</v>
      </c>
      <c r="BI828" s="1">
        <f t="shared" si="351"/>
        <v>0.5</v>
      </c>
      <c r="BJ828" s="1">
        <f t="shared" si="344"/>
        <v>0.43</v>
      </c>
      <c r="BK828" s="1">
        <f t="shared" si="352"/>
        <v>0.40701138914924623</v>
      </c>
      <c r="BL828" s="22">
        <f t="shared" si="345"/>
        <v>0.40701138914924623</v>
      </c>
      <c r="BM828" s="1">
        <f t="shared" si="346"/>
        <v>0.24799265653706351</v>
      </c>
      <c r="BN828" s="1">
        <f t="shared" si="347"/>
        <v>0.24736604956103905</v>
      </c>
    </row>
    <row r="829" spans="1:66" x14ac:dyDescent="0.25">
      <c r="A829" s="3"/>
      <c r="B829" s="3"/>
      <c r="C829" t="s">
        <v>591</v>
      </c>
      <c r="D829" s="5">
        <v>1</v>
      </c>
      <c r="E829" s="9">
        <f t="shared" si="353"/>
        <v>0</v>
      </c>
      <c r="F829" s="9">
        <f t="shared" si="354"/>
        <v>0</v>
      </c>
      <c r="G829">
        <v>0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27</v>
      </c>
      <c r="Q829">
        <v>0</v>
      </c>
      <c r="R829">
        <v>0</v>
      </c>
      <c r="S829">
        <v>0</v>
      </c>
      <c r="T829">
        <v>30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40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100</v>
      </c>
      <c r="AK829" t="s">
        <v>1</v>
      </c>
      <c r="AL829" t="s">
        <v>374</v>
      </c>
      <c r="AQ829" s="1">
        <f t="shared" si="355"/>
        <v>100</v>
      </c>
      <c r="AR829" s="1">
        <f t="shared" si="332"/>
        <v>0</v>
      </c>
      <c r="AS829" s="1">
        <f t="shared" si="356"/>
        <v>0</v>
      </c>
      <c r="AT829" s="1">
        <f t="shared" si="357"/>
        <v>0.03</v>
      </c>
      <c r="AU829" s="1">
        <f t="shared" si="335"/>
        <v>0</v>
      </c>
      <c r="AV829" s="1">
        <f t="shared" si="336"/>
        <v>1</v>
      </c>
      <c r="AX829" s="1">
        <f t="shared" si="337"/>
        <v>0</v>
      </c>
      <c r="AY829" s="1">
        <f t="shared" si="338"/>
        <v>0</v>
      </c>
      <c r="AZ829" s="1">
        <f t="shared" si="339"/>
        <v>0.5</v>
      </c>
      <c r="BA829" s="1">
        <f t="shared" si="340"/>
        <v>0.5</v>
      </c>
      <c r="BB829" s="1">
        <f t="shared" si="341"/>
        <v>0</v>
      </c>
      <c r="BC829" s="1">
        <f t="shared" si="342"/>
        <v>0</v>
      </c>
      <c r="BD829" s="1">
        <f t="shared" si="343"/>
        <v>1</v>
      </c>
      <c r="BF829">
        <f t="shared" si="348"/>
        <v>30</v>
      </c>
      <c r="BG829">
        <f t="shared" si="349"/>
        <v>15</v>
      </c>
      <c r="BH829" s="1">
        <f t="shared" si="350"/>
        <v>0</v>
      </c>
      <c r="BI829" s="1">
        <f t="shared" si="351"/>
        <v>0.5</v>
      </c>
      <c r="BJ829" s="1">
        <f t="shared" si="344"/>
        <v>0.43</v>
      </c>
      <c r="BK829" s="1">
        <f t="shared" si="352"/>
        <v>0.40701138914924623</v>
      </c>
      <c r="BL829" s="22">
        <f t="shared" si="345"/>
        <v>0.40701138914924623</v>
      </c>
      <c r="BM829" s="1">
        <f t="shared" si="346"/>
        <v>0.35163549259870674</v>
      </c>
      <c r="BN829" s="1">
        <f t="shared" si="347"/>
        <v>0.35088927382559071</v>
      </c>
    </row>
    <row r="830" spans="1:66" x14ac:dyDescent="0.25">
      <c r="A830" s="3"/>
      <c r="B830" s="3"/>
      <c r="C830" t="s">
        <v>592</v>
      </c>
      <c r="D830" s="5">
        <v>1</v>
      </c>
      <c r="E830" s="9">
        <f t="shared" si="353"/>
        <v>0</v>
      </c>
      <c r="F830" s="9">
        <f t="shared" si="354"/>
        <v>0</v>
      </c>
      <c r="G830">
        <v>0</v>
      </c>
      <c r="H830">
        <v>6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24</v>
      </c>
      <c r="Q830">
        <v>0</v>
      </c>
      <c r="R830">
        <v>0</v>
      </c>
      <c r="S830">
        <v>0</v>
      </c>
      <c r="T830">
        <v>30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93</v>
      </c>
      <c r="AK830" t="s">
        <v>1</v>
      </c>
      <c r="AL830" t="s">
        <v>374</v>
      </c>
      <c r="AQ830" s="1">
        <f t="shared" si="355"/>
        <v>100</v>
      </c>
      <c r="AR830" s="1">
        <f t="shared" si="332"/>
        <v>0</v>
      </c>
      <c r="AS830" s="1">
        <f t="shared" si="356"/>
        <v>0</v>
      </c>
      <c r="AT830" s="1">
        <f t="shared" si="357"/>
        <v>0.06</v>
      </c>
      <c r="AU830" s="1">
        <f t="shared" si="335"/>
        <v>0</v>
      </c>
      <c r="AV830" s="1">
        <f t="shared" si="336"/>
        <v>0.93</v>
      </c>
      <c r="AX830" s="1">
        <f t="shared" si="337"/>
        <v>0</v>
      </c>
      <c r="AY830" s="1">
        <f t="shared" si="338"/>
        <v>0</v>
      </c>
      <c r="AZ830" s="1">
        <f t="shared" si="339"/>
        <v>0.5</v>
      </c>
      <c r="BA830" s="1">
        <f t="shared" si="340"/>
        <v>0.5</v>
      </c>
      <c r="BB830" s="1">
        <f t="shared" si="341"/>
        <v>0</v>
      </c>
      <c r="BC830" s="1">
        <f t="shared" si="342"/>
        <v>0</v>
      </c>
      <c r="BD830" s="1">
        <f t="shared" si="343"/>
        <v>0.93</v>
      </c>
      <c r="BF830">
        <f t="shared" si="348"/>
        <v>30</v>
      </c>
      <c r="BG830">
        <f t="shared" si="349"/>
        <v>15</v>
      </c>
      <c r="BH830" s="1">
        <f t="shared" si="350"/>
        <v>0</v>
      </c>
      <c r="BI830" s="1">
        <f t="shared" si="351"/>
        <v>0.5</v>
      </c>
      <c r="BJ830" s="1">
        <f t="shared" si="344"/>
        <v>0.43</v>
      </c>
      <c r="BK830" s="1">
        <f t="shared" si="352"/>
        <v>0.40701138914924623</v>
      </c>
      <c r="BL830" s="22">
        <f t="shared" si="345"/>
        <v>0.40701138914924623</v>
      </c>
      <c r="BM830" s="1">
        <f t="shared" si="346"/>
        <v>0.27351708707960115</v>
      </c>
      <c r="BN830" s="1">
        <f t="shared" si="347"/>
        <v>0.27285900331486845</v>
      </c>
    </row>
    <row r="831" spans="1:66" x14ac:dyDescent="0.25">
      <c r="A831" s="3"/>
      <c r="B831" s="3"/>
      <c r="C831" t="s">
        <v>593</v>
      </c>
      <c r="D831" s="5">
        <v>1</v>
      </c>
      <c r="E831" s="9">
        <f t="shared" si="353"/>
        <v>0</v>
      </c>
      <c r="F831" s="9">
        <f t="shared" si="354"/>
        <v>0</v>
      </c>
      <c r="G831">
        <v>0</v>
      </c>
      <c r="H831">
        <v>9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21</v>
      </c>
      <c r="Q831">
        <v>0</v>
      </c>
      <c r="R831">
        <v>0</v>
      </c>
      <c r="S831">
        <v>0</v>
      </c>
      <c r="T831">
        <v>30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91.4</v>
      </c>
      <c r="AK831" t="s">
        <v>1</v>
      </c>
      <c r="AL831" t="s">
        <v>374</v>
      </c>
      <c r="AQ831" s="1">
        <f t="shared" si="355"/>
        <v>100</v>
      </c>
      <c r="AR831" s="1">
        <f t="shared" si="332"/>
        <v>0</v>
      </c>
      <c r="AS831" s="1">
        <f t="shared" si="356"/>
        <v>0</v>
      </c>
      <c r="AT831" s="1">
        <f t="shared" si="357"/>
        <v>0.09</v>
      </c>
      <c r="AU831" s="1">
        <f t="shared" si="335"/>
        <v>0</v>
      </c>
      <c r="AV831" s="1">
        <f t="shared" si="336"/>
        <v>0.91400000000000003</v>
      </c>
      <c r="AX831" s="1">
        <f t="shared" si="337"/>
        <v>0</v>
      </c>
      <c r="AY831" s="1">
        <f t="shared" si="338"/>
        <v>0</v>
      </c>
      <c r="AZ831" s="1">
        <f t="shared" si="339"/>
        <v>0.5</v>
      </c>
      <c r="BA831" s="1">
        <f t="shared" si="340"/>
        <v>0.5</v>
      </c>
      <c r="BB831" s="1">
        <f t="shared" si="341"/>
        <v>0</v>
      </c>
      <c r="BC831" s="1">
        <f t="shared" si="342"/>
        <v>0</v>
      </c>
      <c r="BD831" s="1">
        <f t="shared" si="343"/>
        <v>0.91400000000000003</v>
      </c>
      <c r="BF831">
        <f t="shared" si="348"/>
        <v>30</v>
      </c>
      <c r="BG831">
        <f t="shared" si="349"/>
        <v>15</v>
      </c>
      <c r="BH831" s="1">
        <f t="shared" si="350"/>
        <v>0</v>
      </c>
      <c r="BI831" s="1">
        <f t="shared" si="351"/>
        <v>0.5</v>
      </c>
      <c r="BJ831" s="1">
        <f t="shared" si="344"/>
        <v>0.43</v>
      </c>
      <c r="BK831" s="1">
        <f t="shared" si="352"/>
        <v>0.40701138914924623</v>
      </c>
      <c r="BL831" s="22">
        <f t="shared" si="345"/>
        <v>0.40701138914924623</v>
      </c>
      <c r="BM831" s="1">
        <f t="shared" si="346"/>
        <v>0.257037451532377</v>
      </c>
      <c r="BN831" s="1">
        <f t="shared" si="347"/>
        <v>0.25639951291241764</v>
      </c>
    </row>
    <row r="832" spans="1:66" x14ac:dyDescent="0.25">
      <c r="A832" s="3"/>
      <c r="B832" s="3"/>
      <c r="C832" t="s">
        <v>594</v>
      </c>
      <c r="D832" s="5">
        <v>1</v>
      </c>
      <c r="E832" s="9">
        <f t="shared" si="353"/>
        <v>0</v>
      </c>
      <c r="F832" s="9">
        <f t="shared" si="354"/>
        <v>0</v>
      </c>
      <c r="G832">
        <v>0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18</v>
      </c>
      <c r="Q832">
        <v>0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60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100</v>
      </c>
      <c r="AK832" t="s">
        <v>1</v>
      </c>
      <c r="AL832" t="s">
        <v>374</v>
      </c>
      <c r="AQ832" s="1">
        <f t="shared" si="355"/>
        <v>100</v>
      </c>
      <c r="AR832" s="1">
        <f t="shared" si="332"/>
        <v>0</v>
      </c>
      <c r="AS832" s="1">
        <f t="shared" si="356"/>
        <v>0</v>
      </c>
      <c r="AT832" s="1">
        <f t="shared" si="357"/>
        <v>0.02</v>
      </c>
      <c r="AU832" s="1">
        <f t="shared" si="335"/>
        <v>0</v>
      </c>
      <c r="AV832" s="1">
        <f t="shared" si="336"/>
        <v>1</v>
      </c>
      <c r="AX832" s="1">
        <f t="shared" si="337"/>
        <v>0</v>
      </c>
      <c r="AY832" s="1">
        <f t="shared" si="338"/>
        <v>0</v>
      </c>
      <c r="AZ832" s="1">
        <f t="shared" si="339"/>
        <v>0.5</v>
      </c>
      <c r="BA832" s="1">
        <f t="shared" si="340"/>
        <v>0.5</v>
      </c>
      <c r="BB832" s="1">
        <f t="shared" si="341"/>
        <v>0</v>
      </c>
      <c r="BC832" s="1">
        <f t="shared" si="342"/>
        <v>0</v>
      </c>
      <c r="BD832" s="1">
        <f t="shared" si="343"/>
        <v>1</v>
      </c>
      <c r="BF832">
        <f t="shared" si="348"/>
        <v>20</v>
      </c>
      <c r="BG832">
        <f t="shared" si="349"/>
        <v>10</v>
      </c>
      <c r="BH832" s="1">
        <f t="shared" si="350"/>
        <v>0</v>
      </c>
      <c r="BI832" s="1">
        <f t="shared" si="351"/>
        <v>0.5</v>
      </c>
      <c r="BJ832" s="1">
        <f t="shared" si="344"/>
        <v>0.43</v>
      </c>
      <c r="BK832" s="1">
        <f t="shared" si="352"/>
        <v>0.40701138914924623</v>
      </c>
      <c r="BL832" s="22">
        <f t="shared" si="345"/>
        <v>0.40701138914924623</v>
      </c>
      <c r="BM832" s="1">
        <f t="shared" si="346"/>
        <v>0.35163549259870674</v>
      </c>
      <c r="BN832" s="1">
        <f t="shared" si="347"/>
        <v>0.35088927382559071</v>
      </c>
    </row>
    <row r="833" spans="1:66" x14ac:dyDescent="0.25">
      <c r="A833" s="3"/>
      <c r="B833" s="3"/>
      <c r="C833" t="s">
        <v>595</v>
      </c>
      <c r="D833" s="5">
        <v>1</v>
      </c>
      <c r="E833" s="9">
        <f t="shared" si="353"/>
        <v>0</v>
      </c>
      <c r="F833" s="9">
        <f t="shared" si="354"/>
        <v>0</v>
      </c>
      <c r="G833">
        <v>0</v>
      </c>
      <c r="H833">
        <v>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16</v>
      </c>
      <c r="Q833">
        <v>0</v>
      </c>
      <c r="R833">
        <v>0</v>
      </c>
      <c r="S833">
        <v>0</v>
      </c>
      <c r="T833">
        <v>20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94.8</v>
      </c>
      <c r="AK833" t="s">
        <v>1</v>
      </c>
      <c r="AL833" t="s">
        <v>374</v>
      </c>
      <c r="AQ833" s="1">
        <f t="shared" si="355"/>
        <v>100</v>
      </c>
      <c r="AR833" s="1">
        <f t="shared" si="332"/>
        <v>0</v>
      </c>
      <c r="AS833" s="1">
        <f t="shared" si="356"/>
        <v>0</v>
      </c>
      <c r="AT833" s="1">
        <f t="shared" si="357"/>
        <v>0.04</v>
      </c>
      <c r="AU833" s="1">
        <f t="shared" si="335"/>
        <v>0</v>
      </c>
      <c r="AV833" s="1">
        <f t="shared" si="336"/>
        <v>0.94799999999999995</v>
      </c>
      <c r="AX833" s="1">
        <f t="shared" si="337"/>
        <v>0</v>
      </c>
      <c r="AY833" s="1">
        <f t="shared" si="338"/>
        <v>0</v>
      </c>
      <c r="AZ833" s="1">
        <f t="shared" si="339"/>
        <v>0.5</v>
      </c>
      <c r="BA833" s="1">
        <f t="shared" si="340"/>
        <v>0.5</v>
      </c>
      <c r="BB833" s="1">
        <f t="shared" si="341"/>
        <v>0</v>
      </c>
      <c r="BC833" s="1">
        <f t="shared" si="342"/>
        <v>0</v>
      </c>
      <c r="BD833" s="1">
        <f t="shared" si="343"/>
        <v>0.94799999999999995</v>
      </c>
      <c r="BF833">
        <f t="shared" si="348"/>
        <v>20</v>
      </c>
      <c r="BG833">
        <f t="shared" si="349"/>
        <v>10</v>
      </c>
      <c r="BH833" s="1">
        <f t="shared" si="350"/>
        <v>0</v>
      </c>
      <c r="BI833" s="1">
        <f t="shared" si="351"/>
        <v>0.5</v>
      </c>
      <c r="BJ833" s="1">
        <f t="shared" si="344"/>
        <v>0.43</v>
      </c>
      <c r="BK833" s="1">
        <f t="shared" si="352"/>
        <v>0.40701138914924623</v>
      </c>
      <c r="BL833" s="22">
        <f t="shared" si="345"/>
        <v>0.40701138914924623</v>
      </c>
      <c r="BM833" s="1">
        <f t="shared" si="346"/>
        <v>0.29266867707022831</v>
      </c>
      <c r="BN833" s="1">
        <f t="shared" si="347"/>
        <v>0.29198793001762552</v>
      </c>
    </row>
    <row r="834" spans="1:66" x14ac:dyDescent="0.25">
      <c r="A834" s="3"/>
      <c r="B834" s="3"/>
      <c r="C834" t="s">
        <v>596</v>
      </c>
      <c r="D834" s="5">
        <v>1</v>
      </c>
      <c r="E834" s="9">
        <f t="shared" si="353"/>
        <v>0</v>
      </c>
      <c r="F834" s="9">
        <f t="shared" si="354"/>
        <v>0</v>
      </c>
      <c r="G834">
        <v>0</v>
      </c>
      <c r="H834">
        <v>6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14</v>
      </c>
      <c r="Q834">
        <v>0</v>
      </c>
      <c r="R834">
        <v>0</v>
      </c>
      <c r="S834">
        <v>0</v>
      </c>
      <c r="T834">
        <v>20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60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90.6</v>
      </c>
      <c r="AK834" t="s">
        <v>1</v>
      </c>
      <c r="AL834" t="s">
        <v>374</v>
      </c>
      <c r="AP834" t="s">
        <v>398</v>
      </c>
      <c r="AQ834" s="1">
        <f t="shared" si="355"/>
        <v>100</v>
      </c>
      <c r="AR834" s="1">
        <f t="shared" si="332"/>
        <v>0</v>
      </c>
      <c r="AS834" s="1">
        <f t="shared" si="356"/>
        <v>0</v>
      </c>
      <c r="AT834" s="1">
        <f t="shared" si="357"/>
        <v>0.06</v>
      </c>
      <c r="AU834" s="1">
        <f t="shared" si="335"/>
        <v>0</v>
      </c>
      <c r="AV834" s="1">
        <f t="shared" si="336"/>
        <v>0.90599999999999992</v>
      </c>
      <c r="AX834" s="1">
        <f t="shared" si="337"/>
        <v>0</v>
      </c>
      <c r="AY834" s="1">
        <f t="shared" si="338"/>
        <v>0</v>
      </c>
      <c r="AZ834" s="1">
        <f t="shared" si="339"/>
        <v>0.5</v>
      </c>
      <c r="BA834" s="1">
        <f t="shared" si="340"/>
        <v>0.5</v>
      </c>
      <c r="BB834" s="1">
        <f t="shared" si="341"/>
        <v>0</v>
      </c>
      <c r="BC834" s="1">
        <f t="shared" si="342"/>
        <v>0</v>
      </c>
      <c r="BD834" s="1">
        <f t="shared" si="343"/>
        <v>0.90599999999999992</v>
      </c>
      <c r="BF834">
        <f t="shared" si="348"/>
        <v>20</v>
      </c>
      <c r="BG834">
        <f t="shared" si="349"/>
        <v>10</v>
      </c>
      <c r="BH834" s="1">
        <f t="shared" si="350"/>
        <v>0</v>
      </c>
      <c r="BI834" s="1">
        <f t="shared" si="351"/>
        <v>0.5</v>
      </c>
      <c r="BJ834" s="1">
        <f t="shared" si="344"/>
        <v>0.43</v>
      </c>
      <c r="BK834" s="1">
        <f t="shared" si="352"/>
        <v>0.40701138914924623</v>
      </c>
      <c r="BL834" s="22">
        <f t="shared" si="345"/>
        <v>0.40701138914924623</v>
      </c>
      <c r="BM834" s="1">
        <f t="shared" si="346"/>
        <v>0.2489896337587649</v>
      </c>
      <c r="BN834" s="1">
        <f t="shared" si="347"/>
        <v>0.24836176771119212</v>
      </c>
    </row>
  </sheetData>
  <conditionalFormatting sqref="H1:H787 AJ1:AJ790 AJ796:AJ1048576 H798:H834">
    <cfRule type="cellIs" dxfId="0" priority="2" operator="equal">
      <formula>0</formula>
    </cfRule>
  </conditionalFormatting>
  <conditionalFormatting sqref="BM797:BM834 BM1:BM79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53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2AFB323A288C43A9DC85070998B979" ma:contentTypeVersion="8" ma:contentTypeDescription="Create a new document." ma:contentTypeScope="" ma:versionID="80e8f69463bb2650a9f78b5c5b60f78f">
  <xsd:schema xmlns:xsd="http://www.w3.org/2001/XMLSchema" xmlns:xs="http://www.w3.org/2001/XMLSchema" xmlns:p="http://schemas.microsoft.com/office/2006/metadata/properties" xmlns:ns3="50601732-e5c8-4805-a36f-637e98547794" targetNamespace="http://schemas.microsoft.com/office/2006/metadata/properties" ma:root="true" ma:fieldsID="d5ac02ae63e712d74be3ce3ba9387c6b" ns3:_="">
    <xsd:import namespace="50601732-e5c8-4805-a36f-637e985477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01732-e5c8-4805-a36f-637e98547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486D19-7E39-4F5F-916C-5396604AE4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601732-e5c8-4805-a36f-637e985477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30B91D-724D-4A74-A92E-B3C630D294AD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50601732-e5c8-4805-a36f-637e985477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D283085-110B-48BD-AAC2-ABAD26F0B1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model</vt:lpstr>
      <vt:lpstr>Bernstein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Xiaonan</dc:creator>
  <cp:lastModifiedBy>Curry, Chloe E</cp:lastModifiedBy>
  <cp:lastPrinted>2020-03-19T17:13:22Z</cp:lastPrinted>
  <dcterms:created xsi:type="dcterms:W3CDTF">2019-10-29T17:02:39Z</dcterms:created>
  <dcterms:modified xsi:type="dcterms:W3CDTF">2026-01-28T17:48:36Z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0x0101003F2AFB323A288C43A9DC85070998B979</vt:lpwstr>
  </property>
</Properties>
</file>